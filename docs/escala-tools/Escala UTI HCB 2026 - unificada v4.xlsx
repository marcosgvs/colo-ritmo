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OUT · ESBOÇO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ATENDIMENTO" sheetId="22" state="visible" r:id="rId22"/>
    <sheet xmlns:r="http://schemas.openxmlformats.org/officeDocument/2006/relationships" name="CONVOCAÇÕES" sheetId="23" state="visible" r:id="rId23"/>
    <sheet xmlns:r="http://schemas.openxmlformats.org/officeDocument/2006/relationships" name="DADOS DASH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4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color rgb="009A8A82"/>
      <sz val="8"/>
    </font>
    <font>
      <name val="Nunito"/>
      <b val="1"/>
      <color rgb="00FFFFFF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color rgb="009A8A82"/>
      <sz val="6.5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Nunito"/>
      <color rgb="009A8A82"/>
      <sz val="7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7">
    <xf numFmtId="0" fontId="0" fillId="0" borderId="0" pivotButton="0" quotePrefix="0" xfId="0"/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7" fillId="0" borderId="0" applyAlignment="1" pivotButton="0" quotePrefix="0" xfId="0">
      <alignment horizontal="left" vertical="center"/>
    </xf>
    <xf numFmtId="0" fontId="49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9" fillId="17" borderId="12" applyAlignment="1" pivotButton="0" quotePrefix="0" xfId="0">
      <alignment horizontal="center" vertical="center"/>
    </xf>
    <xf numFmtId="0" fontId="49" fillId="19" borderId="12" applyAlignment="1" pivotButton="0" quotePrefix="0" xfId="0">
      <alignment horizontal="center" vertical="center"/>
    </xf>
    <xf numFmtId="0" fontId="49" fillId="3" borderId="12" applyAlignment="1" pivotButton="0" quotePrefix="0" xfId="0">
      <alignment horizontal="center" vertical="center"/>
    </xf>
    <xf numFmtId="0" fontId="49" fillId="9" borderId="12" applyAlignment="1" pivotButton="0" quotePrefix="0" xfId="0">
      <alignment horizontal="center" vertical="center"/>
    </xf>
    <xf numFmtId="1" fontId="50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51" fillId="17" borderId="15" applyAlignment="1" pivotButton="0" quotePrefix="0" xfId="0">
      <alignment horizontal="center" vertical="center"/>
    </xf>
    <xf numFmtId="1" fontId="52" fillId="19" borderId="15" applyAlignment="1" pivotButton="0" quotePrefix="0" xfId="0">
      <alignment horizontal="center" vertical="center"/>
    </xf>
    <xf numFmtId="1" fontId="51" fillId="17" borderId="15" applyAlignment="1" pivotButton="0" quotePrefix="0" xfId="0">
      <alignment horizontal="center" vertical="center"/>
    </xf>
    <xf numFmtId="1" fontId="51" fillId="3" borderId="15" applyAlignment="1" pivotButton="0" quotePrefix="0" xfId="0">
      <alignment horizontal="center" vertical="center"/>
    </xf>
    <xf numFmtId="1" fontId="51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2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2" fillId="17" borderId="18" applyAlignment="1" pivotButton="0" quotePrefix="0" xfId="0">
      <alignment horizontal="center" vertical="center" wrapText="1"/>
    </xf>
    <xf numFmtId="0" fontId="22" fillId="19" borderId="18" applyAlignment="1" pivotButton="0" quotePrefix="0" xfId="0">
      <alignment horizontal="center" vertical="center" wrapText="1"/>
    </xf>
    <xf numFmtId="0" fontId="22" fillId="3" borderId="18" applyAlignment="1" pivotButton="0" quotePrefix="0" xfId="0">
      <alignment horizontal="center" vertical="center" wrapText="1"/>
    </xf>
    <xf numFmtId="0" fontId="22" fillId="9" borderId="18" applyAlignment="1" pivotButton="0" quotePrefix="0" xfId="0">
      <alignment horizontal="center" vertical="center" wrapText="1"/>
    </xf>
    <xf numFmtId="0" fontId="53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0" fillId="8" borderId="0" pivotButton="0" quotePrefix="0" xfId="0"/>
    <xf numFmtId="0" fontId="20" fillId="17" borderId="0" applyAlignment="1" pivotButton="0" quotePrefix="0" xfId="0">
      <alignment horizontal="center"/>
    </xf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3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3" fillId="2" borderId="0" applyAlignment="1" pivotButton="0" quotePrefix="0" xfId="0">
      <alignment horizontal="center" wrapText="1"/>
    </xf>
    <xf numFmtId="0" fontId="23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8" fillId="16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1" fontId="26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0" fontId="22" fillId="11" borderId="1" pivotButton="0" quotePrefix="0" xfId="0"/>
    <xf numFmtId="0" fontId="22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7" fillId="11" borderId="0" pivotButton="0" quotePrefix="0" xfId="0"/>
    <xf numFmtId="0" fontId="24" fillId="11" borderId="0" applyAlignment="1" pivotButton="0" quotePrefix="0" xfId="0">
      <alignment horizontal="center"/>
    </xf>
    <xf numFmtId="0" fontId="28" fillId="11" borderId="0" pivotButton="0" quotePrefix="0" xfId="0"/>
    <xf numFmtId="0" fontId="29" fillId="11" borderId="0" applyAlignment="1" pivotButton="0" quotePrefix="0" xfId="0">
      <alignment horizontal="center"/>
    </xf>
    <xf numFmtId="0" fontId="8" fillId="17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30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5" fillId="11" borderId="1" applyAlignment="1" pivotButton="0" quotePrefix="0" xfId="0">
      <alignment vertical="top" wrapText="1"/>
    </xf>
    <xf numFmtId="0" fontId="24" fillId="11" borderId="1" applyAlignment="1" pivotButton="0" quotePrefix="0" xfId="0">
      <alignment vertical="top" wrapText="1"/>
    </xf>
    <xf numFmtId="0" fontId="30" fillId="16" borderId="0" applyAlignment="1" pivotButton="0" quotePrefix="0" xfId="0">
      <alignment horizontal="center" vertical="top"/>
    </xf>
    <xf numFmtId="0" fontId="31" fillId="16" borderId="0" applyAlignment="1" pivotButton="0" quotePrefix="0" xfId="0">
      <alignment horizontal="center" vertical="top"/>
    </xf>
    <xf numFmtId="0" fontId="25" fillId="17" borderId="1" applyAlignment="1" pivotButton="0" quotePrefix="0" xfId="0">
      <alignment vertical="top" wrapText="1"/>
    </xf>
    <xf numFmtId="0" fontId="32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26" fillId="16" borderId="0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22" fillId="11" borderId="0" pivotButton="0" quotePrefix="0" xfId="0"/>
    <xf numFmtId="0" fontId="33" fillId="11" borderId="0" applyAlignment="1" pivotButton="0" quotePrefix="0" xfId="0">
      <alignment horizontal="center"/>
    </xf>
    <xf numFmtId="0" fontId="34" fillId="11" borderId="0" pivotButton="0" quotePrefix="0" xfId="0"/>
    <xf numFmtId="0" fontId="23" fillId="2" borderId="0" applyAlignment="1" pivotButton="0" quotePrefix="0" xfId="0">
      <alignment horizontal="center"/>
    </xf>
    <xf numFmtId="0" fontId="26" fillId="9" borderId="0" applyAlignment="1" pivotButton="0" quotePrefix="0" xfId="0">
      <alignment horizontal="center"/>
    </xf>
    <xf numFmtId="0" fontId="26" fillId="3" borderId="0" applyAlignment="1" pivotButton="0" quotePrefix="0" xfId="0">
      <alignment horizontal="center"/>
    </xf>
    <xf numFmtId="0" fontId="26" fillId="19" borderId="0" applyAlignment="1" pivotButton="0" quotePrefix="0" xfId="0">
      <alignment horizontal="center"/>
    </xf>
    <xf numFmtId="1" fontId="24" fillId="11" borderId="0" applyAlignment="1" pivotButton="0" quotePrefix="0" xfId="0">
      <alignment horizontal="center"/>
    </xf>
    <xf numFmtId="1" fontId="26" fillId="11" borderId="0" applyAlignment="1" pivotButton="0" quotePrefix="0" xfId="0">
      <alignment horizontal="center"/>
    </xf>
    <xf numFmtId="0" fontId="28" fillId="11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12" fillId="11" borderId="0" pivotButton="0" quotePrefix="0" xfId="0"/>
    <xf numFmtId="0" fontId="36" fillId="11" borderId="0" pivotButton="0" quotePrefix="0" xfId="0"/>
    <xf numFmtId="0" fontId="25" fillId="11" borderId="1" applyAlignment="1" pivotButton="0" quotePrefix="0" xfId="0">
      <alignment horizontal="center"/>
    </xf>
    <xf numFmtId="0" fontId="37" fillId="11" borderId="0" pivotButton="0" quotePrefix="0" xfId="0"/>
    <xf numFmtId="0" fontId="23" fillId="2" borderId="0" pivotButton="0" quotePrefix="0" xfId="0"/>
    <xf numFmtId="0" fontId="24" fillId="11" borderId="1" pivotButton="0" quotePrefix="0" xfId="0"/>
    <xf numFmtId="0" fontId="38" fillId="11" borderId="1" pivotButton="0" quotePrefix="0" xfId="0"/>
    <xf numFmtId="0" fontId="39" fillId="11" borderId="0" pivotButton="0" quotePrefix="0" xfId="0"/>
    <xf numFmtId="0" fontId="29" fillId="11" borderId="1" pivotButton="0" quotePrefix="0" xfId="0"/>
    <xf numFmtId="0" fontId="40" fillId="11" borderId="0" pivotButton="0" quotePrefix="0" xfId="0"/>
    <xf numFmtId="0" fontId="41" fillId="11" borderId="1" pivotButton="0" quotePrefix="0" xfId="0"/>
    <xf numFmtId="0" fontId="23" fillId="18" borderId="0" pivotButton="0" quotePrefix="0" xfId="0"/>
    <xf numFmtId="0" fontId="42" fillId="11" borderId="0" pivotButton="0" quotePrefix="0" xfId="0"/>
    <xf numFmtId="0" fontId="6" fillId="11" borderId="1" pivotButton="0" quotePrefix="0" xfId="0"/>
    <xf numFmtId="0" fontId="28" fillId="11" borderId="1" pivotButton="0" quotePrefix="0" xfId="0"/>
    <xf numFmtId="0" fontId="43" fillId="11" borderId="1" pivotButton="0" quotePrefix="0" xfId="0"/>
    <xf numFmtId="0" fontId="13" fillId="11" borderId="1" applyAlignment="1" pivotButton="0" quotePrefix="0" xfId="0">
      <alignment horizontal="center"/>
    </xf>
    <xf numFmtId="0" fontId="44" fillId="11" borderId="1" pivotButton="0" quotePrefix="0" xfId="0"/>
    <xf numFmtId="0" fontId="45" fillId="11" borderId="1" applyAlignment="1" pivotButton="0" quotePrefix="0" xfId="0">
      <alignment horizontal="center"/>
    </xf>
    <xf numFmtId="0" fontId="28" fillId="11" borderId="1" applyAlignment="1" pivotButton="0" quotePrefix="0" xfId="0">
      <alignment horizontal="center"/>
    </xf>
    <xf numFmtId="0" fontId="0" fillId="11" borderId="1" pivotButton="0" quotePrefix="0" xfId="0"/>
    <xf numFmtId="0" fontId="46" fillId="11" borderId="0" pivotButton="0" quotePrefix="0" xfId="0"/>
    <xf numFmtId="0" fontId="29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Confraternização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X2" authorId="0" shapeId="0">
      <text>
        <t>Carnaval — feriado.
Escala como seg: a lotação exigida NÃO cai.</t>
      </text>
    </comment>
    <comment ref="Y2" authorId="0" shapeId="0">
      <text>
        <t>Carnaval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K2" authorId="0" shapeId="0">
      <text>
        <t>Paixão — feriado.
Escala como sex: a lotação exigida NÃO cai.</t>
      </text>
    </comment>
    <comment ref="AC2" authorId="0" shapeId="0">
      <text>
        <t>Tiradentes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L2" authorId="0" shapeId="0">
      <text>
        <t>Corpus Christi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O2" authorId="0" shapeId="0">
      <text>
        <t>Independência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T2" authorId="0" shapeId="0">
      <text>
        <t>N. Sra. Aparecida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G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1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J2" authorId="0" shapeId="0">
      <text>
        <t>Finados — feriado.
Escala como seg: a lotação exigida NÃO cai.</t>
      </text>
    </comment>
    <comment ref="W2" authorId="0" shapeId="0">
      <text>
        <t>Proclamação da República — feriado.
Escala como dom: a lotação exigida NÃO cai.</t>
      </text>
    </comment>
    <comment ref="AB2" authorId="0" shapeId="0">
      <text>
        <t>Consciência Negra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G2" authorId="0" shapeId="0">
      <text>
        <t>Natal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8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IF(COUNTA(OUT!$I$8:$AM$73)&gt;0,SUM(OUT!$I$78:$AM$78)+SUM(OUT!$I$79:$AM$79)+SUM(OUT!$I$80:$AM$80),"")</f>
        <v/>
      </c>
      <c r="D10" s="14" t="n"/>
      <c r="E10" s="15">
        <f>IF(COUNTA(OUT!$I$8:$AM$73)&gt;0,SUMPRODUCT((OUT!$I$78:$AM$78+OUT!$I$79:$AM$79+OUT!$I$80:$AM$80=0)*(OUT!$I$78:$AM$78&lt;&gt;"")),"")&amp;"/"&amp;COUNT(OUT!$I$2:$AM$2)</f>
        <v/>
      </c>
      <c r="F10" s="14" t="n"/>
      <c r="G10" s="16">
        <f>SUM(OUT!$AZ$8:$AZ$73)</f>
        <v/>
      </c>
      <c r="H10" s="14" t="n"/>
      <c r="I10" s="17">
        <f>SUMPRODUCT(--(ABS(OUT!$AY$8:$AY$73)&gt;12))</f>
        <v/>
      </c>
      <c r="J10" s="14" t="n"/>
      <c r="K10" s="18">
        <f>IFERROR(SUM(CONVOCAÇÕES!$B$6:$B$60),0)</f>
        <v/>
      </c>
      <c r="L10" s="14" t="n"/>
      <c r="M10" s="19">
        <f>COUNTIF(OUT!$I$8:$AM$73,"N")*7+COUNTIF(OUT!$I$8:$AM$73,"NT")*3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dia, com filtro no cabeçalho pra ordenar (veja “Ordenar” abaixo). A semana fecha NO DOMINGO, então todo mês aparece com as semanas completas: as primeiras colunas trazem o fim do mês anterior (dia 1º cai terça, a segunda aparece) e as últimas trazem os dias do mês seguinte até o domingo que fecha a última semana. Esses dias vizinhos são fórmula da aba deles — pra editar, use a aba do mês dono do dia. No rodapé, a lotação de cada turno e quanto falta pro mínimo. À direita, por pessoa: carga do mês, fds, sexta-noite, feriado, meta, saldo, os alertas de jornada e as horas de cada semana civil (Sem 1 a Sem 6, sempre a semana inteira; vermelho acima de 44h).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Ordenar</t>
        </is>
      </c>
      <c r="B28" s="42" t="inlineStr">
        <is>
          <t>Cada aba mensal tem um FILTRO no cabeçalho (ícone de funil): clique no funil de “Médico” e ordene de A a Z, ou no de “Grupo” para ver coordenação → rotina → staff. A coluna “Nº” volta à ordem original. A planilha foi preparada para isso: toda fórmula acha cada pessoa PELO NOME, em qualquer ordem — ordenar pelo funil não quebra nada. Só não use “Classificar intervalo” numa seleção parcial, que aí as linhas se separam das colunas.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OUT · DIA A DIA</t>
        </is>
      </c>
      <c r="B29" s="42" t="inlineStr">
        <is>
          <t>O mês em formato calendário: por dia e por turno, quem está onde, e a cobertura. É fórmula da aba do mês — trocou um plantão no dropdown, o dia a dia se refaz. Bom pra bater o olho e perceber o que está esquisito.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PAINEL ANO</t>
        </is>
      </c>
      <c r="B30" s="42" t="inlineStr">
        <is>
          <t>O comparativo do ano: saldo, fds, sexta-noite e feriado de cada pessoa mês a mês, com acumulado. Onde existe a contagem manual antiga, ela aparece ao lado pra conferência.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SENIOR</t>
        </is>
      </c>
      <c r="B31" s="42" t="inlineStr">
        <is>
          <t>Escolha o mês em B1 e a matriz inteira sai traduzida nos códigos do RH, pronta pra lançar.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VALIDADOR</t>
        </is>
      </c>
      <c r="B32" s="42" t="inlineStr">
        <is>
          <t>O que fere regra dura, separado em ESTRUTURAL (é a forma do contrato, decisão de política) e PONTUAL (erro daquele mês).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ATENDIMENTO</t>
        </is>
      </c>
      <c r="B33" s="42" t="inlineStr">
        <is>
          <t>O mês vivo: o que foi atendido de cada pedido, e por quê.</t>
        </is>
      </c>
      <c r="C33" s="39" t="n"/>
      <c r="D33" s="39" t="n"/>
      <c r="E33" s="39" t="n"/>
      <c r="F33" s="39" t="n"/>
      <c r="G33" s="39" t="n"/>
      <c r="H33" s="39" t="n"/>
    </row>
    <row r="34">
      <c r="A34" s="58" t="inlineStr">
        <is>
          <t>CONVOCAÇÕES</t>
        </is>
      </c>
      <c r="B34" s="42" t="inlineStr">
        <is>
          <t>Quem foi convocado fora da preferência, com o critério público — e as decisões do feriado, incluindo o que não foi atendido.</t>
        </is>
      </c>
      <c r="C34" s="39" t="n"/>
      <c r="D34" s="39" t="n"/>
      <c r="E34" s="39" t="n"/>
      <c r="F34" s="39" t="n"/>
      <c r="G34" s="39" t="n"/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40" t="inlineStr">
        <is>
          <t>A ordem de montar · dica</t>
        </is>
      </c>
      <c r="B36" s="39" t="n"/>
      <c r="C36" s="39" t="n"/>
      <c r="D36" s="39" t="n"/>
      <c r="E36" s="39" t="n"/>
      <c r="F36" s="39" t="n"/>
      <c r="G36" s="39" t="n"/>
      <c r="H36" s="39" t="n"/>
    </row>
    <row r="37">
      <c r="A37" s="41" t="inlineStr"/>
      <c r="B37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1º · Fins de semana</t>
        </is>
      </c>
      <c r="B38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2º · Feriado</t>
        </is>
      </c>
      <c r="B39" s="42" t="inlineStr">
        <is>
          <t>Depois o feriado, que escala como o dia da semana em que cai e não reduz a lotação exigida.</t>
        </is>
      </c>
      <c r="C39" s="39" t="n"/>
      <c r="D39" s="39" t="n"/>
      <c r="E39" s="39" t="n"/>
      <c r="F39" s="39" t="n"/>
      <c r="G39" s="39" t="n"/>
      <c r="H39" s="39" t="n"/>
    </row>
    <row r="40">
      <c r="A40" s="58" t="inlineStr">
        <is>
          <t>3º · Resto da semana</t>
        </is>
      </c>
      <c r="B40" s="42" t="inlineStr">
        <is>
          <t>Por último os dias úteis, que têm o maior pool de gente elegível e por isso são os mais fáceis de fechar.</t>
        </is>
      </c>
      <c r="C40" s="39" t="n"/>
      <c r="D40" s="39" t="n"/>
      <c r="E40" s="39" t="n"/>
      <c r="F40" s="39" t="n"/>
      <c r="G40" s="39" t="n"/>
      <c r="H40" s="39" t="n"/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</row>
    <row r="42">
      <c r="A42" s="40" t="inlineStr">
        <is>
          <t>De onde vem cada mês — leia antes de comparar</t>
        </is>
      </c>
      <c r="B42" s="39" t="n"/>
      <c r="C42" s="39" t="n"/>
      <c r="D42" s="39" t="n"/>
      <c r="E42" s="39" t="n"/>
      <c r="F42" s="39" t="n"/>
      <c r="G42" s="39" t="n"/>
      <c r="H42" s="39" t="n"/>
    </row>
    <row r="43">
      <c r="A43" s="44" t="inlineStr">
        <is>
          <t>JAN</t>
        </is>
      </c>
      <c r="B43" s="59" t="inlineStr">
        <is>
          <t>Reconstruído da grade 'ESCALA FINAL JANEIRO 2026' — a grade começa no dia 2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FEV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MAR</t>
        </is>
      </c>
      <c r="B45" s="59" t="inlineStr">
        <is>
          <t>Códigos Senior (códigos antigos 110/82/83)</t>
        </is>
      </c>
      <c r="C45" s="39" t="n"/>
      <c r="D45" s="39" t="n"/>
      <c r="E45" s="39" t="n"/>
      <c r="F45" s="39" t="n"/>
      <c r="G45" s="39" t="n"/>
      <c r="H45" s="39" t="n"/>
    </row>
    <row r="46">
      <c r="A46" s="60" t="inlineStr">
        <is>
          <t>ABR</t>
        </is>
      </c>
      <c r="B46" s="59" t="inlineStr">
        <is>
          <t>Códigos Senior — mudança de abril: passa a 2/40/41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MAI</t>
        </is>
      </c>
      <c r="B47" s="59" t="inlineStr">
        <is>
          <t>Reconstruído da grade; dias 1–2 vêm do arquivo de abril; DIA 3 NÃO EXISTE em nenhum arquivo</t>
        </is>
      </c>
      <c r="C47" s="39" t="n"/>
      <c r="D47" s="39" t="n"/>
      <c r="E47" s="39" t="n"/>
      <c r="F47" s="39" t="n"/>
      <c r="G47" s="39" t="n"/>
      <c r="H47" s="39" t="n"/>
    </row>
    <row r="48">
      <c r="A48" s="44" t="inlineStr">
        <is>
          <t>JUN</t>
        </is>
      </c>
      <c r="B48" s="59" t="inlineStr">
        <is>
          <t>Reconstruído da grade 'Escala junho - UTI HCB'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JUL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AGO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0" t="inlineStr">
        <is>
          <t>SET</t>
        </is>
      </c>
      <c r="B51" s="59" t="inlineStr">
        <is>
          <t>Códigos Senior</t>
        </is>
      </c>
      <c r="C51" s="39" t="n"/>
      <c r="D51" s="39" t="n"/>
      <c r="E51" s="39" t="n"/>
      <c r="F51" s="39" t="n"/>
      <c r="G51" s="39" t="n"/>
      <c r="H51" s="39" t="n"/>
    </row>
    <row r="52">
      <c r="A52" s="61" t="inlineStr">
        <is>
          <t>OUT</t>
        </is>
      </c>
      <c r="B52" s="59" t="inlineStr">
        <is>
          <t>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NOV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51" t="inlineStr">
        <is>
          <t>DEZ</t>
        </is>
      </c>
      <c r="B54" s="59" t="inlineStr">
        <is>
          <t>A montar</t>
        </is>
      </c>
      <c r="C54" s="39" t="n"/>
      <c r="D54" s="39" t="n"/>
      <c r="E54" s="39" t="n"/>
      <c r="F54" s="39" t="n"/>
      <c r="G54" s="39" t="n"/>
      <c r="H54" s="39" t="n"/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</row>
    <row r="56">
      <c r="A56" s="41" t="inlineStr">
        <is>
          <t>atenção</t>
        </is>
      </c>
      <c r="B56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6" s="39" t="n"/>
      <c r="D56" s="39" t="n"/>
      <c r="E56" s="39" t="n"/>
      <c r="F56" s="39" t="n"/>
      <c r="G56" s="39" t="n"/>
      <c r="H56" s="39" t="n"/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</row>
    <row r="58">
      <c r="A58" s="40" t="inlineStr">
        <is>
          <t>O que ainda falta</t>
        </is>
      </c>
      <c r="B58" s="39" t="n"/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Maio dia 3 não existe em nenhum arquivo recebido — a coluna fica vazia.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Janeiro começa no dia 2: a grade recebida não tem o dia 1º.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Junho e janeiro não têm arquivo de códigos Senior; foram reconstruídos da grade.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Novembro e dezembro estão em branco, prontos pra montar.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Dois códigos órfãos no histórico: 23 (Isabella 23/08) e 3 (Laura 02/08) — não constam em nenhuma legenda; ficaram de fora.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A coluna 18h⚠ enxerga a virada de mês pelas colunas de véspera: a noite do fim do mês anterior emendando a manhã do dia 1º conta no mês NOVO (cada virada tem um dono só, nunca é contada duas vezes). A virada dez/26→jan/27 fica com a aba VALIDADOR, que olha o ano inteiro.</t>
        </is>
      </c>
      <c r="C64" s="39" t="n"/>
      <c r="D64" s="39" t="n"/>
      <c r="E64" s="39" t="n"/>
      <c r="F64" s="39" t="n"/>
      <c r="G64" s="39" t="n"/>
      <c r="H64" s="39" t="n"/>
    </row>
    <row r="65">
      <c r="A65" s="41" t="inlineStr">
        <is>
          <t>·</t>
        </is>
      </c>
      <c r="B65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</row>
  </sheetData>
  <mergeCells count="36">
    <mergeCell ref="B40:H40"/>
    <mergeCell ref="B49:H49"/>
    <mergeCell ref="B65:H65"/>
    <mergeCell ref="B30:H30"/>
    <mergeCell ref="B64:H64"/>
    <mergeCell ref="B33:H33"/>
    <mergeCell ref="B51:H51"/>
    <mergeCell ref="B37:H37"/>
    <mergeCell ref="B45:H45"/>
    <mergeCell ref="B63:H63"/>
    <mergeCell ref="B32:H32"/>
    <mergeCell ref="B50:H50"/>
    <mergeCell ref="B26:H26"/>
    <mergeCell ref="B4:H4"/>
    <mergeCell ref="B47:H47"/>
    <mergeCell ref="B54:H54"/>
    <mergeCell ref="B62:H62"/>
    <mergeCell ref="B25:H25"/>
    <mergeCell ref="B59:H59"/>
    <mergeCell ref="B31:H31"/>
    <mergeCell ref="B46:H46"/>
    <mergeCell ref="B22:H22"/>
    <mergeCell ref="B27:H27"/>
    <mergeCell ref="B56:H56"/>
    <mergeCell ref="B52:H52"/>
    <mergeCell ref="B43:H43"/>
    <mergeCell ref="B39:H39"/>
    <mergeCell ref="B48:H48"/>
    <mergeCell ref="B60:H60"/>
    <mergeCell ref="B61:H61"/>
    <mergeCell ref="B44:H44"/>
    <mergeCell ref="B53:H53"/>
    <mergeCell ref="B38:H38"/>
    <mergeCell ref="B29:H29"/>
    <mergeCell ref="B34:H34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é lançado depois pela coordenação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é lançado depois pela coordenação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7" t="inlineStr">
        <is>
          <t>29/12</t>
        </is>
      </c>
      <c r="G2" s="97" t="inlineStr">
        <is>
          <t>30/12</t>
        </is>
      </c>
      <c r="H2" s="97" t="inlineStr">
        <is>
          <t>31/12</t>
        </is>
      </c>
      <c r="I2" s="98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01/02</t>
        </is>
      </c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3" t="inlineStr">
        <is>
          <t>1ºjan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2" t="inlineStr">
        <is>
          <t>seg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7" t="n"/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9">
        <f>IFERROR(INDEX(FEV!I$8:I$73,MATCH($A8,FEV!$A$8:$A$73,0))&amp;"","")</f>
        <v/>
      </c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SUMPRODUCT(($F8:$L8="M")*6+($F8:$L8="T")*6+($F8:$L8="D")*12+($F8:$L8="N")*12+($F8:$L8="NT")*6+($F8:$L8="C")*10+($F8:$L8="A")*8+($F8:$L8="J")*5+($F8:$L8="E")*4+($F8:$L8="P")*6+($F8:$L8="R")*6)</f>
        <v/>
      </c>
      <c r="BF8" s="110">
        <f>SUMPRODUCT(($M8:$S8="M")*6+($M8:$S8="T")*6+($M8:$S8="D")*12+($M8:$S8="N")*12+($M8:$S8="NT")*6+($M8:$S8="C")*10+($M8:$S8="A")*8+($M8:$S8="J")*5+($M8:$S8="E")*4+($M8:$S8="P")*6+($M8:$S8="R")*6)</f>
        <v/>
      </c>
      <c r="BG8" s="110">
        <f>SUMPRODUCT(($T8:$Z8="M")*6+($T8:$Z8="T")*6+($T8:$Z8="D")*12+($T8:$Z8="N")*12+($T8:$Z8="NT")*6+($T8:$Z8="C")*10+($T8:$Z8="A")*8+($T8:$Z8="J")*5+($T8:$Z8="E")*4+($T8:$Z8="P")*6+($T8:$Z8="R")*6)</f>
        <v/>
      </c>
      <c r="BH8" s="110">
        <f>SUMPRODUCT(($AA8:$AG8="M")*6+($AA8:$AG8="T")*6+($AA8:$AG8="D")*12+($AA8:$AG8="N")*12+($AA8:$AG8="NT")*6+($AA8:$AG8="C")*10+($AA8:$AG8="A")*8+($AA8:$AG8="J")*5+($AA8:$AG8="E")*4+($AA8:$AG8="P")*6+($AA8:$AG8="R")*6)</f>
        <v/>
      </c>
      <c r="BI8" s="110">
        <f>SUMPRODUCT(($AH8:$AM8="M")*6+($AH8:$AM8="T")*6+($AH8:$AM8="D")*12+($AH8:$AM8="N")*12+($AH8:$AM8="NT")*6+($AH8:$AM8="C")*10+($AH8:$AM8="A")*8+($AH8:$AM8="J")*5+($AH8:$AM8="E")*4+($AH8:$AM8="P")*6+($AH8:$AM8="R")*6)+SUMPRODUCT(($AN8:$AN8="M")*6+($AN8:$AN8="T")*6+($AN8:$AN8="D")*12+($AN8:$AN8="N")*12+($AN8:$AN8="NT")*6+($AN8:$AN8="C")*10+($AN8:$AN8="A")*8+($AN8:$AN8="J")*5+($AN8:$AN8="E")*4+($AN8:$AN8="P")*6+($AN8:$AN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7" t="n"/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>
        <f>IFERROR(INDEX(FEV!I$8:I$73,MATCH($A9,FEV!$A$8:$A$73,0))&amp;"","")</f>
        <v/>
      </c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SUMPRODUCT(($F9:$L9="M")*6+($F9:$L9="T")*6+($F9:$L9="D")*12+($F9:$L9="N")*12+($F9:$L9="NT")*6+($F9:$L9="C")*10+($F9:$L9="A")*8+($F9:$L9="J")*5+($F9:$L9="E")*4+($F9:$L9="P")*6+($F9:$L9="R")*6)</f>
        <v/>
      </c>
      <c r="BF9" s="110">
        <f>SUMPRODUCT(($M9:$S9="M")*6+($M9:$S9="T")*6+($M9:$S9="D")*12+($M9:$S9="N")*12+($M9:$S9="NT")*6+($M9:$S9="C")*10+($M9:$S9="A")*8+($M9:$S9="J")*5+($M9:$S9="E")*4+($M9:$S9="P")*6+($M9:$S9="R")*6)</f>
        <v/>
      </c>
      <c r="BG9" s="110">
        <f>SUMPRODUCT(($T9:$Z9="M")*6+($T9:$Z9="T")*6+($T9:$Z9="D")*12+($T9:$Z9="N")*12+($T9:$Z9="NT")*6+($T9:$Z9="C")*10+($T9:$Z9="A")*8+($T9:$Z9="J")*5+($T9:$Z9="E")*4+($T9:$Z9="P")*6+($T9:$Z9="R")*6)</f>
        <v/>
      </c>
      <c r="BH9" s="110">
        <f>SUMPRODUCT(($AA9:$AG9="M")*6+($AA9:$AG9="T")*6+($AA9:$AG9="D")*12+($AA9:$AG9="N")*12+($AA9:$AG9="NT")*6+($AA9:$AG9="C")*10+($AA9:$AG9="A")*8+($AA9:$AG9="J")*5+($AA9:$AG9="E")*4+($AA9:$AG9="P")*6+($AA9:$AG9="R")*6)</f>
        <v/>
      </c>
      <c r="BI9" s="110">
        <f>SUMPRODUCT(($AH9:$AM9="M")*6+($AH9:$AM9="T")*6+($AH9:$AM9="D")*12+($AH9:$AM9="N")*12+($AH9:$AM9="NT")*6+($AH9:$AM9="C")*10+($AH9:$AM9="A")*8+($AH9:$AM9="J")*5+($AH9:$AM9="E")*4+($AH9:$AM9="P")*6+($AH9:$AM9="R")*6)+SUMPRODUCT(($AN9:$AN9="M")*6+($AN9:$AN9="T")*6+($AN9:$AN9="D")*12+($AN9:$AN9="N")*12+($AN9:$AN9="NT")*6+($AN9:$AN9="C")*10+($AN9:$AN9="A")*8+($AN9:$AN9="J")*5+($AN9:$AN9="E")*4+($AN9:$AN9="P")*6+($AN9:$AN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>
        <f>IFERROR(INDEX(FEV!I$8:I$73,MATCH($A10,FEV!$A$8:$A$73,0))&amp;"","")</f>
        <v/>
      </c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SUMPRODUCT(($F10:$L10="M")*6+($F10:$L10="T")*6+($F10:$L10="D")*12+($F10:$L10="N")*12+($F10:$L10="NT")*6+($F10:$L10="C")*10+($F10:$L10="A")*8+($F10:$L10="J")*5+($F10:$L10="E")*4+($F10:$L10="P")*6+($F10:$L10="R")*6)</f>
        <v/>
      </c>
      <c r="BF10" s="110">
        <f>SUMPRODUCT(($M10:$S10="M")*6+($M10:$S10="T")*6+($M10:$S10="D")*12+($M10:$S10="N")*12+($M10:$S10="NT")*6+($M10:$S10="C")*10+($M10:$S10="A")*8+($M10:$S10="J")*5+($M10:$S10="E")*4+($M10:$S10="P")*6+($M10:$S10="R")*6)</f>
        <v/>
      </c>
      <c r="BG10" s="110">
        <f>SUMPRODUCT(($T10:$Z10="M")*6+($T10:$Z10="T")*6+($T10:$Z10="D")*12+($T10:$Z10="N")*12+($T10:$Z10="NT")*6+($T10:$Z10="C")*10+($T10:$Z10="A")*8+($T10:$Z10="J")*5+($T10:$Z10="E")*4+($T10:$Z10="P")*6+($T10:$Z10="R")*6)</f>
        <v/>
      </c>
      <c r="BH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I10" s="110">
        <f>SUMPRODUCT(($AH10:$AM10="M")*6+($AH10:$AM10="T")*6+($AH10:$AM10="D")*12+($AH10:$AM10="N")*12+($AH10:$AM10="NT")*6+($AH10:$AM10="C")*10+($AH10:$AM10="A")*8+($AH10:$AM10="J")*5+($AH10:$AM10="E")*4+($AH10:$AM10="P")*6+($AH10:$AM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7" t="n"/>
      <c r="J11" s="115" t="inlineStr">
        <is>
          <t>D</t>
        </is>
      </c>
      <c r="K11" s="107" t="n"/>
      <c r="L11" s="108" t="inlineStr">
        <is>
          <t>M</t>
        </is>
      </c>
      <c r="M11" s="108" t="inlineStr">
        <is>
          <t>M</t>
        </is>
      </c>
      <c r="N11" s="115" t="inlineStr">
        <is>
          <t>D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7" t="n"/>
      <c r="S11" s="107" t="n"/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7" t="n"/>
      <c r="Z11" s="116" t="inlineStr">
        <is>
          <t>N</t>
        </is>
      </c>
      <c r="AA11" s="108" t="inlineStr">
        <is>
          <t>M</t>
        </is>
      </c>
      <c r="AB11" s="115" t="inlineStr">
        <is>
          <t>D</t>
        </is>
      </c>
      <c r="AC11" s="108" t="inlineStr">
        <is>
          <t>M</t>
        </is>
      </c>
      <c r="AD11" s="115" t="inlineStr">
        <is>
          <t>D</t>
        </is>
      </c>
      <c r="AE11" s="108" t="inlineStr">
        <is>
          <t>M</t>
        </is>
      </c>
      <c r="AF11" s="107" t="n"/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16" t="inlineStr">
        <is>
          <t>N</t>
        </is>
      </c>
      <c r="AN11" s="109">
        <f>IFERROR(INDEX(FEV!I$8:I$73,MATCH($A11,FEV!$A$8:$A$73,0))&amp;"","")</f>
        <v/>
      </c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SUMPRODUCT(($F11:$L11="M")*6+($F11:$L11="T")*6+($F11:$L11="D")*12+($F11:$L11="N")*12+($F11:$L11="NT")*6+($F11:$L11="C")*10+($F11:$L11="A")*8+($F11:$L11="J")*5+($F11:$L11="E")*4+($F11:$L11="P")*6+($F11:$L11="R")*6)</f>
        <v/>
      </c>
      <c r="BF11" s="110">
        <f>SUMPRODUCT(($M11:$S11="M")*6+($M11:$S11="T")*6+($M11:$S11="D")*12+($M11:$S11="N")*12+($M11:$S11="NT")*6+($M11:$S11="C")*10+($M11:$S11="A")*8+($M11:$S11="J")*5+($M11:$S11="E")*4+($M11:$S11="P")*6+($M11:$S11="R")*6)</f>
        <v/>
      </c>
      <c r="BG11" s="110">
        <f>SUMPRODUCT(($T11:$Z11="M")*6+($T11:$Z11="T")*6+($T11:$Z11="D")*12+($T11:$Z11="N")*12+($T11:$Z11="NT")*6+($T11:$Z11="C")*10+($T11:$Z11="A")*8+($T11:$Z11="J")*5+($T11:$Z11="E")*4+($T11:$Z11="P")*6+($T11:$Z11="R")*6)</f>
        <v/>
      </c>
      <c r="BH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I11" s="110">
        <f>SUMPRODUCT(($AH11:$AM11="M")*6+($AH11:$AM11="T")*6+($AH11:$AM11="D")*12+($AH11:$AM11="N")*12+($AH11:$AM11="NT")*6+($AH11:$AM11="C")*10+($AH11:$AM11="A")*8+($AH11:$AM11="J")*5+($AH11:$AM11="E")*4+($AH11:$AM11="P")*6+($AH11:$AM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15" t="inlineStr">
        <is>
          <t>D</t>
        </is>
      </c>
      <c r="X12" s="108" t="inlineStr">
        <is>
          <t>M</t>
        </is>
      </c>
      <c r="Y12" s="117" t="inlineStr">
        <is>
          <t>T</t>
        </is>
      </c>
      <c r="Z12" s="107" t="n"/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7" t="n"/>
      <c r="AG12" s="115" t="inlineStr">
        <is>
          <t>D</t>
        </is>
      </c>
      <c r="AH12" s="108" t="inlineStr">
        <is>
          <t>M</t>
        </is>
      </c>
      <c r="AI12" s="115" t="inlineStr">
        <is>
          <t>D</t>
        </is>
      </c>
      <c r="AJ12" s="108" t="inlineStr">
        <is>
          <t>M</t>
        </is>
      </c>
      <c r="AK12" s="115" t="inlineStr">
        <is>
          <t>D</t>
        </is>
      </c>
      <c r="AL12" s="108" t="inlineStr">
        <is>
          <t>M</t>
        </is>
      </c>
      <c r="AM12" s="107" t="n"/>
      <c r="AN12" s="109">
        <f>IFERROR(INDEX(FEV!I$8:I$73,MATCH($A12,FEV!$A$8:$A$73,0))&amp;"","")</f>
        <v/>
      </c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SUMPRODUCT(($F12:$L12="M")*6+($F12:$L12="T")*6+($F12:$L12="D")*12+($F12:$L12="N")*12+($F12:$L12="NT")*6+($F12:$L12="C")*10+($F12:$L12="A")*8+($F12:$L12="J")*5+($F12:$L12="E")*4+($F12:$L12="P")*6+($F12:$L12="R")*6)</f>
        <v/>
      </c>
      <c r="BF12" s="110">
        <f>SUMPRODUCT(($M12:$S12="M")*6+($M12:$S12="T")*6+($M12:$S12="D")*12+($M12:$S12="N")*12+($M12:$S12="NT")*6+($M12:$S12="C")*10+($M12:$S12="A")*8+($M12:$S12="J")*5+($M12:$S12="E")*4+($M12:$S12="P")*6+($M12:$S12="R")*6)</f>
        <v/>
      </c>
      <c r="BG12" s="110">
        <f>SUMPRODUCT(($T12:$Z12="M")*6+($T12:$Z12="T")*6+($T12:$Z12="D")*12+($T12:$Z12="N")*12+($T12:$Z12="NT")*6+($T12:$Z12="C")*10+($T12:$Z12="A")*8+($T12:$Z12="J")*5+($T12:$Z12="E")*4+($T12:$Z12="P")*6+($T12:$Z12="R")*6)</f>
        <v/>
      </c>
      <c r="BH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I12" s="110">
        <f>SUMPRODUCT(($AH12:$AM12="M")*6+($AH12:$AM12="T")*6+($AH12:$AM12="D")*12+($AH12:$AM12="N")*12+($AH12:$AM12="NT")*6+($AH12:$AM12="C")*10+($AH12:$AM12="A")*8+($AH12:$AM12="J")*5+($AH12:$AM12="E")*4+($AH12:$AM12="P")*6+($AH12:$AM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7" t="n"/>
      <c r="J13" s="107" t="n"/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16" t="inlineStr">
        <is>
          <t>N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7" t="n"/>
      <c r="Z13" s="107" t="n"/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16" t="inlineStr">
        <is>
          <t>N</t>
        </is>
      </c>
      <c r="AG13" s="107" t="n"/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07" t="n"/>
      <c r="AN13" s="109">
        <f>IFERROR(INDEX(FEV!I$8:I$73,MATCH($A13,FEV!$A$8:$A$73,0))&amp;"","")</f>
        <v/>
      </c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SUMPRODUCT(($F13:$L13="M")*6+($F13:$L13="T")*6+($F13:$L13="D")*12+($F13:$L13="N")*12+($F13:$L13="NT")*6+($F13:$L13="C")*10+($F13:$L13="A")*8+($F13:$L13="J")*5+($F13:$L13="E")*4+($F13:$L13="P")*6+($F13:$L13="R")*6)</f>
        <v/>
      </c>
      <c r="BF13" s="110">
        <f>SUMPRODUCT(($M13:$S13="M")*6+($M13:$S13="T")*6+($M13:$S13="D")*12+($M13:$S13="N")*12+($M13:$S13="NT")*6+($M13:$S13="C")*10+($M13:$S13="A")*8+($M13:$S13="J")*5+($M13:$S13="E")*4+($M13:$S13="P")*6+($M13:$S13="R")*6)</f>
        <v/>
      </c>
      <c r="BG13" s="110">
        <f>SUMPRODUCT(($T13:$Z13="M")*6+($T13:$Z13="T")*6+($T13:$Z13="D")*12+($T13:$Z13="N")*12+($T13:$Z13="NT")*6+($T13:$Z13="C")*10+($T13:$Z13="A")*8+($T13:$Z13="J")*5+($T13:$Z13="E")*4+($T13:$Z13="P")*6+($T13:$Z13="R")*6)</f>
        <v/>
      </c>
      <c r="BH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I13" s="110">
        <f>SUMPRODUCT(($AH13:$AM13="M")*6+($AH13:$AM13="T")*6+($AH13:$AM13="D")*12+($AH13:$AM13="N")*12+($AH13:$AM13="NT")*6+($AH13:$AM13="C")*10+($AH13:$AM13="A")*8+($AH13:$AM13="J")*5+($AH13:$AM13="E")*4+($AH13:$AM13="P")*6+($AH13:$AM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7" t="n"/>
      <c r="J14" s="115" t="inlineStr">
        <is>
          <t>D</t>
        </is>
      </c>
      <c r="K14" s="107" t="n"/>
      <c r="L14" s="107" t="n"/>
      <c r="M14" s="117" t="inlineStr">
        <is>
          <t>T</t>
        </is>
      </c>
      <c r="N14" s="107" t="n"/>
      <c r="O14" s="117" t="inlineStr">
        <is>
          <t>T</t>
        </is>
      </c>
      <c r="P14" s="115" t="inlineStr">
        <is>
          <t>D</t>
        </is>
      </c>
      <c r="Q14" s="107" t="n"/>
      <c r="R14" s="116" t="inlineStr">
        <is>
          <t>N</t>
        </is>
      </c>
      <c r="S14" s="107" t="n"/>
      <c r="T14" s="117" t="inlineStr">
        <is>
          <t>T</t>
        </is>
      </c>
      <c r="U14" s="107" t="n"/>
      <c r="V14" s="117" t="inlineStr">
        <is>
          <t>T</t>
        </is>
      </c>
      <c r="W14" s="116" t="inlineStr">
        <is>
          <t>N</t>
        </is>
      </c>
      <c r="X14" s="117" t="inlineStr">
        <is>
          <t>T</t>
        </is>
      </c>
      <c r="Y14" s="107" t="n"/>
      <c r="Z14" s="107" t="n"/>
      <c r="AA14" s="117" t="inlineStr">
        <is>
          <t>T</t>
        </is>
      </c>
      <c r="AB14" s="107" t="n"/>
      <c r="AC14" s="107" t="n"/>
      <c r="AD14" s="115" t="inlineStr">
        <is>
          <t>D</t>
        </is>
      </c>
      <c r="AE14" s="117" t="inlineStr">
        <is>
          <t>T</t>
        </is>
      </c>
      <c r="AF14" s="116" t="inlineStr">
        <is>
          <t>N</t>
        </is>
      </c>
      <c r="AG14" s="117" t="inlineStr">
        <is>
          <t>T</t>
        </is>
      </c>
      <c r="AH14" s="107" t="n"/>
      <c r="AI14" s="107" t="n"/>
      <c r="AJ14" s="107" t="n"/>
      <c r="AK14" s="115" t="inlineStr">
        <is>
          <t>D</t>
        </is>
      </c>
      <c r="AL14" s="116" t="inlineStr">
        <is>
          <t>N</t>
        </is>
      </c>
      <c r="AM14" s="117" t="inlineStr">
        <is>
          <t>T</t>
        </is>
      </c>
      <c r="AN14" s="109">
        <f>IFERROR(INDEX(FEV!I$8:I$73,MATCH($A14,FEV!$A$8:$A$73,0))&amp;"","")</f>
        <v/>
      </c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SUMPRODUCT(($F14:$L14="M")*6+($F14:$L14="T")*6+($F14:$L14="D")*12+($F14:$L14="N")*12+($F14:$L14="NT")*6+($F14:$L14="C")*10+($F14:$L14="A")*8+($F14:$L14="J")*5+($F14:$L14="E")*4+($F14:$L14="P")*6+($F14:$L14="R")*6)</f>
        <v/>
      </c>
      <c r="BF14" s="110">
        <f>SUMPRODUCT(($M14:$S14="M")*6+($M14:$S14="T")*6+($M14:$S14="D")*12+($M14:$S14="N")*12+($M14:$S14="NT")*6+($M14:$S14="C")*10+($M14:$S14="A")*8+($M14:$S14="J")*5+($M14:$S14="E")*4+($M14:$S14="P")*6+($M14:$S14="R")*6)</f>
        <v/>
      </c>
      <c r="BG14" s="110">
        <f>SUMPRODUCT(($T14:$Z14="M")*6+($T14:$Z14="T")*6+($T14:$Z14="D")*12+($T14:$Z14="N")*12+($T14:$Z14="NT")*6+($T14:$Z14="C")*10+($T14:$Z14="A")*8+($T14:$Z14="J")*5+($T14:$Z14="E")*4+($T14:$Z14="P")*6+($T14:$Z14="R")*6)</f>
        <v/>
      </c>
      <c r="BH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I14" s="110">
        <f>SUMPRODUCT(($AH14:$AM14="M")*6+($AH14:$AM14="T")*6+($AH14:$AM14="D")*12+($AH14:$AM14="N")*12+($AH14:$AM14="NT")*6+($AH14:$AM14="C")*10+($AH14:$AM14="A")*8+($AH14:$AM14="J")*5+($AH14:$AM14="E")*4+($AH14:$AM14="P")*6+($AH14:$AM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7" t="n"/>
      <c r="J15" s="108" t="inlineStr">
        <is>
          <t>M</t>
        </is>
      </c>
      <c r="K15" s="107" t="n"/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16" t="inlineStr">
        <is>
          <t>N</t>
        </is>
      </c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8" t="inlineStr">
        <is>
          <t>NT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16" t="inlineStr">
        <is>
          <t>N</t>
        </is>
      </c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5" t="inlineStr">
        <is>
          <t>D</t>
        </is>
      </c>
      <c r="AL15" s="108" t="inlineStr">
        <is>
          <t>M</t>
        </is>
      </c>
      <c r="AM15" s="107" t="n"/>
      <c r="AN15" s="109">
        <f>IFERROR(INDEX(FEV!I$8:I$73,MATCH($A15,FEV!$A$8:$A$73,0))&amp;"","")</f>
        <v/>
      </c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SUMPRODUCT(($F15:$L15="M")*6+($F15:$L15="T")*6+($F15:$L15="D")*12+($F15:$L15="N")*12+($F15:$L15="NT")*6+($F15:$L15="C")*10+($F15:$L15="A")*8+($F15:$L15="J")*5+($F15:$L15="E")*4+($F15:$L15="P")*6+($F15:$L15="R")*6)</f>
        <v/>
      </c>
      <c r="BF15" s="110">
        <f>SUMPRODUCT(($M15:$S15="M")*6+($M15:$S15="T")*6+($M15:$S15="D")*12+($M15:$S15="N")*12+($M15:$S15="NT")*6+($M15:$S15="C")*10+($M15:$S15="A")*8+($M15:$S15="J")*5+($M15:$S15="E")*4+($M15:$S15="P")*6+($M15:$S15="R")*6)</f>
        <v/>
      </c>
      <c r="BG15" s="110">
        <f>SUMPRODUCT(($T15:$Z15="M")*6+($T15:$Z15="T")*6+($T15:$Z15="D")*12+($T15:$Z15="N")*12+($T15:$Z15="NT")*6+($T15:$Z15="C")*10+($T15:$Z15="A")*8+($T15:$Z15="J")*5+($T15:$Z15="E")*4+($T15:$Z15="P")*6+($T15:$Z15="R")*6)</f>
        <v/>
      </c>
      <c r="BH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I15" s="110">
        <f>SUMPRODUCT(($AH15:$AM15="M")*6+($AH15:$AM15="T")*6+($AH15:$AM15="D")*12+($AH15:$AM15="N")*12+($AH15:$AM15="NT")*6+($AH15:$AM15="C")*10+($AH15:$AM15="A")*8+($AH15:$AM15="J")*5+($AH15:$AM15="E")*4+($AH15:$AM15="P")*6+($AH15:$AM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>
        <f>IFERROR(INDEX(FEV!I$8:I$73,MATCH($A16,FEV!$A$8:$A$73,0))&amp;"","")</f>
        <v/>
      </c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SUMPRODUCT(($F16:$L16="M")*6+($F16:$L16="T")*6+($F16:$L16="D")*12+($F16:$L16="N")*12+($F16:$L16="NT")*6+($F16:$L16="C")*10+($F16:$L16="A")*8+($F16:$L16="J")*5+($F16:$L16="E")*4+($F16:$L16="P")*6+($F16:$L16="R")*6)</f>
        <v/>
      </c>
      <c r="BF16" s="110">
        <f>SUMPRODUCT(($M16:$S16="M")*6+($M16:$S16="T")*6+($M16:$S16="D")*12+($M16:$S16="N")*12+($M16:$S16="NT")*6+($M16:$S16="C")*10+($M16:$S16="A")*8+($M16:$S16="J")*5+($M16:$S16="E")*4+($M16:$S16="P")*6+($M16:$S16="R")*6)</f>
        <v/>
      </c>
      <c r="BG16" s="110">
        <f>SUMPRODUCT(($T16:$Z16="M")*6+($T16:$Z16="T")*6+($T16:$Z16="D")*12+($T16:$Z16="N")*12+($T16:$Z16="NT")*6+($T16:$Z16="C")*10+($T16:$Z16="A")*8+($T16:$Z16="J")*5+($T16:$Z16="E")*4+($T16:$Z16="P")*6+($T16:$Z16="R")*6)</f>
        <v/>
      </c>
      <c r="BH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I16" s="110">
        <f>SUMPRODUCT(($AH16:$AM16="M")*6+($AH16:$AM16="T")*6+($AH16:$AM16="D")*12+($AH16:$AM16="N")*12+($AH16:$AM16="NT")*6+($AH16:$AM16="C")*10+($AH16:$AM16="A")*8+($AH16:$AM16="J")*5+($AH16:$AM16="E")*4+($AH16:$AM16="P")*6+($AH16:$AM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07" t="n"/>
      <c r="J17" s="117" t="inlineStr">
        <is>
          <t>T</t>
        </is>
      </c>
      <c r="K17" s="117" t="inlineStr">
        <is>
          <t>T</t>
        </is>
      </c>
      <c r="L17" s="107" t="n"/>
      <c r="M17" s="117" t="inlineStr">
        <is>
          <t>T</t>
        </is>
      </c>
      <c r="N17" s="115" t="inlineStr">
        <is>
          <t>D</t>
        </is>
      </c>
      <c r="O17" s="117" t="inlineStr">
        <is>
          <t>T</t>
        </is>
      </c>
      <c r="P17" s="117" t="inlineStr">
        <is>
          <t>T</t>
        </is>
      </c>
      <c r="Q17" s="116" t="inlineStr">
        <is>
          <t>N</t>
        </is>
      </c>
      <c r="R17" s="107" t="n"/>
      <c r="S17" s="107" t="n"/>
      <c r="T17" s="116" t="inlineStr">
        <is>
          <t>N</t>
        </is>
      </c>
      <c r="U17" s="115" t="inlineStr">
        <is>
          <t>D</t>
        </is>
      </c>
      <c r="V17" s="117" t="inlineStr">
        <is>
          <t>T</t>
        </is>
      </c>
      <c r="W17" s="116" t="inlineStr">
        <is>
          <t>N</t>
        </is>
      </c>
      <c r="X17" s="107" t="n"/>
      <c r="Y17" s="107" t="n"/>
      <c r="Z17" s="107" t="n"/>
      <c r="AA17" s="117" t="inlineStr">
        <is>
          <t>T</t>
        </is>
      </c>
      <c r="AB17" s="116" t="inlineStr">
        <is>
          <t>N</t>
        </is>
      </c>
      <c r="AC17" s="108" t="inlineStr">
        <is>
          <t>M</t>
        </is>
      </c>
      <c r="AD17" s="107" t="n"/>
      <c r="AE17" s="107" t="n"/>
      <c r="AF17" s="108" t="inlineStr">
        <is>
          <t>M</t>
        </is>
      </c>
      <c r="AG17" s="116" t="inlineStr">
        <is>
          <t>N</t>
        </is>
      </c>
      <c r="AH17" s="115" t="inlineStr">
        <is>
          <t>D</t>
        </is>
      </c>
      <c r="AI17" s="116" t="inlineStr">
        <is>
          <t>N</t>
        </is>
      </c>
      <c r="AJ17" s="117" t="inlineStr">
        <is>
          <t>T</t>
        </is>
      </c>
      <c r="AK17" s="116" t="inlineStr">
        <is>
          <t>N</t>
        </is>
      </c>
      <c r="AL17" s="107" t="n"/>
      <c r="AM17" s="107" t="n"/>
      <c r="AN17" s="109">
        <f>IFERROR(INDEX(FEV!I$8:I$73,MATCH($A17,FEV!$A$8:$A$73,0))&amp;"","")</f>
        <v/>
      </c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SUMPRODUCT(($F17:$L17="M")*6+($F17:$L17="T")*6+($F17:$L17="D")*12+($F17:$L17="N")*12+($F17:$L17="NT")*6+($F17:$L17="C")*10+($F17:$L17="A")*8+($F17:$L17="J")*5+($F17:$L17="E")*4+($F17:$L17="P")*6+($F17:$L17="R")*6)</f>
        <v/>
      </c>
      <c r="BF17" s="110">
        <f>SUMPRODUCT(($M17:$S17="M")*6+($M17:$S17="T")*6+($M17:$S17="D")*12+($M17:$S17="N")*12+($M17:$S17="NT")*6+($M17:$S17="C")*10+($M17:$S17="A")*8+($M17:$S17="J")*5+($M17:$S17="E")*4+($M17:$S17="P")*6+($M17:$S17="R")*6)</f>
        <v/>
      </c>
      <c r="BG17" s="110">
        <f>SUMPRODUCT(($T17:$Z17="M")*6+($T17:$Z17="T")*6+($T17:$Z17="D")*12+($T17:$Z17="N")*12+($T17:$Z17="NT")*6+($T17:$Z17="C")*10+($T17:$Z17="A")*8+($T17:$Z17="J")*5+($T17:$Z17="E")*4+($T17:$Z17="P")*6+($T17:$Z17="R")*6)</f>
        <v/>
      </c>
      <c r="BH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I17" s="110">
        <f>SUMPRODUCT(($AH17:$AM17="M")*6+($AH17:$AM17="T")*6+($AH17:$AM17="D")*12+($AH17:$AM17="N")*12+($AH17:$AM17="NT")*6+($AH17:$AM17="C")*10+($AH17:$AM17="A")*8+($AH17:$AM17="J")*5+($AH17:$AM17="E")*4+($AH17:$AM17="P")*6+($AH17:$AM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16" t="inlineStr">
        <is>
          <t>N</t>
        </is>
      </c>
      <c r="K18" s="107" t="n"/>
      <c r="L18" s="115" t="inlineStr">
        <is>
          <t>D</t>
        </is>
      </c>
      <c r="M18" s="115" t="inlineStr">
        <is>
          <t>D</t>
        </is>
      </c>
      <c r="N18" s="107" t="n"/>
      <c r="O18" s="115" t="inlineStr">
        <is>
          <t>D</t>
        </is>
      </c>
      <c r="P18" s="107" t="n"/>
      <c r="Q18" s="116" t="inlineStr">
        <is>
          <t>N</t>
        </is>
      </c>
      <c r="R18" s="107" t="n"/>
      <c r="S18" s="107" t="n"/>
      <c r="T18" s="115" t="inlineStr">
        <is>
          <t>D</t>
        </is>
      </c>
      <c r="U18" s="107" t="n"/>
      <c r="V18" s="115" t="inlineStr">
        <is>
          <t>D</t>
        </is>
      </c>
      <c r="W18" s="107" t="n"/>
      <c r="X18" s="107" t="n"/>
      <c r="Y18" s="115" t="inlineStr">
        <is>
          <t>D</t>
        </is>
      </c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9">
        <f>IFERROR(INDEX(FEV!I$8:I$73,MATCH($A18,FEV!$A$8:$A$73,0))&amp;"","")</f>
        <v/>
      </c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SUMPRODUCT(($F18:$L18="M")*6+($F18:$L18="T")*6+($F18:$L18="D")*12+($F18:$L18="N")*12+($F18:$L18="NT")*6+($F18:$L18="C")*10+($F18:$L18="A")*8+($F18:$L18="J")*5+($F18:$L18="E")*4+($F18:$L18="P")*6+($F18:$L18="R")*6)</f>
        <v/>
      </c>
      <c r="BF18" s="110">
        <f>SUMPRODUCT(($M18:$S18="M")*6+($M18:$S18="T")*6+($M18:$S18="D")*12+($M18:$S18="N")*12+($M18:$S18="NT")*6+($M18:$S18="C")*10+($M18:$S18="A")*8+($M18:$S18="J")*5+($M18:$S18="E")*4+($M18:$S18="P")*6+($M18:$S18="R")*6)</f>
        <v/>
      </c>
      <c r="BG18" s="110">
        <f>SUMPRODUCT(($T18:$Z18="M")*6+($T18:$Z18="T")*6+($T18:$Z18="D")*12+($T18:$Z18="N")*12+($T18:$Z18="NT")*6+($T18:$Z18="C")*10+($T18:$Z18="A")*8+($T18:$Z18="J")*5+($T18:$Z18="E")*4+($T18:$Z18="P")*6+($T18:$Z18="R")*6)</f>
        <v/>
      </c>
      <c r="BH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I18" s="110">
        <f>SUMPRODUCT(($AH18:$AM18="M")*6+($AH18:$AM18="T")*6+($AH18:$AM18="D")*12+($AH18:$AM18="N")*12+($AH18:$AM18="NT")*6+($AH18:$AM18="C")*10+($AH18:$AM18="A")*8+($AH18:$AM18="J")*5+($AH18:$AM18="E")*4+($AH18:$AM18="P")*6+($AH18:$AM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17" t="inlineStr">
        <is>
          <t>T</t>
        </is>
      </c>
      <c r="N19" s="107" t="n"/>
      <c r="O19" s="118" t="inlineStr">
        <is>
          <t>NT</t>
        </is>
      </c>
      <c r="P19" s="116" t="inlineStr">
        <is>
          <t>N</t>
        </is>
      </c>
      <c r="Q19" s="107" t="n"/>
      <c r="R19" s="107" t="n"/>
      <c r="S19" s="116" t="inlineStr">
        <is>
          <t>N</t>
        </is>
      </c>
      <c r="T19" s="116" t="inlineStr">
        <is>
          <t>N</t>
        </is>
      </c>
      <c r="U19" s="107" t="n"/>
      <c r="V19" s="116" t="inlineStr">
        <is>
          <t>N</t>
        </is>
      </c>
      <c r="W19" s="107" t="n"/>
      <c r="X19" s="107" t="n"/>
      <c r="Y19" s="116" t="inlineStr">
        <is>
          <t>N</t>
        </is>
      </c>
      <c r="Z19" s="107" t="n"/>
      <c r="AA19" s="107" t="n"/>
      <c r="AB19" s="107" t="n"/>
      <c r="AC19" s="116" t="inlineStr">
        <is>
          <t>N</t>
        </is>
      </c>
      <c r="AD19" s="107" t="n"/>
      <c r="AE19" s="116" t="inlineStr">
        <is>
          <t>N</t>
        </is>
      </c>
      <c r="AF19" s="107" t="n"/>
      <c r="AG19" s="116" t="inlineStr">
        <is>
          <t>N</t>
        </is>
      </c>
      <c r="AH19" s="107" t="n"/>
      <c r="AI19" s="107" t="n"/>
      <c r="AJ19" s="116" t="inlineStr">
        <is>
          <t>N</t>
        </is>
      </c>
      <c r="AK19" s="116" t="inlineStr">
        <is>
          <t>N</t>
        </is>
      </c>
      <c r="AL19" s="107" t="n"/>
      <c r="AM19" s="107" t="n"/>
      <c r="AN19" s="109">
        <f>IFERROR(INDEX(FEV!I$8:I$73,MATCH($A19,FEV!$A$8:$A$73,0))&amp;"","")</f>
        <v/>
      </c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SUMPRODUCT(($F19:$L19="M")*6+($F19:$L19="T")*6+($F19:$L19="D")*12+($F19:$L19="N")*12+($F19:$L19="NT")*6+($F19:$L19="C")*10+($F19:$L19="A")*8+($F19:$L19="J")*5+($F19:$L19="E")*4+($F19:$L19="P")*6+($F19:$L19="R")*6)</f>
        <v/>
      </c>
      <c r="BF19" s="110">
        <f>SUMPRODUCT(($M19:$S19="M")*6+($M19:$S19="T")*6+($M19:$S19="D")*12+($M19:$S19="N")*12+($M19:$S19="NT")*6+($M19:$S19="C")*10+($M19:$S19="A")*8+($M19:$S19="J")*5+($M19:$S19="E")*4+($M19:$S19="P")*6+($M19:$S19="R")*6)</f>
        <v/>
      </c>
      <c r="BG19" s="110">
        <f>SUMPRODUCT(($T19:$Z19="M")*6+($T19:$Z19="T")*6+($T19:$Z19="D")*12+($T19:$Z19="N")*12+($T19:$Z19="NT")*6+($T19:$Z19="C")*10+($T19:$Z19="A")*8+($T19:$Z19="J")*5+($T19:$Z19="E")*4+($T19:$Z19="P")*6+($T19:$Z19="R")*6)</f>
        <v/>
      </c>
      <c r="BH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I19" s="110">
        <f>SUMPRODUCT(($AH19:$AM19="M")*6+($AH19:$AM19="T")*6+($AH19:$AM19="D")*12+($AH19:$AM19="N")*12+($AH19:$AM19="NT")*6+($AH19:$AM19="C")*10+($AH19:$AM19="A")*8+($AH19:$AM19="J")*5+($AH19:$AM19="E")*4+($AH19:$AM19="P")*6+($AH19:$AM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6" t="inlineStr">
        <is>
          <t>N</t>
        </is>
      </c>
      <c r="K20" s="107" t="n"/>
      <c r="L20" s="107" t="n"/>
      <c r="M20" s="107" t="n"/>
      <c r="N20" s="107" t="n"/>
      <c r="O20" s="116" t="inlineStr">
        <is>
          <t>N</t>
        </is>
      </c>
      <c r="P20" s="116" t="inlineStr">
        <is>
          <t>N</t>
        </is>
      </c>
      <c r="Q20" s="107" t="n"/>
      <c r="R20" s="116" t="inlineStr">
        <is>
          <t>N</t>
        </is>
      </c>
      <c r="S20" s="107" t="n"/>
      <c r="T20" s="107" t="n"/>
      <c r="U20" s="107" t="n"/>
      <c r="V20" s="116" t="inlineStr">
        <is>
          <t>N</t>
        </is>
      </c>
      <c r="W20" s="116" t="inlineStr">
        <is>
          <t>N</t>
        </is>
      </c>
      <c r="X20" s="107" t="n"/>
      <c r="Y20" s="107" t="n"/>
      <c r="Z20" s="116" t="inlineStr">
        <is>
          <t>N</t>
        </is>
      </c>
      <c r="AA20" s="107" t="n"/>
      <c r="AB20" s="107" t="n"/>
      <c r="AC20" s="116" t="inlineStr">
        <is>
          <t>N</t>
        </is>
      </c>
      <c r="AD20" s="116" t="inlineStr">
        <is>
          <t>N</t>
        </is>
      </c>
      <c r="AE20" s="116" t="inlineStr">
        <is>
          <t>N</t>
        </is>
      </c>
      <c r="AF20" s="107" t="n"/>
      <c r="AG20" s="107" t="n"/>
      <c r="AH20" s="107" t="n"/>
      <c r="AI20" s="107" t="n"/>
      <c r="AJ20" s="116" t="inlineStr">
        <is>
          <t>N</t>
        </is>
      </c>
      <c r="AK20" s="107" t="n"/>
      <c r="AL20" s="107" t="n"/>
      <c r="AM20" s="116" t="inlineStr">
        <is>
          <t>N</t>
        </is>
      </c>
      <c r="AN20" s="109">
        <f>IFERROR(INDEX(FEV!I$8:I$73,MATCH($A20,FEV!$A$8:$A$73,0))&amp;"","")</f>
        <v/>
      </c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SUMPRODUCT(($F20:$L20="M")*6+($F20:$L20="T")*6+($F20:$L20="D")*12+($F20:$L20="N")*12+($F20:$L20="NT")*6+($F20:$L20="C")*10+($F20:$L20="A")*8+($F20:$L20="J")*5+($F20:$L20="E")*4+($F20:$L20="P")*6+($F20:$L20="R")*6)</f>
        <v/>
      </c>
      <c r="BF20" s="110">
        <f>SUMPRODUCT(($M20:$S20="M")*6+($M20:$S20="T")*6+($M20:$S20="D")*12+($M20:$S20="N")*12+($M20:$S20="NT")*6+($M20:$S20="C")*10+($M20:$S20="A")*8+($M20:$S20="J")*5+($M20:$S20="E")*4+($M20:$S20="P")*6+($M20:$S20="R")*6)</f>
        <v/>
      </c>
      <c r="BG20" s="110">
        <f>SUMPRODUCT(($T20:$Z20="M")*6+($T20:$Z20="T")*6+($T20:$Z20="D")*12+($T20:$Z20="N")*12+($T20:$Z20="NT")*6+($T20:$Z20="C")*10+($T20:$Z20="A")*8+($T20:$Z20="J")*5+($T20:$Z20="E")*4+($T20:$Z20="P")*6+($T20:$Z20="R")*6)</f>
        <v/>
      </c>
      <c r="BH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I20" s="110">
        <f>SUMPRODUCT(($AH20:$AM20="M")*6+($AH20:$AM20="T")*6+($AH20:$AM20="D")*12+($AH20:$AM20="N")*12+($AH20:$AM20="NT")*6+($AH20:$AM20="C")*10+($AH20:$AM20="A")*8+($AH20:$AM20="J")*5+($AH20:$AM20="E")*4+($AH20:$AM20="P")*6+($AH20:$AM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07" t="n"/>
      <c r="J21" s="117" t="inlineStr">
        <is>
          <t>T</t>
        </is>
      </c>
      <c r="K21" s="115" t="inlineStr">
        <is>
          <t>D</t>
        </is>
      </c>
      <c r="L21" s="108" t="inlineStr">
        <is>
          <t>M</t>
        </is>
      </c>
      <c r="M21" s="117" t="inlineStr">
        <is>
          <t>T</t>
        </is>
      </c>
      <c r="N21" s="107" t="n"/>
      <c r="O21" s="108" t="inlineStr">
        <is>
          <t>M</t>
        </is>
      </c>
      <c r="P21" s="108" t="inlineStr">
        <is>
          <t>M</t>
        </is>
      </c>
      <c r="Q21" s="107" t="n"/>
      <c r="R21" s="108" t="inlineStr">
        <is>
          <t>M</t>
        </is>
      </c>
      <c r="S21" s="116" t="inlineStr">
        <is>
          <t>N</t>
        </is>
      </c>
      <c r="T21" s="117" t="inlineStr">
        <is>
          <t>T</t>
        </is>
      </c>
      <c r="U21" s="116" t="inlineStr">
        <is>
          <t>N</t>
        </is>
      </c>
      <c r="V21" s="107" t="n"/>
      <c r="W21" s="108" t="inlineStr">
        <is>
          <t>M</t>
        </is>
      </c>
      <c r="X21" s="115" t="inlineStr">
        <is>
          <t>D</t>
        </is>
      </c>
      <c r="Y21" s="107" t="n"/>
      <c r="Z21" s="107" t="n"/>
      <c r="AA21" s="117" t="inlineStr">
        <is>
          <t>T</t>
        </is>
      </c>
      <c r="AB21" s="115" t="inlineStr">
        <is>
          <t>D</t>
        </is>
      </c>
      <c r="AC21" s="107" t="n"/>
      <c r="AD21" s="107" t="n"/>
      <c r="AE21" s="115" t="inlineStr">
        <is>
          <t>D</t>
        </is>
      </c>
      <c r="AF21" s="107" t="n"/>
      <c r="AG21" s="107" t="n"/>
      <c r="AH21" s="117" t="inlineStr">
        <is>
          <t>T</t>
        </is>
      </c>
      <c r="AI21" s="115" t="inlineStr">
        <is>
          <t>D</t>
        </is>
      </c>
      <c r="AJ21" s="108" t="inlineStr">
        <is>
          <t>M</t>
        </is>
      </c>
      <c r="AK21" s="116" t="inlineStr">
        <is>
          <t>N</t>
        </is>
      </c>
      <c r="AL21" s="107" t="n"/>
      <c r="AM21" s="107" t="n"/>
      <c r="AN21" s="109">
        <f>IFERROR(INDEX(FEV!I$8:I$73,MATCH($A21,FEV!$A$8:$A$73,0))&amp;"","")</f>
        <v/>
      </c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SUMPRODUCT(($F21:$L21="M")*6+($F21:$L21="T")*6+($F21:$L21="D")*12+($F21:$L21="N")*12+($F21:$L21="NT")*6+($F21:$L21="C")*10+($F21:$L21="A")*8+($F21:$L21="J")*5+($F21:$L21="E")*4+($F21:$L21="P")*6+($F21:$L21="R")*6)</f>
        <v/>
      </c>
      <c r="BF21" s="110">
        <f>SUMPRODUCT(($M21:$S21="M")*6+($M21:$S21="T")*6+($M21:$S21="D")*12+($M21:$S21="N")*12+($M21:$S21="NT")*6+($M21:$S21="C")*10+($M21:$S21="A")*8+($M21:$S21="J")*5+($M21:$S21="E")*4+($M21:$S21="P")*6+($M21:$S21="R")*6)</f>
        <v/>
      </c>
      <c r="BG21" s="110">
        <f>SUMPRODUCT(($T21:$Z21="M")*6+($T21:$Z21="T")*6+($T21:$Z21="D")*12+($T21:$Z21="N")*12+($T21:$Z21="NT")*6+($T21:$Z21="C")*10+($T21:$Z21="A")*8+($T21:$Z21="J")*5+($T21:$Z21="E")*4+($T21:$Z21="P")*6+($T21:$Z21="R")*6)</f>
        <v/>
      </c>
      <c r="BH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I21" s="110">
        <f>SUMPRODUCT(($AH21:$AM21="M")*6+($AH21:$AM21="T")*6+($AH21:$AM21="D")*12+($AH21:$AM21="N")*12+($AH21:$AM21="NT")*6+($AH21:$AM21="C")*10+($AH21:$AM21="A")*8+($AH21:$AM21="J")*5+($AH21:$AM21="E")*4+($AH21:$AM21="P")*6+($AH21:$AM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5" t="inlineStr">
        <is>
          <t>D</t>
        </is>
      </c>
      <c r="K22" s="117" t="inlineStr">
        <is>
          <t>T</t>
        </is>
      </c>
      <c r="L22" s="115" t="inlineStr">
        <is>
          <t>D</t>
        </is>
      </c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15" t="inlineStr">
        <is>
          <t>D</t>
        </is>
      </c>
      <c r="AC22" s="107" t="n"/>
      <c r="AD22" s="117" t="inlineStr">
        <is>
          <t>T</t>
        </is>
      </c>
      <c r="AE22" s="116" t="inlineStr">
        <is>
          <t>N</t>
        </is>
      </c>
      <c r="AF22" s="107" t="n"/>
      <c r="AG22" s="107" t="n"/>
      <c r="AH22" s="107" t="n"/>
      <c r="AI22" s="115" t="inlineStr">
        <is>
          <t>D</t>
        </is>
      </c>
      <c r="AJ22" s="115" t="inlineStr">
        <is>
          <t>D</t>
        </is>
      </c>
      <c r="AK22" s="108" t="inlineStr">
        <is>
          <t>M</t>
        </is>
      </c>
      <c r="AL22" s="107" t="n"/>
      <c r="AM22" s="108" t="inlineStr">
        <is>
          <t>M</t>
        </is>
      </c>
      <c r="AN22" s="109">
        <f>IFERROR(INDEX(FEV!I$8:I$73,MATCH($A22,FEV!$A$8:$A$73,0))&amp;"","")</f>
        <v/>
      </c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SUMPRODUCT(($F22:$L22="M")*6+($F22:$L22="T")*6+($F22:$L22="D")*12+($F22:$L22="N")*12+($F22:$L22="NT")*6+($F22:$L22="C")*10+($F22:$L22="A")*8+($F22:$L22="J")*5+($F22:$L22="E")*4+($F22:$L22="P")*6+($F22:$L22="R")*6)</f>
        <v/>
      </c>
      <c r="BF22" s="110">
        <f>SUMPRODUCT(($M22:$S22="M")*6+($M22:$S22="T")*6+($M22:$S22="D")*12+($M22:$S22="N")*12+($M22:$S22="NT")*6+($M22:$S22="C")*10+($M22:$S22="A")*8+($M22:$S22="J")*5+($M22:$S22="E")*4+($M22:$S22="P")*6+($M22:$S22="R")*6)</f>
        <v/>
      </c>
      <c r="BG22" s="110">
        <f>SUMPRODUCT(($T22:$Z22="M")*6+($T22:$Z22="T")*6+($T22:$Z22="D")*12+($T22:$Z22="N")*12+($T22:$Z22="NT")*6+($T22:$Z22="C")*10+($T22:$Z22="A")*8+($T22:$Z22="J")*5+($T22:$Z22="E")*4+($T22:$Z22="P")*6+($T22:$Z22="R")*6)</f>
        <v/>
      </c>
      <c r="BH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I22" s="110">
        <f>SUMPRODUCT(($AH22:$AM22="M")*6+($AH22:$AM22="T")*6+($AH22:$AM22="D")*12+($AH22:$AM22="N")*12+($AH22:$AM22="NT")*6+($AH22:$AM22="C")*10+($AH22:$AM22="A")*8+($AH22:$AM22="J")*5+($AH22:$AM22="E")*4+($AH22:$AM22="P")*6+($AH22:$AM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08" t="inlineStr">
        <is>
          <t>M</t>
        </is>
      </c>
      <c r="K23" s="107" t="n"/>
      <c r="L23" s="107" t="n"/>
      <c r="M23" s="115" t="inlineStr">
        <is>
          <t>D</t>
        </is>
      </c>
      <c r="N23" s="117" t="inlineStr">
        <is>
          <t>T</t>
        </is>
      </c>
      <c r="O23" s="107" t="n"/>
      <c r="P23" s="107" t="n"/>
      <c r="Q23" s="107" t="n"/>
      <c r="R23" s="115" t="inlineStr">
        <is>
          <t>D</t>
        </is>
      </c>
      <c r="S23" s="115" t="inlineStr">
        <is>
          <t>D</t>
        </is>
      </c>
      <c r="T23" s="117" t="inlineStr">
        <is>
          <t>T</t>
        </is>
      </c>
      <c r="U23" s="115" t="inlineStr">
        <is>
          <t>D</t>
        </is>
      </c>
      <c r="V23" s="107" t="n"/>
      <c r="W23" s="115" t="inlineStr">
        <is>
          <t>D</t>
        </is>
      </c>
      <c r="X23" s="107" t="n"/>
      <c r="Y23" s="107" t="n"/>
      <c r="Z23" s="107" t="n"/>
      <c r="AA23" s="115" t="inlineStr">
        <is>
          <t>D</t>
        </is>
      </c>
      <c r="AB23" s="115" t="inlineStr">
        <is>
          <t>D</t>
        </is>
      </c>
      <c r="AC23" s="107" t="n"/>
      <c r="AD23" s="115" t="inlineStr">
        <is>
          <t>D</t>
        </is>
      </c>
      <c r="AE23" s="107" t="n"/>
      <c r="AF23" s="107" t="n"/>
      <c r="AG23" s="107" t="n"/>
      <c r="AH23" s="115" t="inlineStr">
        <is>
          <t>D</t>
        </is>
      </c>
      <c r="AI23" s="115" t="inlineStr">
        <is>
          <t>D</t>
        </is>
      </c>
      <c r="AJ23" s="107" t="n"/>
      <c r="AK23" s="107" t="n"/>
      <c r="AL23" s="107" t="n"/>
      <c r="AM23" s="115" t="inlineStr">
        <is>
          <t>D</t>
        </is>
      </c>
      <c r="AN23" s="109">
        <f>IFERROR(INDEX(FEV!I$8:I$73,MATCH($A23,FEV!$A$8:$A$73,0))&amp;"","")</f>
        <v/>
      </c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SUMPRODUCT(($F23:$L23="M")*6+($F23:$L23="T")*6+($F23:$L23="D")*12+($F23:$L23="N")*12+($F23:$L23="NT")*6+($F23:$L23="C")*10+($F23:$L23="A")*8+($F23:$L23="J")*5+($F23:$L23="E")*4+($F23:$L23="P")*6+($F23:$L23="R")*6)</f>
        <v/>
      </c>
      <c r="BF23" s="110">
        <f>SUMPRODUCT(($M23:$S23="M")*6+($M23:$S23="T")*6+($M23:$S23="D")*12+($M23:$S23="N")*12+($M23:$S23="NT")*6+($M23:$S23="C")*10+($M23:$S23="A")*8+($M23:$S23="J")*5+($M23:$S23="E")*4+($M23:$S23="P")*6+($M23:$S23="R")*6)</f>
        <v/>
      </c>
      <c r="BG23" s="110">
        <f>SUMPRODUCT(($T23:$Z23="M")*6+($T23:$Z23="T")*6+($T23:$Z23="D")*12+($T23:$Z23="N")*12+($T23:$Z23="NT")*6+($T23:$Z23="C")*10+($T23:$Z23="A")*8+($T23:$Z23="J")*5+($T23:$Z23="E")*4+($T23:$Z23="P")*6+($T23:$Z23="R")*6)</f>
        <v/>
      </c>
      <c r="BH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I23" s="110">
        <f>SUMPRODUCT(($AH23:$AM23="M")*6+($AH23:$AM23="T")*6+($AH23:$AM23="D")*12+($AH23:$AM23="N")*12+($AH23:$AM23="NT")*6+($AH23:$AM23="C")*10+($AH23:$AM23="A")*8+($AH23:$AM23="J")*5+($AH23:$AM23="E")*4+($AH23:$AM23="P")*6+($AH23:$AM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07" t="n"/>
      <c r="K24" s="115" t="inlineStr">
        <is>
          <t>D</t>
        </is>
      </c>
      <c r="L24" s="107" t="n"/>
      <c r="M24" s="115" t="inlineStr">
        <is>
          <t>D</t>
        </is>
      </c>
      <c r="N24" s="107" t="n"/>
      <c r="O24" s="116" t="inlineStr">
        <is>
          <t>N</t>
        </is>
      </c>
      <c r="P24" s="107" t="n"/>
      <c r="Q24" s="107" t="n"/>
      <c r="R24" s="116" t="inlineStr">
        <is>
          <t>N</t>
        </is>
      </c>
      <c r="S24" s="107" t="n"/>
      <c r="T24" s="108" t="inlineStr">
        <is>
          <t>M</t>
        </is>
      </c>
      <c r="U24" s="115" t="inlineStr">
        <is>
          <t>D</t>
        </is>
      </c>
      <c r="V24" s="108" t="inlineStr">
        <is>
          <t>M</t>
        </is>
      </c>
      <c r="W24" s="107" t="n"/>
      <c r="X24" s="116" t="inlineStr">
        <is>
          <t>N</t>
        </is>
      </c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109">
        <f>IFERROR(INDEX(FEV!I$8:I$73,MATCH($A24,FEV!$A$8:$A$73,0))&amp;"","")</f>
        <v/>
      </c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SUMPRODUCT(($F24:$L24="M")*6+($F24:$L24="T")*6+($F24:$L24="D")*12+($F24:$L24="N")*12+($F24:$L24="NT")*6+($F24:$L24="C")*10+($F24:$L24="A")*8+($F24:$L24="J")*5+($F24:$L24="E")*4+($F24:$L24="P")*6+($F24:$L24="R")*6)</f>
        <v/>
      </c>
      <c r="BF24" s="110">
        <f>SUMPRODUCT(($M24:$S24="M")*6+($M24:$S24="T")*6+($M24:$S24="D")*12+($M24:$S24="N")*12+($M24:$S24="NT")*6+($M24:$S24="C")*10+($M24:$S24="A")*8+($M24:$S24="J")*5+($M24:$S24="E")*4+($M24:$S24="P")*6+($M24:$S24="R")*6)</f>
        <v/>
      </c>
      <c r="BG24" s="110">
        <f>SUMPRODUCT(($T24:$Z24="M")*6+($T24:$Z24="T")*6+($T24:$Z24="D")*12+($T24:$Z24="N")*12+($T24:$Z24="NT")*6+($T24:$Z24="C")*10+($T24:$Z24="A")*8+($T24:$Z24="J")*5+($T24:$Z24="E")*4+($T24:$Z24="P")*6+($T24:$Z24="R")*6)</f>
        <v/>
      </c>
      <c r="BH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I24" s="110">
        <f>SUMPRODUCT(($AH24:$AM24="M")*6+($AH24:$AM24="T")*6+($AH24:$AM24="D")*12+($AH24:$AM24="N")*12+($AH24:$AM24="NT")*6+($AH24:$AM24="C")*10+($AH24:$AM24="A")*8+($AH24:$AM24="J")*5+($AH24:$AM24="E")*4+($AH24:$AM24="P")*6+($AH24:$AM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16" t="inlineStr">
        <is>
          <t>N</t>
        </is>
      </c>
      <c r="M25" s="107" t="n"/>
      <c r="N25" s="116" t="inlineStr">
        <is>
          <t>N</t>
        </is>
      </c>
      <c r="O25" s="116" t="inlineStr">
        <is>
          <t>N</t>
        </is>
      </c>
      <c r="P25" s="107" t="n"/>
      <c r="Q25" s="107" t="n"/>
      <c r="R25" s="107" t="n"/>
      <c r="S25" s="116" t="inlineStr">
        <is>
          <t>N</t>
        </is>
      </c>
      <c r="T25" s="107" t="n"/>
      <c r="U25" s="116" t="inlineStr">
        <is>
          <t>N</t>
        </is>
      </c>
      <c r="V25" s="116" t="inlineStr">
        <is>
          <t>N</t>
        </is>
      </c>
      <c r="W25" s="107" t="n"/>
      <c r="X25" s="107" t="n"/>
      <c r="Y25" s="107" t="n"/>
      <c r="Z25" s="116" t="inlineStr">
        <is>
          <t>N</t>
        </is>
      </c>
      <c r="AA25" s="116" t="inlineStr">
        <is>
          <t>N</t>
        </is>
      </c>
      <c r="AB25" s="116" t="inlineStr">
        <is>
          <t>N</t>
        </is>
      </c>
      <c r="AC25" s="116" t="inlineStr">
        <is>
          <t>N</t>
        </is>
      </c>
      <c r="AD25" s="107" t="n"/>
      <c r="AE25" s="107" t="n"/>
      <c r="AF25" s="107" t="n"/>
      <c r="AG25" s="107" t="n"/>
      <c r="AH25" s="116" t="inlineStr">
        <is>
          <t>N</t>
        </is>
      </c>
      <c r="AI25" s="116" t="inlineStr">
        <is>
          <t>N</t>
        </is>
      </c>
      <c r="AJ25" s="116" t="inlineStr">
        <is>
          <t>N</t>
        </is>
      </c>
      <c r="AK25" s="107" t="n"/>
      <c r="AL25" s="107" t="n"/>
      <c r="AM25" s="107" t="n"/>
      <c r="AN25" s="109">
        <f>IFERROR(INDEX(FEV!I$8:I$73,MATCH($A25,FEV!$A$8:$A$73,0))&amp;"","")</f>
        <v/>
      </c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SUMPRODUCT(($F25:$L25="M")*6+($F25:$L25="T")*6+($F25:$L25="D")*12+($F25:$L25="N")*12+($F25:$L25="NT")*6+($F25:$L25="C")*10+($F25:$L25="A")*8+($F25:$L25="J")*5+($F25:$L25="E")*4+($F25:$L25="P")*6+($F25:$L25="R")*6)</f>
        <v/>
      </c>
      <c r="BF25" s="110">
        <f>SUMPRODUCT(($M25:$S25="M")*6+($M25:$S25="T")*6+($M25:$S25="D")*12+($M25:$S25="N")*12+($M25:$S25="NT")*6+($M25:$S25="C")*10+($M25:$S25="A")*8+($M25:$S25="J")*5+($M25:$S25="E")*4+($M25:$S25="P")*6+($M25:$S25="R")*6)</f>
        <v/>
      </c>
      <c r="BG25" s="110">
        <f>SUMPRODUCT(($T25:$Z25="M")*6+($T25:$Z25="T")*6+($T25:$Z25="D")*12+($T25:$Z25="N")*12+($T25:$Z25="NT")*6+($T25:$Z25="C")*10+($T25:$Z25="A")*8+($T25:$Z25="J")*5+($T25:$Z25="E")*4+($T25:$Z25="P")*6+($T25:$Z25="R")*6)</f>
        <v/>
      </c>
      <c r="BH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I25" s="110">
        <f>SUMPRODUCT(($AH25:$AM25="M")*6+($AH25:$AM25="T")*6+($AH25:$AM25="D")*12+($AH25:$AM25="N")*12+($AH25:$AM25="NT")*6+($AH25:$AM25="C")*10+($AH25:$AM25="A")*8+($AH25:$AM25="J")*5+($AH25:$AM25="E")*4+($AH25:$AM25="P")*6+($AH25:$AM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5" t="inlineStr">
        <is>
          <t>D</t>
        </is>
      </c>
      <c r="K26" s="108" t="inlineStr">
        <is>
          <t>M</t>
        </is>
      </c>
      <c r="L26" s="107" t="n"/>
      <c r="M26" s="108" t="inlineStr">
        <is>
          <t>M</t>
        </is>
      </c>
      <c r="N26" s="116" t="inlineStr">
        <is>
          <t>N</t>
        </is>
      </c>
      <c r="O26" s="117" t="inlineStr">
        <is>
          <t>T</t>
        </is>
      </c>
      <c r="P26" s="115" t="inlineStr">
        <is>
          <t>D</t>
        </is>
      </c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15" t="inlineStr">
        <is>
          <t>D</t>
        </is>
      </c>
      <c r="AM26" s="108" t="inlineStr">
        <is>
          <t>M</t>
        </is>
      </c>
      <c r="AN26" s="109">
        <f>IFERROR(INDEX(FEV!I$8:I$73,MATCH($A26,FEV!$A$8:$A$73,0))&amp;"","")</f>
        <v/>
      </c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SUMPRODUCT(($F26:$L26="M")*6+($F26:$L26="T")*6+($F26:$L26="D")*12+($F26:$L26="N")*12+($F26:$L26="NT")*6+($F26:$L26="C")*10+($F26:$L26="A")*8+($F26:$L26="J")*5+($F26:$L26="E")*4+($F26:$L26="P")*6+($F26:$L26="R")*6)</f>
        <v/>
      </c>
      <c r="BF26" s="110">
        <f>SUMPRODUCT(($M26:$S26="M")*6+($M26:$S26="T")*6+($M26:$S26="D")*12+($M26:$S26="N")*12+($M26:$S26="NT")*6+($M26:$S26="C")*10+($M26:$S26="A")*8+($M26:$S26="J")*5+($M26:$S26="E")*4+($M26:$S26="P")*6+($M26:$S26="R")*6)</f>
        <v/>
      </c>
      <c r="BG26" s="110">
        <f>SUMPRODUCT(($T26:$Z26="M")*6+($T26:$Z26="T")*6+($T26:$Z26="D")*12+($T26:$Z26="N")*12+($T26:$Z26="NT")*6+($T26:$Z26="C")*10+($T26:$Z26="A")*8+($T26:$Z26="J")*5+($T26:$Z26="E")*4+($T26:$Z26="P")*6+($T26:$Z26="R")*6)</f>
        <v/>
      </c>
      <c r="BH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I26" s="110">
        <f>SUMPRODUCT(($AH26:$AM26="M")*6+($AH26:$AM26="T")*6+($AH26:$AM26="D")*12+($AH26:$AM26="N")*12+($AH26:$AM26="NT")*6+($AH26:$AM26="C")*10+($AH26:$AM26="A")*8+($AH26:$AM26="J")*5+($AH26:$AM26="E")*4+($AH26:$AM26="P")*6+($AH26:$AM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7" t="n"/>
      <c r="J27" s="107" t="n"/>
      <c r="K27" s="116" t="inlineStr">
        <is>
          <t>N</t>
        </is>
      </c>
      <c r="L27" s="107" t="n"/>
      <c r="M27" s="107" t="n"/>
      <c r="N27" s="116" t="inlineStr">
        <is>
          <t>N</t>
        </is>
      </c>
      <c r="O27" s="107" t="n"/>
      <c r="P27" s="116" t="inlineStr">
        <is>
          <t>N</t>
        </is>
      </c>
      <c r="Q27" s="107" t="n"/>
      <c r="R27" s="107" t="n"/>
      <c r="S27" s="107" t="n"/>
      <c r="T27" s="107" t="n"/>
      <c r="U27" s="116" t="inlineStr">
        <is>
          <t>N</t>
        </is>
      </c>
      <c r="V27" s="107" t="n"/>
      <c r="W27" s="108" t="inlineStr">
        <is>
          <t>M</t>
        </is>
      </c>
      <c r="X27" s="107" t="n"/>
      <c r="Y27" s="116" t="inlineStr">
        <is>
          <t>N</t>
        </is>
      </c>
      <c r="Z27" s="107" t="n"/>
      <c r="AA27" s="107" t="n"/>
      <c r="AB27" s="116" t="inlineStr">
        <is>
          <t>N</t>
        </is>
      </c>
      <c r="AC27" s="107" t="n"/>
      <c r="AD27" s="116" t="inlineStr">
        <is>
          <t>N</t>
        </is>
      </c>
      <c r="AE27" s="107" t="n"/>
      <c r="AF27" s="116" t="inlineStr">
        <is>
          <t>N</t>
        </is>
      </c>
      <c r="AG27" s="107" t="n"/>
      <c r="AH27" s="107" t="n"/>
      <c r="AI27" s="116" t="inlineStr">
        <is>
          <t>N</t>
        </is>
      </c>
      <c r="AJ27" s="108" t="inlineStr">
        <is>
          <t>M</t>
        </is>
      </c>
      <c r="AK27" s="116" t="inlineStr">
        <is>
          <t>N</t>
        </is>
      </c>
      <c r="AL27" s="107" t="n"/>
      <c r="AM27" s="107" t="n"/>
      <c r="AN27" s="109">
        <f>IFERROR(INDEX(FEV!I$8:I$73,MATCH($A27,FEV!$A$8:$A$73,0))&amp;"","")</f>
        <v/>
      </c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SUMPRODUCT(($F27:$L27="M")*6+($F27:$L27="T")*6+($F27:$L27="D")*12+($F27:$L27="N")*12+($F27:$L27="NT")*6+($F27:$L27="C")*10+($F27:$L27="A")*8+($F27:$L27="J")*5+($F27:$L27="E")*4+($F27:$L27="P")*6+($F27:$L27="R")*6)</f>
        <v/>
      </c>
      <c r="BF27" s="110">
        <f>SUMPRODUCT(($M27:$S27="M")*6+($M27:$S27="T")*6+($M27:$S27="D")*12+($M27:$S27="N")*12+($M27:$S27="NT")*6+($M27:$S27="C")*10+($M27:$S27="A")*8+($M27:$S27="J")*5+($M27:$S27="E")*4+($M27:$S27="P")*6+($M27:$S27="R")*6)</f>
        <v/>
      </c>
      <c r="BG27" s="110">
        <f>SUMPRODUCT(($T27:$Z27="M")*6+($T27:$Z27="T")*6+($T27:$Z27="D")*12+($T27:$Z27="N")*12+($T27:$Z27="NT")*6+($T27:$Z27="C")*10+($T27:$Z27="A")*8+($T27:$Z27="J")*5+($T27:$Z27="E")*4+($T27:$Z27="P")*6+($T27:$Z27="R")*6)</f>
        <v/>
      </c>
      <c r="BH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I27" s="110">
        <f>SUMPRODUCT(($AH27:$AM27="M")*6+($AH27:$AM27="T")*6+($AH27:$AM27="D")*12+($AH27:$AM27="N")*12+($AH27:$AM27="NT")*6+($AH27:$AM27="C")*10+($AH27:$AM27="A")*8+($AH27:$AM27="J")*5+($AH27:$AM27="E")*4+($AH27:$AM27="P")*6+($AH27:$AM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07" t="n"/>
      <c r="J28" s="115" t="inlineStr">
        <is>
          <t>D</t>
        </is>
      </c>
      <c r="K28" s="115" t="inlineStr">
        <is>
          <t>D</t>
        </is>
      </c>
      <c r="L28" s="115" t="inlineStr">
        <is>
          <t>D</t>
        </is>
      </c>
      <c r="M28" s="107" t="n"/>
      <c r="N28" s="117" t="inlineStr">
        <is>
          <t>T</t>
        </is>
      </c>
      <c r="O28" s="108" t="inlineStr">
        <is>
          <t>M</t>
        </is>
      </c>
      <c r="P28" s="115" t="inlineStr">
        <is>
          <t>D</t>
        </is>
      </c>
      <c r="Q28" s="107" t="n"/>
      <c r="R28" s="107" t="n"/>
      <c r="S28" s="108" t="inlineStr">
        <is>
          <t>M</t>
        </is>
      </c>
      <c r="T28" s="116" t="inlineStr">
        <is>
          <t>N</t>
        </is>
      </c>
      <c r="U28" s="117" t="inlineStr">
        <is>
          <t>T</t>
        </is>
      </c>
      <c r="V28" s="115" t="inlineStr">
        <is>
          <t>D</t>
        </is>
      </c>
      <c r="W28" s="107" t="n"/>
      <c r="X28" s="107" t="n"/>
      <c r="Y28" s="107" t="n"/>
      <c r="Z28" s="107" t="n"/>
      <c r="AA28" s="107" t="n"/>
      <c r="AB28" s="107" t="n"/>
      <c r="AC28" s="115" t="inlineStr">
        <is>
          <t>D</t>
        </is>
      </c>
      <c r="AD28" s="116" t="inlineStr">
        <is>
          <t>N</t>
        </is>
      </c>
      <c r="AE28" s="107" t="n"/>
      <c r="AF28" s="118" t="inlineStr">
        <is>
          <t>NT</t>
        </is>
      </c>
      <c r="AG28" s="107" t="n"/>
      <c r="AH28" s="108" t="inlineStr">
        <is>
          <t>M</t>
        </is>
      </c>
      <c r="AI28" s="107" t="n"/>
      <c r="AJ28" s="115" t="inlineStr">
        <is>
          <t>D</t>
        </is>
      </c>
      <c r="AK28" s="107" t="n"/>
      <c r="AL28" s="116" t="inlineStr">
        <is>
          <t>N</t>
        </is>
      </c>
      <c r="AM28" s="107" t="n"/>
      <c r="AN28" s="109">
        <f>IFERROR(INDEX(FEV!I$8:I$73,MATCH($A28,FEV!$A$8:$A$73,0))&amp;"","")</f>
        <v/>
      </c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SUMPRODUCT(($F28:$L28="M")*6+($F28:$L28="T")*6+($F28:$L28="D")*12+($F28:$L28="N")*12+($F28:$L28="NT")*6+($F28:$L28="C")*10+($F28:$L28="A")*8+($F28:$L28="J")*5+($F28:$L28="E")*4+($F28:$L28="P")*6+($F28:$L28="R")*6)</f>
        <v/>
      </c>
      <c r="BF28" s="110">
        <f>SUMPRODUCT(($M28:$S28="M")*6+($M28:$S28="T")*6+($M28:$S28="D")*12+($M28:$S28="N")*12+($M28:$S28="NT")*6+($M28:$S28="C")*10+($M28:$S28="A")*8+($M28:$S28="J")*5+($M28:$S28="E")*4+($M28:$S28="P")*6+($M28:$S28="R")*6)</f>
        <v/>
      </c>
      <c r="BG28" s="110">
        <f>SUMPRODUCT(($T28:$Z28="M")*6+($T28:$Z28="T")*6+($T28:$Z28="D")*12+($T28:$Z28="N")*12+($T28:$Z28="NT")*6+($T28:$Z28="C")*10+($T28:$Z28="A")*8+($T28:$Z28="J")*5+($T28:$Z28="E")*4+($T28:$Z28="P")*6+($T28:$Z28="R")*6)</f>
        <v/>
      </c>
      <c r="BH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I28" s="110">
        <f>SUMPRODUCT(($AH28:$AM28="M")*6+($AH28:$AM28="T")*6+($AH28:$AM28="D")*12+($AH28:$AM28="N")*12+($AH28:$AM28="NT")*6+($AH28:$AM28="C")*10+($AH28:$AM28="A")*8+($AH28:$AM28="J")*5+($AH28:$AM28="E")*4+($AH28:$AM28="P")*6+($AH28:$AM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16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6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8" t="inlineStr">
        <is>
          <t>M</t>
        </is>
      </c>
      <c r="Z29" s="107" t="n"/>
      <c r="AA29" s="116" t="inlineStr">
        <is>
          <t>N</t>
        </is>
      </c>
      <c r="AB29" s="107" t="n"/>
      <c r="AC29" s="108" t="inlineStr">
        <is>
          <t>M</t>
        </is>
      </c>
      <c r="AD29" s="108" t="inlineStr">
        <is>
          <t>M</t>
        </is>
      </c>
      <c r="AE29" s="107" t="n"/>
      <c r="AF29" s="108" t="inlineStr">
        <is>
          <t>M</t>
        </is>
      </c>
      <c r="AG29" s="107" t="n"/>
      <c r="AH29" s="116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>
        <f>IFERROR(INDEX(FEV!I$8:I$73,MATCH($A29,FEV!$A$8:$A$73,0))&amp;"","")</f>
        <v/>
      </c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SUMPRODUCT(($F29:$L29="M")*6+($F29:$L29="T")*6+($F29:$L29="D")*12+($F29:$L29="N")*12+($F29:$L29="NT")*6+($F29:$L29="C")*10+($F29:$L29="A")*8+($F29:$L29="J")*5+($F29:$L29="E")*4+($F29:$L29="P")*6+($F29:$L29="R")*6)</f>
        <v/>
      </c>
      <c r="BF29" s="110">
        <f>SUMPRODUCT(($M29:$S29="M")*6+($M29:$S29="T")*6+($M29:$S29="D")*12+($M29:$S29="N")*12+($M29:$S29="NT")*6+($M29:$S29="C")*10+($M29:$S29="A")*8+($M29:$S29="J")*5+($M29:$S29="E")*4+($M29:$S29="P")*6+($M29:$S29="R")*6)</f>
        <v/>
      </c>
      <c r="BG29" s="110">
        <f>SUMPRODUCT(($T29:$Z29="M")*6+($T29:$Z29="T")*6+($T29:$Z29="D")*12+($T29:$Z29="N")*12+($T29:$Z29="NT")*6+($T29:$Z29="C")*10+($T29:$Z29="A")*8+($T29:$Z29="J")*5+($T29:$Z29="E")*4+($T29:$Z29="P")*6+($T29:$Z29="R")*6)</f>
        <v/>
      </c>
      <c r="BH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I29" s="110">
        <f>SUMPRODUCT(($AH29:$AM29="M")*6+($AH29:$AM29="T")*6+($AH29:$AM29="D")*12+($AH29:$AM29="N")*12+($AH29:$AM29="NT")*6+($AH29:$AM29="C")*10+($AH29:$AM29="A")*8+($AH29:$AM29="J")*5+($AH29:$AM29="E")*4+($AH29:$AM29="P")*6+($AH29:$AM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07" t="n"/>
      <c r="K30" s="116" t="inlineStr">
        <is>
          <t>N</t>
        </is>
      </c>
      <c r="L30" s="107" t="n"/>
      <c r="M30" s="107" t="n"/>
      <c r="N30" s="116" t="inlineStr">
        <is>
          <t>N</t>
        </is>
      </c>
      <c r="O30" s="117" t="inlineStr">
        <is>
          <t>T</t>
        </is>
      </c>
      <c r="P30" s="107" t="n"/>
      <c r="Q30" s="117" t="inlineStr">
        <is>
          <t>T</t>
        </is>
      </c>
      <c r="R30" s="107" t="n"/>
      <c r="S30" s="107" t="n"/>
      <c r="T30" s="107" t="n"/>
      <c r="U30" s="116" t="inlineStr">
        <is>
          <t>N</t>
        </is>
      </c>
      <c r="V30" s="107" t="n"/>
      <c r="W30" s="107" t="n"/>
      <c r="X30" s="116" t="inlineStr">
        <is>
          <t>N</t>
        </is>
      </c>
      <c r="Y30" s="107" t="n"/>
      <c r="Z30" s="115" t="inlineStr">
        <is>
          <t>D</t>
        </is>
      </c>
      <c r="AA30" s="107" t="n"/>
      <c r="AB30" s="116" t="inlineStr">
        <is>
          <t>N</t>
        </is>
      </c>
      <c r="AC30" s="117" t="inlineStr">
        <is>
          <t>T</t>
        </is>
      </c>
      <c r="AD30" s="107" t="n"/>
      <c r="AE30" s="107" t="n"/>
      <c r="AF30" s="107" t="n"/>
      <c r="AG30" s="116" t="inlineStr">
        <is>
          <t>N</t>
        </is>
      </c>
      <c r="AH30" s="107" t="n"/>
      <c r="AI30" s="116" t="inlineStr">
        <is>
          <t>N</t>
        </is>
      </c>
      <c r="AJ30" s="117" t="inlineStr">
        <is>
          <t>T</t>
        </is>
      </c>
      <c r="AK30" s="107" t="n"/>
      <c r="AL30" s="107" t="n"/>
      <c r="AM30" s="107" t="n"/>
      <c r="AN30" s="109">
        <f>IFERROR(INDEX(FEV!I$8:I$73,MATCH($A30,FEV!$A$8:$A$73,0))&amp;"","")</f>
        <v/>
      </c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SUMPRODUCT(($F30:$L30="M")*6+($F30:$L30="T")*6+($F30:$L30="D")*12+($F30:$L30="N")*12+($F30:$L30="NT")*6+($F30:$L30="C")*10+($F30:$L30="A")*8+($F30:$L30="J")*5+($F30:$L30="E")*4+($F30:$L30="P")*6+($F30:$L30="R")*6)</f>
        <v/>
      </c>
      <c r="BF30" s="110">
        <f>SUMPRODUCT(($M30:$S30="M")*6+($M30:$S30="T")*6+($M30:$S30="D")*12+($M30:$S30="N")*12+($M30:$S30="NT")*6+($M30:$S30="C")*10+($M30:$S30="A")*8+($M30:$S30="J")*5+($M30:$S30="E")*4+($M30:$S30="P")*6+($M30:$S30="R")*6)</f>
        <v/>
      </c>
      <c r="BG30" s="110">
        <f>SUMPRODUCT(($T30:$Z30="M")*6+($T30:$Z30="T")*6+($T30:$Z30="D")*12+($T30:$Z30="N")*12+($T30:$Z30="NT")*6+($T30:$Z30="C")*10+($T30:$Z30="A")*8+($T30:$Z30="J")*5+($T30:$Z30="E")*4+($T30:$Z30="P")*6+($T30:$Z30="R")*6)</f>
        <v/>
      </c>
      <c r="BH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I30" s="110">
        <f>SUMPRODUCT(($AH30:$AM30="M")*6+($AH30:$AM30="T")*6+($AH30:$AM30="D")*12+($AH30:$AM30="N")*12+($AH30:$AM30="NT")*6+($AH30:$AM30="C")*10+($AH30:$AM30="A")*8+($AH30:$AM30="J")*5+($AH30:$AM30="E")*4+($AH30:$AM30="P")*6+($AH30:$AM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07" t="n"/>
      <c r="J31" s="108" t="inlineStr">
        <is>
          <t>M</t>
        </is>
      </c>
      <c r="K31" s="116" t="inlineStr">
        <is>
          <t>N</t>
        </is>
      </c>
      <c r="L31" s="107" t="n"/>
      <c r="M31" s="117" t="inlineStr">
        <is>
          <t>T</t>
        </is>
      </c>
      <c r="N31" s="115" t="inlineStr">
        <is>
          <t>D</t>
        </is>
      </c>
      <c r="O31" s="115" t="inlineStr">
        <is>
          <t>D</t>
        </is>
      </c>
      <c r="P31" s="107" t="n"/>
      <c r="Q31" s="107" t="n"/>
      <c r="R31" s="107" t="n"/>
      <c r="S31" s="117" t="inlineStr">
        <is>
          <t>T</t>
        </is>
      </c>
      <c r="T31" s="115" t="inlineStr">
        <is>
          <t>D</t>
        </is>
      </c>
      <c r="U31" s="107" t="n"/>
      <c r="V31" s="117" t="inlineStr">
        <is>
          <t>T</t>
        </is>
      </c>
      <c r="W31" s="107" t="n"/>
      <c r="X31" s="108" t="inlineStr">
        <is>
          <t>M</t>
        </is>
      </c>
      <c r="Y31" s="116" t="inlineStr">
        <is>
          <t>N</t>
        </is>
      </c>
      <c r="Z31" s="107" t="n"/>
      <c r="AA31" s="115" t="inlineStr">
        <is>
          <t>D</t>
        </is>
      </c>
      <c r="AB31" s="108" t="inlineStr">
        <is>
          <t>M</t>
        </is>
      </c>
      <c r="AC31" s="115" t="inlineStr">
        <is>
          <t>D</t>
        </is>
      </c>
      <c r="AD31" s="107" t="n"/>
      <c r="AE31" s="108" t="inlineStr">
        <is>
          <t>M</t>
        </is>
      </c>
      <c r="AF31" s="107" t="n"/>
      <c r="AG31" s="107" t="n"/>
      <c r="AH31" s="115" t="inlineStr">
        <is>
          <t>D</t>
        </is>
      </c>
      <c r="AI31" s="107" t="n"/>
      <c r="AJ31" s="115" t="inlineStr">
        <is>
          <t>D</t>
        </is>
      </c>
      <c r="AK31" s="107" t="n"/>
      <c r="AL31" s="108" t="inlineStr">
        <is>
          <t>M</t>
        </is>
      </c>
      <c r="AM31" s="108" t="inlineStr">
        <is>
          <t>M</t>
        </is>
      </c>
      <c r="AN31" s="109">
        <f>IFERROR(INDEX(FEV!I$8:I$73,MATCH($A31,FEV!$A$8:$A$73,0))&amp;"","")</f>
        <v/>
      </c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SUMPRODUCT(($F31:$L31="M")*6+($F31:$L31="T")*6+($F31:$L31="D")*12+($F31:$L31="N")*12+($F31:$L31="NT")*6+($F31:$L31="C")*10+($F31:$L31="A")*8+($F31:$L31="J")*5+($F31:$L31="E")*4+($F31:$L31="P")*6+($F31:$L31="R")*6)</f>
        <v/>
      </c>
      <c r="BF31" s="110">
        <f>SUMPRODUCT(($M31:$S31="M")*6+($M31:$S31="T")*6+($M31:$S31="D")*12+($M31:$S31="N")*12+($M31:$S31="NT")*6+($M31:$S31="C")*10+($M31:$S31="A")*8+($M31:$S31="J")*5+($M31:$S31="E")*4+($M31:$S31="P")*6+($M31:$S31="R")*6)</f>
        <v/>
      </c>
      <c r="BG31" s="110">
        <f>SUMPRODUCT(($T31:$Z31="M")*6+($T31:$Z31="T")*6+($T31:$Z31="D")*12+($T31:$Z31="N")*12+($T31:$Z31="NT")*6+($T31:$Z31="C")*10+($T31:$Z31="A")*8+($T31:$Z31="J")*5+($T31:$Z31="E")*4+($T31:$Z31="P")*6+($T31:$Z31="R")*6)</f>
        <v/>
      </c>
      <c r="BH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I31" s="110">
        <f>SUMPRODUCT(($AH31:$AM31="M")*6+($AH31:$AM31="T")*6+($AH31:$AM31="D")*12+($AH31:$AM31="N")*12+($AH31:$AM31="NT")*6+($AH31:$AM31="C")*10+($AH31:$AM31="A")*8+($AH31:$AM31="J")*5+($AH31:$AM31="E")*4+($AH31:$AM31="P")*6+($AH31:$AM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07" t="n"/>
      <c r="J32" s="116" t="inlineStr">
        <is>
          <t>N</t>
        </is>
      </c>
      <c r="K32" s="107" t="n"/>
      <c r="L32" s="108" t="inlineStr">
        <is>
          <t>M</t>
        </is>
      </c>
      <c r="M32" s="116" t="inlineStr">
        <is>
          <t>N</t>
        </is>
      </c>
      <c r="N32" s="107" t="n"/>
      <c r="O32" s="107" t="n"/>
      <c r="P32" s="107" t="n"/>
      <c r="Q32" s="116" t="inlineStr">
        <is>
          <t>N</t>
        </is>
      </c>
      <c r="R32" s="107" t="n"/>
      <c r="S32" s="115" t="inlineStr">
        <is>
          <t>D</t>
        </is>
      </c>
      <c r="T32" s="115" t="inlineStr">
        <is>
          <t>D</t>
        </is>
      </c>
      <c r="U32" s="107" t="n"/>
      <c r="V32" s="107" t="n"/>
      <c r="W32" s="117" t="inlineStr">
        <is>
          <t>T</t>
        </is>
      </c>
      <c r="X32" s="107" t="n"/>
      <c r="Y32" s="107" t="n"/>
      <c r="Z32" s="108" t="inlineStr">
        <is>
          <t>M</t>
        </is>
      </c>
      <c r="AA32" s="116" t="inlineStr">
        <is>
          <t>N</t>
        </is>
      </c>
      <c r="AB32" s="107" t="n"/>
      <c r="AC32" s="107" t="n"/>
      <c r="AD32" s="107" t="n"/>
      <c r="AE32" s="107" t="n"/>
      <c r="AF32" s="108" t="inlineStr">
        <is>
          <t>M</t>
        </is>
      </c>
      <c r="AG32" s="108" t="inlineStr">
        <is>
          <t>M</t>
        </is>
      </c>
      <c r="AH32" s="107" t="n"/>
      <c r="AI32" s="107" t="n"/>
      <c r="AJ32" s="116" t="inlineStr">
        <is>
          <t>N</t>
        </is>
      </c>
      <c r="AK32" s="107" t="n"/>
      <c r="AL32" s="117" t="inlineStr">
        <is>
          <t>T</t>
        </is>
      </c>
      <c r="AM32" s="107" t="n"/>
      <c r="AN32" s="109">
        <f>IFERROR(INDEX(FEV!I$8:I$73,MATCH($A32,FEV!$A$8:$A$73,0))&amp;"","")</f>
        <v/>
      </c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SUMPRODUCT(($F32:$L32="M")*6+($F32:$L32="T")*6+($F32:$L32="D")*12+($F32:$L32="N")*12+($F32:$L32="NT")*6+($F32:$L32="C")*10+($F32:$L32="A")*8+($F32:$L32="J")*5+($F32:$L32="E")*4+($F32:$L32="P")*6+($F32:$L32="R")*6)</f>
        <v/>
      </c>
      <c r="BF32" s="110">
        <f>SUMPRODUCT(($M32:$S32="M")*6+($M32:$S32="T")*6+($M32:$S32="D")*12+($M32:$S32="N")*12+($M32:$S32="NT")*6+($M32:$S32="C")*10+($M32:$S32="A")*8+($M32:$S32="J")*5+($M32:$S32="E")*4+($M32:$S32="P")*6+($M32:$S32="R")*6)</f>
        <v/>
      </c>
      <c r="BG32" s="110">
        <f>SUMPRODUCT(($T32:$Z32="M")*6+($T32:$Z32="T")*6+($T32:$Z32="D")*12+($T32:$Z32="N")*12+($T32:$Z32="NT")*6+($T32:$Z32="C")*10+($T32:$Z32="A")*8+($T32:$Z32="J")*5+($T32:$Z32="E")*4+($T32:$Z32="P")*6+($T32:$Z32="R")*6)</f>
        <v/>
      </c>
      <c r="BH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I32" s="110">
        <f>SUMPRODUCT(($AH32:$AM32="M")*6+($AH32:$AM32="T")*6+($AH32:$AM32="D")*12+($AH32:$AM32="N")*12+($AH32:$AM32="NT")*6+($AH32:$AM32="C")*10+($AH32:$AM32="A")*8+($AH32:$AM32="J")*5+($AH32:$AM32="E")*4+($AH32:$AM32="P")*6+($AH32:$AM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>
        <f>IFERROR(INDEX(FEV!I$8:I$73,MATCH($A33,FEV!$A$8:$A$73,0))&amp;"","")</f>
        <v/>
      </c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SUMPRODUCT(($F33:$L33="M")*6+($F33:$L33="T")*6+($F33:$L33="D")*12+($F33:$L33="N")*12+($F33:$L33="NT")*6+($F33:$L33="C")*10+($F33:$L33="A")*8+($F33:$L33="J")*5+($F33:$L33="E")*4+($F33:$L33="P")*6+($F33:$L33="R")*6)</f>
        <v/>
      </c>
      <c r="BF33" s="110">
        <f>SUMPRODUCT(($M33:$S33="M")*6+($M33:$S33="T")*6+($M33:$S33="D")*12+($M33:$S33="N")*12+($M33:$S33="NT")*6+($M33:$S33="C")*10+($M33:$S33="A")*8+($M33:$S33="J")*5+($M33:$S33="E")*4+($M33:$S33="P")*6+($M33:$S33="R")*6)</f>
        <v/>
      </c>
      <c r="BG33" s="110">
        <f>SUMPRODUCT(($T33:$Z33="M")*6+($T33:$Z33="T")*6+($T33:$Z33="D")*12+($T33:$Z33="N")*12+($T33:$Z33="NT")*6+($T33:$Z33="C")*10+($T33:$Z33="A")*8+($T33:$Z33="J")*5+($T33:$Z33="E")*4+($T33:$Z33="P")*6+($T33:$Z33="R")*6)</f>
        <v/>
      </c>
      <c r="BH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I33" s="110">
        <f>SUMPRODUCT(($AH33:$AM33="M")*6+($AH33:$AM33="T")*6+($AH33:$AM33="D")*12+($AH33:$AM33="N")*12+($AH33:$AM33="NT")*6+($AH33:$AM33="C")*10+($AH33:$AM33="A")*8+($AH33:$AM33="J")*5+($AH33:$AM33="E")*4+($AH33:$AM33="P")*6+($AH33:$AM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5" t="inlineStr">
        <is>
          <t>D</t>
        </is>
      </c>
      <c r="K34" s="107" t="n"/>
      <c r="L34" s="107" t="n"/>
      <c r="M34" s="107" t="n"/>
      <c r="N34" s="107" t="n"/>
      <c r="O34" s="115" t="inlineStr">
        <is>
          <t>D</t>
        </is>
      </c>
      <c r="P34" s="107" t="n"/>
      <c r="Q34" s="107" t="n"/>
      <c r="R34" s="115" t="inlineStr">
        <is>
          <t>D</t>
        </is>
      </c>
      <c r="S34" s="108" t="inlineStr">
        <is>
          <t>M</t>
        </is>
      </c>
      <c r="T34" s="107" t="n"/>
      <c r="U34" s="115" t="inlineStr">
        <is>
          <t>D</t>
        </is>
      </c>
      <c r="V34" s="108" t="inlineStr">
        <is>
          <t>M</t>
        </is>
      </c>
      <c r="W34" s="107" t="n"/>
      <c r="X34" s="116" t="inlineStr">
        <is>
          <t>N</t>
        </is>
      </c>
      <c r="Y34" s="107" t="n"/>
      <c r="Z34" s="107" t="n"/>
      <c r="AA34" s="107" t="n"/>
      <c r="AB34" s="107" t="n"/>
      <c r="AC34" s="115" t="inlineStr">
        <is>
          <t>D</t>
        </is>
      </c>
      <c r="AD34" s="108" t="inlineStr">
        <is>
          <t>M</t>
        </is>
      </c>
      <c r="AE34" s="107" t="n"/>
      <c r="AF34" s="107" t="n"/>
      <c r="AG34" s="115" t="inlineStr">
        <is>
          <t>D</t>
        </is>
      </c>
      <c r="AH34" s="107" t="n"/>
      <c r="AI34" s="115" t="inlineStr">
        <is>
          <t>D</t>
        </is>
      </c>
      <c r="AJ34" s="108" t="inlineStr">
        <is>
          <t>M</t>
        </is>
      </c>
      <c r="AK34" s="115" t="inlineStr">
        <is>
          <t>D</t>
        </is>
      </c>
      <c r="AL34" s="107" t="n"/>
      <c r="AM34" s="107" t="n"/>
      <c r="AN34" s="109">
        <f>IFERROR(INDEX(FEV!I$8:I$73,MATCH($A34,FEV!$A$8:$A$73,0))&amp;"","")</f>
        <v/>
      </c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SUMPRODUCT(($F34:$L34="M")*6+($F34:$L34="T")*6+($F34:$L34="D")*12+($F34:$L34="N")*12+($F34:$L34="NT")*6+($F34:$L34="C")*10+($F34:$L34="A")*8+($F34:$L34="J")*5+($F34:$L34="E")*4+($F34:$L34="P")*6+($F34:$L34="R")*6)</f>
        <v/>
      </c>
      <c r="BF34" s="110">
        <f>SUMPRODUCT(($M34:$S34="M")*6+($M34:$S34="T")*6+($M34:$S34="D")*12+($M34:$S34="N")*12+($M34:$S34="NT")*6+($M34:$S34="C")*10+($M34:$S34="A")*8+($M34:$S34="J")*5+($M34:$S34="E")*4+($M34:$S34="P")*6+($M34:$S34="R")*6)</f>
        <v/>
      </c>
      <c r="BG34" s="110">
        <f>SUMPRODUCT(($T34:$Z34="M")*6+($T34:$Z34="T")*6+($T34:$Z34="D")*12+($T34:$Z34="N")*12+($T34:$Z34="NT")*6+($T34:$Z34="C")*10+($T34:$Z34="A")*8+($T34:$Z34="J")*5+($T34:$Z34="E")*4+($T34:$Z34="P")*6+($T34:$Z34="R")*6)</f>
        <v/>
      </c>
      <c r="BH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I34" s="110">
        <f>SUMPRODUCT(($AH34:$AM34="M")*6+($AH34:$AM34="T")*6+($AH34:$AM34="D")*12+($AH34:$AM34="N")*12+($AH34:$AM34="NT")*6+($AH34:$AM34="C")*10+($AH34:$AM34="A")*8+($AH34:$AM34="J")*5+($AH34:$AM34="E")*4+($AH34:$AM34="P")*6+($AH34:$AM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07" t="n"/>
      <c r="J35" s="107" t="n"/>
      <c r="K35" s="107" t="n"/>
      <c r="L35" s="115" t="inlineStr">
        <is>
          <t>D</t>
        </is>
      </c>
      <c r="M35" s="116" t="inlineStr">
        <is>
          <t>N</t>
        </is>
      </c>
      <c r="N35" s="107" t="n"/>
      <c r="O35" s="115" t="inlineStr">
        <is>
          <t>D</t>
        </is>
      </c>
      <c r="P35" s="107" t="n"/>
      <c r="Q35" s="107" t="n"/>
      <c r="R35" s="108" t="inlineStr">
        <is>
          <t>M</t>
        </is>
      </c>
      <c r="S35" s="107" t="n"/>
      <c r="T35" s="107" t="n"/>
      <c r="U35" s="108" t="inlineStr">
        <is>
          <t>M</t>
        </is>
      </c>
      <c r="V35" s="107" t="n"/>
      <c r="W35" s="116" t="inlineStr">
        <is>
          <t>N</t>
        </is>
      </c>
      <c r="X35" s="107" t="n"/>
      <c r="Y35" s="116" t="inlineStr">
        <is>
          <t>N</t>
        </is>
      </c>
      <c r="Z35" s="107" t="n"/>
      <c r="AA35" s="116" t="inlineStr">
        <is>
          <t>N</t>
        </is>
      </c>
      <c r="AB35" s="107" t="n"/>
      <c r="AC35" s="117" t="inlineStr">
        <is>
          <t>T</t>
        </is>
      </c>
      <c r="AD35" s="107" t="n"/>
      <c r="AE35" s="116" t="inlineStr">
        <is>
          <t>N</t>
        </is>
      </c>
      <c r="AF35" s="107" t="n"/>
      <c r="AG35" s="107" t="n"/>
      <c r="AH35" s="116" t="inlineStr">
        <is>
          <t>N</t>
        </is>
      </c>
      <c r="AI35" s="108" t="inlineStr">
        <is>
          <t>M</t>
        </is>
      </c>
      <c r="AJ35" s="107" t="n"/>
      <c r="AK35" s="116" t="inlineStr">
        <is>
          <t>N</t>
        </is>
      </c>
      <c r="AL35" s="107" t="n"/>
      <c r="AM35" s="107" t="n"/>
      <c r="AN35" s="109">
        <f>IFERROR(INDEX(FEV!I$8:I$73,MATCH($A35,FEV!$A$8:$A$73,0))&amp;"","")</f>
        <v/>
      </c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SUMPRODUCT(($F35:$L35="M")*6+($F35:$L35="T")*6+($F35:$L35="D")*12+($F35:$L35="N")*12+($F35:$L35="NT")*6+($F35:$L35="C")*10+($F35:$L35="A")*8+($F35:$L35="J")*5+($F35:$L35="E")*4+($F35:$L35="P")*6+($F35:$L35="R")*6)</f>
        <v/>
      </c>
      <c r="BF35" s="110">
        <f>SUMPRODUCT(($M35:$S35="M")*6+($M35:$S35="T")*6+($M35:$S35="D")*12+($M35:$S35="N")*12+($M35:$S35="NT")*6+($M35:$S35="C")*10+($M35:$S35="A")*8+($M35:$S35="J")*5+($M35:$S35="E")*4+($M35:$S35="P")*6+($M35:$S35="R")*6)</f>
        <v/>
      </c>
      <c r="BG35" s="110">
        <f>SUMPRODUCT(($T35:$Z35="M")*6+($T35:$Z35="T")*6+($T35:$Z35="D")*12+($T35:$Z35="N")*12+($T35:$Z35="NT")*6+($T35:$Z35="C")*10+($T35:$Z35="A")*8+($T35:$Z35="J")*5+($T35:$Z35="E")*4+($T35:$Z35="P")*6+($T35:$Z35="R")*6)</f>
        <v/>
      </c>
      <c r="BH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I35" s="110">
        <f>SUMPRODUCT(($AH35:$AM35="M")*6+($AH35:$AM35="T")*6+($AH35:$AM35="D")*12+($AH35:$AM35="N")*12+($AH35:$AM35="NT")*6+($AH35:$AM35="C")*10+($AH35:$AM35="A")*8+($AH35:$AM35="J")*5+($AH35:$AM35="E")*4+($AH35:$AM35="P")*6+($AH35:$AM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5" t="inlineStr">
        <is>
          <t>D</t>
        </is>
      </c>
      <c r="K36" s="117" t="inlineStr">
        <is>
          <t>T</t>
        </is>
      </c>
      <c r="L36" s="117" t="inlineStr">
        <is>
          <t>T</t>
        </is>
      </c>
      <c r="M36" s="107" t="n"/>
      <c r="N36" s="116" t="inlineStr">
        <is>
          <t>N</t>
        </is>
      </c>
      <c r="O36" s="107" t="n"/>
      <c r="P36" s="108" t="inlineStr">
        <is>
          <t>M</t>
        </is>
      </c>
      <c r="Q36" s="115" t="inlineStr">
        <is>
          <t>D</t>
        </is>
      </c>
      <c r="R36" s="107" t="n"/>
      <c r="S36" s="107" t="n"/>
      <c r="T36" s="107" t="n"/>
      <c r="U36" s="118" t="inlineStr">
        <is>
          <t>NT</t>
        </is>
      </c>
      <c r="V36" s="107" t="n"/>
      <c r="W36" s="107" t="n"/>
      <c r="X36" s="108" t="inlineStr">
        <is>
          <t>M</t>
        </is>
      </c>
      <c r="Y36" s="115" t="inlineStr">
        <is>
          <t>D</t>
        </is>
      </c>
      <c r="Z36" s="108" t="inlineStr">
        <is>
          <t>M</t>
        </is>
      </c>
      <c r="AA36" s="107" t="n"/>
      <c r="AB36" s="116" t="inlineStr">
        <is>
          <t>N</t>
        </is>
      </c>
      <c r="AC36" s="107" t="n"/>
      <c r="AD36" s="108" t="inlineStr">
        <is>
          <t>M</t>
        </is>
      </c>
      <c r="AE36" s="115" t="inlineStr">
        <is>
          <t>D</t>
        </is>
      </c>
      <c r="AF36" s="107" t="n"/>
      <c r="AG36" s="107" t="n"/>
      <c r="AH36" s="108" t="inlineStr">
        <is>
          <t>M</t>
        </is>
      </c>
      <c r="AI36" s="116" t="inlineStr">
        <is>
          <t>N</t>
        </is>
      </c>
      <c r="AJ36" s="107" t="n"/>
      <c r="AK36" s="107" t="n"/>
      <c r="AL36" s="115" t="inlineStr">
        <is>
          <t>D</t>
        </is>
      </c>
      <c r="AM36" s="107" t="n"/>
      <c r="AN36" s="109">
        <f>IFERROR(INDEX(FEV!I$8:I$73,MATCH($A36,FEV!$A$8:$A$73,0))&amp;"","")</f>
        <v/>
      </c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SUMPRODUCT(($F36:$L36="M")*6+($F36:$L36="T")*6+($F36:$L36="D")*12+($F36:$L36="N")*12+($F36:$L36="NT")*6+($F36:$L36="C")*10+($F36:$L36="A")*8+($F36:$L36="J")*5+($F36:$L36="E")*4+($F36:$L36="P")*6+($F36:$L36="R")*6)</f>
        <v/>
      </c>
      <c r="BF36" s="110">
        <f>SUMPRODUCT(($M36:$S36="M")*6+($M36:$S36="T")*6+($M36:$S36="D")*12+($M36:$S36="N")*12+($M36:$S36="NT")*6+($M36:$S36="C")*10+($M36:$S36="A")*8+($M36:$S36="J")*5+($M36:$S36="E")*4+($M36:$S36="P")*6+($M36:$S36="R")*6)</f>
        <v/>
      </c>
      <c r="BG36" s="110">
        <f>SUMPRODUCT(($T36:$Z36="M")*6+($T36:$Z36="T")*6+($T36:$Z36="D")*12+($T36:$Z36="N")*12+($T36:$Z36="NT")*6+($T36:$Z36="C")*10+($T36:$Z36="A")*8+($T36:$Z36="J")*5+($T36:$Z36="E")*4+($T36:$Z36="P")*6+($T36:$Z36="R")*6)</f>
        <v/>
      </c>
      <c r="BH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I36" s="110">
        <f>SUMPRODUCT(($AH36:$AM36="M")*6+($AH36:$AM36="T")*6+($AH36:$AM36="D")*12+($AH36:$AM36="N")*12+($AH36:$AM36="NT")*6+($AH36:$AM36="C")*10+($AH36:$AM36="A")*8+($AH36:$AM36="J")*5+($AH36:$AM36="E")*4+($AH36:$AM36="P")*6+($AH36:$AM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7" t="n"/>
      <c r="J37" s="107" t="n"/>
      <c r="K37" s="107" t="n"/>
      <c r="L37" s="116" t="inlineStr">
        <is>
          <t>N</t>
        </is>
      </c>
      <c r="M37" s="107" t="n"/>
      <c r="N37" s="115" t="inlineStr">
        <is>
          <t>D</t>
        </is>
      </c>
      <c r="O37" s="107" t="n"/>
      <c r="P37" s="115" t="inlineStr">
        <is>
          <t>D</t>
        </is>
      </c>
      <c r="Q37" s="108" t="inlineStr">
        <is>
          <t>M</t>
        </is>
      </c>
      <c r="R37" s="107" t="n"/>
      <c r="S37" s="107" t="n"/>
      <c r="T37" s="107" t="n"/>
      <c r="U37" s="115" t="inlineStr">
        <is>
          <t>D</t>
        </is>
      </c>
      <c r="V37" s="107" t="n"/>
      <c r="W37" s="107" t="n"/>
      <c r="X37" s="108" t="inlineStr">
        <is>
          <t>M</t>
        </is>
      </c>
      <c r="Y37" s="107" t="n"/>
      <c r="Z37" s="116" t="inlineStr">
        <is>
          <t>N</t>
        </is>
      </c>
      <c r="AA37" s="108" t="inlineStr">
        <is>
          <t>M</t>
        </is>
      </c>
      <c r="AB37" s="107" t="n"/>
      <c r="AC37" s="108" t="inlineStr">
        <is>
          <t>M</t>
        </is>
      </c>
      <c r="AD37" s="117" t="inlineStr">
        <is>
          <t>T</t>
        </is>
      </c>
      <c r="AE37" s="108" t="inlineStr">
        <is>
          <t>M</t>
        </is>
      </c>
      <c r="AF37" s="117" t="inlineStr">
        <is>
          <t>T</t>
        </is>
      </c>
      <c r="AG37" s="107" t="n"/>
      <c r="AH37" s="108" t="inlineStr">
        <is>
          <t>M</t>
        </is>
      </c>
      <c r="AI37" s="115" t="inlineStr">
        <is>
          <t>D</t>
        </is>
      </c>
      <c r="AJ37" s="107" t="n"/>
      <c r="AK37" s="115" t="inlineStr">
        <is>
          <t>D</t>
        </is>
      </c>
      <c r="AL37" s="107" t="n"/>
      <c r="AM37" s="107" t="n"/>
      <c r="AN37" s="109">
        <f>IFERROR(INDEX(FEV!I$8:I$73,MATCH($A37,FEV!$A$8:$A$73,0))&amp;"","")</f>
        <v/>
      </c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SUMPRODUCT(($F37:$L37="M")*6+($F37:$L37="T")*6+($F37:$L37="D")*12+($F37:$L37="N")*12+($F37:$L37="NT")*6+($F37:$L37="C")*10+($F37:$L37="A")*8+($F37:$L37="J")*5+($F37:$L37="E")*4+($F37:$L37="P")*6+($F37:$L37="R")*6)</f>
        <v/>
      </c>
      <c r="BF37" s="110">
        <f>SUMPRODUCT(($M37:$S37="M")*6+($M37:$S37="T")*6+($M37:$S37="D")*12+($M37:$S37="N")*12+($M37:$S37="NT")*6+($M37:$S37="C")*10+($M37:$S37="A")*8+($M37:$S37="J")*5+($M37:$S37="E")*4+($M37:$S37="P")*6+($M37:$S37="R")*6)</f>
        <v/>
      </c>
      <c r="BG37" s="110">
        <f>SUMPRODUCT(($T37:$Z37="M")*6+($T37:$Z37="T")*6+($T37:$Z37="D")*12+($T37:$Z37="N")*12+($T37:$Z37="NT")*6+($T37:$Z37="C")*10+($T37:$Z37="A")*8+($T37:$Z37="J")*5+($T37:$Z37="E")*4+($T37:$Z37="P")*6+($T37:$Z37="R")*6)</f>
        <v/>
      </c>
      <c r="BH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I37" s="110">
        <f>SUMPRODUCT(($AH37:$AM37="M")*6+($AH37:$AM37="T")*6+($AH37:$AM37="D")*12+($AH37:$AM37="N")*12+($AH37:$AM37="NT")*6+($AH37:$AM37="C")*10+($AH37:$AM37="A")*8+($AH37:$AM37="J")*5+($AH37:$AM37="E")*4+($AH37:$AM37="P")*6+($AH37:$AM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>
        <f>IFERROR(INDEX(FEV!I$8:I$73,MATCH($A38,FEV!$A$8:$A$73,0))&amp;"","")</f>
        <v/>
      </c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SUMPRODUCT(($F38:$L38="M")*6+($F38:$L38="T")*6+($F38:$L38="D")*12+($F38:$L38="N")*12+($F38:$L38="NT")*6+($F38:$L38="C")*10+($F38:$L38="A")*8+($F38:$L38="J")*5+($F38:$L38="E")*4+($F38:$L38="P")*6+($F38:$L38="R")*6)</f>
        <v/>
      </c>
      <c r="BF38" s="110">
        <f>SUMPRODUCT(($M38:$S38="M")*6+($M38:$S38="T")*6+($M38:$S38="D")*12+($M38:$S38="N")*12+($M38:$S38="NT")*6+($M38:$S38="C")*10+($M38:$S38="A")*8+($M38:$S38="J")*5+($M38:$S38="E")*4+($M38:$S38="P")*6+($M38:$S38="R")*6)</f>
        <v/>
      </c>
      <c r="BG38" s="110">
        <f>SUMPRODUCT(($T38:$Z38="M")*6+($T38:$Z38="T")*6+($T38:$Z38="D")*12+($T38:$Z38="N")*12+($T38:$Z38="NT")*6+($T38:$Z38="C")*10+($T38:$Z38="A")*8+($T38:$Z38="J")*5+($T38:$Z38="E")*4+($T38:$Z38="P")*6+($T38:$Z38="R")*6)</f>
        <v/>
      </c>
      <c r="BH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I38" s="110">
        <f>SUMPRODUCT(($AH38:$AM38="M")*6+($AH38:$AM38="T")*6+($AH38:$AM38="D")*12+($AH38:$AM38="N")*12+($AH38:$AM38="NT")*6+($AH38:$AM38="C")*10+($AH38:$AM38="A")*8+($AH38:$AM38="J")*5+($AH38:$AM38="E")*4+($AH38:$AM38="P")*6+($AH38:$AM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07" t="n"/>
      <c r="J39" s="107" t="n"/>
      <c r="K39" s="116" t="inlineStr">
        <is>
          <t>N</t>
        </is>
      </c>
      <c r="L39" s="107" t="n"/>
      <c r="M39" s="117" t="inlineStr">
        <is>
          <t>T</t>
        </is>
      </c>
      <c r="N39" s="108" t="inlineStr">
        <is>
          <t>M</t>
        </is>
      </c>
      <c r="O39" s="107" t="n"/>
      <c r="P39" s="107" t="n"/>
      <c r="Q39" s="108" t="inlineStr">
        <is>
          <t>M</t>
        </is>
      </c>
      <c r="R39" s="117" t="inlineStr">
        <is>
          <t>T</t>
        </is>
      </c>
      <c r="S39" s="107" t="n"/>
      <c r="T39" s="117" t="inlineStr">
        <is>
          <t>T</t>
        </is>
      </c>
      <c r="U39" s="108" t="inlineStr">
        <is>
          <t>M</t>
        </is>
      </c>
      <c r="V39" s="107" t="n"/>
      <c r="W39" s="117" t="inlineStr">
        <is>
          <t>T</t>
        </is>
      </c>
      <c r="X39" s="108" t="inlineStr">
        <is>
          <t>M</t>
        </is>
      </c>
      <c r="Y39" s="107" t="n"/>
      <c r="Z39" s="107" t="n"/>
      <c r="AA39" s="107" t="n"/>
      <c r="AB39" s="108" t="inlineStr">
        <is>
          <t>M</t>
        </is>
      </c>
      <c r="AC39" s="115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8" t="inlineStr">
        <is>
          <t>M</t>
        </is>
      </c>
      <c r="AJ39" s="107" t="n"/>
      <c r="AK39" s="108" t="inlineStr">
        <is>
          <t>M</t>
        </is>
      </c>
      <c r="AL39" s="107" t="n"/>
      <c r="AM39" s="116" t="inlineStr">
        <is>
          <t>N</t>
        </is>
      </c>
      <c r="AN39" s="109">
        <f>IFERROR(INDEX(FEV!I$8:I$73,MATCH($A39,FEV!$A$8:$A$73,0))&amp;"","")</f>
        <v/>
      </c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SUMPRODUCT(($F39:$L39="M")*6+($F39:$L39="T")*6+($F39:$L39="D")*12+($F39:$L39="N")*12+($F39:$L39="NT")*6+($F39:$L39="C")*10+($F39:$L39="A")*8+($F39:$L39="J")*5+($F39:$L39="E")*4+($F39:$L39="P")*6+($F39:$L39="R")*6)</f>
        <v/>
      </c>
      <c r="BF39" s="110">
        <f>SUMPRODUCT(($M39:$S39="M")*6+($M39:$S39="T")*6+($M39:$S39="D")*12+($M39:$S39="N")*12+($M39:$S39="NT")*6+($M39:$S39="C")*10+($M39:$S39="A")*8+($M39:$S39="J")*5+($M39:$S39="E")*4+($M39:$S39="P")*6+($M39:$S39="R")*6)</f>
        <v/>
      </c>
      <c r="BG39" s="110">
        <f>SUMPRODUCT(($T39:$Z39="M")*6+($T39:$Z39="T")*6+($T39:$Z39="D")*12+($T39:$Z39="N")*12+($T39:$Z39="NT")*6+($T39:$Z39="C")*10+($T39:$Z39="A")*8+($T39:$Z39="J")*5+($T39:$Z39="E")*4+($T39:$Z39="P")*6+($T39:$Z39="R")*6)</f>
        <v/>
      </c>
      <c r="BH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I39" s="110">
        <f>SUMPRODUCT(($AH39:$AM39="M")*6+($AH39:$AM39="T")*6+($AH39:$AM39="D")*12+($AH39:$AM39="N")*12+($AH39:$AM39="NT")*6+($AH39:$AM39="C")*10+($AH39:$AM39="A")*8+($AH39:$AM39="J")*5+($AH39:$AM39="E")*4+($AH39:$AM39="P")*6+($AH39:$AM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>
        <f>IFERROR(INDEX(FEV!I$8:I$73,MATCH($A40,FEV!$A$8:$A$73,0))&amp;"","")</f>
        <v/>
      </c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SUMPRODUCT(($F40:$L40="M")*6+($F40:$L40="T")*6+($F40:$L40="D")*12+($F40:$L40="N")*12+($F40:$L40="NT")*6+($F40:$L40="C")*10+($F40:$L40="A")*8+($F40:$L40="J")*5+($F40:$L40="E")*4+($F40:$L40="P")*6+($F40:$L40="R")*6)</f>
        <v/>
      </c>
      <c r="BF40" s="110">
        <f>SUMPRODUCT(($M40:$S40="M")*6+($M40:$S40="T")*6+($M40:$S40="D")*12+($M40:$S40="N")*12+($M40:$S40="NT")*6+($M40:$S40="C")*10+($M40:$S40="A")*8+($M40:$S40="J")*5+($M40:$S40="E")*4+($M40:$S40="P")*6+($M40:$S40="R")*6)</f>
        <v/>
      </c>
      <c r="BG40" s="110">
        <f>SUMPRODUCT(($T40:$Z40="M")*6+($T40:$Z40="T")*6+($T40:$Z40="D")*12+($T40:$Z40="N")*12+($T40:$Z40="NT")*6+($T40:$Z40="C")*10+($T40:$Z40="A")*8+($T40:$Z40="J")*5+($T40:$Z40="E")*4+($T40:$Z40="P")*6+($T40:$Z40="R")*6)</f>
        <v/>
      </c>
      <c r="BH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I40" s="110">
        <f>SUMPRODUCT(($AH40:$AM40="M")*6+($AH40:$AM40="T")*6+($AH40:$AM40="D")*12+($AH40:$AM40="N")*12+($AH40:$AM40="NT")*6+($AH40:$AM40="C")*10+($AH40:$AM40="A")*8+($AH40:$AM40="J")*5+($AH40:$AM40="E")*4+($AH40:$AM40="P")*6+($AH40:$AM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8" t="inlineStr">
        <is>
          <t>M</t>
        </is>
      </c>
      <c r="N41" s="108" t="inlineStr">
        <is>
          <t>M</t>
        </is>
      </c>
      <c r="O41" s="116" t="inlineStr">
        <is>
          <t>N</t>
        </is>
      </c>
      <c r="P41" s="107" t="n"/>
      <c r="Q41" s="107" t="n"/>
      <c r="R41" s="107" t="n"/>
      <c r="S41" s="107" t="n"/>
      <c r="T41" s="107" t="n"/>
      <c r="U41" s="107" t="n"/>
      <c r="V41" s="107" t="n"/>
      <c r="W41" s="115" t="inlineStr">
        <is>
          <t>D</t>
        </is>
      </c>
      <c r="X41" s="107" t="n"/>
      <c r="Y41" s="116" t="inlineStr">
        <is>
          <t>N</t>
        </is>
      </c>
      <c r="Z41" s="107" t="n"/>
      <c r="AA41" s="107" t="n"/>
      <c r="AB41" s="107" t="n"/>
      <c r="AC41" s="107" t="n"/>
      <c r="AD41" s="107" t="n"/>
      <c r="AE41" s="115" t="inlineStr">
        <is>
          <t>D</t>
        </is>
      </c>
      <c r="AF41" s="115" t="inlineStr">
        <is>
          <t>D</t>
        </is>
      </c>
      <c r="AG41" s="107" t="n"/>
      <c r="AH41" s="107" t="n"/>
      <c r="AI41" s="107" t="n"/>
      <c r="AJ41" s="107" t="n"/>
      <c r="AK41" s="107" t="n"/>
      <c r="AL41" s="115" t="inlineStr">
        <is>
          <t>D</t>
        </is>
      </c>
      <c r="AM41" s="107" t="n"/>
      <c r="AN41" s="109">
        <f>IFERROR(INDEX(FEV!I$8:I$73,MATCH($A41,FEV!$A$8:$A$73,0))&amp;"","")</f>
        <v/>
      </c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SUMPRODUCT(($F41:$L41="M")*6+($F41:$L41="T")*6+($F41:$L41="D")*12+($F41:$L41="N")*12+($F41:$L41="NT")*6+($F41:$L41="C")*10+($F41:$L41="A")*8+($F41:$L41="J")*5+($F41:$L41="E")*4+($F41:$L41="P")*6+($F41:$L41="R")*6)</f>
        <v/>
      </c>
      <c r="BF41" s="110">
        <f>SUMPRODUCT(($M41:$S41="M")*6+($M41:$S41="T")*6+($M41:$S41="D")*12+($M41:$S41="N")*12+($M41:$S41="NT")*6+($M41:$S41="C")*10+($M41:$S41="A")*8+($M41:$S41="J")*5+($M41:$S41="E")*4+($M41:$S41="P")*6+($M41:$S41="R")*6)</f>
        <v/>
      </c>
      <c r="BG41" s="110">
        <f>SUMPRODUCT(($T41:$Z41="M")*6+($T41:$Z41="T")*6+($T41:$Z41="D")*12+($T41:$Z41="N")*12+($T41:$Z41="NT")*6+($T41:$Z41="C")*10+($T41:$Z41="A")*8+($T41:$Z41="J")*5+($T41:$Z41="E")*4+($T41:$Z41="P")*6+($T41:$Z41="R")*6)</f>
        <v/>
      </c>
      <c r="BH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I41" s="110">
        <f>SUMPRODUCT(($AH41:$AM41="M")*6+($AH41:$AM41="T")*6+($AH41:$AM41="D")*12+($AH41:$AM41="N")*12+($AH41:$AM41="NT")*6+($AH41:$AM41="C")*10+($AH41:$AM41="A")*8+($AH41:$AM41="J")*5+($AH41:$AM41="E")*4+($AH41:$AM41="P")*6+($AH41:$AM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17" t="inlineStr">
        <is>
          <t>T</t>
        </is>
      </c>
      <c r="R42" s="117" t="inlineStr">
        <is>
          <t>T</t>
        </is>
      </c>
      <c r="S42" s="116" t="inlineStr">
        <is>
          <t>N</t>
        </is>
      </c>
      <c r="T42" s="107" t="n"/>
      <c r="U42" s="107" t="n"/>
      <c r="V42" s="116" t="inlineStr">
        <is>
          <t>N</t>
        </is>
      </c>
      <c r="W42" s="116" t="inlineStr">
        <is>
          <t>N</t>
        </is>
      </c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109">
        <f>IFERROR(INDEX(FEV!I$8:I$73,MATCH($A42,FEV!$A$8:$A$73,0))&amp;"","")</f>
        <v/>
      </c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SUMPRODUCT(($F42:$L42="M")*6+($F42:$L42="T")*6+($F42:$L42="D")*12+($F42:$L42="N")*12+($F42:$L42="NT")*6+($F42:$L42="C")*10+($F42:$L42="A")*8+($F42:$L42="J")*5+($F42:$L42="E")*4+($F42:$L42="P")*6+($F42:$L42="R")*6)</f>
        <v/>
      </c>
      <c r="BF42" s="110">
        <f>SUMPRODUCT(($M42:$S42="M")*6+($M42:$S42="T")*6+($M42:$S42="D")*12+($M42:$S42="N")*12+($M42:$S42="NT")*6+($M42:$S42="C")*10+($M42:$S42="A")*8+($M42:$S42="J")*5+($M42:$S42="E")*4+($M42:$S42="P")*6+($M42:$S42="R")*6)</f>
        <v/>
      </c>
      <c r="BG42" s="110">
        <f>SUMPRODUCT(($T42:$Z42="M")*6+($T42:$Z42="T")*6+($T42:$Z42="D")*12+($T42:$Z42="N")*12+($T42:$Z42="NT")*6+($T42:$Z42="C")*10+($T42:$Z42="A")*8+($T42:$Z42="J")*5+($T42:$Z42="E")*4+($T42:$Z42="P")*6+($T42:$Z42="R")*6)</f>
        <v/>
      </c>
      <c r="BH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I42" s="110">
        <f>SUMPRODUCT(($AH42:$AM42="M")*6+($AH42:$AM42="T")*6+($AH42:$AM42="D")*12+($AH42:$AM42="N")*12+($AH42:$AM42="NT")*6+($AH42:$AM42="C")*10+($AH42:$AM42="A")*8+($AH42:$AM42="J")*5+($AH42:$AM42="E")*4+($AH42:$AM42="P")*6+($AH42:$AM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18" t="inlineStr">
        <is>
          <t>NT</t>
        </is>
      </c>
      <c r="AC43" s="107" t="n"/>
      <c r="AD43" s="116" t="inlineStr">
        <is>
          <t>N</t>
        </is>
      </c>
      <c r="AE43" s="107" t="n"/>
      <c r="AF43" s="107" t="n"/>
      <c r="AG43" s="116" t="inlineStr">
        <is>
          <t>N</t>
        </is>
      </c>
      <c r="AH43" s="107" t="n"/>
      <c r="AI43" s="116" t="inlineStr">
        <is>
          <t>N</t>
        </is>
      </c>
      <c r="AJ43" s="107" t="n"/>
      <c r="AK43" s="107" t="n"/>
      <c r="AL43" s="116" t="inlineStr">
        <is>
          <t>N</t>
        </is>
      </c>
      <c r="AM43" s="118" t="inlineStr">
        <is>
          <t>NT</t>
        </is>
      </c>
      <c r="AN43" s="109">
        <f>IFERROR(INDEX(FEV!I$8:I$73,MATCH($A43,FEV!$A$8:$A$73,0))&amp;"","")</f>
        <v/>
      </c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SUMPRODUCT(($F43:$L43="M")*6+($F43:$L43="T")*6+($F43:$L43="D")*12+($F43:$L43="N")*12+($F43:$L43="NT")*6+($F43:$L43="C")*10+($F43:$L43="A")*8+($F43:$L43="J")*5+($F43:$L43="E")*4+($F43:$L43="P")*6+($F43:$L43="R")*6)</f>
        <v/>
      </c>
      <c r="BF43" s="110">
        <f>SUMPRODUCT(($M43:$S43="M")*6+($M43:$S43="T")*6+($M43:$S43="D")*12+($M43:$S43="N")*12+($M43:$S43="NT")*6+($M43:$S43="C")*10+($M43:$S43="A")*8+($M43:$S43="J")*5+($M43:$S43="E")*4+($M43:$S43="P")*6+($M43:$S43="R")*6)</f>
        <v/>
      </c>
      <c r="BG43" s="110">
        <f>SUMPRODUCT(($T43:$Z43="M")*6+($T43:$Z43="T")*6+($T43:$Z43="D")*12+($T43:$Z43="N")*12+($T43:$Z43="NT")*6+($T43:$Z43="C")*10+($T43:$Z43="A")*8+($T43:$Z43="J")*5+($T43:$Z43="E")*4+($T43:$Z43="P")*6+($T43:$Z43="R")*6)</f>
        <v/>
      </c>
      <c r="BH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I43" s="110">
        <f>SUMPRODUCT(($AH43:$AM43="M")*6+($AH43:$AM43="T")*6+($AH43:$AM43="D")*12+($AH43:$AM43="N")*12+($AH43:$AM43="NT")*6+($AH43:$AM43="C")*10+($AH43:$AM43="A")*8+($AH43:$AM43="J")*5+($AH43:$AM43="E")*4+($AH43:$AM43="P")*6+($AH43:$AM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15" t="inlineStr">
        <is>
          <t>D</t>
        </is>
      </c>
      <c r="K44" s="107" t="n"/>
      <c r="L44" s="107" t="n"/>
      <c r="M44" s="107" t="n"/>
      <c r="N44" s="115" t="inlineStr">
        <is>
          <t>D</t>
        </is>
      </c>
      <c r="O44" s="107" t="n"/>
      <c r="P44" s="107" t="n"/>
      <c r="Q44" s="115" t="inlineStr">
        <is>
          <t>D</t>
        </is>
      </c>
      <c r="R44" s="107" t="n"/>
      <c r="S44" s="107" t="n"/>
      <c r="T44" s="107" t="n"/>
      <c r="U44" s="107" t="n"/>
      <c r="V44" s="107" t="n"/>
      <c r="W44" s="107" t="n"/>
      <c r="X44" s="115" t="inlineStr">
        <is>
          <t>D</t>
        </is>
      </c>
      <c r="Y44" s="115" t="inlineStr">
        <is>
          <t>D</t>
        </is>
      </c>
      <c r="Z44" s="108" t="inlineStr">
        <is>
          <t>M</t>
        </is>
      </c>
      <c r="AA44" s="107" t="n"/>
      <c r="AB44" s="107" t="n"/>
      <c r="AC44" s="107" t="n"/>
      <c r="AD44" s="107" t="n"/>
      <c r="AE44" s="116" t="inlineStr">
        <is>
          <t>N</t>
        </is>
      </c>
      <c r="AF44" s="107" t="n"/>
      <c r="AG44" s="115" t="inlineStr">
        <is>
          <t>D</t>
        </is>
      </c>
      <c r="AH44" s="107" t="n"/>
      <c r="AI44" s="115" t="inlineStr">
        <is>
          <t>D</t>
        </is>
      </c>
      <c r="AJ44" s="108" t="inlineStr">
        <is>
          <t>M</t>
        </is>
      </c>
      <c r="AK44" s="107" t="n"/>
      <c r="AL44" s="107" t="n"/>
      <c r="AM44" s="107" t="n"/>
      <c r="AN44" s="109">
        <f>IFERROR(INDEX(FEV!I$8:I$73,MATCH($A44,FEV!$A$8:$A$73,0))&amp;"","")</f>
        <v/>
      </c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SUMPRODUCT(($F44:$L44="M")*6+($F44:$L44="T")*6+($F44:$L44="D")*12+($F44:$L44="N")*12+($F44:$L44="NT")*6+($F44:$L44="C")*10+($F44:$L44="A")*8+($F44:$L44="J")*5+($F44:$L44="E")*4+($F44:$L44="P")*6+($F44:$L44="R")*6)</f>
        <v/>
      </c>
      <c r="BF44" s="110">
        <f>SUMPRODUCT(($M44:$S44="M")*6+($M44:$S44="T")*6+($M44:$S44="D")*12+($M44:$S44="N")*12+($M44:$S44="NT")*6+($M44:$S44="C")*10+($M44:$S44="A")*8+($M44:$S44="J")*5+($M44:$S44="E")*4+($M44:$S44="P")*6+($M44:$S44="R")*6)</f>
        <v/>
      </c>
      <c r="BG44" s="110">
        <f>SUMPRODUCT(($T44:$Z44="M")*6+($T44:$Z44="T")*6+($T44:$Z44="D")*12+($T44:$Z44="N")*12+($T44:$Z44="NT")*6+($T44:$Z44="C")*10+($T44:$Z44="A")*8+($T44:$Z44="J")*5+($T44:$Z44="E")*4+($T44:$Z44="P")*6+($T44:$Z44="R")*6)</f>
        <v/>
      </c>
      <c r="BH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I44" s="110">
        <f>SUMPRODUCT(($AH44:$AM44="M")*6+($AH44:$AM44="T")*6+($AH44:$AM44="D")*12+($AH44:$AM44="N")*12+($AH44:$AM44="NT")*6+($AH44:$AM44="C")*10+($AH44:$AM44="A")*8+($AH44:$AM44="J")*5+($AH44:$AM44="E")*4+($AH44:$AM44="P")*6+($AH44:$AM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7" t="n"/>
      <c r="N45" s="107" t="n"/>
      <c r="O45" s="107" t="n"/>
      <c r="P45" s="107" t="n"/>
      <c r="Q45" s="116" t="inlineStr">
        <is>
          <t>N</t>
        </is>
      </c>
      <c r="R45" s="107" t="n"/>
      <c r="S45" s="116" t="inlineStr">
        <is>
          <t>N</t>
        </is>
      </c>
      <c r="T45" s="108" t="inlineStr">
        <is>
          <t>M</t>
        </is>
      </c>
      <c r="U45" s="115" t="inlineStr">
        <is>
          <t>D</t>
        </is>
      </c>
      <c r="V45" s="107" t="n"/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109">
        <f>IFERROR(INDEX(FEV!I$8:I$73,MATCH($A45,FEV!$A$8:$A$73,0))&amp;"","")</f>
        <v/>
      </c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SUMPRODUCT(($F45:$L45="M")*6+($F45:$L45="T")*6+($F45:$L45="D")*12+($F45:$L45="N")*12+($F45:$L45="NT")*6+($F45:$L45="C")*10+($F45:$L45="A")*8+($F45:$L45="J")*5+($F45:$L45="E")*4+($F45:$L45="P")*6+($F45:$L45="R")*6)</f>
        <v/>
      </c>
      <c r="BF45" s="110">
        <f>SUMPRODUCT(($M45:$S45="M")*6+($M45:$S45="T")*6+($M45:$S45="D")*12+($M45:$S45="N")*12+($M45:$S45="NT")*6+($M45:$S45="C")*10+($M45:$S45="A")*8+($M45:$S45="J")*5+($M45:$S45="E")*4+($M45:$S45="P")*6+($M45:$S45="R")*6)</f>
        <v/>
      </c>
      <c r="BG45" s="110">
        <f>SUMPRODUCT(($T45:$Z45="M")*6+($T45:$Z45="T")*6+($T45:$Z45="D")*12+($T45:$Z45="N")*12+($T45:$Z45="NT")*6+($T45:$Z45="C")*10+($T45:$Z45="A")*8+($T45:$Z45="J")*5+($T45:$Z45="E")*4+($T45:$Z45="P")*6+($T45:$Z45="R")*6)</f>
        <v/>
      </c>
      <c r="BH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I45" s="110">
        <f>SUMPRODUCT(($AH45:$AM45="M")*6+($AH45:$AM45="T")*6+($AH45:$AM45="D")*12+($AH45:$AM45="N")*12+($AH45:$AM45="NT")*6+($AH45:$AM45="C")*10+($AH45:$AM45="A")*8+($AH45:$AM45="J")*5+($AH45:$AM45="E")*4+($AH45:$AM45="P")*6+($AH45:$AM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16" t="inlineStr">
        <is>
          <t>N</t>
        </is>
      </c>
      <c r="K46" s="107" t="n"/>
      <c r="L46" s="107" t="n"/>
      <c r="M46" s="107" t="n"/>
      <c r="N46" s="115" t="inlineStr">
        <is>
          <t>D</t>
        </is>
      </c>
      <c r="O46" s="107" t="n"/>
      <c r="P46" s="107" t="n"/>
      <c r="Q46" s="115" t="inlineStr">
        <is>
          <t>D</t>
        </is>
      </c>
      <c r="R46" s="107" t="n"/>
      <c r="S46" s="107" t="n"/>
      <c r="T46" s="107" t="n"/>
      <c r="U46" s="115" t="inlineStr">
        <is>
          <t>D</t>
        </is>
      </c>
      <c r="V46" s="107" t="n"/>
      <c r="W46" s="107" t="n"/>
      <c r="X46" s="107" t="n"/>
      <c r="Y46" s="108" t="inlineStr">
        <is>
          <t>M</t>
        </is>
      </c>
      <c r="Z46" s="116" t="inlineStr">
        <is>
          <t>N</t>
        </is>
      </c>
      <c r="AA46" s="107" t="n"/>
      <c r="AB46" s="115" t="inlineStr">
        <is>
          <t>D</t>
        </is>
      </c>
      <c r="AC46" s="107" t="n"/>
      <c r="AD46" s="107" t="n"/>
      <c r="AE46" s="117" t="inlineStr">
        <is>
          <t>T</t>
        </is>
      </c>
      <c r="AF46" s="107" t="n"/>
      <c r="AG46" s="107" t="n"/>
      <c r="AH46" s="107" t="n"/>
      <c r="AI46" s="108" t="inlineStr">
        <is>
          <t>M</t>
        </is>
      </c>
      <c r="AJ46" s="107" t="n"/>
      <c r="AK46" s="107" t="n"/>
      <c r="AL46" s="107" t="n"/>
      <c r="AM46" s="117" t="inlineStr">
        <is>
          <t>T</t>
        </is>
      </c>
      <c r="AN46" s="109">
        <f>IFERROR(INDEX(FEV!I$8:I$73,MATCH($A46,FEV!$A$8:$A$73,0))&amp;"","")</f>
        <v/>
      </c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SUMPRODUCT(($F46:$L46="M")*6+($F46:$L46="T")*6+($F46:$L46="D")*12+($F46:$L46="N")*12+($F46:$L46="NT")*6+($F46:$L46="C")*10+($F46:$L46="A")*8+($F46:$L46="J")*5+($F46:$L46="E")*4+($F46:$L46="P")*6+($F46:$L46="R")*6)</f>
        <v/>
      </c>
      <c r="BF46" s="110">
        <f>SUMPRODUCT(($M46:$S46="M")*6+($M46:$S46="T")*6+($M46:$S46="D")*12+($M46:$S46="N")*12+($M46:$S46="NT")*6+($M46:$S46="C")*10+($M46:$S46="A")*8+($M46:$S46="J")*5+($M46:$S46="E")*4+($M46:$S46="P")*6+($M46:$S46="R")*6)</f>
        <v/>
      </c>
      <c r="BG46" s="110">
        <f>SUMPRODUCT(($T46:$Z46="M")*6+($T46:$Z46="T")*6+($T46:$Z46="D")*12+($T46:$Z46="N")*12+($T46:$Z46="NT")*6+($T46:$Z46="C")*10+($T46:$Z46="A")*8+($T46:$Z46="J")*5+($T46:$Z46="E")*4+($T46:$Z46="P")*6+($T46:$Z46="R")*6)</f>
        <v/>
      </c>
      <c r="BH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I46" s="110">
        <f>SUMPRODUCT(($AH46:$AM46="M")*6+($AH46:$AM46="T")*6+($AH46:$AM46="D")*12+($AH46:$AM46="N")*12+($AH46:$AM46="NT")*6+($AH46:$AM46="C")*10+($AH46:$AM46="A")*8+($AH46:$AM46="J")*5+($AH46:$AM46="E")*4+($AH46:$AM46="P")*6+($AH46:$AM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9">
        <f>IFERROR(INDEX(FEV!I$8:I$73,MATCH($A47,FEV!$A$8:$A$73,0))&amp;"","")</f>
        <v/>
      </c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SUMPRODUCT(($F47:$L47="M")*6+($F47:$L47="T")*6+($F47:$L47="D")*12+($F47:$L47="N")*12+($F47:$L47="NT")*6+($F47:$L47="C")*10+($F47:$L47="A")*8+($F47:$L47="J")*5+($F47:$L47="E")*4+($F47:$L47="P")*6+($F47:$L47="R")*6)</f>
        <v/>
      </c>
      <c r="BF47" s="110">
        <f>SUMPRODUCT(($M47:$S47="M")*6+($M47:$S47="T")*6+($M47:$S47="D")*12+($M47:$S47="N")*12+($M47:$S47="NT")*6+($M47:$S47="C")*10+($M47:$S47="A")*8+($M47:$S47="J")*5+($M47:$S47="E")*4+($M47:$S47="P")*6+($M47:$S47="R")*6)</f>
        <v/>
      </c>
      <c r="BG47" s="110">
        <f>SUMPRODUCT(($T47:$Z47="M")*6+($T47:$Z47="T")*6+($T47:$Z47="D")*12+($T47:$Z47="N")*12+($T47:$Z47="NT")*6+($T47:$Z47="C")*10+($T47:$Z47="A")*8+($T47:$Z47="J")*5+($T47:$Z47="E")*4+($T47:$Z47="P")*6+($T47:$Z47="R")*6)</f>
        <v/>
      </c>
      <c r="BH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I47" s="110">
        <f>SUMPRODUCT(($AH47:$AM47="M")*6+($AH47:$AM47="T")*6+($AH47:$AM47="D")*12+($AH47:$AM47="N")*12+($AH47:$AM47="NT")*6+($AH47:$AM47="C")*10+($AH47:$AM47="A")*8+($AH47:$AM47="J")*5+($AH47:$AM47="E")*4+($AH47:$AM47="P")*6+($AH47:$AM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>
        <f>IFERROR(INDEX(FEV!I$8:I$73,MATCH($A48,FEV!$A$8:$A$73,0))&amp;"","")</f>
        <v/>
      </c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SUMPRODUCT(($F48:$L48="M")*6+($F48:$L48="T")*6+($F48:$L48="D")*12+($F48:$L48="N")*12+($F48:$L48="NT")*6+($F48:$L48="C")*10+($F48:$L48="A")*8+($F48:$L48="J")*5+($F48:$L48="E")*4+($F48:$L48="P")*6+($F48:$L48="R")*6)</f>
        <v/>
      </c>
      <c r="BF48" s="110">
        <f>SUMPRODUCT(($M48:$S48="M")*6+($M48:$S48="T")*6+($M48:$S48="D")*12+($M48:$S48="N")*12+($M48:$S48="NT")*6+($M48:$S48="C")*10+($M48:$S48="A")*8+($M48:$S48="J")*5+($M48:$S48="E")*4+($M48:$S48="P")*6+($M48:$S48="R")*6)</f>
        <v/>
      </c>
      <c r="BG48" s="110">
        <f>SUMPRODUCT(($T48:$Z48="M")*6+($T48:$Z48="T")*6+($T48:$Z48="D")*12+($T48:$Z48="N")*12+($T48:$Z48="NT")*6+($T48:$Z48="C")*10+($T48:$Z48="A")*8+($T48:$Z48="J")*5+($T48:$Z48="E")*4+($T48:$Z48="P")*6+($T48:$Z48="R")*6)</f>
        <v/>
      </c>
      <c r="BH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I48" s="110">
        <f>SUMPRODUCT(($AH48:$AM48="M")*6+($AH48:$AM48="T")*6+($AH48:$AM48="D")*12+($AH48:$AM48="N")*12+($AH48:$AM48="NT")*6+($AH48:$AM48="C")*10+($AH48:$AM48="A")*8+($AH48:$AM48="J")*5+($AH48:$AM48="E")*4+($AH48:$AM48="P")*6+($AH48:$AM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17" t="inlineStr">
        <is>
          <t>T</t>
        </is>
      </c>
      <c r="M49" s="107" t="n"/>
      <c r="N49" s="107" t="n"/>
      <c r="O49" s="115" t="inlineStr">
        <is>
          <t>D</t>
        </is>
      </c>
      <c r="P49" s="107" t="n"/>
      <c r="Q49" s="107" t="n"/>
      <c r="R49" s="115" t="inlineStr">
        <is>
          <t>D</t>
        </is>
      </c>
      <c r="S49" s="108" t="inlineStr">
        <is>
          <t>M</t>
        </is>
      </c>
      <c r="T49" s="115" t="inlineStr">
        <is>
          <t>D</t>
        </is>
      </c>
      <c r="U49" s="107" t="n"/>
      <c r="V49" s="115" t="inlineStr">
        <is>
          <t>D</t>
        </is>
      </c>
      <c r="W49" s="117" t="inlineStr">
        <is>
          <t>T</t>
        </is>
      </c>
      <c r="X49" s="107" t="n"/>
      <c r="Y49" s="107" t="n"/>
      <c r="Z49" s="107" t="n"/>
      <c r="AA49" s="115" t="inlineStr">
        <is>
          <t>D</t>
        </is>
      </c>
      <c r="AB49" s="107" t="n"/>
      <c r="AC49" s="115" t="inlineStr">
        <is>
          <t>D</t>
        </is>
      </c>
      <c r="AD49" s="108" t="inlineStr">
        <is>
          <t>M</t>
        </is>
      </c>
      <c r="AE49" s="107" t="n"/>
      <c r="AF49" s="107" t="n"/>
      <c r="AG49" s="107" t="n"/>
      <c r="AH49" s="115" t="inlineStr">
        <is>
          <t>D</t>
        </is>
      </c>
      <c r="AI49" s="107" t="n"/>
      <c r="AJ49" s="117" t="inlineStr">
        <is>
          <t>T</t>
        </is>
      </c>
      <c r="AK49" s="107" t="n"/>
      <c r="AL49" s="116" t="inlineStr">
        <is>
          <t>N</t>
        </is>
      </c>
      <c r="AM49" s="107" t="n"/>
      <c r="AN49" s="109">
        <f>IFERROR(INDEX(FEV!I$8:I$73,MATCH($A49,FEV!$A$8:$A$73,0))&amp;"","")</f>
        <v/>
      </c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SUMPRODUCT(($F49:$L49="M")*6+($F49:$L49="T")*6+($F49:$L49="D")*12+($F49:$L49="N")*12+($F49:$L49="NT")*6+($F49:$L49="C")*10+($F49:$L49="A")*8+($F49:$L49="J")*5+($F49:$L49="E")*4+($F49:$L49="P")*6+($F49:$L49="R")*6)</f>
        <v/>
      </c>
      <c r="BF49" s="110">
        <f>SUMPRODUCT(($M49:$S49="M")*6+($M49:$S49="T")*6+($M49:$S49="D")*12+($M49:$S49="N")*12+($M49:$S49="NT")*6+($M49:$S49="C")*10+($M49:$S49="A")*8+($M49:$S49="J")*5+($M49:$S49="E")*4+($M49:$S49="P")*6+($M49:$S49="R")*6)</f>
        <v/>
      </c>
      <c r="BG49" s="110">
        <f>SUMPRODUCT(($T49:$Z49="M")*6+($T49:$Z49="T")*6+($T49:$Z49="D")*12+($T49:$Z49="N")*12+($T49:$Z49="NT")*6+($T49:$Z49="C")*10+($T49:$Z49="A")*8+($T49:$Z49="J")*5+($T49:$Z49="E")*4+($T49:$Z49="P")*6+($T49:$Z49="R")*6)</f>
        <v/>
      </c>
      <c r="BH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I49" s="110">
        <f>SUMPRODUCT(($AH49:$AM49="M")*6+($AH49:$AM49="T")*6+($AH49:$AM49="D")*12+($AH49:$AM49="N")*12+($AH49:$AM49="NT")*6+($AH49:$AM49="C")*10+($AH49:$AM49="A")*8+($AH49:$AM49="J")*5+($AH49:$AM49="E")*4+($AH49:$AM49="P")*6+($AH49:$AM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7" t="n"/>
      <c r="J50" s="117" t="inlineStr">
        <is>
          <t>T</t>
        </is>
      </c>
      <c r="K50" s="107" t="n"/>
      <c r="L50" s="107" t="n"/>
      <c r="M50" s="107" t="n"/>
      <c r="N50" s="107" t="n"/>
      <c r="O50" s="108" t="inlineStr">
        <is>
          <t>M</t>
        </is>
      </c>
      <c r="P50" s="107" t="n"/>
      <c r="Q50" s="116" t="inlineStr">
        <is>
          <t>N</t>
        </is>
      </c>
      <c r="R50" s="107" t="n"/>
      <c r="S50" s="108" t="inlineStr">
        <is>
          <t>M</t>
        </is>
      </c>
      <c r="T50" s="117" t="inlineStr">
        <is>
          <t>T</t>
        </is>
      </c>
      <c r="U50" s="108" t="inlineStr">
        <is>
          <t>M</t>
        </is>
      </c>
      <c r="V50" s="107" t="n"/>
      <c r="W50" s="107" t="n"/>
      <c r="X50" s="117" t="inlineStr">
        <is>
          <t>T</t>
        </is>
      </c>
      <c r="Y50" s="107" t="n"/>
      <c r="Z50" s="117" t="inlineStr">
        <is>
          <t>T</t>
        </is>
      </c>
      <c r="AA50" s="107" t="n"/>
      <c r="AB50" s="107" t="n"/>
      <c r="AC50" s="108" t="inlineStr">
        <is>
          <t>M</t>
        </is>
      </c>
      <c r="AD50" s="107" t="n"/>
      <c r="AE50" s="107" t="n"/>
      <c r="AF50" s="115" t="inlineStr">
        <is>
          <t>D</t>
        </is>
      </c>
      <c r="AG50" s="108" t="inlineStr">
        <is>
          <t>M</t>
        </is>
      </c>
      <c r="AH50" s="107" t="n"/>
      <c r="AI50" s="108" t="inlineStr">
        <is>
          <t>M</t>
        </is>
      </c>
      <c r="AJ50" s="115" t="inlineStr">
        <is>
          <t>D</t>
        </is>
      </c>
      <c r="AK50" s="107" t="n"/>
      <c r="AL50" s="117" t="inlineStr">
        <is>
          <t>T</t>
        </is>
      </c>
      <c r="AM50" s="107" t="n"/>
      <c r="AN50" s="109">
        <f>IFERROR(INDEX(FEV!I$8:I$73,MATCH($A50,FEV!$A$8:$A$73,0))&amp;"","")</f>
        <v/>
      </c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SUMPRODUCT(($F50:$L50="M")*6+($F50:$L50="T")*6+($F50:$L50="D")*12+($F50:$L50="N")*12+($F50:$L50="NT")*6+($F50:$L50="C")*10+($F50:$L50="A")*8+($F50:$L50="J")*5+($F50:$L50="E")*4+($F50:$L50="P")*6+($F50:$L50="R")*6)</f>
        <v/>
      </c>
      <c r="BF50" s="110">
        <f>SUMPRODUCT(($M50:$S50="M")*6+($M50:$S50="T")*6+($M50:$S50="D")*12+($M50:$S50="N")*12+($M50:$S50="NT")*6+($M50:$S50="C")*10+($M50:$S50="A")*8+($M50:$S50="J")*5+($M50:$S50="E")*4+($M50:$S50="P")*6+($M50:$S50="R")*6)</f>
        <v/>
      </c>
      <c r="BG50" s="110">
        <f>SUMPRODUCT(($T50:$Z50="M")*6+($T50:$Z50="T")*6+($T50:$Z50="D")*12+($T50:$Z50="N")*12+($T50:$Z50="NT")*6+($T50:$Z50="C")*10+($T50:$Z50="A")*8+($T50:$Z50="J")*5+($T50:$Z50="E")*4+($T50:$Z50="P")*6+($T50:$Z50="R")*6)</f>
        <v/>
      </c>
      <c r="BH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I50" s="110">
        <f>SUMPRODUCT(($AH50:$AM50="M")*6+($AH50:$AM50="T")*6+($AH50:$AM50="D")*12+($AH50:$AM50="N")*12+($AH50:$AM50="NT")*6+($AH50:$AM50="C")*10+($AH50:$AM50="A")*8+($AH50:$AM50="J")*5+($AH50:$AM50="E")*4+($AH50:$AM50="P")*6+($AH50:$AM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>
        <f>IFERROR(INDEX(FEV!I$8:I$73,MATCH($A51,FEV!$A$8:$A$73,0))&amp;"","")</f>
        <v/>
      </c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SUMPRODUCT(($F51:$L51="M")*6+($F51:$L51="T")*6+($F51:$L51="D")*12+($F51:$L51="N")*12+($F51:$L51="NT")*6+($F51:$L51="C")*10+($F51:$L51="A")*8+($F51:$L51="J")*5+($F51:$L51="E")*4+($F51:$L51="P")*6+($F51:$L51="R")*6)</f>
        <v/>
      </c>
      <c r="BF51" s="110">
        <f>SUMPRODUCT(($M51:$S51="M")*6+($M51:$S51="T")*6+($M51:$S51="D")*12+($M51:$S51="N")*12+($M51:$S51="NT")*6+($M51:$S51="C")*10+($M51:$S51="A")*8+($M51:$S51="J")*5+($M51:$S51="E")*4+($M51:$S51="P")*6+($M51:$S51="R")*6)</f>
        <v/>
      </c>
      <c r="BG51" s="110">
        <f>SUMPRODUCT(($T51:$Z51="M")*6+($T51:$Z51="T")*6+($T51:$Z51="D")*12+($T51:$Z51="N")*12+($T51:$Z51="NT")*6+($T51:$Z51="C")*10+($T51:$Z51="A")*8+($T51:$Z51="J")*5+($T51:$Z51="E")*4+($T51:$Z51="P")*6+($T51:$Z51="R")*6)</f>
        <v/>
      </c>
      <c r="BH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I51" s="110">
        <f>SUMPRODUCT(($AH51:$AM51="M")*6+($AH51:$AM51="T")*6+($AH51:$AM51="D")*12+($AH51:$AM51="N")*12+($AH51:$AM51="NT")*6+($AH51:$AM51="C")*10+($AH51:$AM51="A")*8+($AH51:$AM51="J")*5+($AH51:$AM51="E")*4+($AH51:$AM51="P")*6+($AH51:$AM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07" t="n"/>
      <c r="J52" s="107" t="n"/>
      <c r="K52" s="116" t="inlineStr">
        <is>
          <t>N</t>
        </is>
      </c>
      <c r="L52" s="107" t="n"/>
      <c r="M52" s="116" t="inlineStr">
        <is>
          <t>N</t>
        </is>
      </c>
      <c r="N52" s="107" t="n"/>
      <c r="O52" s="107" t="n"/>
      <c r="P52" s="116" t="inlineStr">
        <is>
          <t>N</t>
        </is>
      </c>
      <c r="Q52" s="107" t="n"/>
      <c r="R52" s="107" t="n"/>
      <c r="S52" s="107" t="n"/>
      <c r="T52" s="116" t="inlineStr">
        <is>
          <t>N</t>
        </is>
      </c>
      <c r="U52" s="107" t="n"/>
      <c r="V52" s="107" t="n"/>
      <c r="W52" s="107" t="n"/>
      <c r="X52" s="107" t="n"/>
      <c r="Y52" s="116" t="inlineStr">
        <is>
          <t>N</t>
        </is>
      </c>
      <c r="Z52" s="107" t="n"/>
      <c r="AA52" s="116" t="inlineStr">
        <is>
          <t>N</t>
        </is>
      </c>
      <c r="AB52" s="107" t="n"/>
      <c r="AC52" s="107" t="n"/>
      <c r="AD52" s="116" t="inlineStr">
        <is>
          <t>N</t>
        </is>
      </c>
      <c r="AE52" s="107" t="n"/>
      <c r="AF52" s="107" t="n"/>
      <c r="AG52" s="107" t="n"/>
      <c r="AH52" s="116" t="inlineStr">
        <is>
          <t>N</t>
        </is>
      </c>
      <c r="AI52" s="107" t="n"/>
      <c r="AJ52" s="107" t="n"/>
      <c r="AK52" s="107" t="n"/>
      <c r="AL52" s="107" t="n"/>
      <c r="AM52" s="116" t="inlineStr">
        <is>
          <t>N</t>
        </is>
      </c>
      <c r="AN52" s="109">
        <f>IFERROR(INDEX(FEV!I$8:I$73,MATCH($A52,FEV!$A$8:$A$73,0))&amp;"","")</f>
        <v/>
      </c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SUMPRODUCT(($F52:$L52="M")*6+($F52:$L52="T")*6+($F52:$L52="D")*12+($F52:$L52="N")*12+($F52:$L52="NT")*6+($F52:$L52="C")*10+($F52:$L52="A")*8+($F52:$L52="J")*5+($F52:$L52="E")*4+($F52:$L52="P")*6+($F52:$L52="R")*6)</f>
        <v/>
      </c>
      <c r="BF52" s="110">
        <f>SUMPRODUCT(($M52:$S52="M")*6+($M52:$S52="T")*6+($M52:$S52="D")*12+($M52:$S52="N")*12+($M52:$S52="NT")*6+($M52:$S52="C")*10+($M52:$S52="A")*8+($M52:$S52="J")*5+($M52:$S52="E")*4+($M52:$S52="P")*6+($M52:$S52="R")*6)</f>
        <v/>
      </c>
      <c r="BG52" s="110">
        <f>SUMPRODUCT(($T52:$Z52="M")*6+($T52:$Z52="T")*6+($T52:$Z52="D")*12+($T52:$Z52="N")*12+($T52:$Z52="NT")*6+($T52:$Z52="C")*10+($T52:$Z52="A")*8+($T52:$Z52="J")*5+($T52:$Z52="E")*4+($T52:$Z52="P")*6+($T52:$Z52="R")*6)</f>
        <v/>
      </c>
      <c r="BH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I52" s="110">
        <f>SUMPRODUCT(($AH52:$AM52="M")*6+($AH52:$AM52="T")*6+($AH52:$AM52="D")*12+($AH52:$AM52="N")*12+($AH52:$AM52="NT")*6+($AH52:$AM52="C")*10+($AH52:$AM52="A")*8+($AH52:$AM52="J")*5+($AH52:$AM52="E")*4+($AH52:$AM52="P")*6+($AH52:$AM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07" t="n"/>
      <c r="J53" s="107" t="n"/>
      <c r="K53" s="107" t="n"/>
      <c r="L53" s="116" t="inlineStr">
        <is>
          <t>N</t>
        </is>
      </c>
      <c r="M53" s="116" t="inlineStr">
        <is>
          <t>N</t>
        </is>
      </c>
      <c r="N53" s="116" t="inlineStr">
        <is>
          <t>N</t>
        </is>
      </c>
      <c r="O53" s="107" t="n"/>
      <c r="P53" s="107" t="n"/>
      <c r="Q53" s="107" t="n"/>
      <c r="R53" s="107" t="n"/>
      <c r="S53" s="107" t="n"/>
      <c r="T53" s="116" t="inlineStr">
        <is>
          <t>N</t>
        </is>
      </c>
      <c r="U53" s="116" t="inlineStr">
        <is>
          <t>N</t>
        </is>
      </c>
      <c r="V53" s="107" t="n"/>
      <c r="W53" s="107" t="n"/>
      <c r="X53" s="107" t="n"/>
      <c r="Y53" s="107" t="n"/>
      <c r="Z53" s="107" t="n"/>
      <c r="AA53" s="116" t="inlineStr">
        <is>
          <t>N</t>
        </is>
      </c>
      <c r="AB53" s="116" t="inlineStr">
        <is>
          <t>N</t>
        </is>
      </c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15" t="inlineStr">
        <is>
          <t>D</t>
        </is>
      </c>
      <c r="AN53" s="109">
        <f>IFERROR(INDEX(FEV!I$8:I$73,MATCH($A53,FEV!$A$8:$A$73,0))&amp;"","")</f>
        <v/>
      </c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SUMPRODUCT(($F53:$L53="M")*6+($F53:$L53="T")*6+($F53:$L53="D")*12+($F53:$L53="N")*12+($F53:$L53="NT")*6+($F53:$L53="C")*10+($F53:$L53="A")*8+($F53:$L53="J")*5+($F53:$L53="E")*4+($F53:$L53="P")*6+($F53:$L53="R")*6)</f>
        <v/>
      </c>
      <c r="BF53" s="110">
        <f>SUMPRODUCT(($M53:$S53="M")*6+($M53:$S53="T")*6+($M53:$S53="D")*12+($M53:$S53="N")*12+($M53:$S53="NT")*6+($M53:$S53="C")*10+($M53:$S53="A")*8+($M53:$S53="J")*5+($M53:$S53="E")*4+($M53:$S53="P")*6+($M53:$S53="R")*6)</f>
        <v/>
      </c>
      <c r="BG53" s="110">
        <f>SUMPRODUCT(($T53:$Z53="M")*6+($T53:$Z53="T")*6+($T53:$Z53="D")*12+($T53:$Z53="N")*12+($T53:$Z53="NT")*6+($T53:$Z53="C")*10+($T53:$Z53="A")*8+($T53:$Z53="J")*5+($T53:$Z53="E")*4+($T53:$Z53="P")*6+($T53:$Z53="R")*6)</f>
        <v/>
      </c>
      <c r="BH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I53" s="110">
        <f>SUMPRODUCT(($AH53:$AM53="M")*6+($AH53:$AM53="T")*6+($AH53:$AM53="D")*12+($AH53:$AM53="N")*12+($AH53:$AM53="NT")*6+($AH53:$AM53="C")*10+($AH53:$AM53="A")*8+($AH53:$AM53="J")*5+($AH53:$AM53="E")*4+($AH53:$AM53="P")*6+($AH53:$AM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07" t="n"/>
      <c r="M54" s="107" t="n"/>
      <c r="N54" s="107" t="n"/>
      <c r="O54" s="107" t="n"/>
      <c r="P54" s="116" t="inlineStr">
        <is>
          <t>N</t>
        </is>
      </c>
      <c r="Q54" s="107" t="n"/>
      <c r="R54" s="117" t="inlineStr">
        <is>
          <t>T</t>
        </is>
      </c>
      <c r="S54" s="115" t="inlineStr">
        <is>
          <t>D</t>
        </is>
      </c>
      <c r="T54" s="107" t="n"/>
      <c r="U54" s="107" t="n"/>
      <c r="V54" s="117" t="inlineStr">
        <is>
          <t>T</t>
        </is>
      </c>
      <c r="W54" s="116" t="inlineStr">
        <is>
          <t>N</t>
        </is>
      </c>
      <c r="X54" s="107" t="n"/>
      <c r="Y54" s="107" t="n"/>
      <c r="Z54" s="107" t="n"/>
      <c r="AA54" s="107" t="n"/>
      <c r="AB54" s="107" t="n"/>
      <c r="AC54" s="117" t="inlineStr">
        <is>
          <t>T</t>
        </is>
      </c>
      <c r="AD54" s="116" t="inlineStr">
        <is>
          <t>N</t>
        </is>
      </c>
      <c r="AE54" s="107" t="n"/>
      <c r="AF54" s="116" t="inlineStr">
        <is>
          <t>N</t>
        </is>
      </c>
      <c r="AG54" s="107" t="n"/>
      <c r="AH54" s="107" t="n"/>
      <c r="AI54" s="107" t="n"/>
      <c r="AJ54" s="117" t="inlineStr">
        <is>
          <t>T</t>
        </is>
      </c>
      <c r="AK54" s="116" t="inlineStr">
        <is>
          <t>N</t>
        </is>
      </c>
      <c r="AL54" s="107" t="n"/>
      <c r="AM54" s="107" t="n"/>
      <c r="AN54" s="109">
        <f>IFERROR(INDEX(FEV!I$8:I$73,MATCH($A54,FEV!$A$8:$A$73,0))&amp;"","")</f>
        <v/>
      </c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SUMPRODUCT(($F54:$L54="M")*6+($F54:$L54="T")*6+($F54:$L54="D")*12+($F54:$L54="N")*12+($F54:$L54="NT")*6+($F54:$L54="C")*10+($F54:$L54="A")*8+($F54:$L54="J")*5+($F54:$L54="E")*4+($F54:$L54="P")*6+($F54:$L54="R")*6)</f>
        <v/>
      </c>
      <c r="BF54" s="110">
        <f>SUMPRODUCT(($M54:$S54="M")*6+($M54:$S54="T")*6+($M54:$S54="D")*12+($M54:$S54="N")*12+($M54:$S54="NT")*6+($M54:$S54="C")*10+($M54:$S54="A")*8+($M54:$S54="J")*5+($M54:$S54="E")*4+($M54:$S54="P")*6+($M54:$S54="R")*6)</f>
        <v/>
      </c>
      <c r="BG54" s="110">
        <f>SUMPRODUCT(($T54:$Z54="M")*6+($T54:$Z54="T")*6+($T54:$Z54="D")*12+($T54:$Z54="N")*12+($T54:$Z54="NT")*6+($T54:$Z54="C")*10+($T54:$Z54="A")*8+($T54:$Z54="J")*5+($T54:$Z54="E")*4+($T54:$Z54="P")*6+($T54:$Z54="R")*6)</f>
        <v/>
      </c>
      <c r="BH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I54" s="110">
        <f>SUMPRODUCT(($AH54:$AM54="M")*6+($AH54:$AM54="T")*6+($AH54:$AM54="D")*12+($AH54:$AM54="N")*12+($AH54:$AM54="NT")*6+($AH54:$AM54="C")*10+($AH54:$AM54="A")*8+($AH54:$AM54="J")*5+($AH54:$AM54="E")*4+($AH54:$AM54="P")*6+($AH54:$AM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9">
        <f>IFERROR(INDEX(FEV!I$8:I$73,MATCH($A55,FEV!$A$8:$A$73,0))&amp;"","")</f>
        <v/>
      </c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SUMPRODUCT(($F55:$L55="M")*6+($F55:$L55="T")*6+($F55:$L55="D")*12+($F55:$L55="N")*12+($F55:$L55="NT")*6+($F55:$L55="C")*10+($F55:$L55="A")*8+($F55:$L55="J")*5+($F55:$L55="E")*4+($F55:$L55="P")*6+($F55:$L55="R")*6)</f>
        <v/>
      </c>
      <c r="BF55" s="110">
        <f>SUMPRODUCT(($M55:$S55="M")*6+($M55:$S55="T")*6+($M55:$S55="D")*12+($M55:$S55="N")*12+($M55:$S55="NT")*6+($M55:$S55="C")*10+($M55:$S55="A")*8+($M55:$S55="J")*5+($M55:$S55="E")*4+($M55:$S55="P")*6+($M55:$S55="R")*6)</f>
        <v/>
      </c>
      <c r="BG55" s="110">
        <f>SUMPRODUCT(($T55:$Z55="M")*6+($T55:$Z55="T")*6+($T55:$Z55="D")*12+($T55:$Z55="N")*12+($T55:$Z55="NT")*6+($T55:$Z55="C")*10+($T55:$Z55="A")*8+($T55:$Z55="J")*5+($T55:$Z55="E")*4+($T55:$Z55="P")*6+($T55:$Z55="R")*6)</f>
        <v/>
      </c>
      <c r="BH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I55" s="110">
        <f>SUMPRODUCT(($AH55:$AM55="M")*6+($AH55:$AM55="T")*6+($AH55:$AM55="D")*12+($AH55:$AM55="N")*12+($AH55:$AM55="NT")*6+($AH55:$AM55="C")*10+($AH55:$AM55="A")*8+($AH55:$AM55="J")*5+($AH55:$AM55="E")*4+($AH55:$AM55="P")*6+($AH55:$AM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07" t="n"/>
      <c r="M56" s="107" t="n"/>
      <c r="N56" s="117" t="inlineStr">
        <is>
          <t>T</t>
        </is>
      </c>
      <c r="O56" s="107" t="n"/>
      <c r="P56" s="115" t="inlineStr">
        <is>
          <t>D</t>
        </is>
      </c>
      <c r="Q56" s="107" t="n"/>
      <c r="R56" s="108" t="inlineStr">
        <is>
          <t>M</t>
        </is>
      </c>
      <c r="S56" s="107" t="n"/>
      <c r="T56" s="107" t="n"/>
      <c r="U56" s="107" t="n"/>
      <c r="V56" s="107" t="n"/>
      <c r="W56" s="115" t="inlineStr">
        <is>
          <t>D</t>
        </is>
      </c>
      <c r="X56" s="116" t="inlineStr">
        <is>
          <t>N</t>
        </is>
      </c>
      <c r="Y56" s="107" t="n"/>
      <c r="Z56" s="107" t="n"/>
      <c r="AA56" s="107" t="n"/>
      <c r="AB56" s="115" t="inlineStr">
        <is>
          <t>D</t>
        </is>
      </c>
      <c r="AC56" s="107" t="n"/>
      <c r="AD56" s="107" t="n"/>
      <c r="AE56" s="107" t="n"/>
      <c r="AF56" s="115" t="inlineStr">
        <is>
          <t>D</t>
        </is>
      </c>
      <c r="AG56" s="107" t="n"/>
      <c r="AH56" s="107" t="n"/>
      <c r="AI56" s="107" t="n"/>
      <c r="AJ56" s="107" t="n"/>
      <c r="AK56" s="108" t="inlineStr">
        <is>
          <t>M</t>
        </is>
      </c>
      <c r="AL56" s="107" t="n"/>
      <c r="AM56" s="115" t="inlineStr">
        <is>
          <t>D</t>
        </is>
      </c>
      <c r="AN56" s="109">
        <f>IFERROR(INDEX(FEV!I$8:I$73,MATCH($A56,FEV!$A$8:$A$73,0))&amp;"","")</f>
        <v/>
      </c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SUMPRODUCT(($F56:$L56="M")*6+($F56:$L56="T")*6+($F56:$L56="D")*12+($F56:$L56="N")*12+($F56:$L56="NT")*6+($F56:$L56="C")*10+($F56:$L56="A")*8+($F56:$L56="J")*5+($F56:$L56="E")*4+($F56:$L56="P")*6+($F56:$L56="R")*6)</f>
        <v/>
      </c>
      <c r="BF56" s="110">
        <f>SUMPRODUCT(($M56:$S56="M")*6+($M56:$S56="T")*6+($M56:$S56="D")*12+($M56:$S56="N")*12+($M56:$S56="NT")*6+($M56:$S56="C")*10+($M56:$S56="A")*8+($M56:$S56="J")*5+($M56:$S56="E")*4+($M56:$S56="P")*6+($M56:$S56="R")*6)</f>
        <v/>
      </c>
      <c r="BG56" s="110">
        <f>SUMPRODUCT(($T56:$Z56="M")*6+($T56:$Z56="T")*6+($T56:$Z56="D")*12+($T56:$Z56="N")*12+($T56:$Z56="NT")*6+($T56:$Z56="C")*10+($T56:$Z56="A")*8+($T56:$Z56="J")*5+($T56:$Z56="E")*4+($T56:$Z56="P")*6+($T56:$Z56="R")*6)</f>
        <v/>
      </c>
      <c r="BH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I56" s="110">
        <f>SUMPRODUCT(($AH56:$AM56="M")*6+($AH56:$AM56="T")*6+($AH56:$AM56="D")*12+($AH56:$AM56="N")*12+($AH56:$AM56="NT")*6+($AH56:$AM56="C")*10+($AH56:$AM56="A")*8+($AH56:$AM56="J")*5+($AH56:$AM56="E")*4+($AH56:$AM56="P")*6+($AH56:$AM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6" t="inlineStr">
        <is>
          <t>N</t>
        </is>
      </c>
      <c r="K57" s="107" t="n"/>
      <c r="L57" s="107" t="n"/>
      <c r="M57" s="107" t="n"/>
      <c r="N57" s="116" t="inlineStr">
        <is>
          <t>N</t>
        </is>
      </c>
      <c r="O57" s="107" t="n"/>
      <c r="P57" s="116" t="inlineStr">
        <is>
          <t>N</t>
        </is>
      </c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15" t="inlineStr">
        <is>
          <t>D</t>
        </is>
      </c>
      <c r="Z57" s="115" t="inlineStr">
        <is>
          <t>D</t>
        </is>
      </c>
      <c r="AA57" s="107" t="n"/>
      <c r="AB57" s="116" t="inlineStr">
        <is>
          <t>N</t>
        </is>
      </c>
      <c r="AC57" s="107" t="n"/>
      <c r="AD57" s="116" t="inlineStr">
        <is>
          <t>N</t>
        </is>
      </c>
      <c r="AE57" s="107" t="n"/>
      <c r="AF57" s="108" t="inlineStr">
        <is>
          <t>M</t>
        </is>
      </c>
      <c r="AG57" s="107" t="n"/>
      <c r="AH57" s="107" t="n"/>
      <c r="AI57" s="116" t="inlineStr">
        <is>
          <t>N</t>
        </is>
      </c>
      <c r="AJ57" s="107" t="n"/>
      <c r="AK57" s="116" t="inlineStr">
        <is>
          <t>N</t>
        </is>
      </c>
      <c r="AL57" s="107" t="n"/>
      <c r="AM57" s="107" t="n"/>
      <c r="AN57" s="109">
        <f>IFERROR(INDEX(FEV!I$8:I$73,MATCH($A57,FEV!$A$8:$A$73,0))&amp;"","")</f>
        <v/>
      </c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SUMPRODUCT(($F57:$L57="M")*6+($F57:$L57="T")*6+($F57:$L57="D")*12+($F57:$L57="N")*12+($F57:$L57="NT")*6+($F57:$L57="C")*10+($F57:$L57="A")*8+($F57:$L57="J")*5+($F57:$L57="E")*4+($F57:$L57="P")*6+($F57:$L57="R")*6)</f>
        <v/>
      </c>
      <c r="BF57" s="110">
        <f>SUMPRODUCT(($M57:$S57="M")*6+($M57:$S57="T")*6+($M57:$S57="D")*12+($M57:$S57="N")*12+($M57:$S57="NT")*6+($M57:$S57="C")*10+($M57:$S57="A")*8+($M57:$S57="J")*5+($M57:$S57="E")*4+($M57:$S57="P")*6+($M57:$S57="R")*6)</f>
        <v/>
      </c>
      <c r="BG57" s="110">
        <f>SUMPRODUCT(($T57:$Z57="M")*6+($T57:$Z57="T")*6+($T57:$Z57="D")*12+($T57:$Z57="N")*12+($T57:$Z57="NT")*6+($T57:$Z57="C")*10+($T57:$Z57="A")*8+($T57:$Z57="J")*5+($T57:$Z57="E")*4+($T57:$Z57="P")*6+($T57:$Z57="R")*6)</f>
        <v/>
      </c>
      <c r="BH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I57" s="110">
        <f>SUMPRODUCT(($AH57:$AM57="M")*6+($AH57:$AM57="T")*6+($AH57:$AM57="D")*12+($AH57:$AM57="N")*12+($AH57:$AM57="NT")*6+($AH57:$AM57="C")*10+($AH57:$AM57="A")*8+($AH57:$AM57="J")*5+($AH57:$AM57="E")*4+($AH57:$AM57="P")*6+($AH57:$AM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07" t="n"/>
      <c r="L58" s="107" t="n"/>
      <c r="M58" s="107" t="n"/>
      <c r="N58" s="107" t="n"/>
      <c r="O58" s="116" t="inlineStr">
        <is>
          <t>N</t>
        </is>
      </c>
      <c r="P58" s="107" t="n"/>
      <c r="Q58" s="107" t="n"/>
      <c r="R58" s="115" t="inlineStr">
        <is>
          <t>D</t>
        </is>
      </c>
      <c r="S58" s="107" t="n"/>
      <c r="T58" s="108" t="inlineStr">
        <is>
          <t>M</t>
        </is>
      </c>
      <c r="U58" s="107" t="n"/>
      <c r="V58" s="116" t="inlineStr">
        <is>
          <t>N</t>
        </is>
      </c>
      <c r="W58" s="107" t="n"/>
      <c r="X58" s="107" t="n"/>
      <c r="Y58" s="107" t="n"/>
      <c r="Z58" s="107" t="n"/>
      <c r="AA58" s="107" t="n"/>
      <c r="AB58" s="107" t="n"/>
      <c r="AC58" s="116" t="inlineStr">
        <is>
          <t>N</t>
        </is>
      </c>
      <c r="AD58" s="107" t="n"/>
      <c r="AE58" s="107" t="n"/>
      <c r="AF58" s="117" t="inlineStr">
        <is>
          <t>T</t>
        </is>
      </c>
      <c r="AG58" s="115" t="inlineStr">
        <is>
          <t>D</t>
        </is>
      </c>
      <c r="AH58" s="117" t="inlineStr">
        <is>
          <t>T</t>
        </is>
      </c>
      <c r="AI58" s="107" t="n"/>
      <c r="AJ58" s="116" t="inlineStr">
        <is>
          <t>N</t>
        </is>
      </c>
      <c r="AK58" s="107" t="n"/>
      <c r="AL58" s="108" t="inlineStr">
        <is>
          <t>M</t>
        </is>
      </c>
      <c r="AM58" s="107" t="n"/>
      <c r="AN58" s="109">
        <f>IFERROR(INDEX(FEV!I$8:I$73,MATCH($A58,FEV!$A$8:$A$73,0))&amp;"","")</f>
        <v/>
      </c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SUMPRODUCT(($F58:$L58="M")*6+($F58:$L58="T")*6+($F58:$L58="D")*12+($F58:$L58="N")*12+($F58:$L58="NT")*6+($F58:$L58="C")*10+($F58:$L58="A")*8+($F58:$L58="J")*5+($F58:$L58="E")*4+($F58:$L58="P")*6+($F58:$L58="R")*6)</f>
        <v/>
      </c>
      <c r="BF58" s="110">
        <f>SUMPRODUCT(($M58:$S58="M")*6+($M58:$S58="T")*6+($M58:$S58="D")*12+($M58:$S58="N")*12+($M58:$S58="NT")*6+($M58:$S58="C")*10+($M58:$S58="A")*8+($M58:$S58="J")*5+($M58:$S58="E")*4+($M58:$S58="P")*6+($M58:$S58="R")*6)</f>
        <v/>
      </c>
      <c r="BG58" s="110">
        <f>SUMPRODUCT(($T58:$Z58="M")*6+($T58:$Z58="T")*6+($T58:$Z58="D")*12+($T58:$Z58="N")*12+($T58:$Z58="NT")*6+($T58:$Z58="C")*10+($T58:$Z58="A")*8+($T58:$Z58="J")*5+($T58:$Z58="E")*4+($T58:$Z58="P")*6+($T58:$Z58="R")*6)</f>
        <v/>
      </c>
      <c r="BH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I58" s="110">
        <f>SUMPRODUCT(($AH58:$AM58="M")*6+($AH58:$AM58="T")*6+($AH58:$AM58="D")*12+($AH58:$AM58="N")*12+($AH58:$AM58="NT")*6+($AH58:$AM58="C")*10+($AH58:$AM58="A")*8+($AH58:$AM58="J")*5+($AH58:$AM58="E")*4+($AH58:$AM58="P")*6+($AH58:$AM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>
        <f>IFERROR(INDEX(FEV!I$8:I$73,MATCH($A59,FEV!$A$8:$A$73,0))&amp;"","")</f>
        <v/>
      </c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SUMPRODUCT(($F59:$L59="M")*6+($F59:$L59="T")*6+($F59:$L59="D")*12+($F59:$L59="N")*12+($F59:$L59="NT")*6+($F59:$L59="C")*10+($F59:$L59="A")*8+($F59:$L59="J")*5+($F59:$L59="E")*4+($F59:$L59="P")*6+($F59:$L59="R")*6)</f>
        <v/>
      </c>
      <c r="BF59" s="110">
        <f>SUMPRODUCT(($M59:$S59="M")*6+($M59:$S59="T")*6+($M59:$S59="D")*12+($M59:$S59="N")*12+($M59:$S59="NT")*6+($M59:$S59="C")*10+($M59:$S59="A")*8+($M59:$S59="J")*5+($M59:$S59="E")*4+($M59:$S59="P")*6+($M59:$S59="R")*6)</f>
        <v/>
      </c>
      <c r="BG59" s="110">
        <f>SUMPRODUCT(($T59:$Z59="M")*6+($T59:$Z59="T")*6+($T59:$Z59="D")*12+($T59:$Z59="N")*12+($T59:$Z59="NT")*6+($T59:$Z59="C")*10+($T59:$Z59="A")*8+($T59:$Z59="J")*5+($T59:$Z59="E")*4+($T59:$Z59="P")*6+($T59:$Z59="R")*6)</f>
        <v/>
      </c>
      <c r="BH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I59" s="110">
        <f>SUMPRODUCT(($AH59:$AM59="M")*6+($AH59:$AM59="T")*6+($AH59:$AM59="D")*12+($AH59:$AM59="N")*12+($AH59:$AM59="NT")*6+($AH59:$AM59="C")*10+($AH59:$AM59="A")*8+($AH59:$AM59="J")*5+($AH59:$AM59="E")*4+($AH59:$AM59="P")*6+($AH59:$AM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16" t="inlineStr">
        <is>
          <t>N</t>
        </is>
      </c>
      <c r="K60" s="107" t="n"/>
      <c r="L60" s="107" t="n"/>
      <c r="M60" s="117" t="inlineStr">
        <is>
          <t>T</t>
        </is>
      </c>
      <c r="N60" s="107" t="n"/>
      <c r="O60" s="117" t="inlineStr">
        <is>
          <t>T</t>
        </is>
      </c>
      <c r="P60" s="117" t="inlineStr">
        <is>
          <t>T</t>
        </is>
      </c>
      <c r="Q60" s="107" t="n"/>
      <c r="R60" s="118" t="inlineStr">
        <is>
          <t>NT</t>
        </is>
      </c>
      <c r="S60" s="107" t="n"/>
      <c r="T60" s="107" t="n"/>
      <c r="U60" s="117" t="inlineStr">
        <is>
          <t>T</t>
        </is>
      </c>
      <c r="V60" s="107" t="n"/>
      <c r="W60" s="107" t="n"/>
      <c r="X60" s="117" t="inlineStr">
        <is>
          <t>T</t>
        </is>
      </c>
      <c r="Y60" s="107" t="n"/>
      <c r="Z60" s="115" t="inlineStr">
        <is>
          <t>D</t>
        </is>
      </c>
      <c r="AA60" s="107" t="n"/>
      <c r="AB60" s="117" t="inlineStr">
        <is>
          <t>T</t>
        </is>
      </c>
      <c r="AC60" s="107" t="n"/>
      <c r="AD60" s="107" t="n"/>
      <c r="AE60" s="117" t="inlineStr">
        <is>
          <t>T</t>
        </is>
      </c>
      <c r="AF60" s="107" t="n"/>
      <c r="AG60" s="116" t="inlineStr">
        <is>
          <t>N</t>
        </is>
      </c>
      <c r="AH60" s="107" t="n"/>
      <c r="AI60" s="117" t="inlineStr">
        <is>
          <t>T</t>
        </is>
      </c>
      <c r="AJ60" s="107" t="n"/>
      <c r="AK60" s="117" t="inlineStr">
        <is>
          <t>T</t>
        </is>
      </c>
      <c r="AL60" s="117" t="inlineStr">
        <is>
          <t>T</t>
        </is>
      </c>
      <c r="AM60" s="107" t="n"/>
      <c r="AN60" s="109">
        <f>IFERROR(INDEX(FEV!I$8:I$73,MATCH($A60,FEV!$A$8:$A$73,0))&amp;"","")</f>
        <v/>
      </c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SUMPRODUCT(($F60:$L60="M")*6+($F60:$L60="T")*6+($F60:$L60="D")*12+($F60:$L60="N")*12+($F60:$L60="NT")*6+($F60:$L60="C")*10+($F60:$L60="A")*8+($F60:$L60="J")*5+($F60:$L60="E")*4+($F60:$L60="P")*6+($F60:$L60="R")*6)</f>
        <v/>
      </c>
      <c r="BF60" s="110">
        <f>SUMPRODUCT(($M60:$S60="M")*6+($M60:$S60="T")*6+($M60:$S60="D")*12+($M60:$S60="N")*12+($M60:$S60="NT")*6+($M60:$S60="C")*10+($M60:$S60="A")*8+($M60:$S60="J")*5+($M60:$S60="E")*4+($M60:$S60="P")*6+($M60:$S60="R")*6)</f>
        <v/>
      </c>
      <c r="BG60" s="110">
        <f>SUMPRODUCT(($T60:$Z60="M")*6+($T60:$Z60="T")*6+($T60:$Z60="D")*12+($T60:$Z60="N")*12+($T60:$Z60="NT")*6+($T60:$Z60="C")*10+($T60:$Z60="A")*8+($T60:$Z60="J")*5+($T60:$Z60="E")*4+($T60:$Z60="P")*6+($T60:$Z60="R")*6)</f>
        <v/>
      </c>
      <c r="BH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I60" s="110">
        <f>SUMPRODUCT(($AH60:$AM60="M")*6+($AH60:$AM60="T")*6+($AH60:$AM60="D")*12+($AH60:$AM60="N")*12+($AH60:$AM60="NT")*6+($AH60:$AM60="C")*10+($AH60:$AM60="A")*8+($AH60:$AM60="J")*5+($AH60:$AM60="E")*4+($AH60:$AM60="P")*6+($AH60:$AM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07" t="n"/>
      <c r="K61" s="107" t="n"/>
      <c r="L61" s="115" t="inlineStr">
        <is>
          <t>D</t>
        </is>
      </c>
      <c r="M61" s="108" t="inlineStr">
        <is>
          <t>M</t>
        </is>
      </c>
      <c r="N61" s="107" t="n"/>
      <c r="O61" s="107" t="n"/>
      <c r="P61" s="107" t="n"/>
      <c r="Q61" s="116" t="inlineStr">
        <is>
          <t>N</t>
        </is>
      </c>
      <c r="R61" s="107" t="n"/>
      <c r="S61" s="117" t="inlineStr">
        <is>
          <t>T</t>
        </is>
      </c>
      <c r="T61" s="115" t="inlineStr">
        <is>
          <t>D</t>
        </is>
      </c>
      <c r="U61" s="107" t="n"/>
      <c r="V61" s="107" t="n"/>
      <c r="W61" s="107" t="n"/>
      <c r="X61" s="115" t="inlineStr">
        <is>
          <t>D</t>
        </is>
      </c>
      <c r="Y61" s="107" t="n"/>
      <c r="Z61" s="107" t="n"/>
      <c r="AA61" s="115" t="inlineStr">
        <is>
          <t>D</t>
        </is>
      </c>
      <c r="AB61" s="107" t="n"/>
      <c r="AC61" s="117" t="inlineStr">
        <is>
          <t>T</t>
        </is>
      </c>
      <c r="AD61" s="117" t="inlineStr">
        <is>
          <t>T</t>
        </is>
      </c>
      <c r="AE61" s="107" t="n"/>
      <c r="AF61" s="107" t="n"/>
      <c r="AG61" s="107" t="n"/>
      <c r="AH61" s="115" t="inlineStr">
        <is>
          <t>D</t>
        </is>
      </c>
      <c r="AI61" s="107" t="n"/>
      <c r="AJ61" s="107" t="n"/>
      <c r="AK61" s="107" t="n"/>
      <c r="AL61" s="107" t="n"/>
      <c r="AM61" s="116" t="inlineStr">
        <is>
          <t>N</t>
        </is>
      </c>
      <c r="AN61" s="109">
        <f>IFERROR(INDEX(FEV!I$8:I$73,MATCH($A61,FEV!$A$8:$A$73,0))&amp;"","")</f>
        <v/>
      </c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SUMPRODUCT(($F61:$L61="M")*6+($F61:$L61="T")*6+($F61:$L61="D")*12+($F61:$L61="N")*12+($F61:$L61="NT")*6+($F61:$L61="C")*10+($F61:$L61="A")*8+($F61:$L61="J")*5+($F61:$L61="E")*4+($F61:$L61="P")*6+($F61:$L61="R")*6)</f>
        <v/>
      </c>
      <c r="BF61" s="110">
        <f>SUMPRODUCT(($M61:$S61="M")*6+($M61:$S61="T")*6+($M61:$S61="D")*12+($M61:$S61="N")*12+($M61:$S61="NT")*6+($M61:$S61="C")*10+($M61:$S61="A")*8+($M61:$S61="J")*5+($M61:$S61="E")*4+($M61:$S61="P")*6+($M61:$S61="R")*6)</f>
        <v/>
      </c>
      <c r="BG61" s="110">
        <f>SUMPRODUCT(($T61:$Z61="M")*6+($T61:$Z61="T")*6+($T61:$Z61="D")*12+($T61:$Z61="N")*12+($T61:$Z61="NT")*6+($T61:$Z61="C")*10+($T61:$Z61="A")*8+($T61:$Z61="J")*5+($T61:$Z61="E")*4+($T61:$Z61="P")*6+($T61:$Z61="R")*6)</f>
        <v/>
      </c>
      <c r="BH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I61" s="110">
        <f>SUMPRODUCT(($AH61:$AM61="M")*6+($AH61:$AM61="T")*6+($AH61:$AM61="D")*12+($AH61:$AM61="N")*12+($AH61:$AM61="NT")*6+($AH61:$AM61="C")*10+($AH61:$AM61="A")*8+($AH61:$AM61="J")*5+($AH61:$AM61="E")*4+($AH61:$AM61="P")*6+($AH61:$AM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16" t="inlineStr">
        <is>
          <t>N</t>
        </is>
      </c>
      <c r="K62" s="107" t="n"/>
      <c r="L62" s="107" t="n"/>
      <c r="M62" s="116" t="inlineStr">
        <is>
          <t>N</t>
        </is>
      </c>
      <c r="N62" s="107" t="n"/>
      <c r="O62" s="107" t="n"/>
      <c r="P62" s="107" t="n"/>
      <c r="Q62" s="117" t="inlineStr">
        <is>
          <t>T</t>
        </is>
      </c>
      <c r="R62" s="107" t="n"/>
      <c r="S62" s="117" t="inlineStr">
        <is>
          <t>T</t>
        </is>
      </c>
      <c r="T62" s="107" t="n"/>
      <c r="U62" s="107" t="n"/>
      <c r="V62" s="107" t="n"/>
      <c r="W62" s="107" t="n"/>
      <c r="X62" s="107" t="n"/>
      <c r="Y62" s="115" t="inlineStr">
        <is>
          <t>D</t>
        </is>
      </c>
      <c r="Z62" s="115" t="inlineStr">
        <is>
          <t>D</t>
        </is>
      </c>
      <c r="AA62" s="115" t="inlineStr">
        <is>
          <t>D</t>
        </is>
      </c>
      <c r="AB62" s="107" t="n"/>
      <c r="AC62" s="107" t="n"/>
      <c r="AD62" s="117" t="inlineStr">
        <is>
          <t>T</t>
        </is>
      </c>
      <c r="AE62" s="117" t="inlineStr">
        <is>
          <t>T</t>
        </is>
      </c>
      <c r="AF62" s="107" t="n"/>
      <c r="AG62" s="107" t="n"/>
      <c r="AH62" s="116" t="inlineStr">
        <is>
          <t>N</t>
        </is>
      </c>
      <c r="AI62" s="107" t="n"/>
      <c r="AJ62" s="107" t="n"/>
      <c r="AK62" s="107" t="n"/>
      <c r="AL62" s="115" t="inlineStr">
        <is>
          <t>D</t>
        </is>
      </c>
      <c r="AM62" s="107" t="n"/>
      <c r="AN62" s="109">
        <f>IFERROR(INDEX(FEV!I$8:I$73,MATCH($A62,FEV!$A$8:$A$73,0))&amp;"","")</f>
        <v/>
      </c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SUMPRODUCT(($F62:$L62="M")*6+($F62:$L62="T")*6+($F62:$L62="D")*12+($F62:$L62="N")*12+($F62:$L62="NT")*6+($F62:$L62="C")*10+($F62:$L62="A")*8+($F62:$L62="J")*5+($F62:$L62="E")*4+($F62:$L62="P")*6+($F62:$L62="R")*6)</f>
        <v/>
      </c>
      <c r="BF62" s="110">
        <f>SUMPRODUCT(($M62:$S62="M")*6+($M62:$S62="T")*6+($M62:$S62="D")*12+($M62:$S62="N")*12+($M62:$S62="NT")*6+($M62:$S62="C")*10+($M62:$S62="A")*8+($M62:$S62="J")*5+($M62:$S62="E")*4+($M62:$S62="P")*6+($M62:$S62="R")*6)</f>
        <v/>
      </c>
      <c r="BG62" s="110">
        <f>SUMPRODUCT(($T62:$Z62="M")*6+($T62:$Z62="T")*6+($T62:$Z62="D")*12+($T62:$Z62="N")*12+($T62:$Z62="NT")*6+($T62:$Z62="C")*10+($T62:$Z62="A")*8+($T62:$Z62="J")*5+($T62:$Z62="E")*4+($T62:$Z62="P")*6+($T62:$Z62="R")*6)</f>
        <v/>
      </c>
      <c r="BH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I62" s="110">
        <f>SUMPRODUCT(($AH62:$AM62="M")*6+($AH62:$AM62="T")*6+($AH62:$AM62="D")*12+($AH62:$AM62="N")*12+($AH62:$AM62="NT")*6+($AH62:$AM62="C")*10+($AH62:$AM62="A")*8+($AH62:$AM62="J")*5+($AH62:$AM62="E")*4+($AH62:$AM62="P")*6+($AH62:$AM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17" t="inlineStr">
        <is>
          <t>T</t>
        </is>
      </c>
      <c r="K63" s="115" t="inlineStr">
        <is>
          <t>D</t>
        </is>
      </c>
      <c r="L63" s="107" t="n"/>
      <c r="M63" s="107" t="n"/>
      <c r="N63" s="107" t="n"/>
      <c r="O63" s="107" t="n"/>
      <c r="P63" s="107" t="n"/>
      <c r="Q63" s="115" t="inlineStr">
        <is>
          <t>D</t>
        </is>
      </c>
      <c r="R63" s="116" t="inlineStr">
        <is>
          <t>N</t>
        </is>
      </c>
      <c r="S63" s="107" t="n"/>
      <c r="T63" s="107" t="n"/>
      <c r="U63" s="107" t="n"/>
      <c r="V63" s="115" t="inlineStr">
        <is>
          <t>D</t>
        </is>
      </c>
      <c r="W63" s="115" t="inlineStr">
        <is>
          <t>D</t>
        </is>
      </c>
      <c r="X63" s="107" t="n"/>
      <c r="Y63" s="107" t="n"/>
      <c r="Z63" s="108" t="inlineStr">
        <is>
          <t>M</t>
        </is>
      </c>
      <c r="AA63" s="107" t="n"/>
      <c r="AB63" s="107" t="n"/>
      <c r="AC63" s="107" t="n"/>
      <c r="AD63" s="115" t="inlineStr">
        <is>
          <t>D</t>
        </is>
      </c>
      <c r="AE63" s="116" t="inlineStr">
        <is>
          <t>N</t>
        </is>
      </c>
      <c r="AF63" s="107" t="n"/>
      <c r="AG63" s="107" t="n"/>
      <c r="AH63" s="107" t="n"/>
      <c r="AI63" s="116" t="inlineStr">
        <is>
          <t>N</t>
        </is>
      </c>
      <c r="AJ63" s="107" t="n"/>
      <c r="AK63" s="115" t="inlineStr">
        <is>
          <t>D</t>
        </is>
      </c>
      <c r="AL63" s="107" t="n"/>
      <c r="AM63" s="107" t="n"/>
      <c r="AN63" s="109">
        <f>IFERROR(INDEX(FEV!I$8:I$73,MATCH($A63,FEV!$A$8:$A$73,0))&amp;"","")</f>
        <v/>
      </c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SUMPRODUCT(($F63:$L63="M")*6+($F63:$L63="T")*6+($F63:$L63="D")*12+($F63:$L63="N")*12+($F63:$L63="NT")*6+($F63:$L63="C")*10+($F63:$L63="A")*8+($F63:$L63="J")*5+($F63:$L63="E")*4+($F63:$L63="P")*6+($F63:$L63="R")*6)</f>
        <v/>
      </c>
      <c r="BF63" s="110">
        <f>SUMPRODUCT(($M63:$S63="M")*6+($M63:$S63="T")*6+($M63:$S63="D")*12+($M63:$S63="N")*12+($M63:$S63="NT")*6+($M63:$S63="C")*10+($M63:$S63="A")*8+($M63:$S63="J")*5+($M63:$S63="E")*4+($M63:$S63="P")*6+($M63:$S63="R")*6)</f>
        <v/>
      </c>
      <c r="BG63" s="110">
        <f>SUMPRODUCT(($T63:$Z63="M")*6+($T63:$Z63="T")*6+($T63:$Z63="D")*12+($T63:$Z63="N")*12+($T63:$Z63="NT")*6+($T63:$Z63="C")*10+($T63:$Z63="A")*8+($T63:$Z63="J")*5+($T63:$Z63="E")*4+($T63:$Z63="P")*6+($T63:$Z63="R")*6)</f>
        <v/>
      </c>
      <c r="BH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I63" s="110">
        <f>SUMPRODUCT(($AH63:$AM63="M")*6+($AH63:$AM63="T")*6+($AH63:$AM63="D")*12+($AH63:$AM63="N")*12+($AH63:$AM63="NT")*6+($AH63:$AM63="C")*10+($AH63:$AM63="A")*8+($AH63:$AM63="J")*5+($AH63:$AM63="E")*4+($AH63:$AM63="P")*6+($AH63:$AM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07" t="n"/>
      <c r="J64" s="107" t="n"/>
      <c r="K64" s="108" t="inlineStr">
        <is>
          <t>M</t>
        </is>
      </c>
      <c r="L64" s="107" t="n"/>
      <c r="M64" s="107" t="n"/>
      <c r="N64" s="107" t="n"/>
      <c r="O64" s="107" t="n"/>
      <c r="P64" s="107" t="n"/>
      <c r="Q64" s="107" t="n"/>
      <c r="R64" s="116" t="inlineStr">
        <is>
          <t>N</t>
        </is>
      </c>
      <c r="S64" s="116" t="inlineStr">
        <is>
          <t>N</t>
        </is>
      </c>
      <c r="T64" s="107" t="n"/>
      <c r="U64" s="107" t="n"/>
      <c r="V64" s="116" t="inlineStr">
        <is>
          <t>N</t>
        </is>
      </c>
      <c r="W64" s="107" t="n"/>
      <c r="X64" s="116" t="inlineStr">
        <is>
          <t>N</t>
        </is>
      </c>
      <c r="Y64" s="107" t="n"/>
      <c r="Z64" s="117" t="inlineStr">
        <is>
          <t>T</t>
        </is>
      </c>
      <c r="AA64" s="116" t="inlineStr">
        <is>
          <t>N</t>
        </is>
      </c>
      <c r="AB64" s="107" t="n"/>
      <c r="AC64" s="116" t="inlineStr">
        <is>
          <t>N</t>
        </is>
      </c>
      <c r="AD64" s="117" t="inlineStr">
        <is>
          <t>T</t>
        </is>
      </c>
      <c r="AE64" s="107" t="n"/>
      <c r="AF64" s="107" t="n"/>
      <c r="AG64" s="107" t="n"/>
      <c r="AH64" s="116" t="inlineStr">
        <is>
          <t>N</t>
        </is>
      </c>
      <c r="AI64" s="107" t="n"/>
      <c r="AJ64" s="116" t="inlineStr">
        <is>
          <t>N</t>
        </is>
      </c>
      <c r="AK64" s="117" t="inlineStr">
        <is>
          <t>T</t>
        </is>
      </c>
      <c r="AL64" s="107" t="n"/>
      <c r="AM64" s="107" t="n"/>
      <c r="AN64" s="109">
        <f>IFERROR(INDEX(FEV!I$8:I$73,MATCH($A64,FEV!$A$8:$A$73,0))&amp;"","")</f>
        <v/>
      </c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SUMPRODUCT(($F64:$L64="M")*6+($F64:$L64="T")*6+($F64:$L64="D")*12+($F64:$L64="N")*12+($F64:$L64="NT")*6+($F64:$L64="C")*10+($F64:$L64="A")*8+($F64:$L64="J")*5+($F64:$L64="E")*4+($F64:$L64="P")*6+($F64:$L64="R")*6)</f>
        <v/>
      </c>
      <c r="BF64" s="110">
        <f>SUMPRODUCT(($M64:$S64="M")*6+($M64:$S64="T")*6+($M64:$S64="D")*12+($M64:$S64="N")*12+($M64:$S64="NT")*6+($M64:$S64="C")*10+($M64:$S64="A")*8+($M64:$S64="J")*5+($M64:$S64="E")*4+($M64:$S64="P")*6+($M64:$S64="R")*6)</f>
        <v/>
      </c>
      <c r="BG64" s="110">
        <f>SUMPRODUCT(($T64:$Z64="M")*6+($T64:$Z64="T")*6+($T64:$Z64="D")*12+($T64:$Z64="N")*12+($T64:$Z64="NT")*6+($T64:$Z64="C")*10+($T64:$Z64="A")*8+($T64:$Z64="J")*5+($T64:$Z64="E")*4+($T64:$Z64="P")*6+($T64:$Z64="R")*6)</f>
        <v/>
      </c>
      <c r="BH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I64" s="110">
        <f>SUMPRODUCT(($AH64:$AM64="M")*6+($AH64:$AM64="T")*6+($AH64:$AM64="D")*12+($AH64:$AM64="N")*12+($AH64:$AM64="NT")*6+($AH64:$AM64="C")*10+($AH64:$AM64="A")*8+($AH64:$AM64="J")*5+($AH64:$AM64="E")*4+($AH64:$AM64="P")*6+($AH64:$AM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15" t="inlineStr">
        <is>
          <t>D</t>
        </is>
      </c>
      <c r="K65" s="107" t="n"/>
      <c r="L65" s="107" t="n"/>
      <c r="M65" s="107" t="n"/>
      <c r="N65" s="107" t="n"/>
      <c r="O65" s="116" t="inlineStr">
        <is>
          <t>N</t>
        </is>
      </c>
      <c r="P65" s="107" t="n"/>
      <c r="Q65" s="115" t="inlineStr">
        <is>
          <t>D</t>
        </is>
      </c>
      <c r="R65" s="107" t="n"/>
      <c r="S65" s="107" t="n"/>
      <c r="T65" s="107" t="n"/>
      <c r="U65" s="107" t="n"/>
      <c r="V65" s="107" t="n"/>
      <c r="W65" s="108" t="inlineStr">
        <is>
          <t>M</t>
        </is>
      </c>
      <c r="X65" s="116" t="inlineStr">
        <is>
          <t>N</t>
        </is>
      </c>
      <c r="Y65" s="107" t="n"/>
      <c r="Z65" s="117" t="inlineStr">
        <is>
          <t>T</t>
        </is>
      </c>
      <c r="AA65" s="107" t="n"/>
      <c r="AB65" s="107" t="n"/>
      <c r="AC65" s="107" t="n"/>
      <c r="AD65" s="107" t="n"/>
      <c r="AE65" s="107" t="n"/>
      <c r="AF65" s="115" t="inlineStr">
        <is>
          <t>D</t>
        </is>
      </c>
      <c r="AG65" s="116" t="inlineStr">
        <is>
          <t>N</t>
        </is>
      </c>
      <c r="AH65" s="107" t="n"/>
      <c r="AI65" s="107" t="n"/>
      <c r="AJ65" s="117" t="inlineStr">
        <is>
          <t>T</t>
        </is>
      </c>
      <c r="AK65" s="107" t="n"/>
      <c r="AL65" s="115" t="inlineStr">
        <is>
          <t>D</t>
        </is>
      </c>
      <c r="AM65" s="107" t="n"/>
      <c r="AN65" s="109">
        <f>IFERROR(INDEX(FEV!I$8:I$73,MATCH($A65,FEV!$A$8:$A$73,0))&amp;"","")</f>
        <v/>
      </c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SUMPRODUCT(($F65:$L65="M")*6+($F65:$L65="T")*6+($F65:$L65="D")*12+($F65:$L65="N")*12+($F65:$L65="NT")*6+($F65:$L65="C")*10+($F65:$L65="A")*8+($F65:$L65="J")*5+($F65:$L65="E")*4+($F65:$L65="P")*6+($F65:$L65="R")*6)</f>
        <v/>
      </c>
      <c r="BF65" s="110">
        <f>SUMPRODUCT(($M65:$S65="M")*6+($M65:$S65="T")*6+($M65:$S65="D")*12+($M65:$S65="N")*12+($M65:$S65="NT")*6+($M65:$S65="C")*10+($M65:$S65="A")*8+($M65:$S65="J")*5+($M65:$S65="E")*4+($M65:$S65="P")*6+($M65:$S65="R")*6)</f>
        <v/>
      </c>
      <c r="BG65" s="110">
        <f>SUMPRODUCT(($T65:$Z65="M")*6+($T65:$Z65="T")*6+($T65:$Z65="D")*12+($T65:$Z65="N")*12+($T65:$Z65="NT")*6+($T65:$Z65="C")*10+($T65:$Z65="A")*8+($T65:$Z65="J")*5+($T65:$Z65="E")*4+($T65:$Z65="P")*6+($T65:$Z65="R")*6)</f>
        <v/>
      </c>
      <c r="BH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I65" s="110">
        <f>SUMPRODUCT(($AH65:$AM65="M")*6+($AH65:$AM65="T")*6+($AH65:$AM65="D")*12+($AH65:$AM65="N")*12+($AH65:$AM65="NT")*6+($AH65:$AM65="C")*10+($AH65:$AM65="A")*8+($AH65:$AM65="J")*5+($AH65:$AM65="E")*4+($AH65:$AM65="P")*6+($AH65:$AM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07" t="n"/>
      <c r="J66" s="107" t="n"/>
      <c r="K66" s="107" t="n"/>
      <c r="L66" s="117" t="inlineStr">
        <is>
          <t>T</t>
        </is>
      </c>
      <c r="M66" s="107" t="n"/>
      <c r="N66" s="115" t="inlineStr">
        <is>
          <t>D</t>
        </is>
      </c>
      <c r="O66" s="107" t="n"/>
      <c r="P66" s="115" t="inlineStr">
        <is>
          <t>D</t>
        </is>
      </c>
      <c r="Q66" s="116" t="inlineStr">
        <is>
          <t>N</t>
        </is>
      </c>
      <c r="R66" s="107" t="n"/>
      <c r="S66" s="107" t="n"/>
      <c r="T66" s="116" t="inlineStr">
        <is>
          <t>N</t>
        </is>
      </c>
      <c r="U66" s="117" t="inlineStr">
        <is>
          <t>T</t>
        </is>
      </c>
      <c r="V66" s="116" t="inlineStr">
        <is>
          <t>N</t>
        </is>
      </c>
      <c r="W66" s="117" t="inlineStr">
        <is>
          <t>T</t>
        </is>
      </c>
      <c r="X66" s="107" t="n"/>
      <c r="Y66" s="107" t="n"/>
      <c r="Z66" s="107" t="n"/>
      <c r="AA66" s="107" t="n"/>
      <c r="AB66" s="117" t="inlineStr">
        <is>
          <t>T</t>
        </is>
      </c>
      <c r="AC66" s="107" t="n"/>
      <c r="AD66" s="115" t="inlineStr">
        <is>
          <t>D</t>
        </is>
      </c>
      <c r="AE66" s="107" t="n"/>
      <c r="AF66" s="116" t="inlineStr">
        <is>
          <t>N</t>
        </is>
      </c>
      <c r="AG66" s="108" t="inlineStr">
        <is>
          <t>M</t>
        </is>
      </c>
      <c r="AH66" s="107" t="n"/>
      <c r="AI66" s="117" t="inlineStr">
        <is>
          <t>T</t>
        </is>
      </c>
      <c r="AJ66" s="117" t="inlineStr">
        <is>
          <t>T</t>
        </is>
      </c>
      <c r="AK66" s="115" t="inlineStr">
        <is>
          <t>D</t>
        </is>
      </c>
      <c r="AL66" s="116" t="inlineStr">
        <is>
          <t>N</t>
        </is>
      </c>
      <c r="AM66" s="107" t="n"/>
      <c r="AN66" s="109">
        <f>IFERROR(INDEX(FEV!I$8:I$73,MATCH($A66,FEV!$A$8:$A$73,0))&amp;"","")</f>
        <v/>
      </c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SUMPRODUCT(($F66:$L66="M")*6+($F66:$L66="T")*6+($F66:$L66="D")*12+($F66:$L66="N")*12+($F66:$L66="NT")*6+($F66:$L66="C")*10+($F66:$L66="A")*8+($F66:$L66="J")*5+($F66:$L66="E")*4+($F66:$L66="P")*6+($F66:$L66="R")*6)</f>
        <v/>
      </c>
      <c r="BF66" s="110">
        <f>SUMPRODUCT(($M66:$S66="M")*6+($M66:$S66="T")*6+($M66:$S66="D")*12+($M66:$S66="N")*12+($M66:$S66="NT")*6+($M66:$S66="C")*10+($M66:$S66="A")*8+($M66:$S66="J")*5+($M66:$S66="E")*4+($M66:$S66="P")*6+($M66:$S66="R")*6)</f>
        <v/>
      </c>
      <c r="BG66" s="110">
        <f>SUMPRODUCT(($T66:$Z66="M")*6+($T66:$Z66="T")*6+($T66:$Z66="D")*12+($T66:$Z66="N")*12+($T66:$Z66="NT")*6+($T66:$Z66="C")*10+($T66:$Z66="A")*8+($T66:$Z66="J")*5+($T66:$Z66="E")*4+($T66:$Z66="P")*6+($T66:$Z66="R")*6)</f>
        <v/>
      </c>
      <c r="BH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I66" s="110">
        <f>SUMPRODUCT(($AH66:$AM66="M")*6+($AH66:$AM66="T")*6+($AH66:$AM66="D")*12+($AH66:$AM66="N")*12+($AH66:$AM66="NT")*6+($AH66:$AM66="C")*10+($AH66:$AM66="A")*8+($AH66:$AM66="J")*5+($AH66:$AM66="E")*4+($AH66:$AM66="P")*6+($AH66:$AM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7" t="n"/>
      <c r="K67" s="108" t="inlineStr">
        <is>
          <t>M</t>
        </is>
      </c>
      <c r="L67" s="116" t="inlineStr">
        <is>
          <t>N</t>
        </is>
      </c>
      <c r="M67" s="108" t="inlineStr">
        <is>
          <t>M</t>
        </is>
      </c>
      <c r="N67" s="116" t="inlineStr">
        <is>
          <t>N</t>
        </is>
      </c>
      <c r="O67" s="107" t="n"/>
      <c r="P67" s="117" t="inlineStr">
        <is>
          <t>T</t>
        </is>
      </c>
      <c r="Q67" s="107" t="n"/>
      <c r="R67" s="108" t="inlineStr">
        <is>
          <t>M</t>
        </is>
      </c>
      <c r="S67" s="107" t="n"/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17" t="inlineStr">
        <is>
          <t>T</t>
        </is>
      </c>
      <c r="Y67" s="107" t="n"/>
      <c r="Z67" s="116" t="inlineStr">
        <is>
          <t>N</t>
        </is>
      </c>
      <c r="AA67" s="108" t="inlineStr">
        <is>
          <t>M</t>
        </is>
      </c>
      <c r="AB67" s="115" t="inlineStr">
        <is>
          <t>D</t>
        </is>
      </c>
      <c r="AC67" s="116" t="inlineStr">
        <is>
          <t>N</t>
        </is>
      </c>
      <c r="AD67" s="107" t="n"/>
      <c r="AE67" s="107" t="n"/>
      <c r="AF67" s="107" t="n"/>
      <c r="AG67" s="107" t="n"/>
      <c r="AH67" s="115" t="inlineStr">
        <is>
          <t>D</t>
        </is>
      </c>
      <c r="AI67" s="107" t="n"/>
      <c r="AJ67" s="108" t="inlineStr">
        <is>
          <t>M</t>
        </is>
      </c>
      <c r="AK67" s="107" t="n"/>
      <c r="AL67" s="116" t="inlineStr">
        <is>
          <t>N</t>
        </is>
      </c>
      <c r="AM67" s="107" t="n"/>
      <c r="AN67" s="109">
        <f>IFERROR(INDEX(FEV!I$8:I$73,MATCH($A67,FEV!$A$8:$A$73,0))&amp;"","")</f>
        <v/>
      </c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SUMPRODUCT(($F67:$L67="M")*6+($F67:$L67="T")*6+($F67:$L67="D")*12+($F67:$L67="N")*12+($F67:$L67="NT")*6+($F67:$L67="C")*10+($F67:$L67="A")*8+($F67:$L67="J")*5+($F67:$L67="E")*4+($F67:$L67="P")*6+($F67:$L67="R")*6)</f>
        <v/>
      </c>
      <c r="BF67" s="110">
        <f>SUMPRODUCT(($M67:$S67="M")*6+($M67:$S67="T")*6+($M67:$S67="D")*12+($M67:$S67="N")*12+($M67:$S67="NT")*6+($M67:$S67="C")*10+($M67:$S67="A")*8+($M67:$S67="J")*5+($M67:$S67="E")*4+($M67:$S67="P")*6+($M67:$S67="R")*6)</f>
        <v/>
      </c>
      <c r="BG67" s="110">
        <f>SUMPRODUCT(($T67:$Z67="M")*6+($T67:$Z67="T")*6+($T67:$Z67="D")*12+($T67:$Z67="N")*12+($T67:$Z67="NT")*6+($T67:$Z67="C")*10+($T67:$Z67="A")*8+($T67:$Z67="J")*5+($T67:$Z67="E")*4+($T67:$Z67="P")*6+($T67:$Z67="R")*6)</f>
        <v/>
      </c>
      <c r="BH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I67" s="110">
        <f>SUMPRODUCT(($AH67:$AM67="M")*6+($AH67:$AM67="T")*6+($AH67:$AM67="D")*12+($AH67:$AM67="N")*12+($AH67:$AM67="NT")*6+($AH67:$AM67="C")*10+($AH67:$AM67="A")*8+($AH67:$AM67="J")*5+($AH67:$AM67="E")*4+($AH67:$AM67="P")*6+($AH67:$AM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6" t="inlineStr">
        <is>
          <t>N</t>
        </is>
      </c>
      <c r="AD68" s="107" t="n"/>
      <c r="AE68" s="117" t="inlineStr">
        <is>
          <t>T</t>
        </is>
      </c>
      <c r="AF68" s="107" t="n"/>
      <c r="AG68" s="107" t="n"/>
      <c r="AH68" s="117" t="inlineStr">
        <is>
          <t>T</t>
        </is>
      </c>
      <c r="AI68" s="107" t="n"/>
      <c r="AJ68" s="116" t="inlineStr">
        <is>
          <t>N</t>
        </is>
      </c>
      <c r="AK68" s="107" t="n"/>
      <c r="AL68" s="107" t="n"/>
      <c r="AM68" s="115" t="inlineStr">
        <is>
          <t>D</t>
        </is>
      </c>
      <c r="AN68" s="109">
        <f>IFERROR(INDEX(FEV!I$8:I$73,MATCH($A68,FEV!$A$8:$A$73,0))&amp;"","")</f>
        <v/>
      </c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SUMPRODUCT(($F68:$L68="M")*6+($F68:$L68="T")*6+($F68:$L68="D")*12+($F68:$L68="N")*12+($F68:$L68="NT")*6+($F68:$L68="C")*10+($F68:$L68="A")*8+($F68:$L68="J")*5+($F68:$L68="E")*4+($F68:$L68="P")*6+($F68:$L68="R")*6)</f>
        <v/>
      </c>
      <c r="BF68" s="110">
        <f>SUMPRODUCT(($M68:$S68="M")*6+($M68:$S68="T")*6+($M68:$S68="D")*12+($M68:$S68="N")*12+($M68:$S68="NT")*6+($M68:$S68="C")*10+($M68:$S68="A")*8+($M68:$S68="J")*5+($M68:$S68="E")*4+($M68:$S68="P")*6+($M68:$S68="R")*6)</f>
        <v/>
      </c>
      <c r="BG68" s="110">
        <f>SUMPRODUCT(($T68:$Z68="M")*6+($T68:$Z68="T")*6+($T68:$Z68="D")*12+($T68:$Z68="N")*12+($T68:$Z68="NT")*6+($T68:$Z68="C")*10+($T68:$Z68="A")*8+($T68:$Z68="J")*5+($T68:$Z68="E")*4+($T68:$Z68="P")*6+($T68:$Z68="R")*6)</f>
        <v/>
      </c>
      <c r="BH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I68" s="110">
        <f>SUMPRODUCT(($AH68:$AM68="M")*6+($AH68:$AM68="T")*6+($AH68:$AM68="D")*12+($AH68:$AM68="N")*12+($AH68:$AM68="NT")*6+($AH68:$AM68="C")*10+($AH68:$AM68="A")*8+($AH68:$AM68="J")*5+($AH68:$AM68="E")*4+($AH68:$AM68="P")*6+($AH68:$AM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15" t="inlineStr">
        <is>
          <t>D</t>
        </is>
      </c>
      <c r="L69" s="107" t="n"/>
      <c r="M69" s="108" t="inlineStr">
        <is>
          <t>M</t>
        </is>
      </c>
      <c r="N69" s="108" t="inlineStr">
        <is>
          <t>M</t>
        </is>
      </c>
      <c r="O69" s="108" t="inlineStr">
        <is>
          <t>M</t>
        </is>
      </c>
      <c r="P69" s="107" t="n"/>
      <c r="Q69" s="107" t="n"/>
      <c r="R69" s="107" t="n"/>
      <c r="S69" s="107" t="n"/>
      <c r="T69" s="107" t="n"/>
      <c r="U69" s="107" t="n"/>
      <c r="V69" s="115" t="inlineStr">
        <is>
          <t>D</t>
        </is>
      </c>
      <c r="W69" s="107" t="n"/>
      <c r="X69" s="107" t="n"/>
      <c r="Y69" s="108" t="inlineStr">
        <is>
          <t>M</t>
        </is>
      </c>
      <c r="Z69" s="108" t="inlineStr">
        <is>
          <t>M</t>
        </is>
      </c>
      <c r="AA69" s="107" t="n"/>
      <c r="AB69" s="107" t="n"/>
      <c r="AC69" s="117" t="inlineStr">
        <is>
          <t>T</t>
        </is>
      </c>
      <c r="AD69" s="107" t="n"/>
      <c r="AE69" s="115" t="inlineStr">
        <is>
          <t>D</t>
        </is>
      </c>
      <c r="AF69" s="107" t="n"/>
      <c r="AG69" s="108" t="inlineStr">
        <is>
          <t>M</t>
        </is>
      </c>
      <c r="AH69" s="107" t="n"/>
      <c r="AI69" s="107" t="n"/>
      <c r="AJ69" s="108" t="inlineStr">
        <is>
          <t>M</t>
        </is>
      </c>
      <c r="AK69" s="107" t="n"/>
      <c r="AL69" s="116" t="inlineStr">
        <is>
          <t>N</t>
        </is>
      </c>
      <c r="AM69" s="107" t="n"/>
      <c r="AN69" s="109">
        <f>IFERROR(INDEX(FEV!I$8:I$73,MATCH($A69,FEV!$A$8:$A$73,0))&amp;"","")</f>
        <v/>
      </c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SUMPRODUCT(($F69:$L69="M")*6+($F69:$L69="T")*6+($F69:$L69="D")*12+($F69:$L69="N")*12+($F69:$L69="NT")*6+($F69:$L69="C")*10+($F69:$L69="A")*8+($F69:$L69="J")*5+($F69:$L69="E")*4+($F69:$L69="P")*6+($F69:$L69="R")*6)</f>
        <v/>
      </c>
      <c r="BF69" s="110">
        <f>SUMPRODUCT(($M69:$S69="M")*6+($M69:$S69="T")*6+($M69:$S69="D")*12+($M69:$S69="N")*12+($M69:$S69="NT")*6+($M69:$S69="C")*10+($M69:$S69="A")*8+($M69:$S69="J")*5+($M69:$S69="E")*4+($M69:$S69="P")*6+($M69:$S69="R")*6)</f>
        <v/>
      </c>
      <c r="BG69" s="110">
        <f>SUMPRODUCT(($T69:$Z69="M")*6+($T69:$Z69="T")*6+($T69:$Z69="D")*12+($T69:$Z69="N")*12+($T69:$Z69="NT")*6+($T69:$Z69="C")*10+($T69:$Z69="A")*8+($T69:$Z69="J")*5+($T69:$Z69="E")*4+($T69:$Z69="P")*6+($T69:$Z69="R")*6)</f>
        <v/>
      </c>
      <c r="BH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I69" s="110">
        <f>SUMPRODUCT(($AH69:$AM69="M")*6+($AH69:$AM69="T")*6+($AH69:$AM69="D")*12+($AH69:$AM69="N")*12+($AH69:$AM69="NT")*6+($AH69:$AM69="C")*10+($AH69:$AM69="A")*8+($AH69:$AM69="J")*5+($AH69:$AM69="E")*4+($AH69:$AM69="P")*6+($AH69:$AM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7" t="n"/>
      <c r="K70" s="107" t="n"/>
      <c r="L70" s="107" t="n"/>
      <c r="M70" s="115" t="inlineStr">
        <is>
          <t>D</t>
        </is>
      </c>
      <c r="N70" s="107" t="n"/>
      <c r="O70" s="107" t="n"/>
      <c r="P70" s="107" t="n"/>
      <c r="Q70" s="107" t="n"/>
      <c r="R70" s="107" t="n"/>
      <c r="S70" s="115" t="inlineStr">
        <is>
          <t>D</t>
        </is>
      </c>
      <c r="T70" s="107" t="n"/>
      <c r="U70" s="108" t="inlineStr">
        <is>
          <t>M</t>
        </is>
      </c>
      <c r="V70" s="107" t="n"/>
      <c r="W70" s="107" t="n"/>
      <c r="X70" s="117" t="inlineStr">
        <is>
          <t>T</t>
        </is>
      </c>
      <c r="Y70" s="107" t="n"/>
      <c r="Z70" s="107" t="n"/>
      <c r="AA70" s="108" t="inlineStr">
        <is>
          <t>M</t>
        </is>
      </c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7" t="inlineStr">
        <is>
          <t>T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16" t="inlineStr">
        <is>
          <t>N</t>
        </is>
      </c>
      <c r="AN70" s="109">
        <f>IFERROR(INDEX(FEV!I$8:I$73,MATCH($A70,FEV!$A$8:$A$73,0))&amp;"","")</f>
        <v/>
      </c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SUMPRODUCT(($F70:$L70="M")*6+($F70:$L70="T")*6+($F70:$L70="D")*12+($F70:$L70="N")*12+($F70:$L70="NT")*6+($F70:$L70="C")*10+($F70:$L70="A")*8+($F70:$L70="J")*5+($F70:$L70="E")*4+($F70:$L70="P")*6+($F70:$L70="R")*6)</f>
        <v/>
      </c>
      <c r="BF70" s="110">
        <f>SUMPRODUCT(($M70:$S70="M")*6+($M70:$S70="T")*6+($M70:$S70="D")*12+($M70:$S70="N")*12+($M70:$S70="NT")*6+($M70:$S70="C")*10+($M70:$S70="A")*8+($M70:$S70="J")*5+($M70:$S70="E")*4+($M70:$S70="P")*6+($M70:$S70="R")*6)</f>
        <v/>
      </c>
      <c r="BG70" s="110">
        <f>SUMPRODUCT(($T70:$Z70="M")*6+($T70:$Z70="T")*6+($T70:$Z70="D")*12+($T70:$Z70="N")*12+($T70:$Z70="NT")*6+($T70:$Z70="C")*10+($T70:$Z70="A")*8+($T70:$Z70="J")*5+($T70:$Z70="E")*4+($T70:$Z70="P")*6+($T70:$Z70="R")*6)</f>
        <v/>
      </c>
      <c r="BH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I70" s="110">
        <f>SUMPRODUCT(($AH70:$AM70="M")*6+($AH70:$AM70="T")*6+($AH70:$AM70="D")*12+($AH70:$AM70="N")*12+($AH70:$AM70="NT")*6+($AH70:$AM70="C")*10+($AH70:$AM70="A")*8+($AH70:$AM70="J")*5+($AH70:$AM70="E")*4+($AH70:$AM70="P")*6+($AH70:$AM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07" t="n"/>
      <c r="J71" s="108" t="inlineStr">
        <is>
          <t>M</t>
        </is>
      </c>
      <c r="K71" s="107" t="n"/>
      <c r="L71" s="107" t="n"/>
      <c r="M71" s="115" t="inlineStr">
        <is>
          <t>D</t>
        </is>
      </c>
      <c r="N71" s="107" t="n"/>
      <c r="O71" s="107" t="n"/>
      <c r="P71" s="107" t="n"/>
      <c r="Q71" s="107" t="n"/>
      <c r="R71" s="107" t="n"/>
      <c r="S71" s="115" t="inlineStr">
        <is>
          <t>D</t>
        </is>
      </c>
      <c r="T71" s="115" t="inlineStr">
        <is>
          <t>D</t>
        </is>
      </c>
      <c r="U71" s="107" t="n"/>
      <c r="V71" s="107" t="n"/>
      <c r="W71" s="107" t="n"/>
      <c r="X71" s="115" t="inlineStr">
        <is>
          <t>D</t>
        </is>
      </c>
      <c r="Y71" s="107" t="n"/>
      <c r="Z71" s="107" t="n"/>
      <c r="AA71" s="107" t="n"/>
      <c r="AB71" s="115" t="inlineStr">
        <is>
          <t>D</t>
        </is>
      </c>
      <c r="AC71" s="107" t="n"/>
      <c r="AD71" s="107" t="n"/>
      <c r="AE71" s="107" t="n"/>
      <c r="AF71" s="117" t="inlineStr">
        <is>
          <t>T</t>
        </is>
      </c>
      <c r="AG71" s="116" t="inlineStr">
        <is>
          <t>N</t>
        </is>
      </c>
      <c r="AH71" s="107" t="n"/>
      <c r="AI71" s="117" t="inlineStr">
        <is>
          <t>T</t>
        </is>
      </c>
      <c r="AJ71" s="107" t="n"/>
      <c r="AK71" s="107" t="n"/>
      <c r="AL71" s="115" t="inlineStr">
        <is>
          <t>D</t>
        </is>
      </c>
      <c r="AM71" s="107" t="n"/>
      <c r="AN71" s="109">
        <f>IFERROR(INDEX(FEV!I$8:I$73,MATCH($A71,FEV!$A$8:$A$73,0))&amp;"","")</f>
        <v/>
      </c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SUMPRODUCT(($F71:$L71="M")*6+($F71:$L71="T")*6+($F71:$L71="D")*12+($F71:$L71="N")*12+($F71:$L71="NT")*6+($F71:$L71="C")*10+($F71:$L71="A")*8+($F71:$L71="J")*5+($F71:$L71="E")*4+($F71:$L71="P")*6+($F71:$L71="R")*6)</f>
        <v/>
      </c>
      <c r="BF71" s="110">
        <f>SUMPRODUCT(($M71:$S71="M")*6+($M71:$S71="T")*6+($M71:$S71="D")*12+($M71:$S71="N")*12+($M71:$S71="NT")*6+($M71:$S71="C")*10+($M71:$S71="A")*8+($M71:$S71="J")*5+($M71:$S71="E")*4+($M71:$S71="P")*6+($M71:$S71="R")*6)</f>
        <v/>
      </c>
      <c r="BG71" s="110">
        <f>SUMPRODUCT(($T71:$Z71="M")*6+($T71:$Z71="T")*6+($T71:$Z71="D")*12+($T71:$Z71="N")*12+($T71:$Z71="NT")*6+($T71:$Z71="C")*10+($T71:$Z71="A")*8+($T71:$Z71="J")*5+($T71:$Z71="E")*4+($T71:$Z71="P")*6+($T71:$Z71="R")*6)</f>
        <v/>
      </c>
      <c r="BH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I71" s="110">
        <f>SUMPRODUCT(($AH71:$AM71="M")*6+($AH71:$AM71="T")*6+($AH71:$AM71="D")*12+($AH71:$AM71="N")*12+($AH71:$AM71="NT")*6+($AH71:$AM71="C")*10+($AH71:$AM71="A")*8+($AH71:$AM71="J")*5+($AH71:$AM71="E")*4+($AH71:$AM71="P")*6+($AH71:$AM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7" t="n"/>
      <c r="J72" s="107" t="n"/>
      <c r="K72" s="107" t="n"/>
      <c r="L72" s="107" t="n"/>
      <c r="M72" s="108" t="inlineStr">
        <is>
          <t>M</t>
        </is>
      </c>
      <c r="N72" s="107" t="n"/>
      <c r="O72" s="115" t="inlineStr">
        <is>
          <t>D</t>
        </is>
      </c>
      <c r="P72" s="107" t="n"/>
      <c r="Q72" s="115" t="inlineStr">
        <is>
          <t>D</t>
        </is>
      </c>
      <c r="R72" s="107" t="n"/>
      <c r="S72" s="107" t="n"/>
      <c r="T72" s="115" t="inlineStr">
        <is>
          <t>D</t>
        </is>
      </c>
      <c r="U72" s="117" t="inlineStr">
        <is>
          <t>T</t>
        </is>
      </c>
      <c r="V72" s="115" t="inlineStr">
        <is>
          <t>D</t>
        </is>
      </c>
      <c r="W72" s="107" t="n"/>
      <c r="X72" s="107" t="n"/>
      <c r="Y72" s="107" t="n"/>
      <c r="Z72" s="107" t="n"/>
      <c r="AA72" s="115" t="inlineStr">
        <is>
          <t>D</t>
        </is>
      </c>
      <c r="AB72" s="117" t="inlineStr">
        <is>
          <t>T</t>
        </is>
      </c>
      <c r="AC72" s="107" t="n"/>
      <c r="AD72" s="107" t="n"/>
      <c r="AE72" s="107" t="n"/>
      <c r="AF72" s="115" t="inlineStr">
        <is>
          <t>D</t>
        </is>
      </c>
      <c r="AG72" s="107" t="n"/>
      <c r="AH72" s="107" t="n"/>
      <c r="AI72" s="117" t="inlineStr">
        <is>
          <t>T</t>
        </is>
      </c>
      <c r="AJ72" s="107" t="n"/>
      <c r="AK72" s="107" t="n"/>
      <c r="AL72" s="107" t="n"/>
      <c r="AM72" s="115" t="inlineStr">
        <is>
          <t>D</t>
        </is>
      </c>
      <c r="AN72" s="109">
        <f>IFERROR(INDEX(FEV!I$8:I$73,MATCH($A72,FEV!$A$8:$A$73,0))&amp;"","")</f>
        <v/>
      </c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SUMPRODUCT(($F72:$L72="M")*6+($F72:$L72="T")*6+($F72:$L72="D")*12+($F72:$L72="N")*12+($F72:$L72="NT")*6+($F72:$L72="C")*10+($F72:$L72="A")*8+($F72:$L72="J")*5+($F72:$L72="E")*4+($F72:$L72="P")*6+($F72:$L72="R")*6)</f>
        <v/>
      </c>
      <c r="BF72" s="110">
        <f>SUMPRODUCT(($M72:$S72="M")*6+($M72:$S72="T")*6+($M72:$S72="D")*12+($M72:$S72="N")*12+($M72:$S72="NT")*6+($M72:$S72="C")*10+($M72:$S72="A")*8+($M72:$S72="J")*5+($M72:$S72="E")*4+($M72:$S72="P")*6+($M72:$S72="R")*6)</f>
        <v/>
      </c>
      <c r="BG72" s="110">
        <f>SUMPRODUCT(($T72:$Z72="M")*6+($T72:$Z72="T")*6+($T72:$Z72="D")*12+($T72:$Z72="N")*12+($T72:$Z72="NT")*6+($T72:$Z72="C")*10+($T72:$Z72="A")*8+($T72:$Z72="J")*5+($T72:$Z72="E")*4+($T72:$Z72="P")*6+($T72:$Z72="R")*6)</f>
        <v/>
      </c>
      <c r="BH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I72" s="110">
        <f>SUMPRODUCT(($AH72:$AM72="M")*6+($AH72:$AM72="T")*6+($AH72:$AM72="D")*12+($AH72:$AM72="N")*12+($AH72:$AM72="NT")*6+($AH72:$AM72="C")*10+($AH72:$AM72="A")*8+($AH72:$AM72="J")*5+($AH72:$AM72="E")*4+($AH72:$AM72="P")*6+($AH72:$AM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07" t="n"/>
      <c r="J73" s="116" t="inlineStr">
        <is>
          <t>N</t>
        </is>
      </c>
      <c r="K73" s="107" t="n"/>
      <c r="L73" s="107" t="n"/>
      <c r="M73" s="116" t="inlineStr">
        <is>
          <t>N</t>
        </is>
      </c>
      <c r="N73" s="107" t="n"/>
      <c r="O73" s="107" t="n"/>
      <c r="P73" s="117" t="inlineStr">
        <is>
          <t>T</t>
        </is>
      </c>
      <c r="Q73" s="115" t="inlineStr">
        <is>
          <t>D</t>
        </is>
      </c>
      <c r="R73" s="107" t="n"/>
      <c r="S73" s="107" t="n"/>
      <c r="T73" s="108" t="inlineStr">
        <is>
          <t>M</t>
        </is>
      </c>
      <c r="U73" s="107" t="n"/>
      <c r="V73" s="107" t="n"/>
      <c r="W73" s="107" t="n"/>
      <c r="X73" s="115" t="inlineStr">
        <is>
          <t>D</t>
        </is>
      </c>
      <c r="Y73" s="115" t="inlineStr">
        <is>
          <t>D</t>
        </is>
      </c>
      <c r="Z73" s="107" t="n"/>
      <c r="AA73" s="107" t="n"/>
      <c r="AB73" s="107" t="n"/>
      <c r="AC73" s="107" t="n"/>
      <c r="AD73" s="117" t="inlineStr">
        <is>
          <t>T</t>
        </is>
      </c>
      <c r="AE73" s="115" t="inlineStr">
        <is>
          <t>D</t>
        </is>
      </c>
      <c r="AF73" s="107" t="n"/>
      <c r="AG73" s="115" t="inlineStr">
        <is>
          <t>D</t>
        </is>
      </c>
      <c r="AH73" s="116" t="inlineStr">
        <is>
          <t>N</t>
        </is>
      </c>
      <c r="AI73" s="107" t="n"/>
      <c r="AJ73" s="107" t="n"/>
      <c r="AK73" s="107" t="n"/>
      <c r="AL73" s="108" t="inlineStr">
        <is>
          <t>M</t>
        </is>
      </c>
      <c r="AM73" s="117" t="inlineStr">
        <is>
          <t>T</t>
        </is>
      </c>
      <c r="AN73" s="109">
        <f>IFERROR(INDEX(FEV!I$8:I$73,MATCH($A73,FEV!$A$8:$A$73,0))&amp;"","")</f>
        <v/>
      </c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SUMPRODUCT(($F73:$L73="M")*6+($F73:$L73="T")*6+($F73:$L73="D")*12+($F73:$L73="N")*12+($F73:$L73="NT")*6+($F73:$L73="C")*10+($F73:$L73="A")*8+($F73:$L73="J")*5+($F73:$L73="E")*4+($F73:$L73="P")*6+($F73:$L73="R")*6)</f>
        <v/>
      </c>
      <c r="BF73" s="110">
        <f>SUMPRODUCT(($M73:$S73="M")*6+($M73:$S73="T")*6+($M73:$S73="D")*12+($M73:$S73="N")*12+($M73:$S73="NT")*6+($M73:$S73="C")*10+($M73:$S73="A")*8+($M73:$S73="J")*5+($M73:$S73="E")*4+($M73:$S73="P")*6+($M73:$S73="R")*6)</f>
        <v/>
      </c>
      <c r="BG73" s="110">
        <f>SUMPRODUCT(($T73:$Z73="M")*6+($T73:$Z73="T")*6+($T73:$Z73="D")*12+($T73:$Z73="N")*12+($T73:$Z73="NT")*6+($T73:$Z73="C")*10+($T73:$Z73="A")*8+($T73:$Z73="J")*5+($T73:$Z73="E")*4+($T73:$Z73="P")*6+($T73:$Z73="R")*6)</f>
        <v/>
      </c>
      <c r="BH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I73" s="110">
        <f>SUMPRODUCT(($AH73:$AM73="M")*6+($AH73:$AM73="T")*6+($AH73:$AM73="D")*12+($AH73:$AM73="N")*12+($AH73:$AM73="NT")*6+($AH73:$AM73="C")*10+($AH73:$AM73="A")*8+($AH73:$AM73="J")*5+($AH73:$AM73="E")*4+($AH73:$AM73="P")*6+($AH73:$AM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2">
        <f>MAX(0,CONFIG!$B$9-I75)</f>
        <v/>
      </c>
      <c r="J78" s="122">
        <f>MAX(0,CONFIG!$B$9-J75)</f>
        <v/>
      </c>
      <c r="K78" s="122">
        <f>MAX(0,CONFIG!$B$10-K75)</f>
        <v/>
      </c>
      <c r="L78" s="122">
        <f>MAX(0,CONFIG!$B$11-L75)</f>
        <v/>
      </c>
      <c r="M78" s="122">
        <f>MAX(0,CONFIG!$B$9-M75)</f>
        <v/>
      </c>
      <c r="N78" s="122">
        <f>MAX(0,CONFIG!$B$9-N75)</f>
        <v/>
      </c>
      <c r="O78" s="122">
        <f>MAX(0,CONFIG!$B$9-O75)</f>
        <v/>
      </c>
      <c r="P78" s="122">
        <f>MAX(0,CONFIG!$B$9-P75)</f>
        <v/>
      </c>
      <c r="Q78" s="122">
        <f>MAX(0,CONFIG!$B$9-Q75)</f>
        <v/>
      </c>
      <c r="R78" s="122">
        <f>MAX(0,CONFIG!$B$10-R75)</f>
        <v/>
      </c>
      <c r="S78" s="122">
        <f>MAX(0,CONFIG!$B$11-S75)</f>
        <v/>
      </c>
      <c r="T78" s="122">
        <f>MAX(0,CONFIG!$B$9-T75)</f>
        <v/>
      </c>
      <c r="U78" s="122">
        <f>MAX(0,CONFIG!$B$9-U75)</f>
        <v/>
      </c>
      <c r="V78" s="122">
        <f>MAX(0,CONFIG!$B$9-V75)</f>
        <v/>
      </c>
      <c r="W78" s="122">
        <f>MAX(0,CONFIG!$B$9-W75)</f>
        <v/>
      </c>
      <c r="X78" s="122">
        <f>MAX(0,CONFIG!$B$9-X75)</f>
        <v/>
      </c>
      <c r="Y78" s="122">
        <f>MAX(0,CONFIG!$B$10-Y75)</f>
        <v/>
      </c>
      <c r="Z78" s="122">
        <f>MAX(0,CONFIG!$B$11-Z75)</f>
        <v/>
      </c>
      <c r="AA78" s="122">
        <f>MAX(0,CONFIG!$B$9-AA75)</f>
        <v/>
      </c>
      <c r="AB78" s="122">
        <f>MAX(0,CONFIG!$B$9-AB75)</f>
        <v/>
      </c>
      <c r="AC78" s="122">
        <f>MAX(0,CONFIG!$B$9-AC75)</f>
        <v/>
      </c>
      <c r="AD78" s="122">
        <f>MAX(0,CONFIG!$B$9-AD75)</f>
        <v/>
      </c>
      <c r="AE78" s="122">
        <f>MAX(0,CONFIG!$B$9-AE75)</f>
        <v/>
      </c>
      <c r="AF78" s="122">
        <f>MAX(0,CONFIG!$B$10-AF75)</f>
        <v/>
      </c>
      <c r="AG78" s="122">
        <f>MAX(0,CONFIG!$B$11-AG75)</f>
        <v/>
      </c>
      <c r="AH78" s="122">
        <f>MAX(0,CONFIG!$B$9-AH75)</f>
        <v/>
      </c>
      <c r="AI78" s="122">
        <f>MAX(0,CONFIG!$B$9-AI75)</f>
        <v/>
      </c>
      <c r="AJ78" s="122">
        <f>MAX(0,CONFIG!$B$9-AJ75)</f>
        <v/>
      </c>
      <c r="AK78" s="122">
        <f>MAX(0,CONFIG!$B$9-AK75)</f>
        <v/>
      </c>
      <c r="AL78" s="122">
        <f>MAX(0,CONFIG!$B$9-AL75)</f>
        <v/>
      </c>
      <c r="AM78" s="122">
        <f>MAX(0,CONFIG!$B$10-AM75)</f>
        <v/>
      </c>
      <c r="AN78" s="122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2">
        <f>MAX(0,CONFIG!$C$9-I76)</f>
        <v/>
      </c>
      <c r="J79" s="122">
        <f>MAX(0,CONFIG!$C$9-J76)</f>
        <v/>
      </c>
      <c r="K79" s="122">
        <f>MAX(0,CONFIG!$C$10-K76)</f>
        <v/>
      </c>
      <c r="L79" s="122">
        <f>MAX(0,CONFIG!$C$11-L76)</f>
        <v/>
      </c>
      <c r="M79" s="122">
        <f>MAX(0,CONFIG!$C$9-M76)</f>
        <v/>
      </c>
      <c r="N79" s="122">
        <f>MAX(0,CONFIG!$C$9-N76)</f>
        <v/>
      </c>
      <c r="O79" s="122">
        <f>MAX(0,CONFIG!$C$9-O76)</f>
        <v/>
      </c>
      <c r="P79" s="122">
        <f>MAX(0,CONFIG!$C$9-P76)</f>
        <v/>
      </c>
      <c r="Q79" s="122">
        <f>MAX(0,CONFIG!$C$9-Q76)</f>
        <v/>
      </c>
      <c r="R79" s="122">
        <f>MAX(0,CONFIG!$C$10-R76)</f>
        <v/>
      </c>
      <c r="S79" s="122">
        <f>MAX(0,CONFIG!$C$11-S76)</f>
        <v/>
      </c>
      <c r="T79" s="122">
        <f>MAX(0,CONFIG!$C$9-T76)</f>
        <v/>
      </c>
      <c r="U79" s="122">
        <f>MAX(0,CONFIG!$C$9-U76)</f>
        <v/>
      </c>
      <c r="V79" s="122">
        <f>MAX(0,CONFIG!$C$9-V76)</f>
        <v/>
      </c>
      <c r="W79" s="122">
        <f>MAX(0,CONFIG!$C$9-W76)</f>
        <v/>
      </c>
      <c r="X79" s="122">
        <f>MAX(0,CONFIG!$C$9-X76)</f>
        <v/>
      </c>
      <c r="Y79" s="122">
        <f>MAX(0,CONFIG!$C$10-Y76)</f>
        <v/>
      </c>
      <c r="Z79" s="122">
        <f>MAX(0,CONFIG!$C$11-Z76)</f>
        <v/>
      </c>
      <c r="AA79" s="122">
        <f>MAX(0,CONFIG!$C$9-AA76)</f>
        <v/>
      </c>
      <c r="AB79" s="122">
        <f>MAX(0,CONFIG!$C$9-AB76)</f>
        <v/>
      </c>
      <c r="AC79" s="122">
        <f>MAX(0,CONFIG!$C$9-AC76)</f>
        <v/>
      </c>
      <c r="AD79" s="122">
        <f>MAX(0,CONFIG!$C$9-AD76)</f>
        <v/>
      </c>
      <c r="AE79" s="122">
        <f>MAX(0,CONFIG!$C$9-AE76)</f>
        <v/>
      </c>
      <c r="AF79" s="122">
        <f>MAX(0,CONFIG!$C$10-AF76)</f>
        <v/>
      </c>
      <c r="AG79" s="122">
        <f>MAX(0,CONFIG!$C$11-AG76)</f>
        <v/>
      </c>
      <c r="AH79" s="122">
        <f>MAX(0,CONFIG!$C$9-AH76)</f>
        <v/>
      </c>
      <c r="AI79" s="122">
        <f>MAX(0,CONFIG!$C$9-AI76)</f>
        <v/>
      </c>
      <c r="AJ79" s="122">
        <f>MAX(0,CONFIG!$C$9-AJ76)</f>
        <v/>
      </c>
      <c r="AK79" s="122">
        <f>MAX(0,CONFIG!$C$9-AK76)</f>
        <v/>
      </c>
      <c r="AL79" s="122">
        <f>MAX(0,CONFIG!$C$9-AL76)</f>
        <v/>
      </c>
      <c r="AM79" s="122">
        <f>MAX(0,CONFIG!$C$10-AM76)</f>
        <v/>
      </c>
      <c r="AN79" s="122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2">
        <f>MAX(0,CONFIG!$D$9-I77)</f>
        <v/>
      </c>
      <c r="J80" s="122">
        <f>MAX(0,CONFIG!$D$9-J77)</f>
        <v/>
      </c>
      <c r="K80" s="122">
        <f>MAX(0,CONFIG!$D$10-K77)</f>
        <v/>
      </c>
      <c r="L80" s="122">
        <f>MAX(0,CONFIG!$D$11-L77)</f>
        <v/>
      </c>
      <c r="M80" s="122">
        <f>MAX(0,CONFIG!$D$9-M77)</f>
        <v/>
      </c>
      <c r="N80" s="122">
        <f>MAX(0,CONFIG!$D$9-N77)</f>
        <v/>
      </c>
      <c r="O80" s="122">
        <f>MAX(0,CONFIG!$D$9-O77)</f>
        <v/>
      </c>
      <c r="P80" s="122">
        <f>MAX(0,CONFIG!$D$9-P77)</f>
        <v/>
      </c>
      <c r="Q80" s="122">
        <f>MAX(0,CONFIG!$D$9-Q77)</f>
        <v/>
      </c>
      <c r="R80" s="122">
        <f>MAX(0,CONFIG!$D$10-R77)</f>
        <v/>
      </c>
      <c r="S80" s="122">
        <f>MAX(0,CONFIG!$D$11-S77)</f>
        <v/>
      </c>
      <c r="T80" s="122">
        <f>MAX(0,CONFIG!$D$9-T77)</f>
        <v/>
      </c>
      <c r="U80" s="122">
        <f>MAX(0,CONFIG!$D$9-U77)</f>
        <v/>
      </c>
      <c r="V80" s="122">
        <f>MAX(0,CONFIG!$D$9-V77)</f>
        <v/>
      </c>
      <c r="W80" s="122">
        <f>MAX(0,CONFIG!$D$9-W77)</f>
        <v/>
      </c>
      <c r="X80" s="122">
        <f>MAX(0,CONFIG!$D$9-X77)</f>
        <v/>
      </c>
      <c r="Y80" s="122">
        <f>MAX(0,CONFIG!$D$10-Y77)</f>
        <v/>
      </c>
      <c r="Z80" s="122">
        <f>MAX(0,CONFIG!$D$11-Z77)</f>
        <v/>
      </c>
      <c r="AA80" s="122">
        <f>MAX(0,CONFIG!$D$9-AA77)</f>
        <v/>
      </c>
      <c r="AB80" s="122">
        <f>MAX(0,CONFIG!$D$9-AB77)</f>
        <v/>
      </c>
      <c r="AC80" s="122">
        <f>MAX(0,CONFIG!$D$9-AC77)</f>
        <v/>
      </c>
      <c r="AD80" s="122">
        <f>MAX(0,CONFIG!$D$9-AD77)</f>
        <v/>
      </c>
      <c r="AE80" s="122">
        <f>MAX(0,CONFIG!$D$9-AE77)</f>
        <v/>
      </c>
      <c r="AF80" s="122">
        <f>MAX(0,CONFIG!$D$10-AF77)</f>
        <v/>
      </c>
      <c r="AG80" s="122">
        <f>MAX(0,CONFIG!$D$11-AG77)</f>
        <v/>
      </c>
      <c r="AH80" s="122">
        <f>MAX(0,CONFIG!$D$9-AH77)</f>
        <v/>
      </c>
      <c r="AI80" s="122">
        <f>MAX(0,CONFIG!$D$9-AI77)</f>
        <v/>
      </c>
      <c r="AJ80" s="122">
        <f>MAX(0,CONFIG!$D$9-AJ77)</f>
        <v/>
      </c>
      <c r="AK80" s="122">
        <f>MAX(0,CONFIG!$D$9-AK77)</f>
        <v/>
      </c>
      <c r="AL80" s="122">
        <f>MAX(0,CONFIG!$D$9-AL77)</f>
        <v/>
      </c>
      <c r="AM80" s="122">
        <f>MAX(0,CONFIG!$D$10-AM77)</f>
        <v/>
      </c>
      <c r="AN80" s="122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7" t="inlineStr">
        <is>
          <t>26/01</t>
        </is>
      </c>
      <c r="D2" s="97" t="inlineStr">
        <is>
          <t>27/01</t>
        </is>
      </c>
      <c r="E2" s="97" t="inlineStr">
        <is>
          <t>28/01</t>
        </is>
      </c>
      <c r="F2" s="97" t="inlineStr">
        <is>
          <t>29/01</t>
        </is>
      </c>
      <c r="G2" s="97" t="inlineStr">
        <is>
          <t>30/01</t>
        </is>
      </c>
      <c r="H2" s="101" t="inlineStr">
        <is>
          <t>31/01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8" t="n">
        <v>16</v>
      </c>
      <c r="Y2" s="98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96" t="n"/>
      <c r="AL2" s="96" t="n"/>
      <c r="AM2" s="96" t="n"/>
      <c r="AN2" s="101" t="inlineStr">
        <is>
          <t>01/03</t>
        </is>
      </c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3" t="inlineStr">
        <is>
          <t>carn</t>
        </is>
      </c>
      <c r="Y3" s="103" t="inlineStr">
        <is>
          <t>carn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96" t="n"/>
      <c r="AL3" s="96" t="n"/>
      <c r="AM3" s="96" t="n"/>
      <c r="AN3" s="104" t="inlineStr">
        <is>
          <t>dom</t>
        </is>
      </c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/>
      <c r="AL4" s="39" t="n"/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/>
      <c r="AL5" s="39" t="n"/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1</v>
      </c>
      <c r="Y6" s="39" t="n">
        <v>1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/>
      <c r="AL6" s="39" t="n"/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123">
        <f>IFERROR(INDEX(JAN!AH$8:AH$73,MATCH($A8,JAN!$A$8:$A$73,0))&amp;"","")</f>
        <v/>
      </c>
      <c r="D8" s="123">
        <f>IFERROR(INDEX(JAN!AI$8:AI$73,MATCH($A8,JAN!$A$8:$A$73,0))&amp;"","")</f>
        <v/>
      </c>
      <c r="E8" s="123">
        <f>IFERROR(INDEX(JAN!AJ$8:AJ$73,MATCH($A8,JAN!$A$8:$A$73,0))&amp;"","")</f>
        <v/>
      </c>
      <c r="F8" s="123">
        <f>IFERROR(INDEX(JAN!AK$8:AK$73,MATCH($A8,JAN!$A$8:$A$73,0))&amp;"","")</f>
        <v/>
      </c>
      <c r="G8" s="123">
        <f>IFERROR(INDEX(JAN!AL$8:AL$73,MATCH($A8,JAN!$A$8:$A$73,0))&amp;"","")</f>
        <v/>
      </c>
      <c r="H8" s="109">
        <f>IFERROR(INDEX(JAN!AM$8:AM$73,MATCH($A8,JAN!$A$8:$A$73,0))&amp;"","")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24" t="inlineStr">
        <is>
          <t>C</t>
        </is>
      </c>
      <c r="R8" s="124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4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4" t="inlineStr">
        <is>
          <t>C</t>
        </is>
      </c>
      <c r="Y8" s="124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4" t="inlineStr">
        <is>
          <t>C</t>
        </is>
      </c>
      <c r="AF8" s="124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4" t="inlineStr">
        <is>
          <t>C</t>
        </is>
      </c>
      <c r="AJ8" s="108" t="inlineStr">
        <is>
          <t>M</t>
        </is>
      </c>
      <c r="AK8" s="96" t="n"/>
      <c r="AL8" s="96" t="n"/>
      <c r="AM8" s="96" t="n"/>
      <c r="AN8" s="109">
        <f>IFERROR(INDEX(MAR!I$8:I$73,MATCH($A8,MAR!$A$8:$A$73,0))&amp;"","")</f>
        <v/>
      </c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ROUND(B8*4.0,0)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SUMPRODUCT(($C8:$I8="M")*6+($C8:$I8="T")*6+($C8:$I8="D")*12+($C8:$I8="N")*12+($C8:$I8="NT")*6+($C8:$I8="C")*10+($C8:$I8="A")*8+($C8:$I8="J")*5+($C8:$I8="E")*4+($C8:$I8="P")*6+($C8:$I8="R")*6)</f>
        <v/>
      </c>
      <c r="BF8" s="110">
        <f>SUMPRODUCT(($J8:$P8="M")*6+($J8:$P8="T")*6+($J8:$P8="D")*12+($J8:$P8="N")*12+($J8:$P8="NT")*6+($J8:$P8="C")*10+($J8:$P8="A")*8+($J8:$P8="J")*5+($J8:$P8="E")*4+($J8:$P8="P")*6+($J8:$P8="R")*6)</f>
        <v/>
      </c>
      <c r="BG8" s="110">
        <f>SUMPRODUCT(($Q8:$W8="M")*6+($Q8:$W8="T")*6+($Q8:$W8="D")*12+($Q8:$W8="N")*12+($Q8:$W8="NT")*6+($Q8:$W8="C")*10+($Q8:$W8="A")*8+($Q8:$W8="J")*5+($Q8:$W8="E")*4+($Q8:$W8="P")*6+($Q8:$W8="R")*6)</f>
        <v/>
      </c>
      <c r="BH8" s="110">
        <f>SUMPRODUCT(($X8:$AD8="M")*6+($X8:$AD8="T")*6+($X8:$AD8="D")*12+($X8:$AD8="N")*12+($X8:$AD8="NT")*6+($X8:$AD8="C")*10+($X8:$AD8="A")*8+($X8:$AD8="J")*5+($X8:$AD8="E")*4+($X8:$AD8="P")*6+($X8:$AD8="R")*6)</f>
        <v/>
      </c>
      <c r="BI8" s="110">
        <f>SUMPRODUCT(($AE8:$AJ8="M")*6+($AE8:$AJ8="T")*6+($AE8:$AJ8="D")*12+($AE8:$AJ8="N")*12+($AE8:$AJ8="NT")*6+($AE8:$AJ8="C")*10+($AE8:$AJ8="A")*8+($AE8:$AJ8="J")*5+($AE8:$AJ8="E")*4+($AE8:$AJ8="P")*6+($AE8:$AJ8="R")*6)+SUMPRODUCT(($AN8:$AN8="M")*6+($AN8:$AN8="T")*6+($AN8:$AN8="D")*12+($AN8:$AN8="N")*12+($AN8:$AN8="NT")*6+($AN8:$AN8="C")*10+($AN8:$AN8="A")*8+($AN8:$AN8="J")*5+($AN8:$AN8="E")*4+($AN8:$AN8="P")*6+($AN8:$AN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123">
        <f>IFERROR(INDEX(JAN!AH$8:AH$73,MATCH($A9,JAN!$A$8:$A$73,0))&amp;"","")</f>
        <v/>
      </c>
      <c r="D9" s="123">
        <f>IFERROR(INDEX(JAN!AI$8:AI$73,MATCH($A9,JAN!$A$8:$A$73,0))&amp;"","")</f>
        <v/>
      </c>
      <c r="E9" s="123">
        <f>IFERROR(INDEX(JAN!AJ$8:AJ$73,MATCH($A9,JAN!$A$8:$A$73,0))&amp;"","")</f>
        <v/>
      </c>
      <c r="F9" s="123">
        <f>IFERROR(INDEX(JAN!AK$8:AK$73,MATCH($A9,JAN!$A$8:$A$73,0))&amp;"","")</f>
        <v/>
      </c>
      <c r="G9" s="123">
        <f>IFERROR(INDEX(JAN!AL$8:AL$73,MATCH($A9,JAN!$A$8:$A$73,0))&amp;"","")</f>
        <v/>
      </c>
      <c r="H9" s="109">
        <f>IFERROR(INDEX(JAN!AM$8:AM$73,MATCH($A9,JAN!$A$8:$A$73,0))&amp;"","")</f>
        <v/>
      </c>
      <c r="I9" s="107" t="n"/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4" t="inlineStr">
        <is>
          <t>C</t>
        </is>
      </c>
      <c r="N9" s="124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4" t="inlineStr">
        <is>
          <t>C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4" t="inlineStr">
        <is>
          <t>C</t>
        </is>
      </c>
      <c r="AB9" s="108" t="inlineStr">
        <is>
          <t>M</t>
        </is>
      </c>
      <c r="AC9" s="107" t="n"/>
      <c r="AD9" s="107" t="n"/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4" t="inlineStr">
        <is>
          <t>C</t>
        </is>
      </c>
      <c r="AI9" s="108" t="inlineStr">
        <is>
          <t>M</t>
        </is>
      </c>
      <c r="AJ9" s="108" t="inlineStr">
        <is>
          <t>M</t>
        </is>
      </c>
      <c r="AK9" s="96" t="n"/>
      <c r="AL9" s="96" t="n"/>
      <c r="AM9" s="96" t="n"/>
      <c r="AN9" s="109">
        <f>IFERROR(INDEX(MAR!I$8:I$73,MATCH($A9,MAR!$A$8:$A$73,0))&amp;"","")</f>
        <v/>
      </c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ROUND(B9*4.0,0)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SUMPRODUCT(($C9:$I9="M")*6+($C9:$I9="T")*6+($C9:$I9="D")*12+($C9:$I9="N")*12+($C9:$I9="NT")*6+($C9:$I9="C")*10+($C9:$I9="A")*8+($C9:$I9="J")*5+($C9:$I9="E")*4+($C9:$I9="P")*6+($C9:$I9="R")*6)</f>
        <v/>
      </c>
      <c r="BF9" s="110">
        <f>SUMPRODUCT(($J9:$P9="M")*6+($J9:$P9="T")*6+($J9:$P9="D")*12+($J9:$P9="N")*12+($J9:$P9="NT")*6+($J9:$P9="C")*10+($J9:$P9="A")*8+($J9:$P9="J")*5+($J9:$P9="E")*4+($J9:$P9="P")*6+($J9:$P9="R")*6)</f>
        <v/>
      </c>
      <c r="BG9" s="110">
        <f>SUMPRODUCT(($Q9:$W9="M")*6+($Q9:$W9="T")*6+($Q9:$W9="D")*12+($Q9:$W9="N")*12+($Q9:$W9="NT")*6+($Q9:$W9="C")*10+($Q9:$W9="A")*8+($Q9:$W9="J")*5+($Q9:$W9="E")*4+($Q9:$W9="P")*6+($Q9:$W9="R")*6)</f>
        <v/>
      </c>
      <c r="BH9" s="110">
        <f>SUMPRODUCT(($X9:$AD9="M")*6+($X9:$AD9="T")*6+($X9:$AD9="D")*12+($X9:$AD9="N")*12+($X9:$AD9="NT")*6+($X9:$AD9="C")*10+($X9:$AD9="A")*8+($X9:$AD9="J")*5+($X9:$AD9="E")*4+($X9:$AD9="P")*6+($X9:$AD9="R")*6)</f>
        <v/>
      </c>
      <c r="BI9" s="110">
        <f>SUMPRODUCT(($AE9:$AJ9="M")*6+($AE9:$AJ9="T")*6+($AE9:$AJ9="D")*12+($AE9:$AJ9="N")*12+($AE9:$AJ9="NT")*6+($AE9:$AJ9="C")*10+($AE9:$AJ9="A")*8+($AE9:$AJ9="J")*5+($AE9:$AJ9="E")*4+($AE9:$AJ9="P")*6+($AE9:$AJ9="R")*6)+SUMPRODUCT(($AN9:$AN9="M")*6+($AN9:$AN9="T")*6+($AN9:$AN9="D")*12+($AN9:$AN9="N")*12+($AN9:$AN9="NT")*6+($AN9:$AN9="C")*10+($AN9:$AN9="A")*8+($AN9:$AN9="J")*5+($AN9:$AN9="E")*4+($AN9:$AN9="P")*6+($AN9:$AN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123">
        <f>IFERROR(INDEX(JAN!AH$8:AH$73,MATCH($A10,JAN!$A$8:$A$73,0))&amp;"","")</f>
        <v/>
      </c>
      <c r="D10" s="123">
        <f>IFERROR(INDEX(JAN!AI$8:AI$73,MATCH($A10,JAN!$A$8:$A$73,0))&amp;"","")</f>
        <v/>
      </c>
      <c r="E10" s="123">
        <f>IFERROR(INDEX(JAN!AJ$8:AJ$73,MATCH($A10,JAN!$A$8:$A$73,0))&amp;"","")</f>
        <v/>
      </c>
      <c r="F10" s="123">
        <f>IFERROR(INDEX(JAN!AK$8:AK$73,MATCH($A10,JAN!$A$8:$A$73,0))&amp;"","")</f>
        <v/>
      </c>
      <c r="G10" s="123">
        <f>IFERROR(INDEX(JAN!AL$8:AL$73,MATCH($A10,JAN!$A$8:$A$73,0))&amp;"","")</f>
        <v/>
      </c>
      <c r="H10" s="109">
        <f>IFERROR(INDEX(JAN!AM$8:AM$73,MATCH($A10,JAN!$A$8:$A$73,0))&amp;"","")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96" t="n"/>
      <c r="AL10" s="96" t="n"/>
      <c r="AM10" s="96" t="n"/>
      <c r="AN10" s="109">
        <f>IFERROR(INDEX(MAR!I$8:I$73,MATCH($A10,MAR!$A$8:$A$73,0))&amp;"","")</f>
        <v/>
      </c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ROUND(B10*4.0,0)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SUMPRODUCT(($C10:$I10="M")*6+($C10:$I10="T")*6+($C10:$I10="D")*12+($C10:$I10="N")*12+($C10:$I10="NT")*6+($C10:$I10="C")*10+($C10:$I10="A")*8+($C10:$I10="J")*5+($C10:$I10="E")*4+($C10:$I10="P")*6+($C10:$I10="R")*6)</f>
        <v/>
      </c>
      <c r="BF10" s="110">
        <f>SUMPRODUCT(($J10:$P10="M")*6+($J10:$P10="T")*6+($J10:$P10="D")*12+($J10:$P10="N")*12+($J10:$P10="NT")*6+($J10:$P10="C")*10+($J10:$P10="A")*8+($J10:$P10="J")*5+($J10:$P10="E")*4+($J10:$P10="P")*6+($J10:$P10="R")*6)</f>
        <v/>
      </c>
      <c r="BG10" s="110">
        <f>SUMPRODUCT(($Q10:$W10="M")*6+($Q10:$W10="T")*6+($Q10:$W10="D")*12+($Q10:$W10="N")*12+($Q10:$W10="NT")*6+($Q10:$W10="C")*10+($Q10:$W10="A")*8+($Q10:$W10="J")*5+($Q10:$W10="E")*4+($Q10:$W10="P")*6+($Q10:$W10="R")*6)</f>
        <v/>
      </c>
      <c r="BH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I10" s="110">
        <f>SUMPRODUCT(($AE10:$AJ10="M")*6+($AE10:$AJ10="T")*6+($AE10:$AJ10="D")*12+($AE10:$AJ10="N")*12+($AE10:$AJ10="NT")*6+($AE10:$AJ10="C")*10+($AE10:$AJ10="A")*8+($AE10:$AJ10="J")*5+($AE10:$AJ10="E")*4+($AE10:$AJ10="P")*6+($AE10:$AJ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123">
        <f>IFERROR(INDEX(JAN!AH$8:AH$73,MATCH($A11,JAN!$A$8:$A$73,0))&amp;"","")</f>
        <v/>
      </c>
      <c r="D11" s="123">
        <f>IFERROR(INDEX(JAN!AI$8:AI$73,MATCH($A11,JAN!$A$8:$A$73,0))&amp;"","")</f>
        <v/>
      </c>
      <c r="E11" s="123">
        <f>IFERROR(INDEX(JAN!AJ$8:AJ$73,MATCH($A11,JAN!$A$8:$A$73,0))&amp;"","")</f>
        <v/>
      </c>
      <c r="F11" s="123">
        <f>IFERROR(INDEX(JAN!AK$8:AK$73,MATCH($A11,JAN!$A$8:$A$73,0))&amp;"","")</f>
        <v/>
      </c>
      <c r="G11" s="123">
        <f>IFERROR(INDEX(JAN!AL$8:AL$73,MATCH($A11,JAN!$A$8:$A$73,0))&amp;"","")</f>
        <v/>
      </c>
      <c r="H11" s="109">
        <f>IFERROR(INDEX(JAN!AM$8:AM$73,MATCH($A11,JAN!$A$8:$A$73,0))&amp;"","")</f>
        <v/>
      </c>
      <c r="I11" s="107" t="n"/>
      <c r="J11" s="115" t="inlineStr">
        <is>
          <t>D</t>
        </is>
      </c>
      <c r="K11" s="108" t="inlineStr">
        <is>
          <t>M</t>
        </is>
      </c>
      <c r="L11" s="115" t="inlineStr">
        <is>
          <t>D</t>
        </is>
      </c>
      <c r="M11" s="108" t="inlineStr">
        <is>
          <t>M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7" t="n"/>
      <c r="V11" s="116" t="inlineStr">
        <is>
          <t>N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96" t="n"/>
      <c r="AL11" s="96" t="n"/>
      <c r="AM11" s="96" t="n"/>
      <c r="AN11" s="109">
        <f>IFERROR(INDEX(MAR!I$8:I$73,MATCH($A11,MAR!$A$8:$A$73,0))&amp;"","")</f>
        <v/>
      </c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ROUND(B11*4.0,0)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SUMPRODUCT(($C11:$I11="M")*6+($C11:$I11="T")*6+($C11:$I11="D")*12+($C11:$I11="N")*12+($C11:$I11="NT")*6+($C11:$I11="C")*10+($C11:$I11="A")*8+($C11:$I11="J")*5+($C11:$I11="E")*4+($C11:$I11="P")*6+($C11:$I11="R")*6)</f>
        <v/>
      </c>
      <c r="BF11" s="110">
        <f>SUMPRODUCT(($J11:$P11="M")*6+($J11:$P11="T")*6+($J11:$P11="D")*12+($J11:$P11="N")*12+($J11:$P11="NT")*6+($J11:$P11="C")*10+($J11:$P11="A")*8+($J11:$P11="J")*5+($J11:$P11="E")*4+($J11:$P11="P")*6+($J11:$P11="R")*6)</f>
        <v/>
      </c>
      <c r="BG11" s="110">
        <f>SUMPRODUCT(($Q11:$W11="M")*6+($Q11:$W11="T")*6+($Q11:$W11="D")*12+($Q11:$W11="N")*12+($Q11:$W11="NT")*6+($Q11:$W11="C")*10+($Q11:$W11="A")*8+($Q11:$W11="J")*5+($Q11:$W11="E")*4+($Q11:$W11="P")*6+($Q11:$W11="R")*6)</f>
        <v/>
      </c>
      <c r="BH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I11" s="110">
        <f>SUMPRODUCT(($AE11:$AJ11="M")*6+($AE11:$AJ11="T")*6+($AE11:$AJ11="D")*12+($AE11:$AJ11="N")*12+($AE11:$AJ11="NT")*6+($AE11:$AJ11="C")*10+($AE11:$AJ11="A")*8+($AE11:$AJ11="J")*5+($AE11:$AJ11="E")*4+($AE11:$AJ11="P")*6+($AE11:$AJ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123">
        <f>IFERROR(INDEX(JAN!AH$8:AH$73,MATCH($A12,JAN!$A$8:$A$73,0))&amp;"","")</f>
        <v/>
      </c>
      <c r="D12" s="123">
        <f>IFERROR(INDEX(JAN!AI$8:AI$73,MATCH($A12,JAN!$A$8:$A$73,0))&amp;"","")</f>
        <v/>
      </c>
      <c r="E12" s="123">
        <f>IFERROR(INDEX(JAN!AJ$8:AJ$73,MATCH($A12,JAN!$A$8:$A$73,0))&amp;"","")</f>
        <v/>
      </c>
      <c r="F12" s="123">
        <f>IFERROR(INDEX(JAN!AK$8:AK$73,MATCH($A12,JAN!$A$8:$A$73,0))&amp;"","")</f>
        <v/>
      </c>
      <c r="G12" s="123">
        <f>IFERROR(INDEX(JAN!AL$8:AL$73,MATCH($A12,JAN!$A$8:$A$73,0))&amp;"","")</f>
        <v/>
      </c>
      <c r="H12" s="109">
        <f>IFERROR(INDEX(JAN!AM$8:AM$73,MATCH($A12,JAN!$A$8:$A$73,0))&amp;"","")</f>
        <v/>
      </c>
      <c r="I12" s="107" t="n"/>
      <c r="J12" s="108" t="inlineStr">
        <is>
          <t>M</t>
        </is>
      </c>
      <c r="K12" s="115" t="inlineStr">
        <is>
          <t>D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15" t="inlineStr">
        <is>
          <t>D</t>
        </is>
      </c>
      <c r="S12" s="108" t="inlineStr">
        <is>
          <t>M</t>
        </is>
      </c>
      <c r="T12" s="115" t="inlineStr">
        <is>
          <t>D</t>
        </is>
      </c>
      <c r="U12" s="108" t="inlineStr">
        <is>
          <t>M</t>
        </is>
      </c>
      <c r="V12" s="107" t="n"/>
      <c r="W12" s="107" t="n"/>
      <c r="X12" s="108" t="inlineStr">
        <is>
          <t>M</t>
        </is>
      </c>
      <c r="Y12" s="108" t="inlineStr">
        <is>
          <t>M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15" t="inlineStr">
        <is>
          <t>D</t>
        </is>
      </c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15" t="inlineStr">
        <is>
          <t>D</t>
        </is>
      </c>
      <c r="AK12" s="96" t="n"/>
      <c r="AL12" s="96" t="n"/>
      <c r="AM12" s="96" t="n"/>
      <c r="AN12" s="109">
        <f>IFERROR(INDEX(MAR!I$8:I$73,MATCH($A12,MAR!$A$8:$A$73,0))&amp;"","")</f>
        <v/>
      </c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ROUND(B12*4.0,0)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SUMPRODUCT(($C12:$I12="M")*6+($C12:$I12="T")*6+($C12:$I12="D")*12+($C12:$I12="N")*12+($C12:$I12="NT")*6+($C12:$I12="C")*10+($C12:$I12="A")*8+($C12:$I12="J")*5+($C12:$I12="E")*4+($C12:$I12="P")*6+($C12:$I12="R")*6)</f>
        <v/>
      </c>
      <c r="BF12" s="110">
        <f>SUMPRODUCT(($J12:$P12="M")*6+($J12:$P12="T")*6+($J12:$P12="D")*12+($J12:$P12="N")*12+($J12:$P12="NT")*6+($J12:$P12="C")*10+($J12:$P12="A")*8+($J12:$P12="J")*5+($J12:$P12="E")*4+($J12:$P12="P")*6+($J12:$P12="R")*6)</f>
        <v/>
      </c>
      <c r="BG12" s="110">
        <f>SUMPRODUCT(($Q12:$W12="M")*6+($Q12:$W12="T")*6+($Q12:$W12="D")*12+($Q12:$W12="N")*12+($Q12:$W12="NT")*6+($Q12:$W12="C")*10+($Q12:$W12="A")*8+($Q12:$W12="J")*5+($Q12:$W12="E")*4+($Q12:$W12="P")*6+($Q12:$W12="R")*6)</f>
        <v/>
      </c>
      <c r="BH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I12" s="110">
        <f>SUMPRODUCT(($AE12:$AJ12="M")*6+($AE12:$AJ12="T")*6+($AE12:$AJ12="D")*12+($AE12:$AJ12="N")*12+($AE12:$AJ12="NT")*6+($AE12:$AJ12="C")*10+($AE12:$AJ12="A")*8+($AE12:$AJ12="J")*5+($AE12:$AJ12="E")*4+($AE12:$AJ12="P")*6+($AE12:$AJ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123">
        <f>IFERROR(INDEX(JAN!AH$8:AH$73,MATCH($A13,JAN!$A$8:$A$73,0))&amp;"","")</f>
        <v/>
      </c>
      <c r="D13" s="123">
        <f>IFERROR(INDEX(JAN!AI$8:AI$73,MATCH($A13,JAN!$A$8:$A$73,0))&amp;"","")</f>
        <v/>
      </c>
      <c r="E13" s="123">
        <f>IFERROR(INDEX(JAN!AJ$8:AJ$73,MATCH($A13,JAN!$A$8:$A$73,0))&amp;"","")</f>
        <v/>
      </c>
      <c r="F13" s="123">
        <f>IFERROR(INDEX(JAN!AK$8:AK$73,MATCH($A13,JAN!$A$8:$A$73,0))&amp;"","")</f>
        <v/>
      </c>
      <c r="G13" s="123">
        <f>IFERROR(INDEX(JAN!AL$8:AL$73,MATCH($A13,JAN!$A$8:$A$73,0))&amp;"","")</f>
        <v/>
      </c>
      <c r="H13" s="109">
        <f>IFERROR(INDEX(JAN!AM$8:AM$73,MATCH($A13,JAN!$A$8:$A$73,0))&amp;"","")</f>
        <v/>
      </c>
      <c r="I13" s="107" t="n"/>
      <c r="J13" s="108" t="inlineStr">
        <is>
          <t>M</t>
        </is>
      </c>
      <c r="K13" s="115" t="inlineStr">
        <is>
          <t>D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16" t="inlineStr">
        <is>
          <t>N</t>
        </is>
      </c>
      <c r="P13" s="107" t="n"/>
      <c r="Q13" s="108" t="inlineStr">
        <is>
          <t>M</t>
        </is>
      </c>
      <c r="R13" s="115" t="inlineStr">
        <is>
          <t>D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16" t="inlineStr">
        <is>
          <t>N</t>
        </is>
      </c>
      <c r="AE13" s="108" t="inlineStr">
        <is>
          <t>M</t>
        </is>
      </c>
      <c r="AF13" s="115" t="inlineStr">
        <is>
          <t>D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7" t="n"/>
      <c r="AK13" s="96" t="n"/>
      <c r="AL13" s="96" t="n"/>
      <c r="AM13" s="96" t="n"/>
      <c r="AN13" s="109">
        <f>IFERROR(INDEX(MAR!I$8:I$73,MATCH($A13,MAR!$A$8:$A$73,0))&amp;"","")</f>
        <v/>
      </c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ROUND(B13*4.0,0)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SUMPRODUCT(($C13:$I13="M")*6+($C13:$I13="T")*6+($C13:$I13="D")*12+($C13:$I13="N")*12+($C13:$I13="NT")*6+($C13:$I13="C")*10+($C13:$I13="A")*8+($C13:$I13="J")*5+($C13:$I13="E")*4+($C13:$I13="P")*6+($C13:$I13="R")*6)</f>
        <v/>
      </c>
      <c r="BF13" s="110">
        <f>SUMPRODUCT(($J13:$P13="M")*6+($J13:$P13="T")*6+($J13:$P13="D")*12+($J13:$P13="N")*12+($J13:$P13="NT")*6+($J13:$P13="C")*10+($J13:$P13="A")*8+($J13:$P13="J")*5+($J13:$P13="E")*4+($J13:$P13="P")*6+($J13:$P13="R")*6)</f>
        <v/>
      </c>
      <c r="BG13" s="110">
        <f>SUMPRODUCT(($Q13:$W13="M")*6+($Q13:$W13="T")*6+($Q13:$W13="D")*12+($Q13:$W13="N")*12+($Q13:$W13="NT")*6+($Q13:$W13="C")*10+($Q13:$W13="A")*8+($Q13:$W13="J")*5+($Q13:$W13="E")*4+($Q13:$W13="P")*6+($Q13:$W13="R")*6)</f>
        <v/>
      </c>
      <c r="BH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I13" s="110">
        <f>SUMPRODUCT(($AE13:$AJ13="M")*6+($AE13:$AJ13="T")*6+($AE13:$AJ13="D")*12+($AE13:$AJ13="N")*12+($AE13:$AJ13="NT")*6+($AE13:$AJ13="C")*10+($AE13:$AJ13="A")*8+($AE13:$AJ13="J")*5+($AE13:$AJ13="E")*4+($AE13:$AJ13="P")*6+($AE13:$AJ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123">
        <f>IFERROR(INDEX(JAN!AH$8:AH$73,MATCH($A14,JAN!$A$8:$A$73,0))&amp;"","")</f>
        <v/>
      </c>
      <c r="D14" s="123">
        <f>IFERROR(INDEX(JAN!AI$8:AI$73,MATCH($A14,JAN!$A$8:$A$73,0))&amp;"","")</f>
        <v/>
      </c>
      <c r="E14" s="123">
        <f>IFERROR(INDEX(JAN!AJ$8:AJ$73,MATCH($A14,JAN!$A$8:$A$73,0))&amp;"","")</f>
        <v/>
      </c>
      <c r="F14" s="123">
        <f>IFERROR(INDEX(JAN!AK$8:AK$73,MATCH($A14,JAN!$A$8:$A$73,0))&amp;"","")</f>
        <v/>
      </c>
      <c r="G14" s="123">
        <f>IFERROR(INDEX(JAN!AL$8:AL$73,MATCH($A14,JAN!$A$8:$A$73,0))&amp;"","")</f>
        <v/>
      </c>
      <c r="H14" s="109">
        <f>IFERROR(INDEX(JAN!AM$8:AM$73,MATCH($A14,JAN!$A$8:$A$73,0))&amp;"","")</f>
        <v/>
      </c>
      <c r="I14" s="117" t="inlineStr">
        <is>
          <t>T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15" t="inlineStr">
        <is>
          <t>D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15" t="inlineStr">
        <is>
          <t>D</t>
        </is>
      </c>
      <c r="AJ14" s="117" t="inlineStr">
        <is>
          <t>T</t>
        </is>
      </c>
      <c r="AK14" s="96" t="n"/>
      <c r="AL14" s="96" t="n"/>
      <c r="AM14" s="96" t="n"/>
      <c r="AN14" s="109">
        <f>IFERROR(INDEX(MAR!I$8:I$73,MATCH($A14,MAR!$A$8:$A$73,0))&amp;"","")</f>
        <v/>
      </c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ROUND(B14*4.0,0)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SUMPRODUCT(($C14:$I14="M")*6+($C14:$I14="T")*6+($C14:$I14="D")*12+($C14:$I14="N")*12+($C14:$I14="NT")*6+($C14:$I14="C")*10+($C14:$I14="A")*8+($C14:$I14="J")*5+($C14:$I14="E")*4+($C14:$I14="P")*6+($C14:$I14="R")*6)</f>
        <v/>
      </c>
      <c r="BF14" s="110">
        <f>SUMPRODUCT(($J14:$P14="M")*6+($J14:$P14="T")*6+($J14:$P14="D")*12+($J14:$P14="N")*12+($J14:$P14="NT")*6+($J14:$P14="C")*10+($J14:$P14="A")*8+($J14:$P14="J")*5+($J14:$P14="E")*4+($J14:$P14="P")*6+($J14:$P14="R")*6)</f>
        <v/>
      </c>
      <c r="BG14" s="110">
        <f>SUMPRODUCT(($Q14:$W14="M")*6+($Q14:$W14="T")*6+($Q14:$W14="D")*12+($Q14:$W14="N")*12+($Q14:$W14="NT")*6+($Q14:$W14="C")*10+($Q14:$W14="A")*8+($Q14:$W14="J")*5+($Q14:$W14="E")*4+($Q14:$W14="P")*6+($Q14:$W14="R")*6)</f>
        <v/>
      </c>
      <c r="BH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I14" s="110">
        <f>SUMPRODUCT(($AE14:$AJ14="M")*6+($AE14:$AJ14="T")*6+($AE14:$AJ14="D")*12+($AE14:$AJ14="N")*12+($AE14:$AJ14="NT")*6+($AE14:$AJ14="C")*10+($AE14:$AJ14="A")*8+($AE14:$AJ14="J")*5+($AE14:$AJ14="E")*4+($AE14:$AJ14="P")*6+($AE14:$AJ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123">
        <f>IFERROR(INDEX(JAN!AH$8:AH$73,MATCH($A15,JAN!$A$8:$A$73,0))&amp;"","")</f>
        <v/>
      </c>
      <c r="D15" s="123">
        <f>IFERROR(INDEX(JAN!AI$8:AI$73,MATCH($A15,JAN!$A$8:$A$73,0))&amp;"","")</f>
        <v/>
      </c>
      <c r="E15" s="123">
        <f>IFERROR(INDEX(JAN!AJ$8:AJ$73,MATCH($A15,JAN!$A$8:$A$73,0))&amp;"","")</f>
        <v/>
      </c>
      <c r="F15" s="123">
        <f>IFERROR(INDEX(JAN!AK$8:AK$73,MATCH($A15,JAN!$A$8:$A$73,0))&amp;"","")</f>
        <v/>
      </c>
      <c r="G15" s="123">
        <f>IFERROR(INDEX(JAN!AL$8:AL$73,MATCH($A15,JAN!$A$8:$A$73,0))&amp;"","")</f>
        <v/>
      </c>
      <c r="H15" s="109">
        <f>IFERROR(INDEX(JAN!AM$8:AM$73,MATCH($A15,JAN!$A$8:$A$73,0))&amp;"","")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8" t="inlineStr">
        <is>
          <t>M</t>
        </is>
      </c>
      <c r="O15" s="116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08" t="inlineStr">
        <is>
          <t>M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6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7" t="n"/>
      <c r="AK15" s="96" t="n"/>
      <c r="AL15" s="96" t="n"/>
      <c r="AM15" s="96" t="n"/>
      <c r="AN15" s="109">
        <f>IFERROR(INDEX(MAR!I$8:I$73,MATCH($A15,MAR!$A$8:$A$73,0))&amp;"","")</f>
        <v/>
      </c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ROUND(B15*4.0,0)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SUMPRODUCT(($C15:$I15="M")*6+($C15:$I15="T")*6+($C15:$I15="D")*12+($C15:$I15="N")*12+($C15:$I15="NT")*6+($C15:$I15="C")*10+($C15:$I15="A")*8+($C15:$I15="J")*5+($C15:$I15="E")*4+($C15:$I15="P")*6+($C15:$I15="R")*6)</f>
        <v/>
      </c>
      <c r="BF15" s="110">
        <f>SUMPRODUCT(($J15:$P15="M")*6+($J15:$P15="T")*6+($J15:$P15="D")*12+($J15:$P15="N")*12+($J15:$P15="NT")*6+($J15:$P15="C")*10+($J15:$P15="A")*8+($J15:$P15="J")*5+($J15:$P15="E")*4+($J15:$P15="P")*6+($J15:$P15="R")*6)</f>
        <v/>
      </c>
      <c r="BG15" s="110">
        <f>SUMPRODUCT(($Q15:$W15="M")*6+($Q15:$W15="T")*6+($Q15:$W15="D")*12+($Q15:$W15="N")*12+($Q15:$W15="NT")*6+($Q15:$W15="C")*10+($Q15:$W15="A")*8+($Q15:$W15="J")*5+($Q15:$W15="E")*4+($Q15:$W15="P")*6+($Q15:$W15="R")*6)</f>
        <v/>
      </c>
      <c r="BH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I15" s="110">
        <f>SUMPRODUCT(($AE15:$AJ15="M")*6+($AE15:$AJ15="T")*6+($AE15:$AJ15="D")*12+($AE15:$AJ15="N")*12+($AE15:$AJ15="NT")*6+($AE15:$AJ15="C")*10+($AE15:$AJ15="A")*8+($AE15:$AJ15="J")*5+($AE15:$AJ15="E")*4+($AE15:$AJ15="P")*6+($AE15:$AJ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123">
        <f>IFERROR(INDEX(JAN!AH$8:AH$73,MATCH($A16,JAN!$A$8:$A$73,0))&amp;"","")</f>
        <v/>
      </c>
      <c r="D16" s="123">
        <f>IFERROR(INDEX(JAN!AI$8:AI$73,MATCH($A16,JAN!$A$8:$A$73,0))&amp;"","")</f>
        <v/>
      </c>
      <c r="E16" s="123">
        <f>IFERROR(INDEX(JAN!AJ$8:AJ$73,MATCH($A16,JAN!$A$8:$A$73,0))&amp;"","")</f>
        <v/>
      </c>
      <c r="F16" s="123">
        <f>IFERROR(INDEX(JAN!AK$8:AK$73,MATCH($A16,JAN!$A$8:$A$73,0))&amp;"","")</f>
        <v/>
      </c>
      <c r="G16" s="123">
        <f>IFERROR(INDEX(JAN!AL$8:AL$73,MATCH($A16,JAN!$A$8:$A$73,0))&amp;"","")</f>
        <v/>
      </c>
      <c r="H16" s="109">
        <f>IFERROR(INDEX(JAN!AM$8:AM$73,MATCH($A16,JAN!$A$8:$A$73,0))&amp;"","")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96" t="n"/>
      <c r="AL16" s="96" t="n"/>
      <c r="AM16" s="96" t="n"/>
      <c r="AN16" s="109">
        <f>IFERROR(INDEX(MAR!I$8:I$73,MATCH($A16,MAR!$A$8:$A$73,0))&amp;"","")</f>
        <v/>
      </c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ROUND(B16*4.0,0)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SUMPRODUCT(($C16:$I16="M")*6+($C16:$I16="T")*6+($C16:$I16="D")*12+($C16:$I16="N")*12+($C16:$I16="NT")*6+($C16:$I16="C")*10+($C16:$I16="A")*8+($C16:$I16="J")*5+($C16:$I16="E")*4+($C16:$I16="P")*6+($C16:$I16="R")*6)</f>
        <v/>
      </c>
      <c r="BF16" s="110">
        <f>SUMPRODUCT(($J16:$P16="M")*6+($J16:$P16="T")*6+($J16:$P16="D")*12+($J16:$P16="N")*12+($J16:$P16="NT")*6+($J16:$P16="C")*10+($J16:$P16="A")*8+($J16:$P16="J")*5+($J16:$P16="E")*4+($J16:$P16="P")*6+($J16:$P16="R")*6)</f>
        <v/>
      </c>
      <c r="BG16" s="110">
        <f>SUMPRODUCT(($Q16:$W16="M")*6+($Q16:$W16="T")*6+($Q16:$W16="D")*12+($Q16:$W16="N")*12+($Q16:$W16="NT")*6+($Q16:$W16="C")*10+($Q16:$W16="A")*8+($Q16:$W16="J")*5+($Q16:$W16="E")*4+($Q16:$W16="P")*6+($Q16:$W16="R")*6)</f>
        <v/>
      </c>
      <c r="BH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I16" s="110">
        <f>SUMPRODUCT(($AE16:$AJ16="M")*6+($AE16:$AJ16="T")*6+($AE16:$AJ16="D")*12+($AE16:$AJ16="N")*12+($AE16:$AJ16="NT")*6+($AE16:$AJ16="C")*10+($AE16:$AJ16="A")*8+($AE16:$AJ16="J")*5+($AE16:$AJ16="E")*4+($AE16:$AJ16="P")*6+($AE16:$AJ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123">
        <f>IFERROR(INDEX(JAN!AH$8:AH$73,MATCH($A17,JAN!$A$8:$A$73,0))&amp;"","")</f>
        <v/>
      </c>
      <c r="D17" s="123">
        <f>IFERROR(INDEX(JAN!AI$8:AI$73,MATCH($A17,JAN!$A$8:$A$73,0))&amp;"","")</f>
        <v/>
      </c>
      <c r="E17" s="123">
        <f>IFERROR(INDEX(JAN!AJ$8:AJ$73,MATCH($A17,JAN!$A$8:$A$73,0))&amp;"","")</f>
        <v/>
      </c>
      <c r="F17" s="123">
        <f>IFERROR(INDEX(JAN!AK$8:AK$73,MATCH($A17,JAN!$A$8:$A$73,0))&amp;"","")</f>
        <v/>
      </c>
      <c r="G17" s="123">
        <f>IFERROR(INDEX(JAN!AL$8:AL$73,MATCH($A17,JAN!$A$8:$A$73,0))&amp;"","")</f>
        <v/>
      </c>
      <c r="H17" s="109">
        <f>IFERROR(INDEX(JAN!AM$8:AM$73,MATCH($A17,JAN!$A$8:$A$73,0))&amp;"","")</f>
        <v/>
      </c>
      <c r="I17" s="107" t="n"/>
      <c r="J17" s="116" t="inlineStr">
        <is>
          <t>N</t>
        </is>
      </c>
      <c r="K17" s="125" t="inlineStr">
        <is>
          <t>E</t>
        </is>
      </c>
      <c r="L17" s="117" t="inlineStr">
        <is>
          <t>T</t>
        </is>
      </c>
      <c r="M17" s="107" t="n"/>
      <c r="N17" s="107" t="n"/>
      <c r="O17" s="117" t="inlineStr">
        <is>
          <t>T</t>
        </is>
      </c>
      <c r="P17" s="116" t="inlineStr">
        <is>
          <t>N</t>
        </is>
      </c>
      <c r="Q17" s="116" t="inlineStr">
        <is>
          <t>N</t>
        </is>
      </c>
      <c r="R17" s="117" t="inlineStr">
        <is>
          <t>T</t>
        </is>
      </c>
      <c r="S17" s="107" t="n"/>
      <c r="T17" s="125" t="inlineStr">
        <is>
          <t>E</t>
        </is>
      </c>
      <c r="U17" s="107" t="n"/>
      <c r="V17" s="117" t="inlineStr">
        <is>
          <t>T</t>
        </is>
      </c>
      <c r="W17" s="116" t="inlineStr">
        <is>
          <t>N</t>
        </is>
      </c>
      <c r="X17" s="107" t="n"/>
      <c r="Y17" s="116" t="inlineStr">
        <is>
          <t>N</t>
        </is>
      </c>
      <c r="Z17" s="108" t="inlineStr">
        <is>
          <t>M</t>
        </is>
      </c>
      <c r="AA17" s="124" t="inlineStr">
        <is>
          <t>C</t>
        </is>
      </c>
      <c r="AB17" s="116" t="inlineStr">
        <is>
          <t>N</t>
        </is>
      </c>
      <c r="AC17" s="107" t="n"/>
      <c r="AD17" s="107" t="n"/>
      <c r="AE17" s="125" t="inlineStr">
        <is>
          <t>E</t>
        </is>
      </c>
      <c r="AF17" s="116" t="inlineStr">
        <is>
          <t>N</t>
        </is>
      </c>
      <c r="AG17" s="108" t="inlineStr">
        <is>
          <t>M</t>
        </is>
      </c>
      <c r="AH17" s="115" t="inlineStr">
        <is>
          <t>D</t>
        </is>
      </c>
      <c r="AI17" s="107" t="n"/>
      <c r="AJ17" s="108" t="inlineStr">
        <is>
          <t>M</t>
        </is>
      </c>
      <c r="AK17" s="96" t="n"/>
      <c r="AL17" s="96" t="n"/>
      <c r="AM17" s="96" t="n"/>
      <c r="AN17" s="109">
        <f>IFERROR(INDEX(MAR!I$8:I$73,MATCH($A17,MAR!$A$8:$A$73,0))&amp;"","")</f>
        <v/>
      </c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ROUND(B17*4.0,0)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SUMPRODUCT(($C17:$I17="M")*6+($C17:$I17="T")*6+($C17:$I17="D")*12+($C17:$I17="N")*12+($C17:$I17="NT")*6+($C17:$I17="C")*10+($C17:$I17="A")*8+($C17:$I17="J")*5+($C17:$I17="E")*4+($C17:$I17="P")*6+($C17:$I17="R")*6)</f>
        <v/>
      </c>
      <c r="BF17" s="110">
        <f>SUMPRODUCT(($J17:$P17="M")*6+($J17:$P17="T")*6+($J17:$P17="D")*12+($J17:$P17="N")*12+($J17:$P17="NT")*6+($J17:$P17="C")*10+($J17:$P17="A")*8+($J17:$P17="J")*5+($J17:$P17="E")*4+($J17:$P17="P")*6+($J17:$P17="R")*6)</f>
        <v/>
      </c>
      <c r="BG17" s="110">
        <f>SUMPRODUCT(($Q17:$W17="M")*6+($Q17:$W17="T")*6+($Q17:$W17="D")*12+($Q17:$W17="N")*12+($Q17:$W17="NT")*6+($Q17:$W17="C")*10+($Q17:$W17="A")*8+($Q17:$W17="J")*5+($Q17:$W17="E")*4+($Q17:$W17="P")*6+($Q17:$W17="R")*6)</f>
        <v/>
      </c>
      <c r="BH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I17" s="110">
        <f>SUMPRODUCT(($AE17:$AJ17="M")*6+($AE17:$AJ17="T")*6+($AE17:$AJ17="D")*12+($AE17:$AJ17="N")*12+($AE17:$AJ17="NT")*6+($AE17:$AJ17="C")*10+($AE17:$AJ17="A")*8+($AE17:$AJ17="J")*5+($AE17:$AJ17="E")*4+($AE17:$AJ17="P")*6+($AE17:$AJ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123">
        <f>IFERROR(INDEX(JAN!AH$8:AH$73,MATCH($A18,JAN!$A$8:$A$73,0))&amp;"","")</f>
        <v/>
      </c>
      <c r="D18" s="123">
        <f>IFERROR(INDEX(JAN!AI$8:AI$73,MATCH($A18,JAN!$A$8:$A$73,0))&amp;"","")</f>
        <v/>
      </c>
      <c r="E18" s="123">
        <f>IFERROR(INDEX(JAN!AJ$8:AJ$73,MATCH($A18,JAN!$A$8:$A$73,0))&amp;"","")</f>
        <v/>
      </c>
      <c r="F18" s="123">
        <f>IFERROR(INDEX(JAN!AK$8:AK$73,MATCH($A18,JAN!$A$8:$A$73,0))&amp;"","")</f>
        <v/>
      </c>
      <c r="G18" s="123">
        <f>IFERROR(INDEX(JAN!AL$8:AL$73,MATCH($A18,JAN!$A$8:$A$73,0))&amp;"","")</f>
        <v/>
      </c>
      <c r="H18" s="109">
        <f>IFERROR(INDEX(JAN!AM$8:AM$73,MATCH($A18,JAN!$A$8:$A$73,0))&amp;"","")</f>
        <v/>
      </c>
      <c r="I18" s="107" t="n"/>
      <c r="J18" s="107" t="n"/>
      <c r="K18" s="107" t="n"/>
      <c r="L18" s="115" t="inlineStr">
        <is>
          <t>D</t>
        </is>
      </c>
      <c r="M18" s="117" t="inlineStr">
        <is>
          <t>T</t>
        </is>
      </c>
      <c r="N18" s="107" t="n"/>
      <c r="O18" s="107" t="n"/>
      <c r="P18" s="115" t="inlineStr">
        <is>
          <t>D</t>
        </is>
      </c>
      <c r="Q18" s="115" t="inlineStr">
        <is>
          <t>D</t>
        </is>
      </c>
      <c r="R18" s="107" t="n"/>
      <c r="S18" s="115" t="inlineStr">
        <is>
          <t>D</t>
        </is>
      </c>
      <c r="T18" s="107" t="n"/>
      <c r="U18" s="115" t="inlineStr">
        <is>
          <t>D</t>
        </is>
      </c>
      <c r="V18" s="107" t="n"/>
      <c r="W18" s="107" t="n"/>
      <c r="X18" s="115" t="inlineStr">
        <is>
          <t>D</t>
        </is>
      </c>
      <c r="Y18" s="107" t="n"/>
      <c r="Z18" s="115" t="inlineStr">
        <is>
          <t>D</t>
        </is>
      </c>
      <c r="AA18" s="107" t="n"/>
      <c r="AB18" s="107" t="n"/>
      <c r="AC18" s="107" t="n"/>
      <c r="AD18" s="115" t="inlineStr">
        <is>
          <t>D</t>
        </is>
      </c>
      <c r="AE18" s="115" t="inlineStr">
        <is>
          <t>D</t>
        </is>
      </c>
      <c r="AF18" s="107" t="n"/>
      <c r="AG18" s="115" t="inlineStr">
        <is>
          <t>D</t>
        </is>
      </c>
      <c r="AH18" s="107" t="n"/>
      <c r="AI18" s="107" t="n"/>
      <c r="AJ18" s="107" t="n"/>
      <c r="AK18" s="96" t="n"/>
      <c r="AL18" s="96" t="n"/>
      <c r="AM18" s="96" t="n"/>
      <c r="AN18" s="109">
        <f>IFERROR(INDEX(MAR!I$8:I$73,MATCH($A18,MAR!$A$8:$A$73,0))&amp;"","")</f>
        <v/>
      </c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ROUND(B18*4.0,0)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SUMPRODUCT(($C18:$I18="M")*6+($C18:$I18="T")*6+($C18:$I18="D")*12+($C18:$I18="N")*12+($C18:$I18="NT")*6+($C18:$I18="C")*10+($C18:$I18="A")*8+($C18:$I18="J")*5+($C18:$I18="E")*4+($C18:$I18="P")*6+($C18:$I18="R")*6)</f>
        <v/>
      </c>
      <c r="BF18" s="110">
        <f>SUMPRODUCT(($J18:$P18="M")*6+($J18:$P18="T")*6+($J18:$P18="D")*12+($J18:$P18="N")*12+($J18:$P18="NT")*6+($J18:$P18="C")*10+($J18:$P18="A")*8+($J18:$P18="J")*5+($J18:$P18="E")*4+($J18:$P18="P")*6+($J18:$P18="R")*6)</f>
        <v/>
      </c>
      <c r="BG18" s="110">
        <f>SUMPRODUCT(($Q18:$W18="M")*6+($Q18:$W18="T")*6+($Q18:$W18="D")*12+($Q18:$W18="N")*12+($Q18:$W18="NT")*6+($Q18:$W18="C")*10+($Q18:$W18="A")*8+($Q18:$W18="J")*5+($Q18:$W18="E")*4+($Q18:$W18="P")*6+($Q18:$W18="R")*6)</f>
        <v/>
      </c>
      <c r="BH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I18" s="110">
        <f>SUMPRODUCT(($AE18:$AJ18="M")*6+($AE18:$AJ18="T")*6+($AE18:$AJ18="D")*12+($AE18:$AJ18="N")*12+($AE18:$AJ18="NT")*6+($AE18:$AJ18="C")*10+($AE18:$AJ18="A")*8+($AE18:$AJ18="J")*5+($AE18:$AJ18="E")*4+($AE18:$AJ18="P")*6+($AE18:$AJ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123">
        <f>IFERROR(INDEX(JAN!AH$8:AH$73,MATCH($A19,JAN!$A$8:$A$73,0))&amp;"","")</f>
        <v/>
      </c>
      <c r="D19" s="123">
        <f>IFERROR(INDEX(JAN!AI$8:AI$73,MATCH($A19,JAN!$A$8:$A$73,0))&amp;"","")</f>
        <v/>
      </c>
      <c r="E19" s="123">
        <f>IFERROR(INDEX(JAN!AJ$8:AJ$73,MATCH($A19,JAN!$A$8:$A$73,0))&amp;"","")</f>
        <v/>
      </c>
      <c r="F19" s="123">
        <f>IFERROR(INDEX(JAN!AK$8:AK$73,MATCH($A19,JAN!$A$8:$A$73,0))&amp;"","")</f>
        <v/>
      </c>
      <c r="G19" s="123">
        <f>IFERROR(INDEX(JAN!AL$8:AL$73,MATCH($A19,JAN!$A$8:$A$73,0))&amp;"","")</f>
        <v/>
      </c>
      <c r="H19" s="109">
        <f>IFERROR(INDEX(JAN!AM$8:AM$73,MATCH($A19,JAN!$A$8:$A$73,0))&amp;"","")</f>
        <v/>
      </c>
      <c r="I19" s="116" t="inlineStr">
        <is>
          <t>N</t>
        </is>
      </c>
      <c r="J19" s="107" t="n"/>
      <c r="K19" s="107" t="n"/>
      <c r="L19" s="116" t="inlineStr">
        <is>
          <t>N</t>
        </is>
      </c>
      <c r="M19" s="107" t="n"/>
      <c r="N19" s="116" t="inlineStr">
        <is>
          <t>N</t>
        </is>
      </c>
      <c r="O19" s="107" t="n"/>
      <c r="P19" s="116" t="inlineStr">
        <is>
          <t>N</t>
        </is>
      </c>
      <c r="Q19" s="116" t="inlineStr">
        <is>
          <t>N</t>
        </is>
      </c>
      <c r="R19" s="107" t="n"/>
      <c r="S19" s="116" t="inlineStr">
        <is>
          <t>N</t>
        </is>
      </c>
      <c r="T19" s="116" t="inlineStr">
        <is>
          <t>N</t>
        </is>
      </c>
      <c r="U19" s="107" t="n"/>
      <c r="V19" s="107" t="n"/>
      <c r="W19" s="107" t="n"/>
      <c r="X19" s="107" t="n"/>
      <c r="Y19" s="107" t="n"/>
      <c r="Z19" s="116" t="inlineStr">
        <is>
          <t>N</t>
        </is>
      </c>
      <c r="AA19" s="116" t="inlineStr">
        <is>
          <t>N</t>
        </is>
      </c>
      <c r="AB19" s="107" t="n"/>
      <c r="AC19" s="107" t="n"/>
      <c r="AD19" s="116" t="inlineStr">
        <is>
          <t>N</t>
        </is>
      </c>
      <c r="AE19" s="107" t="n"/>
      <c r="AF19" s="107" t="n"/>
      <c r="AG19" s="116" t="inlineStr">
        <is>
          <t>N</t>
        </is>
      </c>
      <c r="AH19" s="116" t="inlineStr">
        <is>
          <t>N</t>
        </is>
      </c>
      <c r="AI19" s="107" t="n"/>
      <c r="AJ19" s="107" t="n"/>
      <c r="AK19" s="96" t="n"/>
      <c r="AL19" s="96" t="n"/>
      <c r="AM19" s="96" t="n"/>
      <c r="AN19" s="109">
        <f>IFERROR(INDEX(MAR!I$8:I$73,MATCH($A19,MAR!$A$8:$A$73,0))&amp;"","")</f>
        <v/>
      </c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ROUND(B19*4.0,0)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SUMPRODUCT(($C19:$I19="M")*6+($C19:$I19="T")*6+($C19:$I19="D")*12+($C19:$I19="N")*12+($C19:$I19="NT")*6+($C19:$I19="C")*10+($C19:$I19="A")*8+($C19:$I19="J")*5+($C19:$I19="E")*4+($C19:$I19="P")*6+($C19:$I19="R")*6)</f>
        <v/>
      </c>
      <c r="BF19" s="110">
        <f>SUMPRODUCT(($J19:$P19="M")*6+($J19:$P19="T")*6+($J19:$P19="D")*12+($J19:$P19="N")*12+($J19:$P19="NT")*6+($J19:$P19="C")*10+($J19:$P19="A")*8+($J19:$P19="J")*5+($J19:$P19="E")*4+($J19:$P19="P")*6+($J19:$P19="R")*6)</f>
        <v/>
      </c>
      <c r="BG19" s="110">
        <f>SUMPRODUCT(($Q19:$W19="M")*6+($Q19:$W19="T")*6+($Q19:$W19="D")*12+($Q19:$W19="N")*12+($Q19:$W19="NT")*6+($Q19:$W19="C")*10+($Q19:$W19="A")*8+($Q19:$W19="J")*5+($Q19:$W19="E")*4+($Q19:$W19="P")*6+($Q19:$W19="R")*6)</f>
        <v/>
      </c>
      <c r="BH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I19" s="110">
        <f>SUMPRODUCT(($AE19:$AJ19="M")*6+($AE19:$AJ19="T")*6+($AE19:$AJ19="D")*12+($AE19:$AJ19="N")*12+($AE19:$AJ19="NT")*6+($AE19:$AJ19="C")*10+($AE19:$AJ19="A")*8+($AE19:$AJ19="J")*5+($AE19:$AJ19="E")*4+($AE19:$AJ19="P")*6+($AE19:$AJ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123">
        <f>IFERROR(INDEX(JAN!AH$8:AH$73,MATCH($A20,JAN!$A$8:$A$73,0))&amp;"","")</f>
        <v/>
      </c>
      <c r="D20" s="123">
        <f>IFERROR(INDEX(JAN!AI$8:AI$73,MATCH($A20,JAN!$A$8:$A$73,0))&amp;"","")</f>
        <v/>
      </c>
      <c r="E20" s="123">
        <f>IFERROR(INDEX(JAN!AJ$8:AJ$73,MATCH($A20,JAN!$A$8:$A$73,0))&amp;"","")</f>
        <v/>
      </c>
      <c r="F20" s="123">
        <f>IFERROR(INDEX(JAN!AK$8:AK$73,MATCH($A20,JAN!$A$8:$A$73,0))&amp;"","")</f>
        <v/>
      </c>
      <c r="G20" s="123">
        <f>IFERROR(INDEX(JAN!AL$8:AL$73,MATCH($A20,JAN!$A$8:$A$73,0))&amp;"","")</f>
        <v/>
      </c>
      <c r="H20" s="109">
        <f>IFERROR(INDEX(JAN!AM$8:AM$73,MATCH($A20,JAN!$A$8:$A$73,0))&amp;"","")</f>
        <v/>
      </c>
      <c r="I20" s="116" t="inlineStr">
        <is>
          <t>N</t>
        </is>
      </c>
      <c r="J20" s="116" t="inlineStr">
        <is>
          <t>N</t>
        </is>
      </c>
      <c r="K20" s="107" t="n"/>
      <c r="L20" s="116" t="inlineStr">
        <is>
          <t>N</t>
        </is>
      </c>
      <c r="M20" s="116" t="inlineStr">
        <is>
          <t>N</t>
        </is>
      </c>
      <c r="N20" s="107" t="n"/>
      <c r="O20" s="107" t="n"/>
      <c r="P20" s="107" t="n"/>
      <c r="Q20" s="107" t="n"/>
      <c r="R20" s="116" t="inlineStr">
        <is>
          <t>N</t>
        </is>
      </c>
      <c r="S20" s="107" t="n"/>
      <c r="T20" s="107" t="n"/>
      <c r="U20" s="107" t="n"/>
      <c r="V20" s="116" t="inlineStr">
        <is>
          <t>N</t>
        </is>
      </c>
      <c r="W20" s="116" t="inlineStr">
        <is>
          <t>N</t>
        </is>
      </c>
      <c r="X20" s="107" t="n"/>
      <c r="Y20" s="116" t="inlineStr">
        <is>
          <t>N</t>
        </is>
      </c>
      <c r="Z20" s="116" t="inlineStr">
        <is>
          <t>N</t>
        </is>
      </c>
      <c r="AA20" s="116" t="inlineStr">
        <is>
          <t>N</t>
        </is>
      </c>
      <c r="AB20" s="107" t="n"/>
      <c r="AC20" s="107" t="n"/>
      <c r="AD20" s="107" t="n"/>
      <c r="AE20" s="107" t="n"/>
      <c r="AF20" s="107" t="n"/>
      <c r="AG20" s="116" t="inlineStr">
        <is>
          <t>N</t>
        </is>
      </c>
      <c r="AH20" s="116" t="inlineStr">
        <is>
          <t>N</t>
        </is>
      </c>
      <c r="AI20" s="107" t="n"/>
      <c r="AJ20" s="107" t="n"/>
      <c r="AK20" s="96" t="n"/>
      <c r="AL20" s="96" t="n"/>
      <c r="AM20" s="96" t="n"/>
      <c r="AN20" s="109">
        <f>IFERROR(INDEX(MAR!I$8:I$73,MATCH($A20,MAR!$A$8:$A$73,0))&amp;"","")</f>
        <v/>
      </c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ROUND(B20*4.0,0)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SUMPRODUCT(($C20:$I20="M")*6+($C20:$I20="T")*6+($C20:$I20="D")*12+($C20:$I20="N")*12+($C20:$I20="NT")*6+($C20:$I20="C")*10+($C20:$I20="A")*8+($C20:$I20="J")*5+($C20:$I20="E")*4+($C20:$I20="P")*6+($C20:$I20="R")*6)</f>
        <v/>
      </c>
      <c r="BF20" s="110">
        <f>SUMPRODUCT(($J20:$P20="M")*6+($J20:$P20="T")*6+($J20:$P20="D")*12+($J20:$P20="N")*12+($J20:$P20="NT")*6+($J20:$P20="C")*10+($J20:$P20="A")*8+($J20:$P20="J")*5+($J20:$P20="E")*4+($J20:$P20="P")*6+($J20:$P20="R")*6)</f>
        <v/>
      </c>
      <c r="BG20" s="110">
        <f>SUMPRODUCT(($Q20:$W20="M")*6+($Q20:$W20="T")*6+($Q20:$W20="D")*12+($Q20:$W20="N")*12+($Q20:$W20="NT")*6+($Q20:$W20="C")*10+($Q20:$W20="A")*8+($Q20:$W20="J")*5+($Q20:$W20="E")*4+($Q20:$W20="P")*6+($Q20:$W20="R")*6)</f>
        <v/>
      </c>
      <c r="BH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I20" s="110">
        <f>SUMPRODUCT(($AE20:$AJ20="M")*6+($AE20:$AJ20="T")*6+($AE20:$AJ20="D")*12+($AE20:$AJ20="N")*12+($AE20:$AJ20="NT")*6+($AE20:$AJ20="C")*10+($AE20:$AJ20="A")*8+($AE20:$AJ20="J")*5+($AE20:$AJ20="E")*4+($AE20:$AJ20="P")*6+($AE20:$AJ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123">
        <f>IFERROR(INDEX(JAN!AH$8:AH$73,MATCH($A21,JAN!$A$8:$A$73,0))&amp;"","")</f>
        <v/>
      </c>
      <c r="D21" s="123">
        <f>IFERROR(INDEX(JAN!AI$8:AI$73,MATCH($A21,JAN!$A$8:$A$73,0))&amp;"","")</f>
        <v/>
      </c>
      <c r="E21" s="123">
        <f>IFERROR(INDEX(JAN!AJ$8:AJ$73,MATCH($A21,JAN!$A$8:$A$73,0))&amp;"","")</f>
        <v/>
      </c>
      <c r="F21" s="123">
        <f>IFERROR(INDEX(JAN!AK$8:AK$73,MATCH($A21,JAN!$A$8:$A$73,0))&amp;"","")</f>
        <v/>
      </c>
      <c r="G21" s="123">
        <f>IFERROR(INDEX(JAN!AL$8:AL$73,MATCH($A21,JAN!$A$8:$A$73,0))&amp;"","")</f>
        <v/>
      </c>
      <c r="H21" s="109">
        <f>IFERROR(INDEX(JAN!AM$8:AM$73,MATCH($A21,JAN!$A$8:$A$73,0))&amp;"","")</f>
        <v/>
      </c>
      <c r="I21" s="107" t="n"/>
      <c r="J21" s="117" t="inlineStr">
        <is>
          <t>T</t>
        </is>
      </c>
      <c r="K21" s="115" t="inlineStr">
        <is>
          <t>D</t>
        </is>
      </c>
      <c r="L21" s="107" t="n"/>
      <c r="M21" s="116" t="inlineStr">
        <is>
          <t>N</t>
        </is>
      </c>
      <c r="N21" s="117" t="inlineStr">
        <is>
          <t>T</t>
        </is>
      </c>
      <c r="O21" s="107" t="n"/>
      <c r="P21" s="107" t="n"/>
      <c r="Q21" s="117" t="inlineStr">
        <is>
          <t>T</t>
        </is>
      </c>
      <c r="R21" s="115" t="inlineStr">
        <is>
          <t>D</t>
        </is>
      </c>
      <c r="S21" s="117" t="inlineStr">
        <is>
          <t>T</t>
        </is>
      </c>
      <c r="T21" s="107" t="n"/>
      <c r="U21" s="107" t="n"/>
      <c r="V21" s="107" t="n"/>
      <c r="W21" s="116" t="inlineStr">
        <is>
          <t>N</t>
        </is>
      </c>
      <c r="X21" s="107" t="n"/>
      <c r="Y21" s="115" t="inlineStr">
        <is>
          <t>D</t>
        </is>
      </c>
      <c r="Z21" s="107" t="n"/>
      <c r="AA21" s="107" t="n"/>
      <c r="AB21" s="107" t="n"/>
      <c r="AC21" s="115" t="inlineStr">
        <is>
          <t>D</t>
        </is>
      </c>
      <c r="AD21" s="116" t="inlineStr">
        <is>
          <t>N</t>
        </is>
      </c>
      <c r="AE21" s="117" t="inlineStr">
        <is>
          <t>T</t>
        </is>
      </c>
      <c r="AF21" s="115" t="inlineStr">
        <is>
          <t>D</t>
        </is>
      </c>
      <c r="AG21" s="117" t="inlineStr">
        <is>
          <t>T</t>
        </is>
      </c>
      <c r="AH21" s="107" t="n"/>
      <c r="AI21" s="116" t="inlineStr">
        <is>
          <t>N</t>
        </is>
      </c>
      <c r="AJ21" s="107" t="n"/>
      <c r="AK21" s="96" t="n"/>
      <c r="AL21" s="96" t="n"/>
      <c r="AM21" s="96" t="n"/>
      <c r="AN21" s="109">
        <f>IFERROR(INDEX(MAR!I$8:I$73,MATCH($A21,MAR!$A$8:$A$73,0))&amp;"","")</f>
        <v/>
      </c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ROUND(B21*4.0,0)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SUMPRODUCT(($C21:$I21="M")*6+($C21:$I21="T")*6+($C21:$I21="D")*12+($C21:$I21="N")*12+($C21:$I21="NT")*6+($C21:$I21="C")*10+($C21:$I21="A")*8+($C21:$I21="J")*5+($C21:$I21="E")*4+($C21:$I21="P")*6+($C21:$I21="R")*6)</f>
        <v/>
      </c>
      <c r="BF21" s="110">
        <f>SUMPRODUCT(($J21:$P21="M")*6+($J21:$P21="T")*6+($J21:$P21="D")*12+($J21:$P21="N")*12+($J21:$P21="NT")*6+($J21:$P21="C")*10+($J21:$P21="A")*8+($J21:$P21="J")*5+($J21:$P21="E")*4+($J21:$P21="P")*6+($J21:$P21="R")*6)</f>
        <v/>
      </c>
      <c r="BG21" s="110">
        <f>SUMPRODUCT(($Q21:$W21="M")*6+($Q21:$W21="T")*6+($Q21:$W21="D")*12+($Q21:$W21="N")*12+($Q21:$W21="NT")*6+($Q21:$W21="C")*10+($Q21:$W21="A")*8+($Q21:$W21="J")*5+($Q21:$W21="E")*4+($Q21:$W21="P")*6+($Q21:$W21="R")*6)</f>
        <v/>
      </c>
      <c r="BH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I21" s="110">
        <f>SUMPRODUCT(($AE21:$AJ21="M")*6+($AE21:$AJ21="T")*6+($AE21:$AJ21="D")*12+($AE21:$AJ21="N")*12+($AE21:$AJ21="NT")*6+($AE21:$AJ21="C")*10+($AE21:$AJ21="A")*8+($AE21:$AJ21="J")*5+($AE21:$AJ21="E")*4+($AE21:$AJ21="P")*6+($AE21:$AJ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123">
        <f>IFERROR(INDEX(JAN!AH$8:AH$73,MATCH($A22,JAN!$A$8:$A$73,0))&amp;"","")</f>
        <v/>
      </c>
      <c r="D22" s="123">
        <f>IFERROR(INDEX(JAN!AI$8:AI$73,MATCH($A22,JAN!$A$8:$A$73,0))&amp;"","")</f>
        <v/>
      </c>
      <c r="E22" s="123">
        <f>IFERROR(INDEX(JAN!AJ$8:AJ$73,MATCH($A22,JAN!$A$8:$A$73,0))&amp;"","")</f>
        <v/>
      </c>
      <c r="F22" s="123">
        <f>IFERROR(INDEX(JAN!AK$8:AK$73,MATCH($A22,JAN!$A$8:$A$73,0))&amp;"","")</f>
        <v/>
      </c>
      <c r="G22" s="123">
        <f>IFERROR(INDEX(JAN!AL$8:AL$73,MATCH($A22,JAN!$A$8:$A$73,0))&amp;"","")</f>
        <v/>
      </c>
      <c r="H22" s="109">
        <f>IFERROR(INDEX(JAN!AM$8:AM$73,MATCH($A22,JAN!$A$8:$A$73,0))&amp;"","")</f>
        <v/>
      </c>
      <c r="I22" s="107" t="n"/>
      <c r="J22" s="107" t="n"/>
      <c r="K22" s="107" t="n"/>
      <c r="L22" s="108" t="inlineStr">
        <is>
          <t>M</t>
        </is>
      </c>
      <c r="M22" s="115" t="inlineStr">
        <is>
          <t>D</t>
        </is>
      </c>
      <c r="N22" s="108" t="inlineStr">
        <is>
          <t>M</t>
        </is>
      </c>
      <c r="O22" s="116" t="inlineStr">
        <is>
          <t>N</t>
        </is>
      </c>
      <c r="P22" s="107" t="n"/>
      <c r="Q22" s="107" t="n"/>
      <c r="R22" s="108" t="inlineStr">
        <is>
          <t>M</t>
        </is>
      </c>
      <c r="S22" s="107" t="n"/>
      <c r="T22" s="115" t="inlineStr">
        <is>
          <t>D</t>
        </is>
      </c>
      <c r="U22" s="108" t="inlineStr">
        <is>
          <t>M</t>
        </is>
      </c>
      <c r="V22" s="107" t="n"/>
      <c r="W22" s="115" t="inlineStr">
        <is>
          <t>D</t>
        </is>
      </c>
      <c r="X22" s="117" t="inlineStr">
        <is>
          <t>T</t>
        </is>
      </c>
      <c r="Y22" s="115" t="inlineStr">
        <is>
          <t>D</t>
        </is>
      </c>
      <c r="Z22" s="108" t="inlineStr">
        <is>
          <t>M</t>
        </is>
      </c>
      <c r="AA22" s="117" t="inlineStr">
        <is>
          <t>T</t>
        </is>
      </c>
      <c r="AB22" s="117" t="inlineStr">
        <is>
          <t>T</t>
        </is>
      </c>
      <c r="AC22" s="107" t="n"/>
      <c r="AD22" s="107" t="n"/>
      <c r="AE22" s="107" t="n"/>
      <c r="AF22" s="115" t="inlineStr">
        <is>
          <t>D</t>
        </is>
      </c>
      <c r="AG22" s="108" t="inlineStr">
        <is>
          <t>M</t>
        </is>
      </c>
      <c r="AH22" s="107" t="n"/>
      <c r="AI22" s="108" t="inlineStr">
        <is>
          <t>M</t>
        </is>
      </c>
      <c r="AJ22" s="107" t="n"/>
      <c r="AK22" s="96" t="n"/>
      <c r="AL22" s="96" t="n"/>
      <c r="AM22" s="96" t="n"/>
      <c r="AN22" s="109">
        <f>IFERROR(INDEX(MAR!I$8:I$73,MATCH($A22,MAR!$A$8:$A$73,0))&amp;"","")</f>
        <v/>
      </c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ROUND(B22*4.0,0)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SUMPRODUCT(($C22:$I22="M")*6+($C22:$I22="T")*6+($C22:$I22="D")*12+($C22:$I22="N")*12+($C22:$I22="NT")*6+($C22:$I22="C")*10+($C22:$I22="A")*8+($C22:$I22="J")*5+($C22:$I22="E")*4+($C22:$I22="P")*6+($C22:$I22="R")*6)</f>
        <v/>
      </c>
      <c r="BF22" s="110">
        <f>SUMPRODUCT(($J22:$P22="M")*6+($J22:$P22="T")*6+($J22:$P22="D")*12+($J22:$P22="N")*12+($J22:$P22="NT")*6+($J22:$P22="C")*10+($J22:$P22="A")*8+($J22:$P22="J")*5+($J22:$P22="E")*4+($J22:$P22="P")*6+($J22:$P22="R")*6)</f>
        <v/>
      </c>
      <c r="BG22" s="110">
        <f>SUMPRODUCT(($Q22:$W22="M")*6+($Q22:$W22="T")*6+($Q22:$W22="D")*12+($Q22:$W22="N")*12+($Q22:$W22="NT")*6+($Q22:$W22="C")*10+($Q22:$W22="A")*8+($Q22:$W22="J")*5+($Q22:$W22="E")*4+($Q22:$W22="P")*6+($Q22:$W22="R")*6)</f>
        <v/>
      </c>
      <c r="BH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I22" s="110">
        <f>SUMPRODUCT(($AE22:$AJ22="M")*6+($AE22:$AJ22="T")*6+($AE22:$AJ22="D")*12+($AE22:$AJ22="N")*12+($AE22:$AJ22="NT")*6+($AE22:$AJ22="C")*10+($AE22:$AJ22="A")*8+($AE22:$AJ22="J")*5+($AE22:$AJ22="E")*4+($AE22:$AJ22="P")*6+($AE22:$AJ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123">
        <f>IFERROR(INDEX(JAN!AH$8:AH$73,MATCH($A23,JAN!$A$8:$A$73,0))&amp;"","")</f>
        <v/>
      </c>
      <c r="D23" s="123">
        <f>IFERROR(INDEX(JAN!AI$8:AI$73,MATCH($A23,JAN!$A$8:$A$73,0))&amp;"","")</f>
        <v/>
      </c>
      <c r="E23" s="123">
        <f>IFERROR(INDEX(JAN!AJ$8:AJ$73,MATCH($A23,JAN!$A$8:$A$73,0))&amp;"","")</f>
        <v/>
      </c>
      <c r="F23" s="123">
        <f>IFERROR(INDEX(JAN!AK$8:AK$73,MATCH($A23,JAN!$A$8:$A$73,0))&amp;"","")</f>
        <v/>
      </c>
      <c r="G23" s="123">
        <f>IFERROR(INDEX(JAN!AL$8:AL$73,MATCH($A23,JAN!$A$8:$A$73,0))&amp;"","")</f>
        <v/>
      </c>
      <c r="H23" s="109">
        <f>IFERROR(INDEX(JAN!AM$8:AM$73,MATCH($A23,JAN!$A$8:$A$73,0))&amp;"","")</f>
        <v/>
      </c>
      <c r="I23" s="107" t="n"/>
      <c r="J23" s="108" t="inlineStr">
        <is>
          <t>M</t>
        </is>
      </c>
      <c r="K23" s="107" t="n"/>
      <c r="L23" s="107" t="n"/>
      <c r="M23" s="107" t="n"/>
      <c r="N23" s="107" t="n"/>
      <c r="O23" s="115" t="inlineStr">
        <is>
          <t>D</t>
        </is>
      </c>
      <c r="P23" s="115" t="inlineStr">
        <is>
          <t>D</t>
        </is>
      </c>
      <c r="Q23" s="107" t="n"/>
      <c r="R23" s="115" t="inlineStr">
        <is>
          <t>D</t>
        </is>
      </c>
      <c r="S23" s="107" t="n"/>
      <c r="T23" s="115" t="inlineStr">
        <is>
          <t>D</t>
        </is>
      </c>
      <c r="U23" s="107" t="n"/>
      <c r="V23" s="115" t="inlineStr">
        <is>
          <t>D</t>
        </is>
      </c>
      <c r="W23" s="107" t="n"/>
      <c r="X23" s="115" t="inlineStr">
        <is>
          <t>D</t>
        </is>
      </c>
      <c r="Y23" s="115" t="inlineStr">
        <is>
          <t>D</t>
        </is>
      </c>
      <c r="Z23" s="107" t="n"/>
      <c r="AA23" s="115" t="inlineStr">
        <is>
          <t>D</t>
        </is>
      </c>
      <c r="AB23" s="107" t="n"/>
      <c r="AC23" s="107" t="n"/>
      <c r="AD23" s="107" t="n"/>
      <c r="AE23" s="115" t="inlineStr">
        <is>
          <t>D</t>
        </is>
      </c>
      <c r="AF23" s="115" t="inlineStr">
        <is>
          <t>D</t>
        </is>
      </c>
      <c r="AG23" s="107" t="n"/>
      <c r="AH23" s="115" t="inlineStr">
        <is>
          <t>D</t>
        </is>
      </c>
      <c r="AI23" s="107" t="n"/>
      <c r="AJ23" s="107" t="n"/>
      <c r="AK23" s="96" t="n"/>
      <c r="AL23" s="96" t="n"/>
      <c r="AM23" s="96" t="n"/>
      <c r="AN23" s="109">
        <f>IFERROR(INDEX(MAR!I$8:I$73,MATCH($A23,MAR!$A$8:$A$73,0))&amp;"","")</f>
        <v/>
      </c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ROUND(B23*4.0,0)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SUMPRODUCT(($C23:$I23="M")*6+($C23:$I23="T")*6+($C23:$I23="D")*12+($C23:$I23="N")*12+($C23:$I23="NT")*6+($C23:$I23="C")*10+($C23:$I23="A")*8+($C23:$I23="J")*5+($C23:$I23="E")*4+($C23:$I23="P")*6+($C23:$I23="R")*6)</f>
        <v/>
      </c>
      <c r="BF23" s="110">
        <f>SUMPRODUCT(($J23:$P23="M")*6+($J23:$P23="T")*6+($J23:$P23="D")*12+($J23:$P23="N")*12+($J23:$P23="NT")*6+($J23:$P23="C")*10+($J23:$P23="A")*8+($J23:$P23="J")*5+($J23:$P23="E")*4+($J23:$P23="P")*6+($J23:$P23="R")*6)</f>
        <v/>
      </c>
      <c r="BG23" s="110">
        <f>SUMPRODUCT(($Q23:$W23="M")*6+($Q23:$W23="T")*6+($Q23:$W23="D")*12+($Q23:$W23="N")*12+($Q23:$W23="NT")*6+($Q23:$W23="C")*10+($Q23:$W23="A")*8+($Q23:$W23="J")*5+($Q23:$W23="E")*4+($Q23:$W23="P")*6+($Q23:$W23="R")*6)</f>
        <v/>
      </c>
      <c r="BH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I23" s="110">
        <f>SUMPRODUCT(($AE23:$AJ23="M")*6+($AE23:$AJ23="T")*6+($AE23:$AJ23="D")*12+($AE23:$AJ23="N")*12+($AE23:$AJ23="NT")*6+($AE23:$AJ23="C")*10+($AE23:$AJ23="A")*8+($AE23:$AJ23="J")*5+($AE23:$AJ23="E")*4+($AE23:$AJ23="P")*6+($AE23:$AJ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123">
        <f>IFERROR(INDEX(JAN!AH$8:AH$73,MATCH($A24,JAN!$A$8:$A$73,0))&amp;"","")</f>
        <v/>
      </c>
      <c r="D24" s="123">
        <f>IFERROR(INDEX(JAN!AI$8:AI$73,MATCH($A24,JAN!$A$8:$A$73,0))&amp;"","")</f>
        <v/>
      </c>
      <c r="E24" s="123">
        <f>IFERROR(INDEX(JAN!AJ$8:AJ$73,MATCH($A24,JAN!$A$8:$A$73,0))&amp;"","")</f>
        <v/>
      </c>
      <c r="F24" s="123">
        <f>IFERROR(INDEX(JAN!AK$8:AK$73,MATCH($A24,JAN!$A$8:$A$73,0))&amp;"","")</f>
        <v/>
      </c>
      <c r="G24" s="123">
        <f>IFERROR(INDEX(JAN!AL$8:AL$73,MATCH($A24,JAN!$A$8:$A$73,0))&amp;"","")</f>
        <v/>
      </c>
      <c r="H24" s="109">
        <f>IFERROR(INDEX(JAN!AM$8:AM$73,MATCH($A24,JAN!$A$8:$A$73,0))&amp;"","")</f>
        <v/>
      </c>
      <c r="I24" s="107" t="n"/>
      <c r="J24" s="107" t="n"/>
      <c r="K24" s="115" t="inlineStr">
        <is>
          <t>D</t>
        </is>
      </c>
      <c r="L24" s="108" t="inlineStr">
        <is>
          <t>M</t>
        </is>
      </c>
      <c r="M24" s="107" t="n"/>
      <c r="N24" s="107" t="n"/>
      <c r="O24" s="116" t="inlineStr">
        <is>
          <t>N</t>
        </is>
      </c>
      <c r="P24" s="107" t="n"/>
      <c r="Q24" s="108" t="inlineStr">
        <is>
          <t>M</t>
        </is>
      </c>
      <c r="R24" s="115" t="inlineStr">
        <is>
          <t>D</t>
        </is>
      </c>
      <c r="S24" s="108" t="inlineStr">
        <is>
          <t>M</t>
        </is>
      </c>
      <c r="T24" s="107" t="n"/>
      <c r="U24" s="116" t="inlineStr">
        <is>
          <t>N</t>
        </is>
      </c>
      <c r="V24" s="107" t="n"/>
      <c r="W24" s="107" t="n"/>
      <c r="X24" s="107" t="n"/>
      <c r="Y24" s="107" t="n"/>
      <c r="Z24" s="107" t="n"/>
      <c r="AA24" s="115" t="inlineStr">
        <is>
          <t>D</t>
        </is>
      </c>
      <c r="AB24" s="115" t="inlineStr">
        <is>
          <t>D</t>
        </is>
      </c>
      <c r="AC24" s="116" t="inlineStr">
        <is>
          <t>N</t>
        </is>
      </c>
      <c r="AD24" s="107" t="n"/>
      <c r="AE24" s="115" t="inlineStr">
        <is>
          <t>D</t>
        </is>
      </c>
      <c r="AF24" s="115" t="inlineStr">
        <is>
          <t>D</t>
        </is>
      </c>
      <c r="AG24" s="107" t="n"/>
      <c r="AH24" s="107" t="n"/>
      <c r="AI24" s="107" t="n"/>
      <c r="AJ24" s="116" t="inlineStr">
        <is>
          <t>N</t>
        </is>
      </c>
      <c r="AK24" s="96" t="n"/>
      <c r="AL24" s="96" t="n"/>
      <c r="AM24" s="96" t="n"/>
      <c r="AN24" s="109">
        <f>IFERROR(INDEX(MAR!I$8:I$73,MATCH($A24,MAR!$A$8:$A$73,0))&amp;"","")</f>
        <v/>
      </c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ROUND(B24*4.0,0)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SUMPRODUCT(($C24:$I24="M")*6+($C24:$I24="T")*6+($C24:$I24="D")*12+($C24:$I24="N")*12+($C24:$I24="NT")*6+($C24:$I24="C")*10+($C24:$I24="A")*8+($C24:$I24="J")*5+($C24:$I24="E")*4+($C24:$I24="P")*6+($C24:$I24="R")*6)</f>
        <v/>
      </c>
      <c r="BF24" s="110">
        <f>SUMPRODUCT(($J24:$P24="M")*6+($J24:$P24="T")*6+($J24:$P24="D")*12+($J24:$P24="N")*12+($J24:$P24="NT")*6+($J24:$P24="C")*10+($J24:$P24="A")*8+($J24:$P24="J")*5+($J24:$P24="E")*4+($J24:$P24="P")*6+($J24:$P24="R")*6)</f>
        <v/>
      </c>
      <c r="BG24" s="110">
        <f>SUMPRODUCT(($Q24:$W24="M")*6+($Q24:$W24="T")*6+($Q24:$W24="D")*12+($Q24:$W24="N")*12+($Q24:$W24="NT")*6+($Q24:$W24="C")*10+($Q24:$W24="A")*8+($Q24:$W24="J")*5+($Q24:$W24="E")*4+($Q24:$W24="P")*6+($Q24:$W24="R")*6)</f>
        <v/>
      </c>
      <c r="BH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I24" s="110">
        <f>SUMPRODUCT(($AE24:$AJ24="M")*6+($AE24:$AJ24="T")*6+($AE24:$AJ24="D")*12+($AE24:$AJ24="N")*12+($AE24:$AJ24="NT")*6+($AE24:$AJ24="C")*10+($AE24:$AJ24="A")*8+($AE24:$AJ24="J")*5+($AE24:$AJ24="E")*4+($AE24:$AJ24="P")*6+($AE24:$AJ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123">
        <f>IFERROR(INDEX(JAN!AH$8:AH$73,MATCH($A25,JAN!$A$8:$A$73,0))&amp;"","")</f>
        <v/>
      </c>
      <c r="D25" s="123">
        <f>IFERROR(INDEX(JAN!AI$8:AI$73,MATCH($A25,JAN!$A$8:$A$73,0))&amp;"","")</f>
        <v/>
      </c>
      <c r="E25" s="123">
        <f>IFERROR(INDEX(JAN!AJ$8:AJ$73,MATCH($A25,JAN!$A$8:$A$73,0))&amp;"","")</f>
        <v/>
      </c>
      <c r="F25" s="123">
        <f>IFERROR(INDEX(JAN!AK$8:AK$73,MATCH($A25,JAN!$A$8:$A$73,0))&amp;"","")</f>
        <v/>
      </c>
      <c r="G25" s="123">
        <f>IFERROR(INDEX(JAN!AL$8:AL$73,MATCH($A25,JAN!$A$8:$A$73,0))&amp;"","")</f>
        <v/>
      </c>
      <c r="H25" s="109">
        <f>IFERROR(INDEX(JAN!AM$8:AM$73,MATCH($A25,JAN!$A$8:$A$73,0))&amp;"","")</f>
        <v/>
      </c>
      <c r="I25" s="107" t="n"/>
      <c r="J25" s="107" t="n"/>
      <c r="K25" s="116" t="inlineStr">
        <is>
          <t>N</t>
        </is>
      </c>
      <c r="L25" s="116" t="inlineStr">
        <is>
          <t>N</t>
        </is>
      </c>
      <c r="M25" s="107" t="n"/>
      <c r="N25" s="107" t="n"/>
      <c r="O25" s="107" t="n"/>
      <c r="P25" s="116" t="inlineStr">
        <is>
          <t>N</t>
        </is>
      </c>
      <c r="Q25" s="107" t="n"/>
      <c r="R25" s="116" t="inlineStr">
        <is>
          <t>N</t>
        </is>
      </c>
      <c r="S25" s="116" t="inlineStr">
        <is>
          <t>N</t>
        </is>
      </c>
      <c r="T25" s="107" t="n"/>
      <c r="U25" s="107" t="n"/>
      <c r="V25" s="107" t="n"/>
      <c r="W25" s="116" t="inlineStr">
        <is>
          <t>N</t>
        </is>
      </c>
      <c r="X25" s="116" t="inlineStr">
        <is>
          <t>N</t>
        </is>
      </c>
      <c r="Y25" s="107" t="n"/>
      <c r="Z25" s="116" t="inlineStr">
        <is>
          <t>N</t>
        </is>
      </c>
      <c r="AA25" s="107" t="n"/>
      <c r="AB25" s="107" t="n"/>
      <c r="AC25" s="107" t="n"/>
      <c r="AD25" s="116" t="inlineStr">
        <is>
          <t>N</t>
        </is>
      </c>
      <c r="AE25" s="107" t="n"/>
      <c r="AF25" s="107" t="n"/>
      <c r="AG25" s="116" t="inlineStr">
        <is>
          <t>N</t>
        </is>
      </c>
      <c r="AH25" s="107" t="n"/>
      <c r="AI25" s="116" t="inlineStr">
        <is>
          <t>N</t>
        </is>
      </c>
      <c r="AJ25" s="107" t="n"/>
      <c r="AK25" s="96" t="n"/>
      <c r="AL25" s="96" t="n"/>
      <c r="AM25" s="96" t="n"/>
      <c r="AN25" s="109">
        <f>IFERROR(INDEX(MAR!I$8:I$73,MATCH($A25,MAR!$A$8:$A$73,0))&amp;"","")</f>
        <v/>
      </c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ROUND(B25*4.0,0)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SUMPRODUCT(($C25:$I25="M")*6+($C25:$I25="T")*6+($C25:$I25="D")*12+($C25:$I25="N")*12+($C25:$I25="NT")*6+($C25:$I25="C")*10+($C25:$I25="A")*8+($C25:$I25="J")*5+($C25:$I25="E")*4+($C25:$I25="P")*6+($C25:$I25="R")*6)</f>
        <v/>
      </c>
      <c r="BF25" s="110">
        <f>SUMPRODUCT(($J25:$P25="M")*6+($J25:$P25="T")*6+($J25:$P25="D")*12+($J25:$P25="N")*12+($J25:$P25="NT")*6+($J25:$P25="C")*10+($J25:$P25="A")*8+($J25:$P25="J")*5+($J25:$P25="E")*4+($J25:$P25="P")*6+($J25:$P25="R")*6)</f>
        <v/>
      </c>
      <c r="BG25" s="110">
        <f>SUMPRODUCT(($Q25:$W25="M")*6+($Q25:$W25="T")*6+($Q25:$W25="D")*12+($Q25:$W25="N")*12+($Q25:$W25="NT")*6+($Q25:$W25="C")*10+($Q25:$W25="A")*8+($Q25:$W25="J")*5+($Q25:$W25="E")*4+($Q25:$W25="P")*6+($Q25:$W25="R")*6)</f>
        <v/>
      </c>
      <c r="BH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I25" s="110">
        <f>SUMPRODUCT(($AE25:$AJ25="M")*6+($AE25:$AJ25="T")*6+($AE25:$AJ25="D")*12+($AE25:$AJ25="N")*12+($AE25:$AJ25="NT")*6+($AE25:$AJ25="C")*10+($AE25:$AJ25="A")*8+($AE25:$AJ25="J")*5+($AE25:$AJ25="E")*4+($AE25:$AJ25="P")*6+($AE25:$AJ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123">
        <f>IFERROR(INDEX(JAN!AH$8:AH$73,MATCH($A26,JAN!$A$8:$A$73,0))&amp;"","")</f>
        <v/>
      </c>
      <c r="D26" s="123">
        <f>IFERROR(INDEX(JAN!AI$8:AI$73,MATCH($A26,JAN!$A$8:$A$73,0))&amp;"","")</f>
        <v/>
      </c>
      <c r="E26" s="123">
        <f>IFERROR(INDEX(JAN!AJ$8:AJ$73,MATCH($A26,JAN!$A$8:$A$73,0))&amp;"","")</f>
        <v/>
      </c>
      <c r="F26" s="123">
        <f>IFERROR(INDEX(JAN!AK$8:AK$73,MATCH($A26,JAN!$A$8:$A$73,0))&amp;"","")</f>
        <v/>
      </c>
      <c r="G26" s="123">
        <f>IFERROR(INDEX(JAN!AL$8:AL$73,MATCH($A26,JAN!$A$8:$A$73,0))&amp;"","")</f>
        <v/>
      </c>
      <c r="H26" s="109">
        <f>IFERROR(INDEX(JAN!AM$8:AM$73,MATCH($A26,JAN!$A$8:$A$73,0))&amp;"","")</f>
        <v/>
      </c>
      <c r="I26" s="116" t="inlineStr">
        <is>
          <t>N</t>
        </is>
      </c>
      <c r="J26" s="107" t="n"/>
      <c r="K26" s="107" t="n"/>
      <c r="L26" s="107" t="n"/>
      <c r="M26" s="116" t="inlineStr">
        <is>
          <t>N</t>
        </is>
      </c>
      <c r="N26" s="108" t="inlineStr">
        <is>
          <t>M</t>
        </is>
      </c>
      <c r="O26" s="108" t="inlineStr">
        <is>
          <t>M</t>
        </is>
      </c>
      <c r="P26" s="116" t="inlineStr">
        <is>
          <t>N</t>
        </is>
      </c>
      <c r="Q26" s="108" t="inlineStr">
        <is>
          <t>M</t>
        </is>
      </c>
      <c r="R26" s="116" t="inlineStr">
        <is>
          <t>N</t>
        </is>
      </c>
      <c r="S26" s="107" t="n"/>
      <c r="T26" s="116" t="inlineStr">
        <is>
          <t>N</t>
        </is>
      </c>
      <c r="U26" s="108" t="inlineStr">
        <is>
          <t>M</t>
        </is>
      </c>
      <c r="V26" s="107" t="n"/>
      <c r="W26" s="107" t="n"/>
      <c r="X26" s="107" t="n"/>
      <c r="Y26" s="117" t="inlineStr">
        <is>
          <t>T</t>
        </is>
      </c>
      <c r="Z26" s="117" t="inlineStr">
        <is>
          <t>T</t>
        </is>
      </c>
      <c r="AA26" s="116" t="inlineStr">
        <is>
          <t>N</t>
        </is>
      </c>
      <c r="AB26" s="108" t="inlineStr">
        <is>
          <t>M</t>
        </is>
      </c>
      <c r="AC26" s="108" t="inlineStr">
        <is>
          <t>M</t>
        </is>
      </c>
      <c r="AD26" s="107" t="n"/>
      <c r="AE26" s="107" t="n"/>
      <c r="AF26" s="107" t="n"/>
      <c r="AG26" s="116" t="inlineStr">
        <is>
          <t>N</t>
        </is>
      </c>
      <c r="AH26" s="107" t="n"/>
      <c r="AI26" s="116" t="inlineStr">
        <is>
          <t>N</t>
        </is>
      </c>
      <c r="AJ26" s="107" t="n"/>
      <c r="AK26" s="96" t="n"/>
      <c r="AL26" s="96" t="n"/>
      <c r="AM26" s="96" t="n"/>
      <c r="AN26" s="109">
        <f>IFERROR(INDEX(MAR!I$8:I$73,MATCH($A26,MAR!$A$8:$A$73,0))&amp;"","")</f>
        <v/>
      </c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ROUND(B26*4.0,0)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SUMPRODUCT(($C26:$I26="M")*6+($C26:$I26="T")*6+($C26:$I26="D")*12+($C26:$I26="N")*12+($C26:$I26="NT")*6+($C26:$I26="C")*10+($C26:$I26="A")*8+($C26:$I26="J")*5+($C26:$I26="E")*4+($C26:$I26="P")*6+($C26:$I26="R")*6)</f>
        <v/>
      </c>
      <c r="BF26" s="110">
        <f>SUMPRODUCT(($J26:$P26="M")*6+($J26:$P26="T")*6+($J26:$P26="D")*12+($J26:$P26="N")*12+($J26:$P26="NT")*6+($J26:$P26="C")*10+($J26:$P26="A")*8+($J26:$P26="J")*5+($J26:$P26="E")*4+($J26:$P26="P")*6+($J26:$P26="R")*6)</f>
        <v/>
      </c>
      <c r="BG26" s="110">
        <f>SUMPRODUCT(($Q26:$W26="M")*6+($Q26:$W26="T")*6+($Q26:$W26="D")*12+($Q26:$W26="N")*12+($Q26:$W26="NT")*6+($Q26:$W26="C")*10+($Q26:$W26="A")*8+($Q26:$W26="J")*5+($Q26:$W26="E")*4+($Q26:$W26="P")*6+($Q26:$W26="R")*6)</f>
        <v/>
      </c>
      <c r="BH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I26" s="110">
        <f>SUMPRODUCT(($AE26:$AJ26="M")*6+($AE26:$AJ26="T")*6+($AE26:$AJ26="D")*12+($AE26:$AJ26="N")*12+($AE26:$AJ26="NT")*6+($AE26:$AJ26="C")*10+($AE26:$AJ26="A")*8+($AE26:$AJ26="J")*5+($AE26:$AJ26="E")*4+($AE26:$AJ26="P")*6+($AE26:$AJ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123">
        <f>IFERROR(INDEX(JAN!AH$8:AH$73,MATCH($A27,JAN!$A$8:$A$73,0))&amp;"","")</f>
        <v/>
      </c>
      <c r="D27" s="123">
        <f>IFERROR(INDEX(JAN!AI$8:AI$73,MATCH($A27,JAN!$A$8:$A$73,0))&amp;"","")</f>
        <v/>
      </c>
      <c r="E27" s="123">
        <f>IFERROR(INDEX(JAN!AJ$8:AJ$73,MATCH($A27,JAN!$A$8:$A$73,0))&amp;"","")</f>
        <v/>
      </c>
      <c r="F27" s="123">
        <f>IFERROR(INDEX(JAN!AK$8:AK$73,MATCH($A27,JAN!$A$8:$A$73,0))&amp;"","")</f>
        <v/>
      </c>
      <c r="G27" s="123">
        <f>IFERROR(INDEX(JAN!AL$8:AL$73,MATCH($A27,JAN!$A$8:$A$73,0))&amp;"","")</f>
        <v/>
      </c>
      <c r="H27" s="109">
        <f>IFERROR(INDEX(JAN!AM$8:AM$73,MATCH($A27,JAN!$A$8:$A$73,0))&amp;"","")</f>
        <v/>
      </c>
      <c r="I27" s="107" t="n"/>
      <c r="J27" s="107" t="n"/>
      <c r="K27" s="108" t="inlineStr">
        <is>
          <t>M</t>
        </is>
      </c>
      <c r="L27" s="107" t="n"/>
      <c r="M27" s="116" t="inlineStr">
        <is>
          <t>N</t>
        </is>
      </c>
      <c r="N27" s="107" t="n"/>
      <c r="O27" s="116" t="inlineStr">
        <is>
          <t>N</t>
        </is>
      </c>
      <c r="P27" s="107" t="n"/>
      <c r="Q27" s="108" t="inlineStr">
        <is>
          <t>M</t>
        </is>
      </c>
      <c r="R27" s="116" t="inlineStr">
        <is>
          <t>N</t>
        </is>
      </c>
      <c r="S27" s="107" t="n"/>
      <c r="T27" s="116" t="inlineStr">
        <is>
          <t>N</t>
        </is>
      </c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96" t="n"/>
      <c r="AL27" s="96" t="n"/>
      <c r="AM27" s="96" t="n"/>
      <c r="AN27" s="109">
        <f>IFERROR(INDEX(MAR!I$8:I$73,MATCH($A27,MAR!$A$8:$A$73,0))&amp;"","")</f>
        <v/>
      </c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ROUND(B27*4.0,0)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SUMPRODUCT(($C27:$I27="M")*6+($C27:$I27="T")*6+($C27:$I27="D")*12+($C27:$I27="N")*12+($C27:$I27="NT")*6+($C27:$I27="C")*10+($C27:$I27="A")*8+($C27:$I27="J")*5+($C27:$I27="E")*4+($C27:$I27="P")*6+($C27:$I27="R")*6)</f>
        <v/>
      </c>
      <c r="BF27" s="110">
        <f>SUMPRODUCT(($J27:$P27="M")*6+($J27:$P27="T")*6+($J27:$P27="D")*12+($J27:$P27="N")*12+($J27:$P27="NT")*6+($J27:$P27="C")*10+($J27:$P27="A")*8+($J27:$P27="J")*5+($J27:$P27="E")*4+($J27:$P27="P")*6+($J27:$P27="R")*6)</f>
        <v/>
      </c>
      <c r="BG27" s="110">
        <f>SUMPRODUCT(($Q27:$W27="M")*6+($Q27:$W27="T")*6+($Q27:$W27="D")*12+($Q27:$W27="N")*12+($Q27:$W27="NT")*6+($Q27:$W27="C")*10+($Q27:$W27="A")*8+($Q27:$W27="J")*5+($Q27:$W27="E")*4+($Q27:$W27="P")*6+($Q27:$W27="R")*6)</f>
        <v/>
      </c>
      <c r="BH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I27" s="110">
        <f>SUMPRODUCT(($AE27:$AJ27="M")*6+($AE27:$AJ27="T")*6+($AE27:$AJ27="D")*12+($AE27:$AJ27="N")*12+($AE27:$AJ27="NT")*6+($AE27:$AJ27="C")*10+($AE27:$AJ27="A")*8+($AE27:$AJ27="J")*5+($AE27:$AJ27="E")*4+($AE27:$AJ27="P")*6+($AE27:$AJ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123">
        <f>IFERROR(INDEX(JAN!AH$8:AH$73,MATCH($A28,JAN!$A$8:$A$73,0))&amp;"","")</f>
        <v/>
      </c>
      <c r="D28" s="123">
        <f>IFERROR(INDEX(JAN!AI$8:AI$73,MATCH($A28,JAN!$A$8:$A$73,0))&amp;"","")</f>
        <v/>
      </c>
      <c r="E28" s="123">
        <f>IFERROR(INDEX(JAN!AJ$8:AJ$73,MATCH($A28,JAN!$A$8:$A$73,0))&amp;"","")</f>
        <v/>
      </c>
      <c r="F28" s="123">
        <f>IFERROR(INDEX(JAN!AK$8:AK$73,MATCH($A28,JAN!$A$8:$A$73,0))&amp;"","")</f>
        <v/>
      </c>
      <c r="G28" s="123">
        <f>IFERROR(INDEX(JAN!AL$8:AL$73,MATCH($A28,JAN!$A$8:$A$73,0))&amp;"","")</f>
        <v/>
      </c>
      <c r="H28" s="109">
        <f>IFERROR(INDEX(JAN!AM$8:AM$73,MATCH($A28,JAN!$A$8:$A$73,0))&amp;"","")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16" t="inlineStr">
        <is>
          <t>N</t>
        </is>
      </c>
      <c r="AB28" s="107" t="n"/>
      <c r="AC28" s="115" t="inlineStr">
        <is>
          <t>D</t>
        </is>
      </c>
      <c r="AD28" s="107" t="n"/>
      <c r="AE28" s="115" t="inlineStr">
        <is>
          <t>D</t>
        </is>
      </c>
      <c r="AF28" s="117" t="inlineStr">
        <is>
          <t>T</t>
        </is>
      </c>
      <c r="AG28" s="115" t="inlineStr">
        <is>
          <t>D</t>
        </is>
      </c>
      <c r="AH28" s="107" t="n"/>
      <c r="AI28" s="107" t="n"/>
      <c r="AJ28" s="107" t="n"/>
      <c r="AK28" s="96" t="n"/>
      <c r="AL28" s="96" t="n"/>
      <c r="AM28" s="96" t="n"/>
      <c r="AN28" s="109">
        <f>IFERROR(INDEX(MAR!I$8:I$73,MATCH($A28,MAR!$A$8:$A$73,0))&amp;"","")</f>
        <v/>
      </c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ROUND(B28*4.0,0)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SUMPRODUCT(($C28:$I28="M")*6+($C28:$I28="T")*6+($C28:$I28="D")*12+($C28:$I28="N")*12+($C28:$I28="NT")*6+($C28:$I28="C")*10+($C28:$I28="A")*8+($C28:$I28="J")*5+($C28:$I28="E")*4+($C28:$I28="P")*6+($C28:$I28="R")*6)</f>
        <v/>
      </c>
      <c r="BF28" s="110">
        <f>SUMPRODUCT(($J28:$P28="M")*6+($J28:$P28="T")*6+($J28:$P28="D")*12+($J28:$P28="N")*12+($J28:$P28="NT")*6+($J28:$P28="C")*10+($J28:$P28="A")*8+($J28:$P28="J")*5+($J28:$P28="E")*4+($J28:$P28="P")*6+($J28:$P28="R")*6)</f>
        <v/>
      </c>
      <c r="BG28" s="110">
        <f>SUMPRODUCT(($Q28:$W28="M")*6+($Q28:$W28="T")*6+($Q28:$W28="D")*12+($Q28:$W28="N")*12+($Q28:$W28="NT")*6+($Q28:$W28="C")*10+($Q28:$W28="A")*8+($Q28:$W28="J")*5+($Q28:$W28="E")*4+($Q28:$W28="P")*6+($Q28:$W28="R")*6)</f>
        <v/>
      </c>
      <c r="BH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I28" s="110">
        <f>SUMPRODUCT(($AE28:$AJ28="M")*6+($AE28:$AJ28="T")*6+($AE28:$AJ28="D")*12+($AE28:$AJ28="N")*12+($AE28:$AJ28="NT")*6+($AE28:$AJ28="C")*10+($AE28:$AJ28="A")*8+($AE28:$AJ28="J")*5+($AE28:$AJ28="E")*4+($AE28:$AJ28="P")*6+($AE28:$AJ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123">
        <f>IFERROR(INDEX(JAN!AH$8:AH$73,MATCH($A29,JAN!$A$8:$A$73,0))&amp;"","")</f>
        <v/>
      </c>
      <c r="D29" s="123">
        <f>IFERROR(INDEX(JAN!AI$8:AI$73,MATCH($A29,JAN!$A$8:$A$73,0))&amp;"","")</f>
        <v/>
      </c>
      <c r="E29" s="123">
        <f>IFERROR(INDEX(JAN!AJ$8:AJ$73,MATCH($A29,JAN!$A$8:$A$73,0))&amp;"","")</f>
        <v/>
      </c>
      <c r="F29" s="123">
        <f>IFERROR(INDEX(JAN!AK$8:AK$73,MATCH($A29,JAN!$A$8:$A$73,0))&amp;"","")</f>
        <v/>
      </c>
      <c r="G29" s="123">
        <f>IFERROR(INDEX(JAN!AL$8:AL$73,MATCH($A29,JAN!$A$8:$A$73,0))&amp;"","")</f>
        <v/>
      </c>
      <c r="H29" s="109">
        <f>IFERROR(INDEX(JAN!AM$8:AM$73,MATCH($A29,JAN!$A$8:$A$73,0))&amp;"","")</f>
        <v/>
      </c>
      <c r="I29" s="107" t="n"/>
      <c r="J29" s="116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6" t="inlineStr">
        <is>
          <t>N</t>
        </is>
      </c>
      <c r="R29" s="107" t="n"/>
      <c r="S29" s="108" t="inlineStr">
        <is>
          <t>M</t>
        </is>
      </c>
      <c r="T29" s="107" t="n"/>
      <c r="U29" s="107" t="n"/>
      <c r="V29" s="108" t="inlineStr">
        <is>
          <t>M</t>
        </is>
      </c>
      <c r="W29" s="108" t="inlineStr">
        <is>
          <t>M</t>
        </is>
      </c>
      <c r="X29" s="116" t="inlineStr">
        <is>
          <t>N</t>
        </is>
      </c>
      <c r="Y29" s="107" t="n"/>
      <c r="Z29" s="108" t="inlineStr">
        <is>
          <t>M</t>
        </is>
      </c>
      <c r="AA29" s="108" t="inlineStr">
        <is>
          <t>M</t>
        </is>
      </c>
      <c r="AB29" s="107" t="n"/>
      <c r="AC29" s="108" t="inlineStr">
        <is>
          <t>M</t>
        </is>
      </c>
      <c r="AD29" s="107" t="n"/>
      <c r="AE29" s="116" t="inlineStr">
        <is>
          <t>N</t>
        </is>
      </c>
      <c r="AF29" s="107" t="n"/>
      <c r="AG29" s="108" t="inlineStr">
        <is>
          <t>M</t>
        </is>
      </c>
      <c r="AH29" s="108" t="inlineStr">
        <is>
          <t>M</t>
        </is>
      </c>
      <c r="AI29" s="107" t="n"/>
      <c r="AJ29" s="108" t="inlineStr">
        <is>
          <t>M</t>
        </is>
      </c>
      <c r="AK29" s="96" t="n"/>
      <c r="AL29" s="96" t="n"/>
      <c r="AM29" s="96" t="n"/>
      <c r="AN29" s="109">
        <f>IFERROR(INDEX(MAR!I$8:I$73,MATCH($A29,MAR!$A$8:$A$73,0))&amp;"","")</f>
        <v/>
      </c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ROUND(B29*4.0,0)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SUMPRODUCT(($C29:$I29="M")*6+($C29:$I29="T")*6+($C29:$I29="D")*12+($C29:$I29="N")*12+($C29:$I29="NT")*6+($C29:$I29="C")*10+($C29:$I29="A")*8+($C29:$I29="J")*5+($C29:$I29="E")*4+($C29:$I29="P")*6+($C29:$I29="R")*6)</f>
        <v/>
      </c>
      <c r="BF29" s="110">
        <f>SUMPRODUCT(($J29:$P29="M")*6+($J29:$P29="T")*6+($J29:$P29="D")*12+($J29:$P29="N")*12+($J29:$P29="NT")*6+($J29:$P29="C")*10+($J29:$P29="A")*8+($J29:$P29="J")*5+($J29:$P29="E")*4+($J29:$P29="P")*6+($J29:$P29="R")*6)</f>
        <v/>
      </c>
      <c r="BG29" s="110">
        <f>SUMPRODUCT(($Q29:$W29="M")*6+($Q29:$W29="T")*6+($Q29:$W29="D")*12+($Q29:$W29="N")*12+($Q29:$W29="NT")*6+($Q29:$W29="C")*10+($Q29:$W29="A")*8+($Q29:$W29="J")*5+($Q29:$W29="E")*4+($Q29:$W29="P")*6+($Q29:$W29="R")*6)</f>
        <v/>
      </c>
      <c r="BH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I29" s="110">
        <f>SUMPRODUCT(($AE29:$AJ29="M")*6+($AE29:$AJ29="T")*6+($AE29:$AJ29="D")*12+($AE29:$AJ29="N")*12+($AE29:$AJ29="NT")*6+($AE29:$AJ29="C")*10+($AE29:$AJ29="A")*8+($AE29:$AJ29="J")*5+($AE29:$AJ29="E")*4+($AE29:$AJ29="P")*6+($AE29:$AJ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123">
        <f>IFERROR(INDEX(JAN!AH$8:AH$73,MATCH($A30,JAN!$A$8:$A$73,0))&amp;"","")</f>
        <v/>
      </c>
      <c r="D30" s="123">
        <f>IFERROR(INDEX(JAN!AI$8:AI$73,MATCH($A30,JAN!$A$8:$A$73,0))&amp;"","")</f>
        <v/>
      </c>
      <c r="E30" s="123">
        <f>IFERROR(INDEX(JAN!AJ$8:AJ$73,MATCH($A30,JAN!$A$8:$A$73,0))&amp;"","")</f>
        <v/>
      </c>
      <c r="F30" s="123">
        <f>IFERROR(INDEX(JAN!AK$8:AK$73,MATCH($A30,JAN!$A$8:$A$73,0))&amp;"","")</f>
        <v/>
      </c>
      <c r="G30" s="123">
        <f>IFERROR(INDEX(JAN!AL$8:AL$73,MATCH($A30,JAN!$A$8:$A$73,0))&amp;"","")</f>
        <v/>
      </c>
      <c r="H30" s="109">
        <f>IFERROR(INDEX(JAN!AM$8:AM$73,MATCH($A30,JAN!$A$8:$A$73,0))&amp;"","")</f>
        <v/>
      </c>
      <c r="I30" s="116" t="inlineStr">
        <is>
          <t>N</t>
        </is>
      </c>
      <c r="J30" s="107" t="n"/>
      <c r="K30" s="116" t="inlineStr">
        <is>
          <t>N</t>
        </is>
      </c>
      <c r="L30" s="117" t="inlineStr">
        <is>
          <t>T</t>
        </is>
      </c>
      <c r="M30" s="107" t="n"/>
      <c r="N30" s="107" t="n"/>
      <c r="O30" s="107" t="n"/>
      <c r="P30" s="116" t="inlineStr">
        <is>
          <t>N</t>
        </is>
      </c>
      <c r="Q30" s="107" t="n"/>
      <c r="R30" s="116" t="inlineStr">
        <is>
          <t>N</t>
        </is>
      </c>
      <c r="S30" s="117" t="inlineStr">
        <is>
          <t>T</t>
        </is>
      </c>
      <c r="T30" s="107" t="n"/>
      <c r="U30" s="107" t="n"/>
      <c r="V30" s="107" t="n"/>
      <c r="W30" s="116" t="inlineStr">
        <is>
          <t>N</t>
        </is>
      </c>
      <c r="X30" s="107" t="n"/>
      <c r="Y30" s="116" t="inlineStr">
        <is>
          <t>N</t>
        </is>
      </c>
      <c r="Z30" s="116" t="inlineStr">
        <is>
          <t>N</t>
        </is>
      </c>
      <c r="AA30" s="117" t="inlineStr">
        <is>
          <t>T</t>
        </is>
      </c>
      <c r="AB30" s="107" t="n"/>
      <c r="AC30" s="107" t="n"/>
      <c r="AD30" s="107" t="n"/>
      <c r="AE30" s="107" t="n"/>
      <c r="AF30" s="116" t="inlineStr">
        <is>
          <t>N</t>
        </is>
      </c>
      <c r="AG30" s="117" t="inlineStr">
        <is>
          <t>T</t>
        </is>
      </c>
      <c r="AH30" s="107" t="n"/>
      <c r="AI30" s="107" t="n"/>
      <c r="AJ30" s="107" t="n"/>
      <c r="AK30" s="96" t="n"/>
      <c r="AL30" s="96" t="n"/>
      <c r="AM30" s="96" t="n"/>
      <c r="AN30" s="109">
        <f>IFERROR(INDEX(MAR!I$8:I$73,MATCH($A30,MAR!$A$8:$A$73,0))&amp;"","")</f>
        <v/>
      </c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ROUND(B30*4.0,0)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SUMPRODUCT(($C30:$I30="M")*6+($C30:$I30="T")*6+($C30:$I30="D")*12+($C30:$I30="N")*12+($C30:$I30="NT")*6+($C30:$I30="C")*10+($C30:$I30="A")*8+($C30:$I30="J")*5+($C30:$I30="E")*4+($C30:$I30="P")*6+($C30:$I30="R")*6)</f>
        <v/>
      </c>
      <c r="BF30" s="110">
        <f>SUMPRODUCT(($J30:$P30="M")*6+($J30:$P30="T")*6+($J30:$P30="D")*12+($J30:$P30="N")*12+($J30:$P30="NT")*6+($J30:$P30="C")*10+($J30:$P30="A")*8+($J30:$P30="J")*5+($J30:$P30="E")*4+($J30:$P30="P")*6+($J30:$P30="R")*6)</f>
        <v/>
      </c>
      <c r="BG30" s="110">
        <f>SUMPRODUCT(($Q30:$W30="M")*6+($Q30:$W30="T")*6+($Q30:$W30="D")*12+($Q30:$W30="N")*12+($Q30:$W30="NT")*6+($Q30:$W30="C")*10+($Q30:$W30="A")*8+($Q30:$W30="J")*5+($Q30:$W30="E")*4+($Q30:$W30="P")*6+($Q30:$W30="R")*6)</f>
        <v/>
      </c>
      <c r="BH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I30" s="110">
        <f>SUMPRODUCT(($AE30:$AJ30="M")*6+($AE30:$AJ30="T")*6+($AE30:$AJ30="D")*12+($AE30:$AJ30="N")*12+($AE30:$AJ30="NT")*6+($AE30:$AJ30="C")*10+($AE30:$AJ30="A")*8+($AE30:$AJ30="J")*5+($AE30:$AJ30="E")*4+($AE30:$AJ30="P")*6+($AE30:$AJ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123">
        <f>IFERROR(INDEX(JAN!AH$8:AH$73,MATCH($A31,JAN!$A$8:$A$73,0))&amp;"","")</f>
        <v/>
      </c>
      <c r="D31" s="123">
        <f>IFERROR(INDEX(JAN!AI$8:AI$73,MATCH($A31,JAN!$A$8:$A$73,0))&amp;"","")</f>
        <v/>
      </c>
      <c r="E31" s="123">
        <f>IFERROR(INDEX(JAN!AJ$8:AJ$73,MATCH($A31,JAN!$A$8:$A$73,0))&amp;"","")</f>
        <v/>
      </c>
      <c r="F31" s="123">
        <f>IFERROR(INDEX(JAN!AK$8:AK$73,MATCH($A31,JAN!$A$8:$A$73,0))&amp;"","")</f>
        <v/>
      </c>
      <c r="G31" s="123">
        <f>IFERROR(INDEX(JAN!AL$8:AL$73,MATCH($A31,JAN!$A$8:$A$73,0))&amp;"","")</f>
        <v/>
      </c>
      <c r="H31" s="109">
        <f>IFERROR(INDEX(JAN!AM$8:AM$73,MATCH($A31,JAN!$A$8:$A$73,0))&amp;"","")</f>
        <v/>
      </c>
      <c r="I31" s="107" t="n"/>
      <c r="J31" s="108" t="inlineStr">
        <is>
          <t>M</t>
        </is>
      </c>
      <c r="K31" s="107" t="n"/>
      <c r="L31" s="107" t="n"/>
      <c r="M31" s="107" t="n"/>
      <c r="N31" s="116" t="inlineStr">
        <is>
          <t>N</t>
        </is>
      </c>
      <c r="O31" s="116" t="inlineStr">
        <is>
          <t>N</t>
        </is>
      </c>
      <c r="P31" s="108" t="inlineStr">
        <is>
          <t>M</t>
        </is>
      </c>
      <c r="Q31" s="115" t="inlineStr">
        <is>
          <t>D</t>
        </is>
      </c>
      <c r="R31" s="108" t="inlineStr">
        <is>
          <t>M</t>
        </is>
      </c>
      <c r="S31" s="115" t="inlineStr">
        <is>
          <t>D</t>
        </is>
      </c>
      <c r="T31" s="107" t="n"/>
      <c r="U31" s="108" t="inlineStr">
        <is>
          <t>M</t>
        </is>
      </c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96" t="n"/>
      <c r="AL31" s="96" t="n"/>
      <c r="AM31" s="96" t="n"/>
      <c r="AN31" s="109">
        <f>IFERROR(INDEX(MAR!I$8:I$73,MATCH($A31,MAR!$A$8:$A$73,0))&amp;"","")</f>
        <v/>
      </c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ROUND(B31*4.0,0)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SUMPRODUCT(($C31:$I31="M")*6+($C31:$I31="T")*6+($C31:$I31="D")*12+($C31:$I31="N")*12+($C31:$I31="NT")*6+($C31:$I31="C")*10+($C31:$I31="A")*8+($C31:$I31="J")*5+($C31:$I31="E")*4+($C31:$I31="P")*6+($C31:$I31="R")*6)</f>
        <v/>
      </c>
      <c r="BF31" s="110">
        <f>SUMPRODUCT(($J31:$P31="M")*6+($J31:$P31="T")*6+($J31:$P31="D")*12+($J31:$P31="N")*12+($J31:$P31="NT")*6+($J31:$P31="C")*10+($J31:$P31="A")*8+($J31:$P31="J")*5+($J31:$P31="E")*4+($J31:$P31="P")*6+($J31:$P31="R")*6)</f>
        <v/>
      </c>
      <c r="BG31" s="110">
        <f>SUMPRODUCT(($Q31:$W31="M")*6+($Q31:$W31="T")*6+($Q31:$W31="D")*12+($Q31:$W31="N")*12+($Q31:$W31="NT")*6+($Q31:$W31="C")*10+($Q31:$W31="A")*8+($Q31:$W31="J")*5+($Q31:$W31="E")*4+($Q31:$W31="P")*6+($Q31:$W31="R")*6)</f>
        <v/>
      </c>
      <c r="BH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I31" s="110">
        <f>SUMPRODUCT(($AE31:$AJ31="M")*6+($AE31:$AJ31="T")*6+($AE31:$AJ31="D")*12+($AE31:$AJ31="N")*12+($AE31:$AJ31="NT")*6+($AE31:$AJ31="C")*10+($AE31:$AJ31="A")*8+($AE31:$AJ31="J")*5+($AE31:$AJ31="E")*4+($AE31:$AJ31="P")*6+($AE31:$AJ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123">
        <f>IFERROR(INDEX(JAN!AH$8:AH$73,MATCH($A32,JAN!$A$8:$A$73,0))&amp;"","")</f>
        <v/>
      </c>
      <c r="D32" s="123">
        <f>IFERROR(INDEX(JAN!AI$8:AI$73,MATCH($A32,JAN!$A$8:$A$73,0))&amp;"","")</f>
        <v/>
      </c>
      <c r="E32" s="123">
        <f>IFERROR(INDEX(JAN!AJ$8:AJ$73,MATCH($A32,JAN!$A$8:$A$73,0))&amp;"","")</f>
        <v/>
      </c>
      <c r="F32" s="123">
        <f>IFERROR(INDEX(JAN!AK$8:AK$73,MATCH($A32,JAN!$A$8:$A$73,0))&amp;"","")</f>
        <v/>
      </c>
      <c r="G32" s="123">
        <f>IFERROR(INDEX(JAN!AL$8:AL$73,MATCH($A32,JAN!$A$8:$A$73,0))&amp;"","")</f>
        <v/>
      </c>
      <c r="H32" s="109">
        <f>IFERROR(INDEX(JAN!AM$8:AM$73,MATCH($A32,JAN!$A$8:$A$73,0))&amp;"","")</f>
        <v/>
      </c>
      <c r="I32" s="115" t="inlineStr">
        <is>
          <t>D</t>
        </is>
      </c>
      <c r="J32" s="115" t="inlineStr">
        <is>
          <t>D</t>
        </is>
      </c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7" t="inlineStr">
        <is>
          <t>T</t>
        </is>
      </c>
      <c r="P32" s="107" t="n"/>
      <c r="Q32" s="115" t="inlineStr">
        <is>
          <t>D</t>
        </is>
      </c>
      <c r="R32" s="107" t="n"/>
      <c r="S32" s="107" t="n"/>
      <c r="T32" s="108" t="inlineStr">
        <is>
          <t>M</t>
        </is>
      </c>
      <c r="U32" s="116" t="inlineStr">
        <is>
          <t>N</t>
        </is>
      </c>
      <c r="V32" s="107" t="n"/>
      <c r="W32" s="107" t="n"/>
      <c r="X32" s="116" t="inlineStr">
        <is>
          <t>N</t>
        </is>
      </c>
      <c r="Y32" s="107" t="n"/>
      <c r="Z32" s="107" t="n"/>
      <c r="AA32" s="117" t="inlineStr">
        <is>
          <t>T</t>
        </is>
      </c>
      <c r="AB32" s="107" t="n"/>
      <c r="AC32" s="117" t="inlineStr">
        <is>
          <t>T</t>
        </is>
      </c>
      <c r="AD32" s="108" t="inlineStr">
        <is>
          <t>M</t>
        </is>
      </c>
      <c r="AE32" s="116" t="inlineStr">
        <is>
          <t>N</t>
        </is>
      </c>
      <c r="AF32" s="107" t="n"/>
      <c r="AG32" s="107" t="n"/>
      <c r="AH32" s="107" t="n"/>
      <c r="AI32" s="117" t="inlineStr">
        <is>
          <t>T</t>
        </is>
      </c>
      <c r="AJ32" s="107" t="n"/>
      <c r="AK32" s="96" t="n"/>
      <c r="AL32" s="96" t="n"/>
      <c r="AM32" s="96" t="n"/>
      <c r="AN32" s="109">
        <f>IFERROR(INDEX(MAR!I$8:I$73,MATCH($A32,MAR!$A$8:$A$73,0))&amp;"","")</f>
        <v/>
      </c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ROUND(B32*4.0,0)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SUMPRODUCT(($C32:$I32="M")*6+($C32:$I32="T")*6+($C32:$I32="D")*12+($C32:$I32="N")*12+($C32:$I32="NT")*6+($C32:$I32="C")*10+($C32:$I32="A")*8+($C32:$I32="J")*5+($C32:$I32="E")*4+($C32:$I32="P")*6+($C32:$I32="R")*6)</f>
        <v/>
      </c>
      <c r="BF32" s="110">
        <f>SUMPRODUCT(($J32:$P32="M")*6+($J32:$P32="T")*6+($J32:$P32="D")*12+($J32:$P32="N")*12+($J32:$P32="NT")*6+($J32:$P32="C")*10+($J32:$P32="A")*8+($J32:$P32="J")*5+($J32:$P32="E")*4+($J32:$P32="P")*6+($J32:$P32="R")*6)</f>
        <v/>
      </c>
      <c r="BG32" s="110">
        <f>SUMPRODUCT(($Q32:$W32="M")*6+($Q32:$W32="T")*6+($Q32:$W32="D")*12+($Q32:$W32="N")*12+($Q32:$W32="NT")*6+($Q32:$W32="C")*10+($Q32:$W32="A")*8+($Q32:$W32="J")*5+($Q32:$W32="E")*4+($Q32:$W32="P")*6+($Q32:$W32="R")*6)</f>
        <v/>
      </c>
      <c r="BH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I32" s="110">
        <f>SUMPRODUCT(($AE32:$AJ32="M")*6+($AE32:$AJ32="T")*6+($AE32:$AJ32="D")*12+($AE32:$AJ32="N")*12+($AE32:$AJ32="NT")*6+($AE32:$AJ32="C")*10+($AE32:$AJ32="A")*8+($AE32:$AJ32="J")*5+($AE32:$AJ32="E")*4+($AE32:$AJ32="P")*6+($AE32:$AJ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123">
        <f>IFERROR(INDEX(JAN!AH$8:AH$73,MATCH($A33,JAN!$A$8:$A$73,0))&amp;"","")</f>
        <v/>
      </c>
      <c r="D33" s="123">
        <f>IFERROR(INDEX(JAN!AI$8:AI$73,MATCH($A33,JAN!$A$8:$A$73,0))&amp;"","")</f>
        <v/>
      </c>
      <c r="E33" s="123">
        <f>IFERROR(INDEX(JAN!AJ$8:AJ$73,MATCH($A33,JAN!$A$8:$A$73,0))&amp;"","")</f>
        <v/>
      </c>
      <c r="F33" s="123">
        <f>IFERROR(INDEX(JAN!AK$8:AK$73,MATCH($A33,JAN!$A$8:$A$73,0))&amp;"","")</f>
        <v/>
      </c>
      <c r="G33" s="123">
        <f>IFERROR(INDEX(JAN!AL$8:AL$73,MATCH($A33,JAN!$A$8:$A$73,0))&amp;"","")</f>
        <v/>
      </c>
      <c r="H33" s="109">
        <f>IFERROR(INDEX(JAN!AM$8:AM$73,MATCH($A33,JAN!$A$8:$A$73,0))&amp;"","")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96" t="n"/>
      <c r="AL33" s="96" t="n"/>
      <c r="AM33" s="96" t="n"/>
      <c r="AN33" s="109">
        <f>IFERROR(INDEX(MAR!I$8:I$73,MATCH($A33,MAR!$A$8:$A$73,0))&amp;"","")</f>
        <v/>
      </c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ROUND(B33*4.0,0)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SUMPRODUCT(($C33:$I33="M")*6+($C33:$I33="T")*6+($C33:$I33="D")*12+($C33:$I33="N")*12+($C33:$I33="NT")*6+($C33:$I33="C")*10+($C33:$I33="A")*8+($C33:$I33="J")*5+($C33:$I33="E")*4+($C33:$I33="P")*6+($C33:$I33="R")*6)</f>
        <v/>
      </c>
      <c r="BF33" s="110">
        <f>SUMPRODUCT(($J33:$P33="M")*6+($J33:$P33="T")*6+($J33:$P33="D")*12+($J33:$P33="N")*12+($J33:$P33="NT")*6+($J33:$P33="C")*10+($J33:$P33="A")*8+($J33:$P33="J")*5+($J33:$P33="E")*4+($J33:$P33="P")*6+($J33:$P33="R")*6)</f>
        <v/>
      </c>
      <c r="BG33" s="110">
        <f>SUMPRODUCT(($Q33:$W33="M")*6+($Q33:$W33="T")*6+($Q33:$W33="D")*12+($Q33:$W33="N")*12+($Q33:$W33="NT")*6+($Q33:$W33="C")*10+($Q33:$W33="A")*8+($Q33:$W33="J")*5+($Q33:$W33="E")*4+($Q33:$W33="P")*6+($Q33:$W33="R")*6)</f>
        <v/>
      </c>
      <c r="BH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I33" s="110">
        <f>SUMPRODUCT(($AE33:$AJ33="M")*6+($AE33:$AJ33="T")*6+($AE33:$AJ33="D")*12+($AE33:$AJ33="N")*12+($AE33:$AJ33="NT")*6+($AE33:$AJ33="C")*10+($AE33:$AJ33="A")*8+($AE33:$AJ33="J")*5+($AE33:$AJ33="E")*4+($AE33:$AJ33="P")*6+($AE33:$AJ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123">
        <f>IFERROR(INDEX(JAN!AH$8:AH$73,MATCH($A34,JAN!$A$8:$A$73,0))&amp;"","")</f>
        <v/>
      </c>
      <c r="D34" s="123">
        <f>IFERROR(INDEX(JAN!AI$8:AI$73,MATCH($A34,JAN!$A$8:$A$73,0))&amp;"","")</f>
        <v/>
      </c>
      <c r="E34" s="123">
        <f>IFERROR(INDEX(JAN!AJ$8:AJ$73,MATCH($A34,JAN!$A$8:$A$73,0))&amp;"","")</f>
        <v/>
      </c>
      <c r="F34" s="123">
        <f>IFERROR(INDEX(JAN!AK$8:AK$73,MATCH($A34,JAN!$A$8:$A$73,0))&amp;"","")</f>
        <v/>
      </c>
      <c r="G34" s="123">
        <f>IFERROR(INDEX(JAN!AL$8:AL$73,MATCH($A34,JAN!$A$8:$A$73,0))&amp;"","")</f>
        <v/>
      </c>
      <c r="H34" s="109">
        <f>IFERROR(INDEX(JAN!AM$8:AM$73,MATCH($A34,JAN!$A$8:$A$73,0))&amp;"","")</f>
        <v/>
      </c>
      <c r="I34" s="107" t="n"/>
      <c r="J34" s="107" t="n"/>
      <c r="K34" s="107" t="n"/>
      <c r="L34" s="115" t="inlineStr">
        <is>
          <t>D</t>
        </is>
      </c>
      <c r="M34" s="107" t="n"/>
      <c r="N34" s="107" t="n"/>
      <c r="O34" s="115" t="inlineStr">
        <is>
          <t>D</t>
        </is>
      </c>
      <c r="P34" s="108" t="inlineStr">
        <is>
          <t>M</t>
        </is>
      </c>
      <c r="Q34" s="115" t="inlineStr">
        <is>
          <t>D</t>
        </is>
      </c>
      <c r="R34" s="108" t="inlineStr">
        <is>
          <t>M</t>
        </is>
      </c>
      <c r="S34" s="107" t="n"/>
      <c r="T34" s="107" t="n"/>
      <c r="U34" s="107" t="n"/>
      <c r="V34" s="115" t="inlineStr">
        <is>
          <t>D</t>
        </is>
      </c>
      <c r="W34" s="107" t="n"/>
      <c r="X34" s="107" t="n"/>
      <c r="Y34" s="115" t="inlineStr">
        <is>
          <t>D</t>
        </is>
      </c>
      <c r="Z34" s="108" t="inlineStr">
        <is>
          <t>M</t>
        </is>
      </c>
      <c r="AA34" s="115" t="inlineStr">
        <is>
          <t>D</t>
        </is>
      </c>
      <c r="AB34" s="107" t="n"/>
      <c r="AC34" s="107" t="n"/>
      <c r="AD34" s="107" t="n"/>
      <c r="AE34" s="107" t="n"/>
      <c r="AF34" s="115" t="inlineStr">
        <is>
          <t>D</t>
        </is>
      </c>
      <c r="AG34" s="108" t="inlineStr">
        <is>
          <t>M</t>
        </is>
      </c>
      <c r="AH34" s="115" t="inlineStr">
        <is>
          <t>D</t>
        </is>
      </c>
      <c r="AI34" s="107" t="n"/>
      <c r="AJ34" s="107" t="n"/>
      <c r="AK34" s="96" t="n"/>
      <c r="AL34" s="96" t="n"/>
      <c r="AM34" s="96" t="n"/>
      <c r="AN34" s="109">
        <f>IFERROR(INDEX(MAR!I$8:I$73,MATCH($A34,MAR!$A$8:$A$73,0))&amp;"","")</f>
        <v/>
      </c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ROUND(B34*4.0,0)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SUMPRODUCT(($C34:$I34="M")*6+($C34:$I34="T")*6+($C34:$I34="D")*12+($C34:$I34="N")*12+($C34:$I34="NT")*6+($C34:$I34="C")*10+($C34:$I34="A")*8+($C34:$I34="J")*5+($C34:$I34="E")*4+($C34:$I34="P")*6+($C34:$I34="R")*6)</f>
        <v/>
      </c>
      <c r="BF34" s="110">
        <f>SUMPRODUCT(($J34:$P34="M")*6+($J34:$P34="T")*6+($J34:$P34="D")*12+($J34:$P34="N")*12+($J34:$P34="NT")*6+($J34:$P34="C")*10+($J34:$P34="A")*8+($J34:$P34="J")*5+($J34:$P34="E")*4+($J34:$P34="P")*6+($J34:$P34="R")*6)</f>
        <v/>
      </c>
      <c r="BG34" s="110">
        <f>SUMPRODUCT(($Q34:$W34="M")*6+($Q34:$W34="T")*6+($Q34:$W34="D")*12+($Q34:$W34="N")*12+($Q34:$W34="NT")*6+($Q34:$W34="C")*10+($Q34:$W34="A")*8+($Q34:$W34="J")*5+($Q34:$W34="E")*4+($Q34:$W34="P")*6+($Q34:$W34="R")*6)</f>
        <v/>
      </c>
      <c r="BH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I34" s="110">
        <f>SUMPRODUCT(($AE34:$AJ34="M")*6+($AE34:$AJ34="T")*6+($AE34:$AJ34="D")*12+($AE34:$AJ34="N")*12+($AE34:$AJ34="NT")*6+($AE34:$AJ34="C")*10+($AE34:$AJ34="A")*8+($AE34:$AJ34="J")*5+($AE34:$AJ34="E")*4+($AE34:$AJ34="P")*6+($AE34:$AJ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123">
        <f>IFERROR(INDEX(JAN!AH$8:AH$73,MATCH($A35,JAN!$A$8:$A$73,0))&amp;"","")</f>
        <v/>
      </c>
      <c r="D35" s="123">
        <f>IFERROR(INDEX(JAN!AI$8:AI$73,MATCH($A35,JAN!$A$8:$A$73,0))&amp;"","")</f>
        <v/>
      </c>
      <c r="E35" s="123">
        <f>IFERROR(INDEX(JAN!AJ$8:AJ$73,MATCH($A35,JAN!$A$8:$A$73,0))&amp;"","")</f>
        <v/>
      </c>
      <c r="F35" s="123">
        <f>IFERROR(INDEX(JAN!AK$8:AK$73,MATCH($A35,JAN!$A$8:$A$73,0))&amp;"","")</f>
        <v/>
      </c>
      <c r="G35" s="123">
        <f>IFERROR(INDEX(JAN!AL$8:AL$73,MATCH($A35,JAN!$A$8:$A$73,0))&amp;"","")</f>
        <v/>
      </c>
      <c r="H35" s="109">
        <f>IFERROR(INDEX(JAN!AM$8:AM$73,MATCH($A35,JAN!$A$8:$A$73,0))&amp;"","")</f>
        <v/>
      </c>
      <c r="I35" s="107" t="n"/>
      <c r="J35" s="116" t="inlineStr">
        <is>
          <t>N</t>
        </is>
      </c>
      <c r="K35" s="107" t="n"/>
      <c r="L35" s="107" t="n"/>
      <c r="M35" s="117" t="inlineStr">
        <is>
          <t>T</t>
        </is>
      </c>
      <c r="N35" s="107" t="n"/>
      <c r="O35" s="107" t="n"/>
      <c r="P35" s="116" t="inlineStr">
        <is>
          <t>N</t>
        </is>
      </c>
      <c r="Q35" s="116" t="inlineStr">
        <is>
          <t>N</t>
        </is>
      </c>
      <c r="R35" s="107" t="n"/>
      <c r="S35" s="117" t="inlineStr">
        <is>
          <t>T</t>
        </is>
      </c>
      <c r="T35" s="107" t="n"/>
      <c r="U35" s="116" t="inlineStr">
        <is>
          <t>N</t>
        </is>
      </c>
      <c r="V35" s="107" t="n"/>
      <c r="W35" s="107" t="n"/>
      <c r="X35" s="115" t="inlineStr">
        <is>
          <t>D</t>
        </is>
      </c>
      <c r="Y35" s="115" t="inlineStr">
        <is>
          <t>D</t>
        </is>
      </c>
      <c r="Z35" s="117" t="inlineStr">
        <is>
          <t>T</t>
        </is>
      </c>
      <c r="AA35" s="107" t="n"/>
      <c r="AB35" s="107" t="n"/>
      <c r="AC35" s="107" t="n"/>
      <c r="AD35" s="107" t="n"/>
      <c r="AE35" s="107" t="n"/>
      <c r="AF35" s="115" t="inlineStr">
        <is>
          <t>D</t>
        </is>
      </c>
      <c r="AG35" s="107" t="n"/>
      <c r="AH35" s="107" t="n"/>
      <c r="AI35" s="107" t="n"/>
      <c r="AJ35" s="115" t="inlineStr">
        <is>
          <t>D</t>
        </is>
      </c>
      <c r="AK35" s="96" t="n"/>
      <c r="AL35" s="96" t="n"/>
      <c r="AM35" s="96" t="n"/>
      <c r="AN35" s="109">
        <f>IFERROR(INDEX(MAR!I$8:I$73,MATCH($A35,MAR!$A$8:$A$73,0))&amp;"","")</f>
        <v/>
      </c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ROUND(B35*4.0,0)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SUMPRODUCT(($C35:$I35="M")*6+($C35:$I35="T")*6+($C35:$I35="D")*12+($C35:$I35="N")*12+($C35:$I35="NT")*6+($C35:$I35="C")*10+($C35:$I35="A")*8+($C35:$I35="J")*5+($C35:$I35="E")*4+($C35:$I35="P")*6+($C35:$I35="R")*6)</f>
        <v/>
      </c>
      <c r="BF35" s="110">
        <f>SUMPRODUCT(($J35:$P35="M")*6+($J35:$P35="T")*6+($J35:$P35="D")*12+($J35:$P35="N")*12+($J35:$P35="NT")*6+($J35:$P35="C")*10+($J35:$P35="A")*8+($J35:$P35="J")*5+($J35:$P35="E")*4+($J35:$P35="P")*6+($J35:$P35="R")*6)</f>
        <v/>
      </c>
      <c r="BG35" s="110">
        <f>SUMPRODUCT(($Q35:$W35="M")*6+($Q35:$W35="T")*6+($Q35:$W35="D")*12+($Q35:$W35="N")*12+($Q35:$W35="NT")*6+($Q35:$W35="C")*10+($Q35:$W35="A")*8+($Q35:$W35="J")*5+($Q35:$W35="E")*4+($Q35:$W35="P")*6+($Q35:$W35="R")*6)</f>
        <v/>
      </c>
      <c r="BH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I35" s="110">
        <f>SUMPRODUCT(($AE35:$AJ35="M")*6+($AE35:$AJ35="T")*6+($AE35:$AJ35="D")*12+($AE35:$AJ35="N")*12+($AE35:$AJ35="NT")*6+($AE35:$AJ35="C")*10+($AE35:$AJ35="A")*8+($AE35:$AJ35="J")*5+($AE35:$AJ35="E")*4+($AE35:$AJ35="P")*6+($AE35:$AJ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123">
        <f>IFERROR(INDEX(JAN!AH$8:AH$73,MATCH($A36,JAN!$A$8:$A$73,0))&amp;"","")</f>
        <v/>
      </c>
      <c r="D36" s="123">
        <f>IFERROR(INDEX(JAN!AI$8:AI$73,MATCH($A36,JAN!$A$8:$A$73,0))&amp;"","")</f>
        <v/>
      </c>
      <c r="E36" s="123">
        <f>IFERROR(INDEX(JAN!AJ$8:AJ$73,MATCH($A36,JAN!$A$8:$A$73,0))&amp;"","")</f>
        <v/>
      </c>
      <c r="F36" s="123">
        <f>IFERROR(INDEX(JAN!AK$8:AK$73,MATCH($A36,JAN!$A$8:$A$73,0))&amp;"","")</f>
        <v/>
      </c>
      <c r="G36" s="123">
        <f>IFERROR(INDEX(JAN!AL$8:AL$73,MATCH($A36,JAN!$A$8:$A$73,0))&amp;"","")</f>
        <v/>
      </c>
      <c r="H36" s="109">
        <f>IFERROR(INDEX(JAN!AM$8:AM$73,MATCH($A36,JAN!$A$8:$A$73,0))&amp;"","")</f>
        <v/>
      </c>
      <c r="I36" s="107" t="n"/>
      <c r="J36" s="107" t="n"/>
      <c r="K36" s="116" t="inlineStr">
        <is>
          <t>N</t>
        </is>
      </c>
      <c r="L36" s="107" t="n"/>
      <c r="M36" s="107" t="n"/>
      <c r="N36" s="108" t="inlineStr">
        <is>
          <t>M</t>
        </is>
      </c>
      <c r="O36" s="115" t="inlineStr">
        <is>
          <t>D</t>
        </is>
      </c>
      <c r="P36" s="107" t="n"/>
      <c r="Q36" s="107" t="n"/>
      <c r="R36" s="107" t="n"/>
      <c r="S36" s="107" t="n"/>
      <c r="T36" s="107" t="n"/>
      <c r="U36" s="117" t="inlineStr">
        <is>
          <t>T</t>
        </is>
      </c>
      <c r="V36" s="115" t="inlineStr">
        <is>
          <t>D</t>
        </is>
      </c>
      <c r="W36" s="115" t="inlineStr">
        <is>
          <t>D</t>
        </is>
      </c>
      <c r="X36" s="107" t="n"/>
      <c r="Y36" s="116" t="inlineStr">
        <is>
          <t>N</t>
        </is>
      </c>
      <c r="Z36" s="107" t="n"/>
      <c r="AA36" s="108" t="inlineStr">
        <is>
          <t>M</t>
        </is>
      </c>
      <c r="AB36" s="115" t="inlineStr">
        <is>
          <t>D</t>
        </is>
      </c>
      <c r="AC36" s="107" t="n"/>
      <c r="AD36" s="107" t="n"/>
      <c r="AE36" s="107" t="n"/>
      <c r="AF36" s="107" t="n"/>
      <c r="AG36" s="117" t="inlineStr">
        <is>
          <t>T</t>
        </is>
      </c>
      <c r="AH36" s="115" t="inlineStr">
        <is>
          <t>D</t>
        </is>
      </c>
      <c r="AI36" s="116" t="inlineStr">
        <is>
          <t>N</t>
        </is>
      </c>
      <c r="AJ36" s="107" t="n"/>
      <c r="AK36" s="96" t="n"/>
      <c r="AL36" s="96" t="n"/>
      <c r="AM36" s="96" t="n"/>
      <c r="AN36" s="109">
        <f>IFERROR(INDEX(MAR!I$8:I$73,MATCH($A36,MAR!$A$8:$A$73,0))&amp;"","")</f>
        <v/>
      </c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ROUND(B36*4.0,0)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SUMPRODUCT(($C36:$I36="M")*6+($C36:$I36="T")*6+($C36:$I36="D")*12+($C36:$I36="N")*12+($C36:$I36="NT")*6+($C36:$I36="C")*10+($C36:$I36="A")*8+($C36:$I36="J")*5+($C36:$I36="E")*4+($C36:$I36="P")*6+($C36:$I36="R")*6)</f>
        <v/>
      </c>
      <c r="BF36" s="110">
        <f>SUMPRODUCT(($J36:$P36="M")*6+($J36:$P36="T")*6+($J36:$P36="D")*12+($J36:$P36="N")*12+($J36:$P36="NT")*6+($J36:$P36="C")*10+($J36:$P36="A")*8+($J36:$P36="J")*5+($J36:$P36="E")*4+($J36:$P36="P")*6+($J36:$P36="R")*6)</f>
        <v/>
      </c>
      <c r="BG36" s="110">
        <f>SUMPRODUCT(($Q36:$W36="M")*6+($Q36:$W36="T")*6+($Q36:$W36="D")*12+($Q36:$W36="N")*12+($Q36:$W36="NT")*6+($Q36:$W36="C")*10+($Q36:$W36="A")*8+($Q36:$W36="J")*5+($Q36:$W36="E")*4+($Q36:$W36="P")*6+($Q36:$W36="R")*6)</f>
        <v/>
      </c>
      <c r="BH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I36" s="110">
        <f>SUMPRODUCT(($AE36:$AJ36="M")*6+($AE36:$AJ36="T")*6+($AE36:$AJ36="D")*12+($AE36:$AJ36="N")*12+($AE36:$AJ36="NT")*6+($AE36:$AJ36="C")*10+($AE36:$AJ36="A")*8+($AE36:$AJ36="J")*5+($AE36:$AJ36="E")*4+($AE36:$AJ36="P")*6+($AE36:$AJ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123">
        <f>IFERROR(INDEX(JAN!AH$8:AH$73,MATCH($A37,JAN!$A$8:$A$73,0))&amp;"","")</f>
        <v/>
      </c>
      <c r="D37" s="123">
        <f>IFERROR(INDEX(JAN!AI$8:AI$73,MATCH($A37,JAN!$A$8:$A$73,0))&amp;"","")</f>
        <v/>
      </c>
      <c r="E37" s="123">
        <f>IFERROR(INDEX(JAN!AJ$8:AJ$73,MATCH($A37,JAN!$A$8:$A$73,0))&amp;"","")</f>
        <v/>
      </c>
      <c r="F37" s="123">
        <f>IFERROR(INDEX(JAN!AK$8:AK$73,MATCH($A37,JAN!$A$8:$A$73,0))&amp;"","")</f>
        <v/>
      </c>
      <c r="G37" s="123">
        <f>IFERROR(INDEX(JAN!AL$8:AL$73,MATCH($A37,JAN!$A$8:$A$73,0))&amp;"","")</f>
        <v/>
      </c>
      <c r="H37" s="109">
        <f>IFERROR(INDEX(JAN!AM$8:AM$73,MATCH($A37,JAN!$A$8:$A$73,0))&amp;"","")</f>
        <v/>
      </c>
      <c r="I37" s="107" t="n"/>
      <c r="J37" s="117" t="inlineStr">
        <is>
          <t>T</t>
        </is>
      </c>
      <c r="K37" s="115" t="inlineStr">
        <is>
          <t>D</t>
        </is>
      </c>
      <c r="L37" s="107" t="n"/>
      <c r="M37" s="107" t="n"/>
      <c r="N37" s="107" t="n"/>
      <c r="O37" s="107" t="n"/>
      <c r="P37" s="115" t="inlineStr">
        <is>
          <t>D</t>
        </is>
      </c>
      <c r="Q37" s="117" t="inlineStr">
        <is>
          <t>T</t>
        </is>
      </c>
      <c r="R37" s="108" t="inlineStr">
        <is>
          <t>M</t>
        </is>
      </c>
      <c r="S37" s="107" t="n"/>
      <c r="T37" s="115" t="inlineStr">
        <is>
          <t>D</t>
        </is>
      </c>
      <c r="U37" s="108" t="inlineStr">
        <is>
          <t>M</t>
        </is>
      </c>
      <c r="V37" s="107" t="n"/>
      <c r="W37" s="107" t="n"/>
      <c r="X37" s="107" t="n"/>
      <c r="Y37" s="107" t="n"/>
      <c r="Z37" s="116" t="inlineStr">
        <is>
          <t>N</t>
        </is>
      </c>
      <c r="AA37" s="107" t="n"/>
      <c r="AB37" s="108" t="inlineStr">
        <is>
          <t>M</t>
        </is>
      </c>
      <c r="AC37" s="116" t="inlineStr">
        <is>
          <t>N</t>
        </is>
      </c>
      <c r="AD37" s="117" t="inlineStr">
        <is>
          <t>T</t>
        </is>
      </c>
      <c r="AE37" s="107" t="n"/>
      <c r="AF37" s="107" t="n"/>
      <c r="AG37" s="116" t="inlineStr">
        <is>
          <t>N</t>
        </is>
      </c>
      <c r="AH37" s="107" t="n"/>
      <c r="AI37" s="108" t="inlineStr">
        <is>
          <t>M</t>
        </is>
      </c>
      <c r="AJ37" s="117" t="inlineStr">
        <is>
          <t>T</t>
        </is>
      </c>
      <c r="AK37" s="96" t="n"/>
      <c r="AL37" s="96" t="n"/>
      <c r="AM37" s="96" t="n"/>
      <c r="AN37" s="109">
        <f>IFERROR(INDEX(MAR!I$8:I$73,MATCH($A37,MAR!$A$8:$A$73,0))&amp;"","")</f>
        <v/>
      </c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ROUND(B37*4.0,0)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SUMPRODUCT(($C37:$I37="M")*6+($C37:$I37="T")*6+($C37:$I37="D")*12+($C37:$I37="N")*12+($C37:$I37="NT")*6+($C37:$I37="C")*10+($C37:$I37="A")*8+($C37:$I37="J")*5+($C37:$I37="E")*4+($C37:$I37="P")*6+($C37:$I37="R")*6)</f>
        <v/>
      </c>
      <c r="BF37" s="110">
        <f>SUMPRODUCT(($J37:$P37="M")*6+($J37:$P37="T")*6+($J37:$P37="D")*12+($J37:$P37="N")*12+($J37:$P37="NT")*6+($J37:$P37="C")*10+($J37:$P37="A")*8+($J37:$P37="J")*5+($J37:$P37="E")*4+($J37:$P37="P")*6+($J37:$P37="R")*6)</f>
        <v/>
      </c>
      <c r="BG37" s="110">
        <f>SUMPRODUCT(($Q37:$W37="M")*6+($Q37:$W37="T")*6+($Q37:$W37="D")*12+($Q37:$W37="N")*12+($Q37:$W37="NT")*6+($Q37:$W37="C")*10+($Q37:$W37="A")*8+($Q37:$W37="J")*5+($Q37:$W37="E")*4+($Q37:$W37="P")*6+($Q37:$W37="R")*6)</f>
        <v/>
      </c>
      <c r="BH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I37" s="110">
        <f>SUMPRODUCT(($AE37:$AJ37="M")*6+($AE37:$AJ37="T")*6+($AE37:$AJ37="D")*12+($AE37:$AJ37="N")*12+($AE37:$AJ37="NT")*6+($AE37:$AJ37="C")*10+($AE37:$AJ37="A")*8+($AE37:$AJ37="J")*5+($AE37:$AJ37="E")*4+($AE37:$AJ37="P")*6+($AE37:$AJ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123">
        <f>IFERROR(INDEX(JAN!AH$8:AH$73,MATCH($A38,JAN!$A$8:$A$73,0))&amp;"","")</f>
        <v/>
      </c>
      <c r="D38" s="123">
        <f>IFERROR(INDEX(JAN!AI$8:AI$73,MATCH($A38,JAN!$A$8:$A$73,0))&amp;"","")</f>
        <v/>
      </c>
      <c r="E38" s="123">
        <f>IFERROR(INDEX(JAN!AJ$8:AJ$73,MATCH($A38,JAN!$A$8:$A$73,0))&amp;"","")</f>
        <v/>
      </c>
      <c r="F38" s="123">
        <f>IFERROR(INDEX(JAN!AK$8:AK$73,MATCH($A38,JAN!$A$8:$A$73,0))&amp;"","")</f>
        <v/>
      </c>
      <c r="G38" s="123">
        <f>IFERROR(INDEX(JAN!AL$8:AL$73,MATCH($A38,JAN!$A$8:$A$73,0))&amp;"","")</f>
        <v/>
      </c>
      <c r="H38" s="109">
        <f>IFERROR(INDEX(JAN!AM$8:AM$73,MATCH($A38,JAN!$A$8:$A$73,0))&amp;"","")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96" t="n"/>
      <c r="AL38" s="96" t="n"/>
      <c r="AM38" s="96" t="n"/>
      <c r="AN38" s="109">
        <f>IFERROR(INDEX(MAR!I$8:I$73,MATCH($A38,MAR!$A$8:$A$73,0))&amp;"","")</f>
        <v/>
      </c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ROUND(B38*4.0,0)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SUMPRODUCT(($C38:$I38="M")*6+($C38:$I38="T")*6+($C38:$I38="D")*12+($C38:$I38="N")*12+($C38:$I38="NT")*6+($C38:$I38="C")*10+($C38:$I38="A")*8+($C38:$I38="J")*5+($C38:$I38="E")*4+($C38:$I38="P")*6+($C38:$I38="R")*6)</f>
        <v/>
      </c>
      <c r="BF38" s="110">
        <f>SUMPRODUCT(($J38:$P38="M")*6+($J38:$P38="T")*6+($J38:$P38="D")*12+($J38:$P38="N")*12+($J38:$P38="NT")*6+($J38:$P38="C")*10+($J38:$P38="A")*8+($J38:$P38="J")*5+($J38:$P38="E")*4+($J38:$P38="P")*6+($J38:$P38="R")*6)</f>
        <v/>
      </c>
      <c r="BG38" s="110">
        <f>SUMPRODUCT(($Q38:$W38="M")*6+($Q38:$W38="T")*6+($Q38:$W38="D")*12+($Q38:$W38="N")*12+($Q38:$W38="NT")*6+($Q38:$W38="C")*10+($Q38:$W38="A")*8+($Q38:$W38="J")*5+($Q38:$W38="E")*4+($Q38:$W38="P")*6+($Q38:$W38="R")*6)</f>
        <v/>
      </c>
      <c r="BH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I38" s="110">
        <f>SUMPRODUCT(($AE38:$AJ38="M")*6+($AE38:$AJ38="T")*6+($AE38:$AJ38="D")*12+($AE38:$AJ38="N")*12+($AE38:$AJ38="NT")*6+($AE38:$AJ38="C")*10+($AE38:$AJ38="A")*8+($AE38:$AJ38="J")*5+($AE38:$AJ38="E")*4+($AE38:$AJ38="P")*6+($AE38:$AJ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123">
        <f>IFERROR(INDEX(JAN!AH$8:AH$73,MATCH($A39,JAN!$A$8:$A$73,0))&amp;"","")</f>
        <v/>
      </c>
      <c r="D39" s="123">
        <f>IFERROR(INDEX(JAN!AI$8:AI$73,MATCH($A39,JAN!$A$8:$A$73,0))&amp;"","")</f>
        <v/>
      </c>
      <c r="E39" s="123">
        <f>IFERROR(INDEX(JAN!AJ$8:AJ$73,MATCH($A39,JAN!$A$8:$A$73,0))&amp;"","")</f>
        <v/>
      </c>
      <c r="F39" s="123">
        <f>IFERROR(INDEX(JAN!AK$8:AK$73,MATCH($A39,JAN!$A$8:$A$73,0))&amp;"","")</f>
        <v/>
      </c>
      <c r="G39" s="123">
        <f>IFERROR(INDEX(JAN!AL$8:AL$73,MATCH($A39,JAN!$A$8:$A$73,0))&amp;"","")</f>
        <v/>
      </c>
      <c r="H39" s="109">
        <f>IFERROR(INDEX(JAN!AM$8:AM$73,MATCH($A39,JAN!$A$8:$A$73,0))&amp;"","")</f>
        <v/>
      </c>
      <c r="I39" s="107" t="n"/>
      <c r="J39" s="117" t="inlineStr">
        <is>
          <t>T</t>
        </is>
      </c>
      <c r="K39" s="107" t="n"/>
      <c r="L39" s="107" t="n"/>
      <c r="M39" s="107" t="n"/>
      <c r="N39" s="116" t="inlineStr">
        <is>
          <t>N</t>
        </is>
      </c>
      <c r="O39" s="107" t="n"/>
      <c r="P39" s="117" t="inlineStr">
        <is>
          <t>T</t>
        </is>
      </c>
      <c r="Q39" s="107" t="n"/>
      <c r="R39" s="107" t="n"/>
      <c r="S39" s="108" t="inlineStr">
        <is>
          <t>M</t>
        </is>
      </c>
      <c r="T39" s="107" t="n"/>
      <c r="U39" s="108" t="inlineStr">
        <is>
          <t>M</t>
        </is>
      </c>
      <c r="V39" s="116" t="inlineStr">
        <is>
          <t>N</t>
        </is>
      </c>
      <c r="W39" s="107" t="n"/>
      <c r="X39" s="115" t="inlineStr">
        <is>
          <t>D</t>
        </is>
      </c>
      <c r="Y39" s="108" t="inlineStr">
        <is>
          <t>M</t>
        </is>
      </c>
      <c r="Z39" s="107" t="n"/>
      <c r="AA39" s="107" t="n"/>
      <c r="AB39" s="107" t="n"/>
      <c r="AC39" s="107" t="n"/>
      <c r="AD39" s="117" t="inlineStr">
        <is>
          <t>T</t>
        </is>
      </c>
      <c r="AE39" s="116" t="inlineStr">
        <is>
          <t>N</t>
        </is>
      </c>
      <c r="AF39" s="107" t="n"/>
      <c r="AG39" s="107" t="n"/>
      <c r="AH39" s="107" t="n"/>
      <c r="AI39" s="117" t="inlineStr">
        <is>
          <t>T</t>
        </is>
      </c>
      <c r="AJ39" s="107" t="n"/>
      <c r="AK39" s="96" t="n"/>
      <c r="AL39" s="96" t="n"/>
      <c r="AM39" s="96" t="n"/>
      <c r="AN39" s="109">
        <f>IFERROR(INDEX(MAR!I$8:I$73,MATCH($A39,MAR!$A$8:$A$73,0))&amp;"","")</f>
        <v/>
      </c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ROUND(B39*4.0,0)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SUMPRODUCT(($C39:$I39="M")*6+($C39:$I39="T")*6+($C39:$I39="D")*12+($C39:$I39="N")*12+($C39:$I39="NT")*6+($C39:$I39="C")*10+($C39:$I39="A")*8+($C39:$I39="J")*5+($C39:$I39="E")*4+($C39:$I39="P")*6+($C39:$I39="R")*6)</f>
        <v/>
      </c>
      <c r="BF39" s="110">
        <f>SUMPRODUCT(($J39:$P39="M")*6+($J39:$P39="T")*6+($J39:$P39="D")*12+($J39:$P39="N")*12+($J39:$P39="NT")*6+($J39:$P39="C")*10+($J39:$P39="A")*8+($J39:$P39="J")*5+($J39:$P39="E")*4+($J39:$P39="P")*6+($J39:$P39="R")*6)</f>
        <v/>
      </c>
      <c r="BG39" s="110">
        <f>SUMPRODUCT(($Q39:$W39="M")*6+($Q39:$W39="T")*6+($Q39:$W39="D")*12+($Q39:$W39="N")*12+($Q39:$W39="NT")*6+($Q39:$W39="C")*10+($Q39:$W39="A")*8+($Q39:$W39="J")*5+($Q39:$W39="E")*4+($Q39:$W39="P")*6+($Q39:$W39="R")*6)</f>
        <v/>
      </c>
      <c r="BH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I39" s="110">
        <f>SUMPRODUCT(($AE39:$AJ39="M")*6+($AE39:$AJ39="T")*6+($AE39:$AJ39="D")*12+($AE39:$AJ39="N")*12+($AE39:$AJ39="NT")*6+($AE39:$AJ39="C")*10+($AE39:$AJ39="A")*8+($AE39:$AJ39="J")*5+($AE39:$AJ39="E")*4+($AE39:$AJ39="P")*6+($AE39:$AJ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123">
        <f>IFERROR(INDEX(JAN!AH$8:AH$73,MATCH($A40,JAN!$A$8:$A$73,0))&amp;"","")</f>
        <v/>
      </c>
      <c r="D40" s="123">
        <f>IFERROR(INDEX(JAN!AI$8:AI$73,MATCH($A40,JAN!$A$8:$A$73,0))&amp;"","")</f>
        <v/>
      </c>
      <c r="E40" s="123">
        <f>IFERROR(INDEX(JAN!AJ$8:AJ$73,MATCH($A40,JAN!$A$8:$A$73,0))&amp;"","")</f>
        <v/>
      </c>
      <c r="F40" s="123">
        <f>IFERROR(INDEX(JAN!AK$8:AK$73,MATCH($A40,JAN!$A$8:$A$73,0))&amp;"","")</f>
        <v/>
      </c>
      <c r="G40" s="123">
        <f>IFERROR(INDEX(JAN!AL$8:AL$73,MATCH($A40,JAN!$A$8:$A$73,0))&amp;"","")</f>
        <v/>
      </c>
      <c r="H40" s="109">
        <f>IFERROR(INDEX(JAN!AM$8:AM$73,MATCH($A40,JAN!$A$8:$A$73,0))&amp;"","")</f>
        <v/>
      </c>
      <c r="I40" s="107" t="n"/>
      <c r="J40" s="108" t="inlineStr">
        <is>
          <t>M</t>
        </is>
      </c>
      <c r="K40" s="108" t="inlineStr">
        <is>
          <t>M</t>
        </is>
      </c>
      <c r="L40" s="108" t="inlineStr">
        <is>
          <t>M</t>
        </is>
      </c>
      <c r="M40" s="117" t="inlineStr">
        <is>
          <t>T</t>
        </is>
      </c>
      <c r="N40" s="115" t="inlineStr">
        <is>
          <t>D</t>
        </is>
      </c>
      <c r="O40" s="107" t="n"/>
      <c r="P40" s="107" t="n"/>
      <c r="Q40" s="108" t="inlineStr">
        <is>
          <t>M</t>
        </is>
      </c>
      <c r="R40" s="108" t="inlineStr">
        <is>
          <t>M</t>
        </is>
      </c>
      <c r="S40" s="108" t="inlineStr">
        <is>
          <t>M</t>
        </is>
      </c>
      <c r="T40" s="117" t="inlineStr">
        <is>
          <t>T</t>
        </is>
      </c>
      <c r="U40" s="108" t="inlineStr">
        <is>
          <t>M</t>
        </is>
      </c>
      <c r="V40" s="108" t="inlineStr">
        <is>
          <t>M</t>
        </is>
      </c>
      <c r="W40" s="107" t="n"/>
      <c r="X40" s="108" t="inlineStr">
        <is>
          <t>M</t>
        </is>
      </c>
      <c r="Y40" s="108" t="inlineStr">
        <is>
          <t>M</t>
        </is>
      </c>
      <c r="Z40" s="108" t="inlineStr">
        <is>
          <t>M</t>
        </is>
      </c>
      <c r="AA40" s="117" t="inlineStr">
        <is>
          <t>T</t>
        </is>
      </c>
      <c r="AB40" s="115" t="inlineStr">
        <is>
          <t>D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7" t="n"/>
      <c r="AG40" s="107" t="n"/>
      <c r="AH40" s="117" t="inlineStr">
        <is>
          <t>T</t>
        </is>
      </c>
      <c r="AI40" s="115" t="inlineStr">
        <is>
          <t>D</t>
        </is>
      </c>
      <c r="AJ40" s="108" t="inlineStr">
        <is>
          <t>M</t>
        </is>
      </c>
      <c r="AK40" s="96" t="n"/>
      <c r="AL40" s="96" t="n"/>
      <c r="AM40" s="96" t="n"/>
      <c r="AN40" s="109">
        <f>IFERROR(INDEX(MAR!I$8:I$73,MATCH($A40,MAR!$A$8:$A$73,0))&amp;"","")</f>
        <v/>
      </c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ROUND(B40*4.0,0)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SUMPRODUCT(($C40:$I40="M")*6+($C40:$I40="T")*6+($C40:$I40="D")*12+($C40:$I40="N")*12+($C40:$I40="NT")*6+($C40:$I40="C")*10+($C40:$I40="A")*8+($C40:$I40="J")*5+($C40:$I40="E")*4+($C40:$I40="P")*6+($C40:$I40="R")*6)</f>
        <v/>
      </c>
      <c r="BF40" s="110">
        <f>SUMPRODUCT(($J40:$P40="M")*6+($J40:$P40="T")*6+($J40:$P40="D")*12+($J40:$P40="N")*12+($J40:$P40="NT")*6+($J40:$P40="C")*10+($J40:$P40="A")*8+($J40:$P40="J")*5+($J40:$P40="E")*4+($J40:$P40="P")*6+($J40:$P40="R")*6)</f>
        <v/>
      </c>
      <c r="BG40" s="110">
        <f>SUMPRODUCT(($Q40:$W40="M")*6+($Q40:$W40="T")*6+($Q40:$W40="D")*12+($Q40:$W40="N")*12+($Q40:$W40="NT")*6+($Q40:$W40="C")*10+($Q40:$W40="A")*8+($Q40:$W40="J")*5+($Q40:$W40="E")*4+($Q40:$W40="P")*6+($Q40:$W40="R")*6)</f>
        <v/>
      </c>
      <c r="BH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I40" s="110">
        <f>SUMPRODUCT(($AE40:$AJ40="M")*6+($AE40:$AJ40="T")*6+($AE40:$AJ40="D")*12+($AE40:$AJ40="N")*12+($AE40:$AJ40="NT")*6+($AE40:$AJ40="C")*10+($AE40:$AJ40="A")*8+($AE40:$AJ40="J")*5+($AE40:$AJ40="E")*4+($AE40:$AJ40="P")*6+($AE40:$AJ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123">
        <f>IFERROR(INDEX(JAN!AH$8:AH$73,MATCH($A41,JAN!$A$8:$A$73,0))&amp;"","")</f>
        <v/>
      </c>
      <c r="D41" s="123">
        <f>IFERROR(INDEX(JAN!AI$8:AI$73,MATCH($A41,JAN!$A$8:$A$73,0))&amp;"","")</f>
        <v/>
      </c>
      <c r="E41" s="123">
        <f>IFERROR(INDEX(JAN!AJ$8:AJ$73,MATCH($A41,JAN!$A$8:$A$73,0))&amp;"","")</f>
        <v/>
      </c>
      <c r="F41" s="123">
        <f>IFERROR(INDEX(JAN!AK$8:AK$73,MATCH($A41,JAN!$A$8:$A$73,0))&amp;"","")</f>
        <v/>
      </c>
      <c r="G41" s="123">
        <f>IFERROR(INDEX(JAN!AL$8:AL$73,MATCH($A41,JAN!$A$8:$A$73,0))&amp;"","")</f>
        <v/>
      </c>
      <c r="H41" s="109">
        <f>IFERROR(INDEX(JAN!AM$8:AM$73,MATCH($A41,JAN!$A$8:$A$73,0))&amp;"","")</f>
        <v/>
      </c>
      <c r="I41" s="115" t="inlineStr">
        <is>
          <t>D</t>
        </is>
      </c>
      <c r="J41" s="115" t="inlineStr">
        <is>
          <t>D</t>
        </is>
      </c>
      <c r="K41" s="115" t="inlineStr">
        <is>
          <t>D</t>
        </is>
      </c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8" t="inlineStr">
        <is>
          <t>M</t>
        </is>
      </c>
      <c r="U41" s="117" t="inlineStr">
        <is>
          <t>T</t>
        </is>
      </c>
      <c r="V41" s="107" t="n"/>
      <c r="W41" s="115" t="inlineStr">
        <is>
          <t>D</t>
        </is>
      </c>
      <c r="X41" s="115" t="inlineStr">
        <is>
          <t>D</t>
        </is>
      </c>
      <c r="Y41" s="107" t="n"/>
      <c r="Z41" s="107" t="n"/>
      <c r="AA41" s="107" t="n"/>
      <c r="AB41" s="116" t="inlineStr">
        <is>
          <t>N</t>
        </is>
      </c>
      <c r="AC41" s="107" t="n"/>
      <c r="AD41" s="107" t="n"/>
      <c r="AE41" s="107" t="n"/>
      <c r="AF41" s="107" t="n"/>
      <c r="AG41" s="107" t="n"/>
      <c r="AH41" s="107" t="n"/>
      <c r="AI41" s="115" t="inlineStr">
        <is>
          <t>D</t>
        </is>
      </c>
      <c r="AJ41" s="107" t="n"/>
      <c r="AK41" s="96" t="n"/>
      <c r="AL41" s="96" t="n"/>
      <c r="AM41" s="96" t="n"/>
      <c r="AN41" s="109">
        <f>IFERROR(INDEX(MAR!I$8:I$73,MATCH($A41,MAR!$A$8:$A$73,0))&amp;"","")</f>
        <v/>
      </c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ROUND(B41*4.0,0)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SUMPRODUCT(($C41:$I41="M")*6+($C41:$I41="T")*6+($C41:$I41="D")*12+($C41:$I41="N")*12+($C41:$I41="NT")*6+($C41:$I41="C")*10+($C41:$I41="A")*8+($C41:$I41="J")*5+($C41:$I41="E")*4+($C41:$I41="P")*6+($C41:$I41="R")*6)</f>
        <v/>
      </c>
      <c r="BF41" s="110">
        <f>SUMPRODUCT(($J41:$P41="M")*6+($J41:$P41="T")*6+($J41:$P41="D")*12+($J41:$P41="N")*12+($J41:$P41="NT")*6+($J41:$P41="C")*10+($J41:$P41="A")*8+($J41:$P41="J")*5+($J41:$P41="E")*4+($J41:$P41="P")*6+($J41:$P41="R")*6)</f>
        <v/>
      </c>
      <c r="BG41" s="110">
        <f>SUMPRODUCT(($Q41:$W41="M")*6+($Q41:$W41="T")*6+($Q41:$W41="D")*12+($Q41:$W41="N")*12+($Q41:$W41="NT")*6+($Q41:$W41="C")*10+($Q41:$W41="A")*8+($Q41:$W41="J")*5+($Q41:$W41="E")*4+($Q41:$W41="P")*6+($Q41:$W41="R")*6)</f>
        <v/>
      </c>
      <c r="BH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I41" s="110">
        <f>SUMPRODUCT(($AE41:$AJ41="M")*6+($AE41:$AJ41="T")*6+($AE41:$AJ41="D")*12+($AE41:$AJ41="N")*12+($AE41:$AJ41="NT")*6+($AE41:$AJ41="C")*10+($AE41:$AJ41="A")*8+($AE41:$AJ41="J")*5+($AE41:$AJ41="E")*4+($AE41:$AJ41="P")*6+($AE41:$AJ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123">
        <f>IFERROR(INDEX(JAN!AH$8:AH$73,MATCH($A42,JAN!$A$8:$A$73,0))&amp;"","")</f>
        <v/>
      </c>
      <c r="D42" s="123">
        <f>IFERROR(INDEX(JAN!AI$8:AI$73,MATCH($A42,JAN!$A$8:$A$73,0))&amp;"","")</f>
        <v/>
      </c>
      <c r="E42" s="123">
        <f>IFERROR(INDEX(JAN!AJ$8:AJ$73,MATCH($A42,JAN!$A$8:$A$73,0))&amp;"","")</f>
        <v/>
      </c>
      <c r="F42" s="123">
        <f>IFERROR(INDEX(JAN!AK$8:AK$73,MATCH($A42,JAN!$A$8:$A$73,0))&amp;"","")</f>
        <v/>
      </c>
      <c r="G42" s="123">
        <f>IFERROR(INDEX(JAN!AL$8:AL$73,MATCH($A42,JAN!$A$8:$A$73,0))&amp;"","")</f>
        <v/>
      </c>
      <c r="H42" s="109">
        <f>IFERROR(INDEX(JAN!AM$8:AM$73,MATCH($A42,JAN!$A$8:$A$73,0))&amp;"","")</f>
        <v/>
      </c>
      <c r="I42" s="107" t="n"/>
      <c r="J42" s="107" t="n"/>
      <c r="K42" s="107" t="n"/>
      <c r="L42" s="107" t="n"/>
      <c r="M42" s="107" t="n"/>
      <c r="N42" s="117" t="inlineStr">
        <is>
          <t>T</t>
        </is>
      </c>
      <c r="O42" s="115" t="inlineStr">
        <is>
          <t>D</t>
        </is>
      </c>
      <c r="P42" s="107" t="n"/>
      <c r="Q42" s="107" t="n"/>
      <c r="R42" s="107" t="n"/>
      <c r="S42" s="115" t="inlineStr">
        <is>
          <t>D</t>
        </is>
      </c>
      <c r="T42" s="115" t="inlineStr">
        <is>
          <t>D</t>
        </is>
      </c>
      <c r="U42" s="107" t="n"/>
      <c r="V42" s="107" t="n"/>
      <c r="W42" s="107" t="n"/>
      <c r="X42" s="115" t="inlineStr">
        <is>
          <t>D</t>
        </is>
      </c>
      <c r="Y42" s="107" t="n"/>
      <c r="Z42" s="107" t="n"/>
      <c r="AA42" s="107" t="n"/>
      <c r="AB42" s="116" t="inlineStr">
        <is>
          <t>N</t>
        </is>
      </c>
      <c r="AC42" s="107" t="n"/>
      <c r="AD42" s="107" t="n"/>
      <c r="AE42" s="107" t="n"/>
      <c r="AF42" s="116" t="inlineStr">
        <is>
          <t>N</t>
        </is>
      </c>
      <c r="AG42" s="107" t="n"/>
      <c r="AH42" s="107" t="n"/>
      <c r="AI42" s="116" t="inlineStr">
        <is>
          <t>N</t>
        </is>
      </c>
      <c r="AJ42" s="107" t="n"/>
      <c r="AK42" s="96" t="n"/>
      <c r="AL42" s="96" t="n"/>
      <c r="AM42" s="96" t="n"/>
      <c r="AN42" s="109">
        <f>IFERROR(INDEX(MAR!I$8:I$73,MATCH($A42,MAR!$A$8:$A$73,0))&amp;"","")</f>
        <v/>
      </c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ROUND(B42*4.0,0)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SUMPRODUCT(($C42:$I42="M")*6+($C42:$I42="T")*6+($C42:$I42="D")*12+($C42:$I42="N")*12+($C42:$I42="NT")*6+($C42:$I42="C")*10+($C42:$I42="A")*8+($C42:$I42="J")*5+($C42:$I42="E")*4+($C42:$I42="P")*6+($C42:$I42="R")*6)</f>
        <v/>
      </c>
      <c r="BF42" s="110">
        <f>SUMPRODUCT(($J42:$P42="M")*6+($J42:$P42="T")*6+($J42:$P42="D")*12+($J42:$P42="N")*12+($J42:$P42="NT")*6+($J42:$P42="C")*10+($J42:$P42="A")*8+($J42:$P42="J")*5+($J42:$P42="E")*4+($J42:$P42="P")*6+($J42:$P42="R")*6)</f>
        <v/>
      </c>
      <c r="BG42" s="110">
        <f>SUMPRODUCT(($Q42:$W42="M")*6+($Q42:$W42="T")*6+($Q42:$W42="D")*12+($Q42:$W42="N")*12+($Q42:$W42="NT")*6+($Q42:$W42="C")*10+($Q42:$W42="A")*8+($Q42:$W42="J")*5+($Q42:$W42="E")*4+($Q42:$W42="P")*6+($Q42:$W42="R")*6)</f>
        <v/>
      </c>
      <c r="BH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I42" s="110">
        <f>SUMPRODUCT(($AE42:$AJ42="M")*6+($AE42:$AJ42="T")*6+($AE42:$AJ42="D")*12+($AE42:$AJ42="N")*12+($AE42:$AJ42="NT")*6+($AE42:$AJ42="C")*10+($AE42:$AJ42="A")*8+($AE42:$AJ42="J")*5+($AE42:$AJ42="E")*4+($AE42:$AJ42="P")*6+($AE42:$AJ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123">
        <f>IFERROR(INDEX(JAN!AH$8:AH$73,MATCH($A43,JAN!$A$8:$A$73,0))&amp;"","")</f>
        <v/>
      </c>
      <c r="D43" s="123">
        <f>IFERROR(INDEX(JAN!AI$8:AI$73,MATCH($A43,JAN!$A$8:$A$73,0))&amp;"","")</f>
        <v/>
      </c>
      <c r="E43" s="123">
        <f>IFERROR(INDEX(JAN!AJ$8:AJ$73,MATCH($A43,JAN!$A$8:$A$73,0))&amp;"","")</f>
        <v/>
      </c>
      <c r="F43" s="123">
        <f>IFERROR(INDEX(JAN!AK$8:AK$73,MATCH($A43,JAN!$A$8:$A$73,0))&amp;"","")</f>
        <v/>
      </c>
      <c r="G43" s="123">
        <f>IFERROR(INDEX(JAN!AL$8:AL$73,MATCH($A43,JAN!$A$8:$A$73,0))&amp;"","")</f>
        <v/>
      </c>
      <c r="H43" s="109">
        <f>IFERROR(INDEX(JAN!AM$8:AM$73,MATCH($A43,JAN!$A$8:$A$73,0))&amp;"","")</f>
        <v/>
      </c>
      <c r="I43" s="116" t="inlineStr">
        <is>
          <t>N</t>
        </is>
      </c>
      <c r="J43" s="107" t="n"/>
      <c r="K43" s="116" t="inlineStr">
        <is>
          <t>N</t>
        </is>
      </c>
      <c r="L43" s="107" t="n"/>
      <c r="M43" s="107" t="n"/>
      <c r="N43" s="116" t="inlineStr">
        <is>
          <t>N</t>
        </is>
      </c>
      <c r="O43" s="107" t="n"/>
      <c r="P43" s="107" t="n"/>
      <c r="Q43" s="107" t="n"/>
      <c r="R43" s="116" t="inlineStr">
        <is>
          <t>N</t>
        </is>
      </c>
      <c r="S43" s="107" t="n"/>
      <c r="T43" s="107" t="n"/>
      <c r="U43" s="107" t="n"/>
      <c r="V43" s="116" t="inlineStr">
        <is>
          <t>N</t>
        </is>
      </c>
      <c r="W43" s="107" t="n"/>
      <c r="X43" s="116" t="inlineStr">
        <is>
          <t>N</t>
        </is>
      </c>
      <c r="Y43" s="116" t="inlineStr">
        <is>
          <t>N</t>
        </is>
      </c>
      <c r="Z43" s="107" t="n"/>
      <c r="AA43" s="107" t="n"/>
      <c r="AB43" s="107" t="n"/>
      <c r="AC43" s="107" t="n"/>
      <c r="AD43" s="107" t="n"/>
      <c r="AE43" s="116" t="inlineStr">
        <is>
          <t>N</t>
        </is>
      </c>
      <c r="AF43" s="116" t="inlineStr">
        <is>
          <t>N</t>
        </is>
      </c>
      <c r="AG43" s="107" t="n"/>
      <c r="AH43" s="107" t="n"/>
      <c r="AI43" s="107" t="n"/>
      <c r="AJ43" s="107" t="n"/>
      <c r="AK43" s="96" t="n"/>
      <c r="AL43" s="96" t="n"/>
      <c r="AM43" s="96" t="n"/>
      <c r="AN43" s="109">
        <f>IFERROR(INDEX(MAR!I$8:I$73,MATCH($A43,MAR!$A$8:$A$73,0))&amp;"","")</f>
        <v/>
      </c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ROUND(B43*4.0,0)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SUMPRODUCT(($C43:$I43="M")*6+($C43:$I43="T")*6+($C43:$I43="D")*12+($C43:$I43="N")*12+($C43:$I43="NT")*6+($C43:$I43="C")*10+($C43:$I43="A")*8+($C43:$I43="J")*5+($C43:$I43="E")*4+($C43:$I43="P")*6+($C43:$I43="R")*6)</f>
        <v/>
      </c>
      <c r="BF43" s="110">
        <f>SUMPRODUCT(($J43:$P43="M")*6+($J43:$P43="T")*6+($J43:$P43="D")*12+($J43:$P43="N")*12+($J43:$P43="NT")*6+($J43:$P43="C")*10+($J43:$P43="A")*8+($J43:$P43="J")*5+($J43:$P43="E")*4+($J43:$P43="P")*6+($J43:$P43="R")*6)</f>
        <v/>
      </c>
      <c r="BG43" s="110">
        <f>SUMPRODUCT(($Q43:$W43="M")*6+($Q43:$W43="T")*6+($Q43:$W43="D")*12+($Q43:$W43="N")*12+($Q43:$W43="NT")*6+($Q43:$W43="C")*10+($Q43:$W43="A")*8+($Q43:$W43="J")*5+($Q43:$W43="E")*4+($Q43:$W43="P")*6+($Q43:$W43="R")*6)</f>
        <v/>
      </c>
      <c r="BH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I43" s="110">
        <f>SUMPRODUCT(($AE43:$AJ43="M")*6+($AE43:$AJ43="T")*6+($AE43:$AJ43="D")*12+($AE43:$AJ43="N")*12+($AE43:$AJ43="NT")*6+($AE43:$AJ43="C")*10+($AE43:$AJ43="A")*8+($AE43:$AJ43="J")*5+($AE43:$AJ43="E")*4+($AE43:$AJ43="P")*6+($AE43:$AJ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123">
        <f>IFERROR(INDEX(JAN!AH$8:AH$73,MATCH($A44,JAN!$A$8:$A$73,0))&amp;"","")</f>
        <v/>
      </c>
      <c r="D44" s="123">
        <f>IFERROR(INDEX(JAN!AI$8:AI$73,MATCH($A44,JAN!$A$8:$A$73,0))&amp;"","")</f>
        <v/>
      </c>
      <c r="E44" s="123">
        <f>IFERROR(INDEX(JAN!AJ$8:AJ$73,MATCH($A44,JAN!$A$8:$A$73,0))&amp;"","")</f>
        <v/>
      </c>
      <c r="F44" s="123">
        <f>IFERROR(INDEX(JAN!AK$8:AK$73,MATCH($A44,JAN!$A$8:$A$73,0))&amp;"","")</f>
        <v/>
      </c>
      <c r="G44" s="123">
        <f>IFERROR(INDEX(JAN!AL$8:AL$73,MATCH($A44,JAN!$A$8:$A$73,0))&amp;"","")</f>
        <v/>
      </c>
      <c r="H44" s="109">
        <f>IFERROR(INDEX(JAN!AM$8:AM$73,MATCH($A44,JAN!$A$8:$A$73,0))&amp;"","")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96" t="n"/>
      <c r="AL44" s="96" t="n"/>
      <c r="AM44" s="96" t="n"/>
      <c r="AN44" s="109">
        <f>IFERROR(INDEX(MAR!I$8:I$73,MATCH($A44,MAR!$A$8:$A$73,0))&amp;"","")</f>
        <v/>
      </c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ROUND(B44*4.0,0)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SUMPRODUCT(($C44:$I44="M")*6+($C44:$I44="T")*6+($C44:$I44="D")*12+($C44:$I44="N")*12+($C44:$I44="NT")*6+($C44:$I44="C")*10+($C44:$I44="A")*8+($C44:$I44="J")*5+($C44:$I44="E")*4+($C44:$I44="P")*6+($C44:$I44="R")*6)</f>
        <v/>
      </c>
      <c r="BF44" s="110">
        <f>SUMPRODUCT(($J44:$P44="M")*6+($J44:$P44="T")*6+($J44:$P44="D")*12+($J44:$P44="N")*12+($J44:$P44="NT")*6+($J44:$P44="C")*10+($J44:$P44="A")*8+($J44:$P44="J")*5+($J44:$P44="E")*4+($J44:$P44="P")*6+($J44:$P44="R")*6)</f>
        <v/>
      </c>
      <c r="BG44" s="110">
        <f>SUMPRODUCT(($Q44:$W44="M")*6+($Q44:$W44="T")*6+($Q44:$W44="D")*12+($Q44:$W44="N")*12+($Q44:$W44="NT")*6+($Q44:$W44="C")*10+($Q44:$W44="A")*8+($Q44:$W44="J")*5+($Q44:$W44="E")*4+($Q44:$W44="P")*6+($Q44:$W44="R")*6)</f>
        <v/>
      </c>
      <c r="BH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I44" s="110">
        <f>SUMPRODUCT(($AE44:$AJ44="M")*6+($AE44:$AJ44="T")*6+($AE44:$AJ44="D")*12+($AE44:$AJ44="N")*12+($AE44:$AJ44="NT")*6+($AE44:$AJ44="C")*10+($AE44:$AJ44="A")*8+($AE44:$AJ44="J")*5+($AE44:$AJ44="E")*4+($AE44:$AJ44="P")*6+($AE44:$AJ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123">
        <f>IFERROR(INDEX(JAN!AH$8:AH$73,MATCH($A45,JAN!$A$8:$A$73,0))&amp;"","")</f>
        <v/>
      </c>
      <c r="D45" s="123">
        <f>IFERROR(INDEX(JAN!AI$8:AI$73,MATCH($A45,JAN!$A$8:$A$73,0))&amp;"","")</f>
        <v/>
      </c>
      <c r="E45" s="123">
        <f>IFERROR(INDEX(JAN!AJ$8:AJ$73,MATCH($A45,JAN!$A$8:$A$73,0))&amp;"","")</f>
        <v/>
      </c>
      <c r="F45" s="123">
        <f>IFERROR(INDEX(JAN!AK$8:AK$73,MATCH($A45,JAN!$A$8:$A$73,0))&amp;"","")</f>
        <v/>
      </c>
      <c r="G45" s="123">
        <f>IFERROR(INDEX(JAN!AL$8:AL$73,MATCH($A45,JAN!$A$8:$A$73,0))&amp;"","")</f>
        <v/>
      </c>
      <c r="H45" s="109">
        <f>IFERROR(INDEX(JAN!AM$8:AM$73,MATCH($A45,JAN!$A$8:$A$73,0))&amp;"","")</f>
        <v/>
      </c>
      <c r="I45" s="107" t="n"/>
      <c r="J45" s="107" t="n"/>
      <c r="K45" s="107" t="n"/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7" t="n"/>
      <c r="U45" s="108" t="inlineStr">
        <is>
          <t>M</t>
        </is>
      </c>
      <c r="V45" s="116" t="inlineStr">
        <is>
          <t>N</t>
        </is>
      </c>
      <c r="W45" s="107" t="n"/>
      <c r="X45" s="115" t="inlineStr">
        <is>
          <t>D</t>
        </is>
      </c>
      <c r="Y45" s="107" t="n"/>
      <c r="Z45" s="108" t="inlineStr">
        <is>
          <t>M</t>
        </is>
      </c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8" t="inlineStr">
        <is>
          <t>M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96" t="n"/>
      <c r="AL45" s="96" t="n"/>
      <c r="AM45" s="96" t="n"/>
      <c r="AN45" s="109">
        <f>IFERROR(INDEX(MAR!I$8:I$73,MATCH($A45,MAR!$A$8:$A$73,0))&amp;"","")</f>
        <v/>
      </c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ROUND(B45*4.0,0)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SUMPRODUCT(($C45:$I45="M")*6+($C45:$I45="T")*6+($C45:$I45="D")*12+($C45:$I45="N")*12+($C45:$I45="NT")*6+($C45:$I45="C")*10+($C45:$I45="A")*8+($C45:$I45="J")*5+($C45:$I45="E")*4+($C45:$I45="P")*6+($C45:$I45="R")*6)</f>
        <v/>
      </c>
      <c r="BF45" s="110">
        <f>SUMPRODUCT(($J45:$P45="M")*6+($J45:$P45="T")*6+($J45:$P45="D")*12+($J45:$P45="N")*12+($J45:$P45="NT")*6+($J45:$P45="C")*10+($J45:$P45="A")*8+($J45:$P45="J")*5+($J45:$P45="E")*4+($J45:$P45="P")*6+($J45:$P45="R")*6)</f>
        <v/>
      </c>
      <c r="BG45" s="110">
        <f>SUMPRODUCT(($Q45:$W45="M")*6+($Q45:$W45="T")*6+($Q45:$W45="D")*12+($Q45:$W45="N")*12+($Q45:$W45="NT")*6+($Q45:$W45="C")*10+($Q45:$W45="A")*8+($Q45:$W45="J")*5+($Q45:$W45="E")*4+($Q45:$W45="P")*6+($Q45:$W45="R")*6)</f>
        <v/>
      </c>
      <c r="BH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I45" s="110">
        <f>SUMPRODUCT(($AE45:$AJ45="M")*6+($AE45:$AJ45="T")*6+($AE45:$AJ45="D")*12+($AE45:$AJ45="N")*12+($AE45:$AJ45="NT")*6+($AE45:$AJ45="C")*10+($AE45:$AJ45="A")*8+($AE45:$AJ45="J")*5+($AE45:$AJ45="E")*4+($AE45:$AJ45="P")*6+($AE45:$AJ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123">
        <f>IFERROR(INDEX(JAN!AH$8:AH$73,MATCH($A46,JAN!$A$8:$A$73,0))&amp;"","")</f>
        <v/>
      </c>
      <c r="D46" s="123">
        <f>IFERROR(INDEX(JAN!AI$8:AI$73,MATCH($A46,JAN!$A$8:$A$73,0))&amp;"","")</f>
        <v/>
      </c>
      <c r="E46" s="123">
        <f>IFERROR(INDEX(JAN!AJ$8:AJ$73,MATCH($A46,JAN!$A$8:$A$73,0))&amp;"","")</f>
        <v/>
      </c>
      <c r="F46" s="123">
        <f>IFERROR(INDEX(JAN!AK$8:AK$73,MATCH($A46,JAN!$A$8:$A$73,0))&amp;"","")</f>
        <v/>
      </c>
      <c r="G46" s="123">
        <f>IFERROR(INDEX(JAN!AL$8:AL$73,MATCH($A46,JAN!$A$8:$A$73,0))&amp;"","")</f>
        <v/>
      </c>
      <c r="H46" s="109">
        <f>IFERROR(INDEX(JAN!AM$8:AM$73,MATCH($A46,JAN!$A$8:$A$73,0))&amp;"","")</f>
        <v/>
      </c>
      <c r="I46" s="107" t="n"/>
      <c r="J46" s="107" t="n"/>
      <c r="K46" s="115" t="inlineStr">
        <is>
          <t>D</t>
        </is>
      </c>
      <c r="L46" s="115" t="inlineStr">
        <is>
          <t>D</t>
        </is>
      </c>
      <c r="M46" s="107" t="n"/>
      <c r="N46" s="107" t="n"/>
      <c r="O46" s="107" t="n"/>
      <c r="P46" s="107" t="n"/>
      <c r="Q46" s="107" t="n"/>
      <c r="R46" s="115" t="inlineStr">
        <is>
          <t>D</t>
        </is>
      </c>
      <c r="S46" s="108" t="inlineStr">
        <is>
          <t>M</t>
        </is>
      </c>
      <c r="T46" s="107" t="n"/>
      <c r="U46" s="117" t="inlineStr">
        <is>
          <t>T</t>
        </is>
      </c>
      <c r="V46" s="107" t="n"/>
      <c r="W46" s="107" t="n"/>
      <c r="X46" s="107" t="n"/>
      <c r="Y46" s="115" t="inlineStr">
        <is>
          <t>D</t>
        </is>
      </c>
      <c r="Z46" s="107" t="n"/>
      <c r="AA46" s="107" t="n"/>
      <c r="AB46" s="107" t="n"/>
      <c r="AC46" s="107" t="n"/>
      <c r="AD46" s="116" t="inlineStr">
        <is>
          <t>N</t>
        </is>
      </c>
      <c r="AE46" s="107" t="n"/>
      <c r="AF46" s="117" t="inlineStr">
        <is>
          <t>T</t>
        </is>
      </c>
      <c r="AG46" s="115" t="inlineStr">
        <is>
          <t>D</t>
        </is>
      </c>
      <c r="AH46" s="107" t="n"/>
      <c r="AI46" s="107" t="n"/>
      <c r="AJ46" s="107" t="n"/>
      <c r="AK46" s="96" t="n"/>
      <c r="AL46" s="96" t="n"/>
      <c r="AM46" s="96" t="n"/>
      <c r="AN46" s="109">
        <f>IFERROR(INDEX(MAR!I$8:I$73,MATCH($A46,MAR!$A$8:$A$73,0))&amp;"","")</f>
        <v/>
      </c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ROUND(B46*4.0,0)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SUMPRODUCT(($C46:$I46="M")*6+($C46:$I46="T")*6+($C46:$I46="D")*12+($C46:$I46="N")*12+($C46:$I46="NT")*6+($C46:$I46="C")*10+($C46:$I46="A")*8+($C46:$I46="J")*5+($C46:$I46="E")*4+($C46:$I46="P")*6+($C46:$I46="R")*6)</f>
        <v/>
      </c>
      <c r="BF46" s="110">
        <f>SUMPRODUCT(($J46:$P46="M")*6+($J46:$P46="T")*6+($J46:$P46="D")*12+($J46:$P46="N")*12+($J46:$P46="NT")*6+($J46:$P46="C")*10+($J46:$P46="A")*8+($J46:$P46="J")*5+($J46:$P46="E")*4+($J46:$P46="P")*6+($J46:$P46="R")*6)</f>
        <v/>
      </c>
      <c r="BG46" s="110">
        <f>SUMPRODUCT(($Q46:$W46="M")*6+($Q46:$W46="T")*6+($Q46:$W46="D")*12+($Q46:$W46="N")*12+($Q46:$W46="NT")*6+($Q46:$W46="C")*10+($Q46:$W46="A")*8+($Q46:$W46="J")*5+($Q46:$W46="E")*4+($Q46:$W46="P")*6+($Q46:$W46="R")*6)</f>
        <v/>
      </c>
      <c r="BH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I46" s="110">
        <f>SUMPRODUCT(($AE46:$AJ46="M")*6+($AE46:$AJ46="T")*6+($AE46:$AJ46="D")*12+($AE46:$AJ46="N")*12+($AE46:$AJ46="NT")*6+($AE46:$AJ46="C")*10+($AE46:$AJ46="A")*8+($AE46:$AJ46="J")*5+($AE46:$AJ46="E")*4+($AE46:$AJ46="P")*6+($AE46:$AJ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123">
        <f>IFERROR(INDEX(JAN!AH$8:AH$73,MATCH($A47,JAN!$A$8:$A$73,0))&amp;"","")</f>
        <v/>
      </c>
      <c r="D47" s="123">
        <f>IFERROR(INDEX(JAN!AI$8:AI$73,MATCH($A47,JAN!$A$8:$A$73,0))&amp;"","")</f>
        <v/>
      </c>
      <c r="E47" s="123">
        <f>IFERROR(INDEX(JAN!AJ$8:AJ$73,MATCH($A47,JAN!$A$8:$A$73,0))&amp;"","")</f>
        <v/>
      </c>
      <c r="F47" s="123">
        <f>IFERROR(INDEX(JAN!AK$8:AK$73,MATCH($A47,JAN!$A$8:$A$73,0))&amp;"","")</f>
        <v/>
      </c>
      <c r="G47" s="123">
        <f>IFERROR(INDEX(JAN!AL$8:AL$73,MATCH($A47,JAN!$A$8:$A$73,0))&amp;"","")</f>
        <v/>
      </c>
      <c r="H47" s="109">
        <f>IFERROR(INDEX(JAN!AM$8:AM$73,MATCH($A47,JAN!$A$8:$A$73,0))&amp;"","")</f>
        <v/>
      </c>
      <c r="I47" s="107" t="n"/>
      <c r="J47" s="107" t="n"/>
      <c r="K47" s="117" t="inlineStr">
        <is>
          <t>T</t>
        </is>
      </c>
      <c r="L47" s="107" t="n"/>
      <c r="M47" s="117" t="inlineStr">
        <is>
          <t>T</t>
        </is>
      </c>
      <c r="N47" s="116" t="inlineStr">
        <is>
          <t>N</t>
        </is>
      </c>
      <c r="O47" s="107" t="n"/>
      <c r="P47" s="107" t="n"/>
      <c r="Q47" s="107" t="n"/>
      <c r="R47" s="107" t="n"/>
      <c r="S47" s="107" t="n"/>
      <c r="T47" s="107" t="n"/>
      <c r="U47" s="116" t="inlineStr">
        <is>
          <t>N</t>
        </is>
      </c>
      <c r="V47" s="107" t="n"/>
      <c r="W47" s="116" t="inlineStr">
        <is>
          <t>N</t>
        </is>
      </c>
      <c r="X47" s="107" t="n"/>
      <c r="Y47" s="117" t="inlineStr">
        <is>
          <t>T</t>
        </is>
      </c>
      <c r="Z47" s="117" t="inlineStr">
        <is>
          <t>T</t>
        </is>
      </c>
      <c r="AA47" s="107" t="n"/>
      <c r="AB47" s="117" t="inlineStr">
        <is>
          <t>T</t>
        </is>
      </c>
      <c r="AC47" s="107" t="n"/>
      <c r="AD47" s="117" t="inlineStr">
        <is>
          <t>T</t>
        </is>
      </c>
      <c r="AE47" s="107" t="n"/>
      <c r="AF47" s="107" t="n"/>
      <c r="AG47" s="117" t="inlineStr">
        <is>
          <t>T</t>
        </is>
      </c>
      <c r="AH47" s="107" t="n"/>
      <c r="AI47" s="117" t="inlineStr">
        <is>
          <t>T</t>
        </is>
      </c>
      <c r="AJ47" s="107" t="n"/>
      <c r="AK47" s="96" t="n"/>
      <c r="AL47" s="96" t="n"/>
      <c r="AM47" s="96" t="n"/>
      <c r="AN47" s="109">
        <f>IFERROR(INDEX(MAR!I$8:I$73,MATCH($A47,MAR!$A$8:$A$73,0))&amp;"","")</f>
        <v/>
      </c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ROUND(B47*4.0,0)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SUMPRODUCT(($C47:$I47="M")*6+($C47:$I47="T")*6+($C47:$I47="D")*12+($C47:$I47="N")*12+($C47:$I47="NT")*6+($C47:$I47="C")*10+($C47:$I47="A")*8+($C47:$I47="J")*5+($C47:$I47="E")*4+($C47:$I47="P")*6+($C47:$I47="R")*6)</f>
        <v/>
      </c>
      <c r="BF47" s="110">
        <f>SUMPRODUCT(($J47:$P47="M")*6+($J47:$P47="T")*6+($J47:$P47="D")*12+($J47:$P47="N")*12+($J47:$P47="NT")*6+($J47:$P47="C")*10+($J47:$P47="A")*8+($J47:$P47="J")*5+($J47:$P47="E")*4+($J47:$P47="P")*6+($J47:$P47="R")*6)</f>
        <v/>
      </c>
      <c r="BG47" s="110">
        <f>SUMPRODUCT(($Q47:$W47="M")*6+($Q47:$W47="T")*6+($Q47:$W47="D")*12+($Q47:$W47="N")*12+($Q47:$W47="NT")*6+($Q47:$W47="C")*10+($Q47:$W47="A")*8+($Q47:$W47="J")*5+($Q47:$W47="E")*4+($Q47:$W47="P")*6+($Q47:$W47="R")*6)</f>
        <v/>
      </c>
      <c r="BH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I47" s="110">
        <f>SUMPRODUCT(($AE47:$AJ47="M")*6+($AE47:$AJ47="T")*6+($AE47:$AJ47="D")*12+($AE47:$AJ47="N")*12+($AE47:$AJ47="NT")*6+($AE47:$AJ47="C")*10+($AE47:$AJ47="A")*8+($AE47:$AJ47="J")*5+($AE47:$AJ47="E")*4+($AE47:$AJ47="P")*6+($AE47:$AJ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123">
        <f>IFERROR(INDEX(JAN!AH$8:AH$73,MATCH($A48,JAN!$A$8:$A$73,0))&amp;"","")</f>
        <v/>
      </c>
      <c r="D48" s="123">
        <f>IFERROR(INDEX(JAN!AI$8:AI$73,MATCH($A48,JAN!$A$8:$A$73,0))&amp;"","")</f>
        <v/>
      </c>
      <c r="E48" s="123">
        <f>IFERROR(INDEX(JAN!AJ$8:AJ$73,MATCH($A48,JAN!$A$8:$A$73,0))&amp;"","")</f>
        <v/>
      </c>
      <c r="F48" s="123">
        <f>IFERROR(INDEX(JAN!AK$8:AK$73,MATCH($A48,JAN!$A$8:$A$73,0))&amp;"","")</f>
        <v/>
      </c>
      <c r="G48" s="123">
        <f>IFERROR(INDEX(JAN!AL$8:AL$73,MATCH($A48,JAN!$A$8:$A$73,0))&amp;"","")</f>
        <v/>
      </c>
      <c r="H48" s="109">
        <f>IFERROR(INDEX(JAN!AM$8:AM$73,MATCH($A48,JAN!$A$8:$A$73,0))&amp;"","")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96" t="n"/>
      <c r="AL48" s="96" t="n"/>
      <c r="AM48" s="96" t="n"/>
      <c r="AN48" s="109">
        <f>IFERROR(INDEX(MAR!I$8:I$73,MATCH($A48,MAR!$A$8:$A$73,0))&amp;"","")</f>
        <v/>
      </c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ROUND(B48*4.0,0)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SUMPRODUCT(($C48:$I48="M")*6+($C48:$I48="T")*6+($C48:$I48="D")*12+($C48:$I48="N")*12+($C48:$I48="NT")*6+($C48:$I48="C")*10+($C48:$I48="A")*8+($C48:$I48="J")*5+($C48:$I48="E")*4+($C48:$I48="P")*6+($C48:$I48="R")*6)</f>
        <v/>
      </c>
      <c r="BF48" s="110">
        <f>SUMPRODUCT(($J48:$P48="M")*6+($J48:$P48="T")*6+($J48:$P48="D")*12+($J48:$P48="N")*12+($J48:$P48="NT")*6+($J48:$P48="C")*10+($J48:$P48="A")*8+($J48:$P48="J")*5+($J48:$P48="E")*4+($J48:$P48="P")*6+($J48:$P48="R")*6)</f>
        <v/>
      </c>
      <c r="BG48" s="110">
        <f>SUMPRODUCT(($Q48:$W48="M")*6+($Q48:$W48="T")*6+($Q48:$W48="D")*12+($Q48:$W48="N")*12+($Q48:$W48="NT")*6+($Q48:$W48="C")*10+($Q48:$W48="A")*8+($Q48:$W48="J")*5+($Q48:$W48="E")*4+($Q48:$W48="P")*6+($Q48:$W48="R")*6)</f>
        <v/>
      </c>
      <c r="BH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I48" s="110">
        <f>SUMPRODUCT(($AE48:$AJ48="M")*6+($AE48:$AJ48="T")*6+($AE48:$AJ48="D")*12+($AE48:$AJ48="N")*12+($AE48:$AJ48="NT")*6+($AE48:$AJ48="C")*10+($AE48:$AJ48="A")*8+($AE48:$AJ48="J")*5+($AE48:$AJ48="E")*4+($AE48:$AJ48="P")*6+($AE48:$AJ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123">
        <f>IFERROR(INDEX(JAN!AH$8:AH$73,MATCH($A49,JAN!$A$8:$A$73,0))&amp;"","")</f>
        <v/>
      </c>
      <c r="D49" s="123">
        <f>IFERROR(INDEX(JAN!AI$8:AI$73,MATCH($A49,JAN!$A$8:$A$73,0))&amp;"","")</f>
        <v/>
      </c>
      <c r="E49" s="123">
        <f>IFERROR(INDEX(JAN!AJ$8:AJ$73,MATCH($A49,JAN!$A$8:$A$73,0))&amp;"","")</f>
        <v/>
      </c>
      <c r="F49" s="123">
        <f>IFERROR(INDEX(JAN!AK$8:AK$73,MATCH($A49,JAN!$A$8:$A$73,0))&amp;"","")</f>
        <v/>
      </c>
      <c r="G49" s="123">
        <f>IFERROR(INDEX(JAN!AL$8:AL$73,MATCH($A49,JAN!$A$8:$A$73,0))&amp;"","")</f>
        <v/>
      </c>
      <c r="H49" s="109">
        <f>IFERROR(INDEX(JAN!AM$8:AM$73,MATCH($A49,JAN!$A$8:$A$73,0))&amp;"","")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17" t="inlineStr">
        <is>
          <t>T</t>
        </is>
      </c>
      <c r="AA49" s="107" t="n"/>
      <c r="AB49" s="117" t="inlineStr">
        <is>
          <t>T</t>
        </is>
      </c>
      <c r="AC49" s="107" t="n"/>
      <c r="AD49" s="115" t="inlineStr">
        <is>
          <t>D</t>
        </is>
      </c>
      <c r="AE49" s="116" t="inlineStr">
        <is>
          <t>N</t>
        </is>
      </c>
      <c r="AF49" s="107" t="n"/>
      <c r="AG49" s="117" t="inlineStr">
        <is>
          <t>T</t>
        </is>
      </c>
      <c r="AH49" s="107" t="n"/>
      <c r="AI49" s="117" t="inlineStr">
        <is>
          <t>T</t>
        </is>
      </c>
      <c r="AJ49" s="107" t="n"/>
      <c r="AK49" s="96" t="n"/>
      <c r="AL49" s="96" t="n"/>
      <c r="AM49" s="96" t="n"/>
      <c r="AN49" s="109">
        <f>IFERROR(INDEX(MAR!I$8:I$73,MATCH($A49,MAR!$A$8:$A$73,0))&amp;"","")</f>
        <v/>
      </c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ROUND(B49*4.0,0)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SUMPRODUCT(($C49:$I49="M")*6+($C49:$I49="T")*6+($C49:$I49="D")*12+($C49:$I49="N")*12+($C49:$I49="NT")*6+($C49:$I49="C")*10+($C49:$I49="A")*8+($C49:$I49="J")*5+($C49:$I49="E")*4+($C49:$I49="P")*6+($C49:$I49="R")*6)</f>
        <v/>
      </c>
      <c r="BF49" s="110">
        <f>SUMPRODUCT(($J49:$P49="M")*6+($J49:$P49="T")*6+($J49:$P49="D")*12+($J49:$P49="N")*12+($J49:$P49="NT")*6+($J49:$P49="C")*10+($J49:$P49="A")*8+($J49:$P49="J")*5+($J49:$P49="E")*4+($J49:$P49="P")*6+($J49:$P49="R")*6)</f>
        <v/>
      </c>
      <c r="BG49" s="110">
        <f>SUMPRODUCT(($Q49:$W49="M")*6+($Q49:$W49="T")*6+($Q49:$W49="D")*12+($Q49:$W49="N")*12+($Q49:$W49="NT")*6+($Q49:$W49="C")*10+($Q49:$W49="A")*8+($Q49:$W49="J")*5+($Q49:$W49="E")*4+($Q49:$W49="P")*6+($Q49:$W49="R")*6)</f>
        <v/>
      </c>
      <c r="BH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I49" s="110">
        <f>SUMPRODUCT(($AE49:$AJ49="M")*6+($AE49:$AJ49="T")*6+($AE49:$AJ49="D")*12+($AE49:$AJ49="N")*12+($AE49:$AJ49="NT")*6+($AE49:$AJ49="C")*10+($AE49:$AJ49="A")*8+($AE49:$AJ49="J")*5+($AE49:$AJ49="E")*4+($AE49:$AJ49="P")*6+($AE49:$AJ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123">
        <f>IFERROR(INDEX(JAN!AH$8:AH$73,MATCH($A50,JAN!$A$8:$A$73,0))&amp;"","")</f>
        <v/>
      </c>
      <c r="D50" s="123">
        <f>IFERROR(INDEX(JAN!AI$8:AI$73,MATCH($A50,JAN!$A$8:$A$73,0))&amp;"","")</f>
        <v/>
      </c>
      <c r="E50" s="123">
        <f>IFERROR(INDEX(JAN!AJ$8:AJ$73,MATCH($A50,JAN!$A$8:$A$73,0))&amp;"","")</f>
        <v/>
      </c>
      <c r="F50" s="123">
        <f>IFERROR(INDEX(JAN!AK$8:AK$73,MATCH($A50,JAN!$A$8:$A$73,0))&amp;"","")</f>
        <v/>
      </c>
      <c r="G50" s="123">
        <f>IFERROR(INDEX(JAN!AL$8:AL$73,MATCH($A50,JAN!$A$8:$A$73,0))&amp;"","")</f>
        <v/>
      </c>
      <c r="H50" s="109">
        <f>IFERROR(INDEX(JAN!AM$8:AM$73,MATCH($A50,JAN!$A$8:$A$73,0))&amp;"","")</f>
        <v/>
      </c>
      <c r="I50" s="107" t="n"/>
      <c r="J50" s="117" t="inlineStr">
        <is>
          <t>T</t>
        </is>
      </c>
      <c r="K50" s="117" t="inlineStr">
        <is>
          <t>T</t>
        </is>
      </c>
      <c r="L50" s="107" t="n"/>
      <c r="M50" s="117" t="inlineStr">
        <is>
          <t>T</t>
        </is>
      </c>
      <c r="N50" s="117" t="inlineStr">
        <is>
          <t>T</t>
        </is>
      </c>
      <c r="O50" s="107" t="n"/>
      <c r="P50" s="107" t="n"/>
      <c r="Q50" s="107" t="n"/>
      <c r="R50" s="107" t="n"/>
      <c r="S50" s="107" t="n"/>
      <c r="T50" s="108" t="inlineStr">
        <is>
          <t>M</t>
        </is>
      </c>
      <c r="U50" s="117" t="inlineStr">
        <is>
          <t>T</t>
        </is>
      </c>
      <c r="V50" s="107" t="n"/>
      <c r="W50" s="115" t="inlineStr">
        <is>
          <t>D</t>
        </is>
      </c>
      <c r="X50" s="115" t="inlineStr">
        <is>
          <t>D</t>
        </is>
      </c>
      <c r="Y50" s="107" t="n"/>
      <c r="Z50" s="107" t="n"/>
      <c r="AA50" s="107" t="n"/>
      <c r="AB50" s="116" t="inlineStr">
        <is>
          <t>N</t>
        </is>
      </c>
      <c r="AC50" s="107" t="n"/>
      <c r="AD50" s="107" t="n"/>
      <c r="AE50" s="107" t="n"/>
      <c r="AF50" s="107" t="n"/>
      <c r="AG50" s="107" t="n"/>
      <c r="AH50" s="117" t="inlineStr">
        <is>
          <t>T</t>
        </is>
      </c>
      <c r="AI50" s="117" t="inlineStr">
        <is>
          <t>T</t>
        </is>
      </c>
      <c r="AJ50" s="116" t="inlineStr">
        <is>
          <t>N</t>
        </is>
      </c>
      <c r="AK50" s="96" t="n"/>
      <c r="AL50" s="96" t="n"/>
      <c r="AM50" s="96" t="n"/>
      <c r="AN50" s="109">
        <f>IFERROR(INDEX(MAR!I$8:I$73,MATCH($A50,MAR!$A$8:$A$73,0))&amp;"","")</f>
        <v/>
      </c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ROUND(B50*4.0,0)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SUMPRODUCT(($C50:$I50="M")*6+($C50:$I50="T")*6+($C50:$I50="D")*12+($C50:$I50="N")*12+($C50:$I50="NT")*6+($C50:$I50="C")*10+($C50:$I50="A")*8+($C50:$I50="J")*5+($C50:$I50="E")*4+($C50:$I50="P")*6+($C50:$I50="R")*6)</f>
        <v/>
      </c>
      <c r="BF50" s="110">
        <f>SUMPRODUCT(($J50:$P50="M")*6+($J50:$P50="T")*6+($J50:$P50="D")*12+($J50:$P50="N")*12+($J50:$P50="NT")*6+($J50:$P50="C")*10+($J50:$P50="A")*8+($J50:$P50="J")*5+($J50:$P50="E")*4+($J50:$P50="P")*6+($J50:$P50="R")*6)</f>
        <v/>
      </c>
      <c r="BG50" s="110">
        <f>SUMPRODUCT(($Q50:$W50="M")*6+($Q50:$W50="T")*6+($Q50:$W50="D")*12+($Q50:$W50="N")*12+($Q50:$W50="NT")*6+($Q50:$W50="C")*10+($Q50:$W50="A")*8+($Q50:$W50="J")*5+($Q50:$W50="E")*4+($Q50:$W50="P")*6+($Q50:$W50="R")*6)</f>
        <v/>
      </c>
      <c r="BH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I50" s="110">
        <f>SUMPRODUCT(($AE50:$AJ50="M")*6+($AE50:$AJ50="T")*6+($AE50:$AJ50="D")*12+($AE50:$AJ50="N")*12+($AE50:$AJ50="NT")*6+($AE50:$AJ50="C")*10+($AE50:$AJ50="A")*8+($AE50:$AJ50="J")*5+($AE50:$AJ50="E")*4+($AE50:$AJ50="P")*6+($AE50:$AJ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123">
        <f>IFERROR(INDEX(JAN!AH$8:AH$73,MATCH($A51,JAN!$A$8:$A$73,0))&amp;"","")</f>
        <v/>
      </c>
      <c r="D51" s="123">
        <f>IFERROR(INDEX(JAN!AI$8:AI$73,MATCH($A51,JAN!$A$8:$A$73,0))&amp;"","")</f>
        <v/>
      </c>
      <c r="E51" s="123">
        <f>IFERROR(INDEX(JAN!AJ$8:AJ$73,MATCH($A51,JAN!$A$8:$A$73,0))&amp;"","")</f>
        <v/>
      </c>
      <c r="F51" s="123">
        <f>IFERROR(INDEX(JAN!AK$8:AK$73,MATCH($A51,JAN!$A$8:$A$73,0))&amp;"","")</f>
        <v/>
      </c>
      <c r="G51" s="123">
        <f>IFERROR(INDEX(JAN!AL$8:AL$73,MATCH($A51,JAN!$A$8:$A$73,0))&amp;"","")</f>
        <v/>
      </c>
      <c r="H51" s="109">
        <f>IFERROR(INDEX(JAN!AM$8:AM$73,MATCH($A51,JAN!$A$8:$A$73,0))&amp;"","")</f>
        <v/>
      </c>
      <c r="I51" s="107" t="n"/>
      <c r="J51" s="107" t="n"/>
      <c r="K51" s="115" t="inlineStr">
        <is>
          <t>D</t>
        </is>
      </c>
      <c r="L51" s="107" t="n"/>
      <c r="M51" s="107" t="n"/>
      <c r="N51" s="107" t="n"/>
      <c r="O51" s="108" t="inlineStr">
        <is>
          <t>M</t>
        </is>
      </c>
      <c r="P51" s="107" t="n"/>
      <c r="Q51" s="107" t="n"/>
      <c r="R51" s="115" t="inlineStr">
        <is>
          <t>D</t>
        </is>
      </c>
      <c r="S51" s="107" t="n"/>
      <c r="T51" s="107" t="n"/>
      <c r="U51" s="108" t="inlineStr">
        <is>
          <t>M</t>
        </is>
      </c>
      <c r="V51" s="107" t="n"/>
      <c r="W51" s="108" t="inlineStr">
        <is>
          <t>M</t>
        </is>
      </c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96" t="n"/>
      <c r="AL51" s="96" t="n"/>
      <c r="AM51" s="96" t="n"/>
      <c r="AN51" s="109">
        <f>IFERROR(INDEX(MAR!I$8:I$73,MATCH($A51,MAR!$A$8:$A$73,0))&amp;"","")</f>
        <v/>
      </c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ROUND(B51*4.0,0)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SUMPRODUCT(($C51:$I51="M")*6+($C51:$I51="T")*6+($C51:$I51="D")*12+($C51:$I51="N")*12+($C51:$I51="NT")*6+($C51:$I51="C")*10+($C51:$I51="A")*8+($C51:$I51="J")*5+($C51:$I51="E")*4+($C51:$I51="P")*6+($C51:$I51="R")*6)</f>
        <v/>
      </c>
      <c r="BF51" s="110">
        <f>SUMPRODUCT(($J51:$P51="M")*6+($J51:$P51="T")*6+($J51:$P51="D")*12+($J51:$P51="N")*12+($J51:$P51="NT")*6+($J51:$P51="C")*10+($J51:$P51="A")*8+($J51:$P51="J")*5+($J51:$P51="E")*4+($J51:$P51="P")*6+($J51:$P51="R")*6)</f>
        <v/>
      </c>
      <c r="BG51" s="110">
        <f>SUMPRODUCT(($Q51:$W51="M")*6+($Q51:$W51="T")*6+($Q51:$W51="D")*12+($Q51:$W51="N")*12+($Q51:$W51="NT")*6+($Q51:$W51="C")*10+($Q51:$W51="A")*8+($Q51:$W51="J")*5+($Q51:$W51="E")*4+($Q51:$W51="P")*6+($Q51:$W51="R")*6)</f>
        <v/>
      </c>
      <c r="BH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I51" s="110">
        <f>SUMPRODUCT(($AE51:$AJ51="M")*6+($AE51:$AJ51="T")*6+($AE51:$AJ51="D")*12+($AE51:$AJ51="N")*12+($AE51:$AJ51="NT")*6+($AE51:$AJ51="C")*10+($AE51:$AJ51="A")*8+($AE51:$AJ51="J")*5+($AE51:$AJ51="E")*4+($AE51:$AJ51="P")*6+($AE51:$AJ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123">
        <f>IFERROR(INDEX(JAN!AH$8:AH$73,MATCH($A52,JAN!$A$8:$A$73,0))&amp;"","")</f>
        <v/>
      </c>
      <c r="D52" s="123">
        <f>IFERROR(INDEX(JAN!AI$8:AI$73,MATCH($A52,JAN!$A$8:$A$73,0))&amp;"","")</f>
        <v/>
      </c>
      <c r="E52" s="123">
        <f>IFERROR(INDEX(JAN!AJ$8:AJ$73,MATCH($A52,JAN!$A$8:$A$73,0))&amp;"","")</f>
        <v/>
      </c>
      <c r="F52" s="123">
        <f>IFERROR(INDEX(JAN!AK$8:AK$73,MATCH($A52,JAN!$A$8:$A$73,0))&amp;"","")</f>
        <v/>
      </c>
      <c r="G52" s="123">
        <f>IFERROR(INDEX(JAN!AL$8:AL$73,MATCH($A52,JAN!$A$8:$A$73,0))&amp;"","")</f>
        <v/>
      </c>
      <c r="H52" s="109">
        <f>IFERROR(INDEX(JAN!AM$8:AM$73,MATCH($A52,JAN!$A$8:$A$73,0))&amp;"","")</f>
        <v/>
      </c>
      <c r="I52" s="107" t="n"/>
      <c r="J52" s="116" t="inlineStr">
        <is>
          <t>N</t>
        </is>
      </c>
      <c r="K52" s="107" t="n"/>
      <c r="L52" s="107" t="n"/>
      <c r="M52" s="116" t="inlineStr">
        <is>
          <t>N</t>
        </is>
      </c>
      <c r="N52" s="107" t="n"/>
      <c r="O52" s="107" t="n"/>
      <c r="P52" s="107" t="n"/>
      <c r="Q52" s="116" t="inlineStr">
        <is>
          <t>N</t>
        </is>
      </c>
      <c r="R52" s="107" t="n"/>
      <c r="S52" s="107" t="n"/>
      <c r="T52" s="107" t="n"/>
      <c r="U52" s="107" t="n"/>
      <c r="V52" s="116" t="inlineStr">
        <is>
          <t>N</t>
        </is>
      </c>
      <c r="W52" s="107" t="n"/>
      <c r="X52" s="116" t="inlineStr">
        <is>
          <t>N</t>
        </is>
      </c>
      <c r="Y52" s="107" t="n"/>
      <c r="Z52" s="107" t="n"/>
      <c r="AA52" s="116" t="inlineStr">
        <is>
          <t>N</t>
        </is>
      </c>
      <c r="AB52" s="107" t="n"/>
      <c r="AC52" s="107" t="n"/>
      <c r="AD52" s="107" t="n"/>
      <c r="AE52" s="116" t="inlineStr">
        <is>
          <t>N</t>
        </is>
      </c>
      <c r="AF52" s="107" t="n"/>
      <c r="AG52" s="107" t="n"/>
      <c r="AH52" s="107" t="n"/>
      <c r="AI52" s="107" t="n"/>
      <c r="AJ52" s="116" t="inlineStr">
        <is>
          <t>N</t>
        </is>
      </c>
      <c r="AK52" s="96" t="n"/>
      <c r="AL52" s="96" t="n"/>
      <c r="AM52" s="96" t="n"/>
      <c r="AN52" s="109">
        <f>IFERROR(INDEX(MAR!I$8:I$73,MATCH($A52,MAR!$A$8:$A$73,0))&amp;"","")</f>
        <v/>
      </c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ROUND(B52*4.0,0)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SUMPRODUCT(($C52:$I52="M")*6+($C52:$I52="T")*6+($C52:$I52="D")*12+($C52:$I52="N")*12+($C52:$I52="NT")*6+($C52:$I52="C")*10+($C52:$I52="A")*8+($C52:$I52="J")*5+($C52:$I52="E")*4+($C52:$I52="P")*6+($C52:$I52="R")*6)</f>
        <v/>
      </c>
      <c r="BF52" s="110">
        <f>SUMPRODUCT(($J52:$P52="M")*6+($J52:$P52="T")*6+($J52:$P52="D")*12+($J52:$P52="N")*12+($J52:$P52="NT")*6+($J52:$P52="C")*10+($J52:$P52="A")*8+($J52:$P52="J")*5+($J52:$P52="E")*4+($J52:$P52="P")*6+($J52:$P52="R")*6)</f>
        <v/>
      </c>
      <c r="BG52" s="110">
        <f>SUMPRODUCT(($Q52:$W52="M")*6+($Q52:$W52="T")*6+($Q52:$W52="D")*12+($Q52:$W52="N")*12+($Q52:$W52="NT")*6+($Q52:$W52="C")*10+($Q52:$W52="A")*8+($Q52:$W52="J")*5+($Q52:$W52="E")*4+($Q52:$W52="P")*6+($Q52:$W52="R")*6)</f>
        <v/>
      </c>
      <c r="BH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I52" s="110">
        <f>SUMPRODUCT(($AE52:$AJ52="M")*6+($AE52:$AJ52="T")*6+($AE52:$AJ52="D")*12+($AE52:$AJ52="N")*12+($AE52:$AJ52="NT")*6+($AE52:$AJ52="C")*10+($AE52:$AJ52="A")*8+($AE52:$AJ52="J")*5+($AE52:$AJ52="E")*4+($AE52:$AJ52="P")*6+($AE52:$AJ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123">
        <f>IFERROR(INDEX(JAN!AH$8:AH$73,MATCH($A53,JAN!$A$8:$A$73,0))&amp;"","")</f>
        <v/>
      </c>
      <c r="D53" s="123">
        <f>IFERROR(INDEX(JAN!AI$8:AI$73,MATCH($A53,JAN!$A$8:$A$73,0))&amp;"","")</f>
        <v/>
      </c>
      <c r="E53" s="123">
        <f>IFERROR(INDEX(JAN!AJ$8:AJ$73,MATCH($A53,JAN!$A$8:$A$73,0))&amp;"","")</f>
        <v/>
      </c>
      <c r="F53" s="123">
        <f>IFERROR(INDEX(JAN!AK$8:AK$73,MATCH($A53,JAN!$A$8:$A$73,0))&amp;"","")</f>
        <v/>
      </c>
      <c r="G53" s="123">
        <f>IFERROR(INDEX(JAN!AL$8:AL$73,MATCH($A53,JAN!$A$8:$A$73,0))&amp;"","")</f>
        <v/>
      </c>
      <c r="H53" s="109">
        <f>IFERROR(INDEX(JAN!AM$8:AM$73,MATCH($A53,JAN!$A$8:$A$73,0))&amp;"","")</f>
        <v/>
      </c>
      <c r="I53" s="115" t="inlineStr">
        <is>
          <t>D</t>
        </is>
      </c>
      <c r="J53" s="108" t="inlineStr">
        <is>
          <t>M</t>
        </is>
      </c>
      <c r="K53" s="108" t="inlineStr">
        <is>
          <t>M</t>
        </is>
      </c>
      <c r="L53" s="107" t="n"/>
      <c r="M53" s="107" t="n"/>
      <c r="N53" s="116" t="inlineStr">
        <is>
          <t>N</t>
        </is>
      </c>
      <c r="O53" s="107" t="n"/>
      <c r="P53" s="107" t="n"/>
      <c r="Q53" s="116" t="inlineStr">
        <is>
          <t>N</t>
        </is>
      </c>
      <c r="R53" s="107" t="n"/>
      <c r="S53" s="107" t="n"/>
      <c r="T53" s="107" t="n"/>
      <c r="U53" s="107" t="n"/>
      <c r="V53" s="116" t="inlineStr">
        <is>
          <t>N</t>
        </is>
      </c>
      <c r="W53" s="107" t="n"/>
      <c r="X53" s="107" t="n"/>
      <c r="Y53" s="116" t="inlineStr">
        <is>
          <t>N</t>
        </is>
      </c>
      <c r="Z53" s="107" t="n"/>
      <c r="AA53" s="107" t="n"/>
      <c r="AB53" s="107" t="n"/>
      <c r="AC53" s="115" t="inlineStr">
        <is>
          <t>D</t>
        </is>
      </c>
      <c r="AD53" s="107" t="n"/>
      <c r="AE53" s="116" t="inlineStr">
        <is>
          <t>N</t>
        </is>
      </c>
      <c r="AF53" s="116" t="inlineStr">
        <is>
          <t>N</t>
        </is>
      </c>
      <c r="AG53" s="107" t="n"/>
      <c r="AH53" s="107" t="n"/>
      <c r="AI53" s="107" t="n"/>
      <c r="AJ53" s="107" t="n"/>
      <c r="AK53" s="96" t="n"/>
      <c r="AL53" s="96" t="n"/>
      <c r="AM53" s="96" t="n"/>
      <c r="AN53" s="109">
        <f>IFERROR(INDEX(MAR!I$8:I$73,MATCH($A53,MAR!$A$8:$A$73,0))&amp;"","")</f>
        <v/>
      </c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ROUND(B53*4.0,0)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SUMPRODUCT(($C53:$I53="M")*6+($C53:$I53="T")*6+($C53:$I53="D")*12+($C53:$I53="N")*12+($C53:$I53="NT")*6+($C53:$I53="C")*10+($C53:$I53="A")*8+($C53:$I53="J")*5+($C53:$I53="E")*4+($C53:$I53="P")*6+($C53:$I53="R")*6)</f>
        <v/>
      </c>
      <c r="BF53" s="110">
        <f>SUMPRODUCT(($J53:$P53="M")*6+($J53:$P53="T")*6+($J53:$P53="D")*12+($J53:$P53="N")*12+($J53:$P53="NT")*6+($J53:$P53="C")*10+($J53:$P53="A")*8+($J53:$P53="J")*5+($J53:$P53="E")*4+($J53:$P53="P")*6+($J53:$P53="R")*6)</f>
        <v/>
      </c>
      <c r="BG53" s="110">
        <f>SUMPRODUCT(($Q53:$W53="M")*6+($Q53:$W53="T")*6+($Q53:$W53="D")*12+($Q53:$W53="N")*12+($Q53:$W53="NT")*6+($Q53:$W53="C")*10+($Q53:$W53="A")*8+($Q53:$W53="J")*5+($Q53:$W53="E")*4+($Q53:$W53="P")*6+($Q53:$W53="R")*6)</f>
        <v/>
      </c>
      <c r="BH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I53" s="110">
        <f>SUMPRODUCT(($AE53:$AJ53="M")*6+($AE53:$AJ53="T")*6+($AE53:$AJ53="D")*12+($AE53:$AJ53="N")*12+($AE53:$AJ53="NT")*6+($AE53:$AJ53="C")*10+($AE53:$AJ53="A")*8+($AE53:$AJ53="J")*5+($AE53:$AJ53="E")*4+($AE53:$AJ53="P")*6+($AE53:$AJ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123">
        <f>IFERROR(INDEX(JAN!AH$8:AH$73,MATCH($A54,JAN!$A$8:$A$73,0))&amp;"","")</f>
        <v/>
      </c>
      <c r="D54" s="123">
        <f>IFERROR(INDEX(JAN!AI$8:AI$73,MATCH($A54,JAN!$A$8:$A$73,0))&amp;"","")</f>
        <v/>
      </c>
      <c r="E54" s="123">
        <f>IFERROR(INDEX(JAN!AJ$8:AJ$73,MATCH($A54,JAN!$A$8:$A$73,0))&amp;"","")</f>
        <v/>
      </c>
      <c r="F54" s="123">
        <f>IFERROR(INDEX(JAN!AK$8:AK$73,MATCH($A54,JAN!$A$8:$A$73,0))&amp;"","")</f>
        <v/>
      </c>
      <c r="G54" s="123">
        <f>IFERROR(INDEX(JAN!AL$8:AL$73,MATCH($A54,JAN!$A$8:$A$73,0))&amp;"","")</f>
        <v/>
      </c>
      <c r="H54" s="109">
        <f>IFERROR(INDEX(JAN!AM$8:AM$73,MATCH($A54,JAN!$A$8:$A$73,0))&amp;"","")</f>
        <v/>
      </c>
      <c r="I54" s="117" t="inlineStr">
        <is>
          <t>T</t>
        </is>
      </c>
      <c r="J54" s="117" t="inlineStr">
        <is>
          <t>T</t>
        </is>
      </c>
      <c r="K54" s="107" t="n"/>
      <c r="L54" s="117" t="inlineStr">
        <is>
          <t>T</t>
        </is>
      </c>
      <c r="M54" s="116" t="inlineStr">
        <is>
          <t>N</t>
        </is>
      </c>
      <c r="N54" s="107" t="n"/>
      <c r="O54" s="107" t="n"/>
      <c r="P54" s="107" t="n"/>
      <c r="Q54" s="107" t="n"/>
      <c r="R54" s="107" t="n"/>
      <c r="S54" s="117" t="inlineStr">
        <is>
          <t>T</t>
        </is>
      </c>
      <c r="T54" s="116" t="inlineStr">
        <is>
          <t>N</t>
        </is>
      </c>
      <c r="U54" s="117" t="inlineStr">
        <is>
          <t>T</t>
        </is>
      </c>
      <c r="V54" s="107" t="n"/>
      <c r="W54" s="107" t="n"/>
      <c r="X54" s="107" t="n"/>
      <c r="Y54" s="107" t="n"/>
      <c r="Z54" s="107" t="n"/>
      <c r="AA54" s="116" t="inlineStr">
        <is>
          <t>N</t>
        </is>
      </c>
      <c r="AB54" s="107" t="n"/>
      <c r="AC54" s="116" t="inlineStr">
        <is>
          <t>N</t>
        </is>
      </c>
      <c r="AD54" s="107" t="n"/>
      <c r="AE54" s="107" t="n"/>
      <c r="AF54" s="107" t="n"/>
      <c r="AG54" s="107" t="n"/>
      <c r="AH54" s="116" t="inlineStr">
        <is>
          <t>N</t>
        </is>
      </c>
      <c r="AI54" s="107" t="n"/>
      <c r="AJ54" s="116" t="inlineStr">
        <is>
          <t>N</t>
        </is>
      </c>
      <c r="AK54" s="96" t="n"/>
      <c r="AL54" s="96" t="n"/>
      <c r="AM54" s="96" t="n"/>
      <c r="AN54" s="109">
        <f>IFERROR(INDEX(MAR!I$8:I$73,MATCH($A54,MAR!$A$8:$A$73,0))&amp;"","")</f>
        <v/>
      </c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ROUND(B54*4.0,0)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SUMPRODUCT(($C54:$I54="M")*6+($C54:$I54="T")*6+($C54:$I54="D")*12+($C54:$I54="N")*12+($C54:$I54="NT")*6+($C54:$I54="C")*10+($C54:$I54="A")*8+($C54:$I54="J")*5+($C54:$I54="E")*4+($C54:$I54="P")*6+($C54:$I54="R")*6)</f>
        <v/>
      </c>
      <c r="BF54" s="110">
        <f>SUMPRODUCT(($J54:$P54="M")*6+($J54:$P54="T")*6+($J54:$P54="D")*12+($J54:$P54="N")*12+($J54:$P54="NT")*6+($J54:$P54="C")*10+($J54:$P54="A")*8+($J54:$P54="J")*5+($J54:$P54="E")*4+($J54:$P54="P")*6+($J54:$P54="R")*6)</f>
        <v/>
      </c>
      <c r="BG54" s="110">
        <f>SUMPRODUCT(($Q54:$W54="M")*6+($Q54:$W54="T")*6+($Q54:$W54="D")*12+($Q54:$W54="N")*12+($Q54:$W54="NT")*6+($Q54:$W54="C")*10+($Q54:$W54="A")*8+($Q54:$W54="J")*5+($Q54:$W54="E")*4+($Q54:$W54="P")*6+($Q54:$W54="R")*6)</f>
        <v/>
      </c>
      <c r="BH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I54" s="110">
        <f>SUMPRODUCT(($AE54:$AJ54="M")*6+($AE54:$AJ54="T")*6+($AE54:$AJ54="D")*12+($AE54:$AJ54="N")*12+($AE54:$AJ54="NT")*6+($AE54:$AJ54="C")*10+($AE54:$AJ54="A")*8+($AE54:$AJ54="J")*5+($AE54:$AJ54="E")*4+($AE54:$AJ54="P")*6+($AE54:$AJ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123">
        <f>IFERROR(INDEX(JAN!AH$8:AH$73,MATCH($A55,JAN!$A$8:$A$73,0))&amp;"","")</f>
        <v/>
      </c>
      <c r="D55" s="123">
        <f>IFERROR(INDEX(JAN!AI$8:AI$73,MATCH($A55,JAN!$A$8:$A$73,0))&amp;"","")</f>
        <v/>
      </c>
      <c r="E55" s="123">
        <f>IFERROR(INDEX(JAN!AJ$8:AJ$73,MATCH($A55,JAN!$A$8:$A$73,0))&amp;"","")</f>
        <v/>
      </c>
      <c r="F55" s="123">
        <f>IFERROR(INDEX(JAN!AK$8:AK$73,MATCH($A55,JAN!$A$8:$A$73,0))&amp;"","")</f>
        <v/>
      </c>
      <c r="G55" s="123">
        <f>IFERROR(INDEX(JAN!AL$8:AL$73,MATCH($A55,JAN!$A$8:$A$73,0))&amp;"","")</f>
        <v/>
      </c>
      <c r="H55" s="109">
        <f>IFERROR(INDEX(JAN!AM$8:AM$73,MATCH($A55,JAN!$A$8:$A$73,0))&amp;"","")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96" t="n"/>
      <c r="AL55" s="96" t="n"/>
      <c r="AM55" s="96" t="n"/>
      <c r="AN55" s="109">
        <f>IFERROR(INDEX(MAR!I$8:I$73,MATCH($A55,MAR!$A$8:$A$73,0))&amp;"","")</f>
        <v/>
      </c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ROUND(B55*4.0,0)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SUMPRODUCT(($C55:$I55="M")*6+($C55:$I55="T")*6+($C55:$I55="D")*12+($C55:$I55="N")*12+($C55:$I55="NT")*6+($C55:$I55="C")*10+($C55:$I55="A")*8+($C55:$I55="J")*5+($C55:$I55="E")*4+($C55:$I55="P")*6+($C55:$I55="R")*6)</f>
        <v/>
      </c>
      <c r="BF55" s="110">
        <f>SUMPRODUCT(($J55:$P55="M")*6+($J55:$P55="T")*6+($J55:$P55="D")*12+($J55:$P55="N")*12+($J55:$P55="NT")*6+($J55:$P55="C")*10+($J55:$P55="A")*8+($J55:$P55="J")*5+($J55:$P55="E")*4+($J55:$P55="P")*6+($J55:$P55="R")*6)</f>
        <v/>
      </c>
      <c r="BG55" s="110">
        <f>SUMPRODUCT(($Q55:$W55="M")*6+($Q55:$W55="T")*6+($Q55:$W55="D")*12+($Q55:$W55="N")*12+($Q55:$W55="NT")*6+($Q55:$W55="C")*10+($Q55:$W55="A")*8+($Q55:$W55="J")*5+($Q55:$W55="E")*4+($Q55:$W55="P")*6+($Q55:$W55="R")*6)</f>
        <v/>
      </c>
      <c r="BH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I55" s="110">
        <f>SUMPRODUCT(($AE55:$AJ55="M")*6+($AE55:$AJ55="T")*6+($AE55:$AJ55="D")*12+($AE55:$AJ55="N")*12+($AE55:$AJ55="NT")*6+($AE55:$AJ55="C")*10+($AE55:$AJ55="A")*8+($AE55:$AJ55="J")*5+($AE55:$AJ55="E")*4+($AE55:$AJ55="P")*6+($AE55:$AJ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123">
        <f>IFERROR(INDEX(JAN!AH$8:AH$73,MATCH($A56,JAN!$A$8:$A$73,0))&amp;"","")</f>
        <v/>
      </c>
      <c r="D56" s="123">
        <f>IFERROR(INDEX(JAN!AI$8:AI$73,MATCH($A56,JAN!$A$8:$A$73,0))&amp;"","")</f>
        <v/>
      </c>
      <c r="E56" s="123">
        <f>IFERROR(INDEX(JAN!AJ$8:AJ$73,MATCH($A56,JAN!$A$8:$A$73,0))&amp;"","")</f>
        <v/>
      </c>
      <c r="F56" s="123">
        <f>IFERROR(INDEX(JAN!AK$8:AK$73,MATCH($A56,JAN!$A$8:$A$73,0))&amp;"","")</f>
        <v/>
      </c>
      <c r="G56" s="123">
        <f>IFERROR(INDEX(JAN!AL$8:AL$73,MATCH($A56,JAN!$A$8:$A$73,0))&amp;"","")</f>
        <v/>
      </c>
      <c r="H56" s="109">
        <f>IFERROR(INDEX(JAN!AM$8:AM$73,MATCH($A56,JAN!$A$8:$A$73,0))&amp;"","")</f>
        <v/>
      </c>
      <c r="I56" s="108" t="inlineStr">
        <is>
          <t>M</t>
        </is>
      </c>
      <c r="J56" s="107" t="n"/>
      <c r="K56" s="108" t="inlineStr">
        <is>
          <t>M</t>
        </is>
      </c>
      <c r="L56" s="107" t="n"/>
      <c r="M56" s="115" t="inlineStr">
        <is>
          <t>D</t>
        </is>
      </c>
      <c r="N56" s="107" t="n"/>
      <c r="O56" s="108" t="inlineStr">
        <is>
          <t>M</t>
        </is>
      </c>
      <c r="P56" s="107" t="n"/>
      <c r="Q56" s="107" t="n"/>
      <c r="R56" s="115" t="inlineStr">
        <is>
          <t>D</t>
        </is>
      </c>
      <c r="S56" s="107" t="n"/>
      <c r="T56" s="115" t="inlineStr">
        <is>
          <t>D</t>
        </is>
      </c>
      <c r="U56" s="107" t="n"/>
      <c r="V56" s="107" t="n"/>
      <c r="W56" s="107" t="n"/>
      <c r="X56" s="107" t="n"/>
      <c r="Y56" s="107" t="n"/>
      <c r="Z56" s="107" t="n"/>
      <c r="AA56" s="115" t="inlineStr">
        <is>
          <t>D</t>
        </is>
      </c>
      <c r="AB56" s="107" t="n"/>
      <c r="AC56" s="115" t="inlineStr">
        <is>
          <t>D</t>
        </is>
      </c>
      <c r="AD56" s="107" t="n"/>
      <c r="AE56" s="107" t="n"/>
      <c r="AF56" s="115" t="inlineStr">
        <is>
          <t>D</t>
        </is>
      </c>
      <c r="AG56" s="107" t="n"/>
      <c r="AH56" s="115" t="inlineStr">
        <is>
          <t>D</t>
        </is>
      </c>
      <c r="AI56" s="107" t="n"/>
      <c r="AJ56" s="107" t="n"/>
      <c r="AK56" s="96" t="n"/>
      <c r="AL56" s="96" t="n"/>
      <c r="AM56" s="96" t="n"/>
      <c r="AN56" s="109">
        <f>IFERROR(INDEX(MAR!I$8:I$73,MATCH($A56,MAR!$A$8:$A$73,0))&amp;"","")</f>
        <v/>
      </c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ROUND(B56*4.0,0)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SUMPRODUCT(($C56:$I56="M")*6+($C56:$I56="T")*6+($C56:$I56="D")*12+($C56:$I56="N")*12+($C56:$I56="NT")*6+($C56:$I56="C")*10+($C56:$I56="A")*8+($C56:$I56="J")*5+($C56:$I56="E")*4+($C56:$I56="P")*6+($C56:$I56="R")*6)</f>
        <v/>
      </c>
      <c r="BF56" s="110">
        <f>SUMPRODUCT(($J56:$P56="M")*6+($J56:$P56="T")*6+($J56:$P56="D")*12+($J56:$P56="N")*12+($J56:$P56="NT")*6+($J56:$P56="C")*10+($J56:$P56="A")*8+($J56:$P56="J")*5+($J56:$P56="E")*4+($J56:$P56="P")*6+($J56:$P56="R")*6)</f>
        <v/>
      </c>
      <c r="BG56" s="110">
        <f>SUMPRODUCT(($Q56:$W56="M")*6+($Q56:$W56="T")*6+($Q56:$W56="D")*12+($Q56:$W56="N")*12+($Q56:$W56="NT")*6+($Q56:$W56="C")*10+($Q56:$W56="A")*8+($Q56:$W56="J")*5+($Q56:$W56="E")*4+($Q56:$W56="P")*6+($Q56:$W56="R")*6)</f>
        <v/>
      </c>
      <c r="BH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I56" s="110">
        <f>SUMPRODUCT(($AE56:$AJ56="M")*6+($AE56:$AJ56="T")*6+($AE56:$AJ56="D")*12+($AE56:$AJ56="N")*12+($AE56:$AJ56="NT")*6+($AE56:$AJ56="C")*10+($AE56:$AJ56="A")*8+($AE56:$AJ56="J")*5+($AE56:$AJ56="E")*4+($AE56:$AJ56="P")*6+($AE56:$AJ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123">
        <f>IFERROR(INDEX(JAN!AH$8:AH$73,MATCH($A57,JAN!$A$8:$A$73,0))&amp;"","")</f>
        <v/>
      </c>
      <c r="D57" s="123">
        <f>IFERROR(INDEX(JAN!AI$8:AI$73,MATCH($A57,JAN!$A$8:$A$73,0))&amp;"","")</f>
        <v/>
      </c>
      <c r="E57" s="123">
        <f>IFERROR(INDEX(JAN!AJ$8:AJ$73,MATCH($A57,JAN!$A$8:$A$73,0))&amp;"","")</f>
        <v/>
      </c>
      <c r="F57" s="123">
        <f>IFERROR(INDEX(JAN!AK$8:AK$73,MATCH($A57,JAN!$A$8:$A$73,0))&amp;"","")</f>
        <v/>
      </c>
      <c r="G57" s="123">
        <f>IFERROR(INDEX(JAN!AL$8:AL$73,MATCH($A57,JAN!$A$8:$A$73,0))&amp;"","")</f>
        <v/>
      </c>
      <c r="H57" s="109">
        <f>IFERROR(INDEX(JAN!AM$8:AM$73,MATCH($A57,JAN!$A$8:$A$73,0))&amp;"","")</f>
        <v/>
      </c>
      <c r="I57" s="107" t="n"/>
      <c r="J57" s="107" t="n"/>
      <c r="K57" s="116" t="inlineStr">
        <is>
          <t>N</t>
        </is>
      </c>
      <c r="L57" s="116" t="inlineStr">
        <is>
          <t>N</t>
        </is>
      </c>
      <c r="M57" s="107" t="n"/>
      <c r="N57" s="107" t="n"/>
      <c r="O57" s="107" t="n"/>
      <c r="P57" s="107" t="n"/>
      <c r="Q57" s="116" t="inlineStr">
        <is>
          <t>N</t>
        </is>
      </c>
      <c r="R57" s="107" t="n"/>
      <c r="S57" s="107" t="n"/>
      <c r="T57" s="107" t="n"/>
      <c r="U57" s="116" t="inlineStr">
        <is>
          <t>N</t>
        </is>
      </c>
      <c r="V57" s="107" t="n"/>
      <c r="W57" s="107" t="n"/>
      <c r="X57" s="107" t="n"/>
      <c r="Y57" s="107" t="n"/>
      <c r="Z57" s="107" t="n"/>
      <c r="AA57" s="116" t="inlineStr">
        <is>
          <t>N</t>
        </is>
      </c>
      <c r="AB57" s="107" t="n"/>
      <c r="AC57" s="107" t="n"/>
      <c r="AD57" s="115" t="inlineStr">
        <is>
          <t>D</t>
        </is>
      </c>
      <c r="AE57" s="107" t="n"/>
      <c r="AF57" s="116" t="inlineStr">
        <is>
          <t>N</t>
        </is>
      </c>
      <c r="AG57" s="107" t="n"/>
      <c r="AH57" s="107" t="n"/>
      <c r="AI57" s="107" t="n"/>
      <c r="AJ57" s="115" t="inlineStr">
        <is>
          <t>D</t>
        </is>
      </c>
      <c r="AK57" s="96" t="n"/>
      <c r="AL57" s="96" t="n"/>
      <c r="AM57" s="96" t="n"/>
      <c r="AN57" s="109">
        <f>IFERROR(INDEX(MAR!I$8:I$73,MATCH($A57,MAR!$A$8:$A$73,0))&amp;"","")</f>
        <v/>
      </c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ROUND(B57*4.0,0)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SUMPRODUCT(($C57:$I57="M")*6+($C57:$I57="T")*6+($C57:$I57="D")*12+($C57:$I57="N")*12+($C57:$I57="NT")*6+($C57:$I57="C")*10+($C57:$I57="A")*8+($C57:$I57="J")*5+($C57:$I57="E")*4+($C57:$I57="P")*6+($C57:$I57="R")*6)</f>
        <v/>
      </c>
      <c r="BF57" s="110">
        <f>SUMPRODUCT(($J57:$P57="M")*6+($J57:$P57="T")*6+($J57:$P57="D")*12+($J57:$P57="N")*12+($J57:$P57="NT")*6+($J57:$P57="C")*10+($J57:$P57="A")*8+($J57:$P57="J")*5+($J57:$P57="E")*4+($J57:$P57="P")*6+($J57:$P57="R")*6)</f>
        <v/>
      </c>
      <c r="BG57" s="110">
        <f>SUMPRODUCT(($Q57:$W57="M")*6+($Q57:$W57="T")*6+($Q57:$W57="D")*12+($Q57:$W57="N")*12+($Q57:$W57="NT")*6+($Q57:$W57="C")*10+($Q57:$W57="A")*8+($Q57:$W57="J")*5+($Q57:$W57="E")*4+($Q57:$W57="P")*6+($Q57:$W57="R")*6)</f>
        <v/>
      </c>
      <c r="BH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I57" s="110">
        <f>SUMPRODUCT(($AE57:$AJ57="M")*6+($AE57:$AJ57="T")*6+($AE57:$AJ57="D")*12+($AE57:$AJ57="N")*12+($AE57:$AJ57="NT")*6+($AE57:$AJ57="C")*10+($AE57:$AJ57="A")*8+($AE57:$AJ57="J")*5+($AE57:$AJ57="E")*4+($AE57:$AJ57="P")*6+($AE57:$AJ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123">
        <f>IFERROR(INDEX(JAN!AH$8:AH$73,MATCH($A58,JAN!$A$8:$A$73,0))&amp;"","")</f>
        <v/>
      </c>
      <c r="D58" s="123">
        <f>IFERROR(INDEX(JAN!AI$8:AI$73,MATCH($A58,JAN!$A$8:$A$73,0))&amp;"","")</f>
        <v/>
      </c>
      <c r="E58" s="123">
        <f>IFERROR(INDEX(JAN!AJ$8:AJ$73,MATCH($A58,JAN!$A$8:$A$73,0))&amp;"","")</f>
        <v/>
      </c>
      <c r="F58" s="123">
        <f>IFERROR(INDEX(JAN!AK$8:AK$73,MATCH($A58,JAN!$A$8:$A$73,0))&amp;"","")</f>
        <v/>
      </c>
      <c r="G58" s="123">
        <f>IFERROR(INDEX(JAN!AL$8:AL$73,MATCH($A58,JAN!$A$8:$A$73,0))&amp;"","")</f>
        <v/>
      </c>
      <c r="H58" s="109">
        <f>IFERROR(INDEX(JAN!AM$8:AM$73,MATCH($A58,JAN!$A$8:$A$73,0))&amp;"","")</f>
        <v/>
      </c>
      <c r="I58" s="107" t="n"/>
      <c r="J58" s="107" t="n"/>
      <c r="K58" s="107" t="n"/>
      <c r="L58" s="107" t="n"/>
      <c r="M58" s="107" t="n"/>
      <c r="N58" s="116" t="inlineStr">
        <is>
          <t>N</t>
        </is>
      </c>
      <c r="O58" s="107" t="n"/>
      <c r="P58" s="117" t="inlineStr">
        <is>
          <t>T</t>
        </is>
      </c>
      <c r="Q58" s="115" t="inlineStr">
        <is>
          <t>D</t>
        </is>
      </c>
      <c r="R58" s="107" t="n"/>
      <c r="S58" s="116" t="inlineStr">
        <is>
          <t>N</t>
        </is>
      </c>
      <c r="T58" s="107" t="n"/>
      <c r="U58" s="107" t="n"/>
      <c r="V58" s="107" t="n"/>
      <c r="W58" s="107" t="n"/>
      <c r="X58" s="107" t="n"/>
      <c r="Y58" s="107" t="n"/>
      <c r="Z58" s="116" t="inlineStr">
        <is>
          <t>N</t>
        </is>
      </c>
      <c r="AA58" s="107" t="n"/>
      <c r="AB58" s="107" t="n"/>
      <c r="AC58" s="115" t="inlineStr">
        <is>
          <t>D</t>
        </is>
      </c>
      <c r="AD58" s="107" t="n"/>
      <c r="AE58" s="117" t="inlineStr">
        <is>
          <t>T</t>
        </is>
      </c>
      <c r="AF58" s="107" t="n"/>
      <c r="AG58" s="116" t="inlineStr">
        <is>
          <t>N</t>
        </is>
      </c>
      <c r="AH58" s="107" t="n"/>
      <c r="AI58" s="107" t="n"/>
      <c r="AJ58" s="117" t="inlineStr">
        <is>
          <t>T</t>
        </is>
      </c>
      <c r="AK58" s="96" t="n"/>
      <c r="AL58" s="96" t="n"/>
      <c r="AM58" s="96" t="n"/>
      <c r="AN58" s="109">
        <f>IFERROR(INDEX(MAR!I$8:I$73,MATCH($A58,MAR!$A$8:$A$73,0))&amp;"","")</f>
        <v/>
      </c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ROUND(B58*4.0,0)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SUMPRODUCT(($C58:$I58="M")*6+($C58:$I58="T")*6+($C58:$I58="D")*12+($C58:$I58="N")*12+($C58:$I58="NT")*6+($C58:$I58="C")*10+($C58:$I58="A")*8+($C58:$I58="J")*5+($C58:$I58="E")*4+($C58:$I58="P")*6+($C58:$I58="R")*6)</f>
        <v/>
      </c>
      <c r="BF58" s="110">
        <f>SUMPRODUCT(($J58:$P58="M")*6+($J58:$P58="T")*6+($J58:$P58="D")*12+($J58:$P58="N")*12+($J58:$P58="NT")*6+($J58:$P58="C")*10+($J58:$P58="A")*8+($J58:$P58="J")*5+($J58:$P58="E")*4+($J58:$P58="P")*6+($J58:$P58="R")*6)</f>
        <v/>
      </c>
      <c r="BG58" s="110">
        <f>SUMPRODUCT(($Q58:$W58="M")*6+($Q58:$W58="T")*6+($Q58:$W58="D")*12+($Q58:$W58="N")*12+($Q58:$W58="NT")*6+($Q58:$W58="C")*10+($Q58:$W58="A")*8+($Q58:$W58="J")*5+($Q58:$W58="E")*4+($Q58:$W58="P")*6+($Q58:$W58="R")*6)</f>
        <v/>
      </c>
      <c r="BH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I58" s="110">
        <f>SUMPRODUCT(($AE58:$AJ58="M")*6+($AE58:$AJ58="T")*6+($AE58:$AJ58="D")*12+($AE58:$AJ58="N")*12+($AE58:$AJ58="NT")*6+($AE58:$AJ58="C")*10+($AE58:$AJ58="A")*8+($AE58:$AJ58="J")*5+($AE58:$AJ58="E")*4+($AE58:$AJ58="P")*6+($AE58:$AJ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123">
        <f>IFERROR(INDEX(JAN!AH$8:AH$73,MATCH($A59,JAN!$A$8:$A$73,0))&amp;"","")</f>
        <v/>
      </c>
      <c r="D59" s="123">
        <f>IFERROR(INDEX(JAN!AI$8:AI$73,MATCH($A59,JAN!$A$8:$A$73,0))&amp;"","")</f>
        <v/>
      </c>
      <c r="E59" s="123">
        <f>IFERROR(INDEX(JAN!AJ$8:AJ$73,MATCH($A59,JAN!$A$8:$A$73,0))&amp;"","")</f>
        <v/>
      </c>
      <c r="F59" s="123">
        <f>IFERROR(INDEX(JAN!AK$8:AK$73,MATCH($A59,JAN!$A$8:$A$73,0))&amp;"","")</f>
        <v/>
      </c>
      <c r="G59" s="123">
        <f>IFERROR(INDEX(JAN!AL$8:AL$73,MATCH($A59,JAN!$A$8:$A$73,0))&amp;"","")</f>
        <v/>
      </c>
      <c r="H59" s="109">
        <f>IFERROR(INDEX(JAN!AM$8:AM$73,MATCH($A59,JAN!$A$8:$A$73,0))&amp;"","")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96" t="n"/>
      <c r="AL59" s="96" t="n"/>
      <c r="AM59" s="96" t="n"/>
      <c r="AN59" s="109">
        <f>IFERROR(INDEX(MAR!I$8:I$73,MATCH($A59,MAR!$A$8:$A$73,0))&amp;"","")</f>
        <v/>
      </c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ROUND(B59*4.0,0)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SUMPRODUCT(($C59:$I59="M")*6+($C59:$I59="T")*6+($C59:$I59="D")*12+($C59:$I59="N")*12+($C59:$I59="NT")*6+($C59:$I59="C")*10+($C59:$I59="A")*8+($C59:$I59="J")*5+($C59:$I59="E")*4+($C59:$I59="P")*6+($C59:$I59="R")*6)</f>
        <v/>
      </c>
      <c r="BF59" s="110">
        <f>SUMPRODUCT(($J59:$P59="M")*6+($J59:$P59="T")*6+($J59:$P59="D")*12+($J59:$P59="N")*12+($J59:$P59="NT")*6+($J59:$P59="C")*10+($J59:$P59="A")*8+($J59:$P59="J")*5+($J59:$P59="E")*4+($J59:$P59="P")*6+($J59:$P59="R")*6)</f>
        <v/>
      </c>
      <c r="BG59" s="110">
        <f>SUMPRODUCT(($Q59:$W59="M")*6+($Q59:$W59="T")*6+($Q59:$W59="D")*12+($Q59:$W59="N")*12+($Q59:$W59="NT")*6+($Q59:$W59="C")*10+($Q59:$W59="A")*8+($Q59:$W59="J")*5+($Q59:$W59="E")*4+($Q59:$W59="P")*6+($Q59:$W59="R")*6)</f>
        <v/>
      </c>
      <c r="BH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I59" s="110">
        <f>SUMPRODUCT(($AE59:$AJ59="M")*6+($AE59:$AJ59="T")*6+($AE59:$AJ59="D")*12+($AE59:$AJ59="N")*12+($AE59:$AJ59="NT")*6+($AE59:$AJ59="C")*10+($AE59:$AJ59="A")*8+($AE59:$AJ59="J")*5+($AE59:$AJ59="E")*4+($AE59:$AJ59="P")*6+($AE59:$AJ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123">
        <f>IFERROR(INDEX(JAN!AH$8:AH$73,MATCH($A60,JAN!$A$8:$A$73,0))&amp;"","")</f>
        <v/>
      </c>
      <c r="D60" s="123">
        <f>IFERROR(INDEX(JAN!AI$8:AI$73,MATCH($A60,JAN!$A$8:$A$73,0))&amp;"","")</f>
        <v/>
      </c>
      <c r="E60" s="123">
        <f>IFERROR(INDEX(JAN!AJ$8:AJ$73,MATCH($A60,JAN!$A$8:$A$73,0))&amp;"","")</f>
        <v/>
      </c>
      <c r="F60" s="123">
        <f>IFERROR(INDEX(JAN!AK$8:AK$73,MATCH($A60,JAN!$A$8:$A$73,0))&amp;"","")</f>
        <v/>
      </c>
      <c r="G60" s="123">
        <f>IFERROR(INDEX(JAN!AL$8:AL$73,MATCH($A60,JAN!$A$8:$A$73,0))&amp;"","")</f>
        <v/>
      </c>
      <c r="H60" s="109">
        <f>IFERROR(INDEX(JAN!AM$8:AM$73,MATCH($A60,JAN!$A$8:$A$73,0))&amp;"","")</f>
        <v/>
      </c>
      <c r="I60" s="108" t="inlineStr">
        <is>
          <t>M</t>
        </is>
      </c>
      <c r="J60" s="107" t="n"/>
      <c r="K60" s="107" t="n"/>
      <c r="L60" s="117" t="inlineStr">
        <is>
          <t>T</t>
        </is>
      </c>
      <c r="M60" s="107" t="n"/>
      <c r="N60" s="117" t="inlineStr">
        <is>
          <t>T</t>
        </is>
      </c>
      <c r="O60" s="107" t="n"/>
      <c r="P60" s="115" t="inlineStr">
        <is>
          <t>D</t>
        </is>
      </c>
      <c r="Q60" s="107" t="n"/>
      <c r="R60" s="117" t="inlineStr">
        <is>
          <t>T</t>
        </is>
      </c>
      <c r="S60" s="107" t="n"/>
      <c r="T60" s="115" t="inlineStr">
        <is>
          <t>D</t>
        </is>
      </c>
      <c r="U60" s="117" t="inlineStr">
        <is>
          <t>T</t>
        </is>
      </c>
      <c r="V60" s="107" t="n"/>
      <c r="W60" s="107" t="n"/>
      <c r="X60" s="107" t="n"/>
      <c r="Y60" s="115" t="inlineStr">
        <is>
          <t>D</t>
        </is>
      </c>
      <c r="Z60" s="107" t="n"/>
      <c r="AA60" s="107" t="n"/>
      <c r="AB60" s="107" t="n"/>
      <c r="AC60" s="107" t="n"/>
      <c r="AD60" s="115" t="inlineStr">
        <is>
          <t>D</t>
        </is>
      </c>
      <c r="AE60" s="107" t="n"/>
      <c r="AF60" s="107" t="n"/>
      <c r="AG60" s="107" t="n"/>
      <c r="AH60" s="107" t="n"/>
      <c r="AI60" s="116" t="inlineStr">
        <is>
          <t>N</t>
        </is>
      </c>
      <c r="AJ60" s="107" t="n"/>
      <c r="AK60" s="96" t="n"/>
      <c r="AL60" s="96" t="n"/>
      <c r="AM60" s="96" t="n"/>
      <c r="AN60" s="109">
        <f>IFERROR(INDEX(MAR!I$8:I$73,MATCH($A60,MAR!$A$8:$A$73,0))&amp;"","")</f>
        <v/>
      </c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ROUND(B60*4.0,0)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SUMPRODUCT(($C60:$I60="M")*6+($C60:$I60="T")*6+($C60:$I60="D")*12+($C60:$I60="N")*12+($C60:$I60="NT")*6+($C60:$I60="C")*10+($C60:$I60="A")*8+($C60:$I60="J")*5+($C60:$I60="E")*4+($C60:$I60="P")*6+($C60:$I60="R")*6)</f>
        <v/>
      </c>
      <c r="BF60" s="110">
        <f>SUMPRODUCT(($J60:$P60="M")*6+($J60:$P60="T")*6+($J60:$P60="D")*12+($J60:$P60="N")*12+($J60:$P60="NT")*6+($J60:$P60="C")*10+($J60:$P60="A")*8+($J60:$P60="J")*5+($J60:$P60="E")*4+($J60:$P60="P")*6+($J60:$P60="R")*6)</f>
        <v/>
      </c>
      <c r="BG60" s="110">
        <f>SUMPRODUCT(($Q60:$W60="M")*6+($Q60:$W60="T")*6+($Q60:$W60="D")*12+($Q60:$W60="N")*12+($Q60:$W60="NT")*6+($Q60:$W60="C")*10+($Q60:$W60="A")*8+($Q60:$W60="J")*5+($Q60:$W60="E")*4+($Q60:$W60="P")*6+($Q60:$W60="R")*6)</f>
        <v/>
      </c>
      <c r="BH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I60" s="110">
        <f>SUMPRODUCT(($AE60:$AJ60="M")*6+($AE60:$AJ60="T")*6+($AE60:$AJ60="D")*12+($AE60:$AJ60="N")*12+($AE60:$AJ60="NT")*6+($AE60:$AJ60="C")*10+($AE60:$AJ60="A")*8+($AE60:$AJ60="J")*5+($AE60:$AJ60="E")*4+($AE60:$AJ60="P")*6+($AE60:$AJ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123">
        <f>IFERROR(INDEX(JAN!AH$8:AH$73,MATCH($A61,JAN!$A$8:$A$73,0))&amp;"","")</f>
        <v/>
      </c>
      <c r="D61" s="123">
        <f>IFERROR(INDEX(JAN!AI$8:AI$73,MATCH($A61,JAN!$A$8:$A$73,0))&amp;"","")</f>
        <v/>
      </c>
      <c r="E61" s="123">
        <f>IFERROR(INDEX(JAN!AJ$8:AJ$73,MATCH($A61,JAN!$A$8:$A$73,0))&amp;"","")</f>
        <v/>
      </c>
      <c r="F61" s="123">
        <f>IFERROR(INDEX(JAN!AK$8:AK$73,MATCH($A61,JAN!$A$8:$A$73,0))&amp;"","")</f>
        <v/>
      </c>
      <c r="G61" s="123">
        <f>IFERROR(INDEX(JAN!AL$8:AL$73,MATCH($A61,JAN!$A$8:$A$73,0))&amp;"","")</f>
        <v/>
      </c>
      <c r="H61" s="109">
        <f>IFERROR(INDEX(JAN!AM$8:AM$73,MATCH($A61,JAN!$A$8:$A$73,0))&amp;"","")</f>
        <v/>
      </c>
      <c r="I61" s="107" t="n"/>
      <c r="J61" s="115" t="inlineStr">
        <is>
          <t>D</t>
        </is>
      </c>
      <c r="K61" s="107" t="n"/>
      <c r="L61" s="107" t="n"/>
      <c r="M61" s="107" t="n"/>
      <c r="N61" s="115" t="inlineStr">
        <is>
          <t>D</t>
        </is>
      </c>
      <c r="O61" s="107" t="n"/>
      <c r="P61" s="107" t="n"/>
      <c r="Q61" s="115" t="inlineStr">
        <is>
          <t>D</t>
        </is>
      </c>
      <c r="R61" s="107" t="n"/>
      <c r="S61" s="107" t="n"/>
      <c r="T61" s="107" t="n"/>
      <c r="U61" s="107" t="n"/>
      <c r="V61" s="107" t="n"/>
      <c r="W61" s="115" t="inlineStr">
        <is>
          <t>D</t>
        </is>
      </c>
      <c r="X61" s="115" t="inlineStr">
        <is>
          <t>D</t>
        </is>
      </c>
      <c r="Y61" s="107" t="n"/>
      <c r="Z61" s="107" t="n"/>
      <c r="AA61" s="107" t="n"/>
      <c r="AB61" s="107" t="n"/>
      <c r="AC61" s="116" t="inlineStr">
        <is>
          <t>N</t>
        </is>
      </c>
      <c r="AD61" s="107" t="n"/>
      <c r="AE61" s="115" t="inlineStr">
        <is>
          <t>D</t>
        </is>
      </c>
      <c r="AF61" s="107" t="n"/>
      <c r="AG61" s="107" t="n"/>
      <c r="AH61" s="107" t="n"/>
      <c r="AI61" s="117" t="inlineStr">
        <is>
          <t>T</t>
        </is>
      </c>
      <c r="AJ61" s="107" t="n"/>
      <c r="AK61" s="96" t="n"/>
      <c r="AL61" s="96" t="n"/>
      <c r="AM61" s="96" t="n"/>
      <c r="AN61" s="109">
        <f>IFERROR(INDEX(MAR!I$8:I$73,MATCH($A61,MAR!$A$8:$A$73,0))&amp;"","")</f>
        <v/>
      </c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ROUND(B61*4.0,0)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SUMPRODUCT(($C61:$I61="M")*6+($C61:$I61="T")*6+($C61:$I61="D")*12+($C61:$I61="N")*12+($C61:$I61="NT")*6+($C61:$I61="C")*10+($C61:$I61="A")*8+($C61:$I61="J")*5+($C61:$I61="E")*4+($C61:$I61="P")*6+($C61:$I61="R")*6)</f>
        <v/>
      </c>
      <c r="BF61" s="110">
        <f>SUMPRODUCT(($J61:$P61="M")*6+($J61:$P61="T")*6+($J61:$P61="D")*12+($J61:$P61="N")*12+($J61:$P61="NT")*6+($J61:$P61="C")*10+($J61:$P61="A")*8+($J61:$P61="J")*5+($J61:$P61="E")*4+($J61:$P61="P")*6+($J61:$P61="R")*6)</f>
        <v/>
      </c>
      <c r="BG61" s="110">
        <f>SUMPRODUCT(($Q61:$W61="M")*6+($Q61:$W61="T")*6+($Q61:$W61="D")*12+($Q61:$W61="N")*12+($Q61:$W61="NT")*6+($Q61:$W61="C")*10+($Q61:$W61="A")*8+($Q61:$W61="J")*5+($Q61:$W61="E")*4+($Q61:$W61="P")*6+($Q61:$W61="R")*6)</f>
        <v/>
      </c>
      <c r="BH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I61" s="110">
        <f>SUMPRODUCT(($AE61:$AJ61="M")*6+($AE61:$AJ61="T")*6+($AE61:$AJ61="D")*12+($AE61:$AJ61="N")*12+($AE61:$AJ61="NT")*6+($AE61:$AJ61="C")*10+($AE61:$AJ61="A")*8+($AE61:$AJ61="J")*5+($AE61:$AJ61="E")*4+($AE61:$AJ61="P")*6+($AE61:$AJ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123">
        <f>IFERROR(INDEX(JAN!AH$8:AH$73,MATCH($A62,JAN!$A$8:$A$73,0))&amp;"","")</f>
        <v/>
      </c>
      <c r="D62" s="123">
        <f>IFERROR(INDEX(JAN!AI$8:AI$73,MATCH($A62,JAN!$A$8:$A$73,0))&amp;"","")</f>
        <v/>
      </c>
      <c r="E62" s="123">
        <f>IFERROR(INDEX(JAN!AJ$8:AJ$73,MATCH($A62,JAN!$A$8:$A$73,0))&amp;"","")</f>
        <v/>
      </c>
      <c r="F62" s="123">
        <f>IFERROR(INDEX(JAN!AK$8:AK$73,MATCH($A62,JAN!$A$8:$A$73,0))&amp;"","")</f>
        <v/>
      </c>
      <c r="G62" s="123">
        <f>IFERROR(INDEX(JAN!AL$8:AL$73,MATCH($A62,JAN!$A$8:$A$73,0))&amp;"","")</f>
        <v/>
      </c>
      <c r="H62" s="109">
        <f>IFERROR(INDEX(JAN!AM$8:AM$73,MATCH($A62,JAN!$A$8:$A$73,0))&amp;"","")</f>
        <v/>
      </c>
      <c r="I62" s="107" t="n"/>
      <c r="J62" s="107" t="n"/>
      <c r="K62" s="116" t="inlineStr">
        <is>
          <t>N</t>
        </is>
      </c>
      <c r="L62" s="107" t="n"/>
      <c r="M62" s="115" t="inlineStr">
        <is>
          <t>D</t>
        </is>
      </c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15" t="inlineStr">
        <is>
          <t>D</t>
        </is>
      </c>
      <c r="W62" s="115" t="inlineStr">
        <is>
          <t>D</t>
        </is>
      </c>
      <c r="X62" s="107" t="n"/>
      <c r="Y62" s="116" t="inlineStr">
        <is>
          <t>N</t>
        </is>
      </c>
      <c r="Z62" s="107" t="n"/>
      <c r="AA62" s="107" t="n"/>
      <c r="AB62" s="115" t="inlineStr">
        <is>
          <t>D</t>
        </is>
      </c>
      <c r="AC62" s="107" t="n"/>
      <c r="AD62" s="107" t="n"/>
      <c r="AE62" s="107" t="n"/>
      <c r="AF62" s="107" t="n"/>
      <c r="AG62" s="107" t="n"/>
      <c r="AH62" s="115" t="inlineStr">
        <is>
          <t>D</t>
        </is>
      </c>
      <c r="AI62" s="116" t="inlineStr">
        <is>
          <t>N</t>
        </is>
      </c>
      <c r="AJ62" s="107" t="n"/>
      <c r="AK62" s="96" t="n"/>
      <c r="AL62" s="96" t="n"/>
      <c r="AM62" s="96" t="n"/>
      <c r="AN62" s="109">
        <f>IFERROR(INDEX(MAR!I$8:I$73,MATCH($A62,MAR!$A$8:$A$73,0))&amp;"","")</f>
        <v/>
      </c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ROUND(B62*4.0,0)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SUMPRODUCT(($C62:$I62="M")*6+($C62:$I62="T")*6+($C62:$I62="D")*12+($C62:$I62="N")*12+($C62:$I62="NT")*6+($C62:$I62="C")*10+($C62:$I62="A")*8+($C62:$I62="J")*5+($C62:$I62="E")*4+($C62:$I62="P")*6+($C62:$I62="R")*6)</f>
        <v/>
      </c>
      <c r="BF62" s="110">
        <f>SUMPRODUCT(($J62:$P62="M")*6+($J62:$P62="T")*6+($J62:$P62="D")*12+($J62:$P62="N")*12+($J62:$P62="NT")*6+($J62:$P62="C")*10+($J62:$P62="A")*8+($J62:$P62="J")*5+($J62:$P62="E")*4+($J62:$P62="P")*6+($J62:$P62="R")*6)</f>
        <v/>
      </c>
      <c r="BG62" s="110">
        <f>SUMPRODUCT(($Q62:$W62="M")*6+($Q62:$W62="T")*6+($Q62:$W62="D")*12+($Q62:$W62="N")*12+($Q62:$W62="NT")*6+($Q62:$W62="C")*10+($Q62:$W62="A")*8+($Q62:$W62="J")*5+($Q62:$W62="E")*4+($Q62:$W62="P")*6+($Q62:$W62="R")*6)</f>
        <v/>
      </c>
      <c r="BH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I62" s="110">
        <f>SUMPRODUCT(($AE62:$AJ62="M")*6+($AE62:$AJ62="T")*6+($AE62:$AJ62="D")*12+($AE62:$AJ62="N")*12+($AE62:$AJ62="NT")*6+($AE62:$AJ62="C")*10+($AE62:$AJ62="A")*8+($AE62:$AJ62="J")*5+($AE62:$AJ62="E")*4+($AE62:$AJ62="P")*6+($AE62:$AJ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123">
        <f>IFERROR(INDEX(JAN!AH$8:AH$73,MATCH($A63,JAN!$A$8:$A$73,0))&amp;"","")</f>
        <v/>
      </c>
      <c r="D63" s="123">
        <f>IFERROR(INDEX(JAN!AI$8:AI$73,MATCH($A63,JAN!$A$8:$A$73,0))&amp;"","")</f>
        <v/>
      </c>
      <c r="E63" s="123">
        <f>IFERROR(INDEX(JAN!AJ$8:AJ$73,MATCH($A63,JAN!$A$8:$A$73,0))&amp;"","")</f>
        <v/>
      </c>
      <c r="F63" s="123">
        <f>IFERROR(INDEX(JAN!AK$8:AK$73,MATCH($A63,JAN!$A$8:$A$73,0))&amp;"","")</f>
        <v/>
      </c>
      <c r="G63" s="123">
        <f>IFERROR(INDEX(JAN!AL$8:AL$73,MATCH($A63,JAN!$A$8:$A$73,0))&amp;"","")</f>
        <v/>
      </c>
      <c r="H63" s="109">
        <f>IFERROR(INDEX(JAN!AM$8:AM$73,MATCH($A63,JAN!$A$8:$A$73,0))&amp;"","")</f>
        <v/>
      </c>
      <c r="I63" s="107" t="n"/>
      <c r="J63" s="107" t="n"/>
      <c r="K63" s="107" t="n"/>
      <c r="L63" s="107" t="n"/>
      <c r="M63" s="115" t="inlineStr">
        <is>
          <t>D</t>
        </is>
      </c>
      <c r="N63" s="107" t="n"/>
      <c r="O63" s="115" t="inlineStr">
        <is>
          <t>D</t>
        </is>
      </c>
      <c r="P63" s="107" t="n"/>
      <c r="Q63" s="107" t="n"/>
      <c r="R63" s="108" t="inlineStr">
        <is>
          <t>M</t>
        </is>
      </c>
      <c r="S63" s="117" t="inlineStr">
        <is>
          <t>T</t>
        </is>
      </c>
      <c r="T63" s="115" t="inlineStr">
        <is>
          <t>D</t>
        </is>
      </c>
      <c r="U63" s="107" t="n"/>
      <c r="V63" s="107" t="n"/>
      <c r="W63" s="107" t="n"/>
      <c r="X63" s="107" t="n"/>
      <c r="Y63" s="107" t="n"/>
      <c r="Z63" s="107" t="n"/>
      <c r="AA63" s="115" t="inlineStr">
        <is>
          <t>D</t>
        </is>
      </c>
      <c r="AB63" s="107" t="n"/>
      <c r="AC63" s="107" t="n"/>
      <c r="AD63" s="115" t="inlineStr">
        <is>
          <t>D</t>
        </is>
      </c>
      <c r="AE63" s="108" t="inlineStr">
        <is>
          <t>M</t>
        </is>
      </c>
      <c r="AF63" s="108" t="inlineStr">
        <is>
          <t>M</t>
        </is>
      </c>
      <c r="AG63" s="107" t="n"/>
      <c r="AH63" s="115" t="inlineStr">
        <is>
          <t>D</t>
        </is>
      </c>
      <c r="AI63" s="107" t="n"/>
      <c r="AJ63" s="107" t="n"/>
      <c r="AK63" s="96" t="n"/>
      <c r="AL63" s="96" t="n"/>
      <c r="AM63" s="96" t="n"/>
      <c r="AN63" s="109">
        <f>IFERROR(INDEX(MAR!I$8:I$73,MATCH($A63,MAR!$A$8:$A$73,0))&amp;"","")</f>
        <v/>
      </c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ROUND(B63*4.0,0)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SUMPRODUCT(($C63:$I63="M")*6+($C63:$I63="T")*6+($C63:$I63="D")*12+($C63:$I63="N")*12+($C63:$I63="NT")*6+($C63:$I63="C")*10+($C63:$I63="A")*8+($C63:$I63="J")*5+($C63:$I63="E")*4+($C63:$I63="P")*6+($C63:$I63="R")*6)</f>
        <v/>
      </c>
      <c r="BF63" s="110">
        <f>SUMPRODUCT(($J63:$P63="M")*6+($J63:$P63="T")*6+($J63:$P63="D")*12+($J63:$P63="N")*12+($J63:$P63="NT")*6+($J63:$P63="C")*10+($J63:$P63="A")*8+($J63:$P63="J")*5+($J63:$P63="E")*4+($J63:$P63="P")*6+($J63:$P63="R")*6)</f>
        <v/>
      </c>
      <c r="BG63" s="110">
        <f>SUMPRODUCT(($Q63:$W63="M")*6+($Q63:$W63="T")*6+($Q63:$W63="D")*12+($Q63:$W63="N")*12+($Q63:$W63="NT")*6+($Q63:$W63="C")*10+($Q63:$W63="A")*8+($Q63:$W63="J")*5+($Q63:$W63="E")*4+($Q63:$W63="P")*6+($Q63:$W63="R")*6)</f>
        <v/>
      </c>
      <c r="BH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I63" s="110">
        <f>SUMPRODUCT(($AE63:$AJ63="M")*6+($AE63:$AJ63="T")*6+($AE63:$AJ63="D")*12+($AE63:$AJ63="N")*12+($AE63:$AJ63="NT")*6+($AE63:$AJ63="C")*10+($AE63:$AJ63="A")*8+($AE63:$AJ63="J")*5+($AE63:$AJ63="E")*4+($AE63:$AJ63="P")*6+($AE63:$AJ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123">
        <f>IFERROR(INDEX(JAN!AH$8:AH$73,MATCH($A64,JAN!$A$8:$A$73,0))&amp;"","")</f>
        <v/>
      </c>
      <c r="D64" s="123">
        <f>IFERROR(INDEX(JAN!AI$8:AI$73,MATCH($A64,JAN!$A$8:$A$73,0))&amp;"","")</f>
        <v/>
      </c>
      <c r="E64" s="123">
        <f>IFERROR(INDEX(JAN!AJ$8:AJ$73,MATCH($A64,JAN!$A$8:$A$73,0))&amp;"","")</f>
        <v/>
      </c>
      <c r="F64" s="123">
        <f>IFERROR(INDEX(JAN!AK$8:AK$73,MATCH($A64,JAN!$A$8:$A$73,0))&amp;"","")</f>
        <v/>
      </c>
      <c r="G64" s="123">
        <f>IFERROR(INDEX(JAN!AL$8:AL$73,MATCH($A64,JAN!$A$8:$A$73,0))&amp;"","")</f>
        <v/>
      </c>
      <c r="H64" s="109">
        <f>IFERROR(INDEX(JAN!AM$8:AM$73,MATCH($A64,JAN!$A$8:$A$73,0))&amp;"","")</f>
        <v/>
      </c>
      <c r="I64" s="107" t="n"/>
      <c r="J64" s="116" t="inlineStr">
        <is>
          <t>N</t>
        </is>
      </c>
      <c r="K64" s="107" t="n"/>
      <c r="L64" s="116" t="inlineStr">
        <is>
          <t>N</t>
        </is>
      </c>
      <c r="M64" s="117" t="inlineStr">
        <is>
          <t>T</t>
        </is>
      </c>
      <c r="N64" s="107" t="n"/>
      <c r="O64" s="107" t="n"/>
      <c r="P64" s="107" t="n"/>
      <c r="Q64" s="107" t="n"/>
      <c r="R64" s="107" t="n"/>
      <c r="S64" s="116" t="inlineStr">
        <is>
          <t>N</t>
        </is>
      </c>
      <c r="T64" s="117" t="inlineStr">
        <is>
          <t>T</t>
        </is>
      </c>
      <c r="U64" s="116" t="inlineStr">
        <is>
          <t>N</t>
        </is>
      </c>
      <c r="V64" s="107" t="n"/>
      <c r="W64" s="107" t="n"/>
      <c r="X64" s="107" t="n"/>
      <c r="Y64" s="107" t="n"/>
      <c r="Z64" s="107" t="n"/>
      <c r="AA64" s="117" t="inlineStr">
        <is>
          <t>T</t>
        </is>
      </c>
      <c r="AB64" s="107" t="n"/>
      <c r="AC64" s="116" t="inlineStr">
        <is>
          <t>N</t>
        </is>
      </c>
      <c r="AD64" s="116" t="inlineStr">
        <is>
          <t>N</t>
        </is>
      </c>
      <c r="AE64" s="107" t="n"/>
      <c r="AF64" s="107" t="n"/>
      <c r="AG64" s="116" t="inlineStr">
        <is>
          <t>N</t>
        </is>
      </c>
      <c r="AH64" s="116" t="inlineStr">
        <is>
          <t>N</t>
        </is>
      </c>
      <c r="AI64" s="107" t="n"/>
      <c r="AJ64" s="117" t="inlineStr">
        <is>
          <t>T</t>
        </is>
      </c>
      <c r="AK64" s="96" t="n"/>
      <c r="AL64" s="96" t="n"/>
      <c r="AM64" s="96" t="n"/>
      <c r="AN64" s="109">
        <f>IFERROR(INDEX(MAR!I$8:I$73,MATCH($A64,MAR!$A$8:$A$73,0))&amp;"","")</f>
        <v/>
      </c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ROUND(B64*4.0,0)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SUMPRODUCT(($C64:$I64="M")*6+($C64:$I64="T")*6+($C64:$I64="D")*12+($C64:$I64="N")*12+($C64:$I64="NT")*6+($C64:$I64="C")*10+($C64:$I64="A")*8+($C64:$I64="J")*5+($C64:$I64="E")*4+($C64:$I64="P")*6+($C64:$I64="R")*6)</f>
        <v/>
      </c>
      <c r="BF64" s="110">
        <f>SUMPRODUCT(($J64:$P64="M")*6+($J64:$P64="T")*6+($J64:$P64="D")*12+($J64:$P64="N")*12+($J64:$P64="NT")*6+($J64:$P64="C")*10+($J64:$P64="A")*8+($J64:$P64="J")*5+($J64:$P64="E")*4+($J64:$P64="P")*6+($J64:$P64="R")*6)</f>
        <v/>
      </c>
      <c r="BG64" s="110">
        <f>SUMPRODUCT(($Q64:$W64="M")*6+($Q64:$W64="T")*6+($Q64:$W64="D")*12+($Q64:$W64="N")*12+($Q64:$W64="NT")*6+($Q64:$W64="C")*10+($Q64:$W64="A")*8+($Q64:$W64="J")*5+($Q64:$W64="E")*4+($Q64:$W64="P")*6+($Q64:$W64="R")*6)</f>
        <v/>
      </c>
      <c r="BH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I64" s="110">
        <f>SUMPRODUCT(($AE64:$AJ64="M")*6+($AE64:$AJ64="T")*6+($AE64:$AJ64="D")*12+($AE64:$AJ64="N")*12+($AE64:$AJ64="NT")*6+($AE64:$AJ64="C")*10+($AE64:$AJ64="A")*8+($AE64:$AJ64="J")*5+($AE64:$AJ64="E")*4+($AE64:$AJ64="P")*6+($AE64:$AJ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123">
        <f>IFERROR(INDEX(JAN!AH$8:AH$73,MATCH($A65,JAN!$A$8:$A$73,0))&amp;"","")</f>
        <v/>
      </c>
      <c r="D65" s="123">
        <f>IFERROR(INDEX(JAN!AI$8:AI$73,MATCH($A65,JAN!$A$8:$A$73,0))&amp;"","")</f>
        <v/>
      </c>
      <c r="E65" s="123">
        <f>IFERROR(INDEX(JAN!AJ$8:AJ$73,MATCH($A65,JAN!$A$8:$A$73,0))&amp;"","")</f>
        <v/>
      </c>
      <c r="F65" s="123">
        <f>IFERROR(INDEX(JAN!AK$8:AK$73,MATCH($A65,JAN!$A$8:$A$73,0))&amp;"","")</f>
        <v/>
      </c>
      <c r="G65" s="123">
        <f>IFERROR(INDEX(JAN!AL$8:AL$73,MATCH($A65,JAN!$A$8:$A$73,0))&amp;"","")</f>
        <v/>
      </c>
      <c r="H65" s="109">
        <f>IFERROR(INDEX(JAN!AM$8:AM$73,MATCH($A65,JAN!$A$8:$A$73,0))&amp;"","")</f>
        <v/>
      </c>
      <c r="I65" s="108" t="inlineStr">
        <is>
          <t>M</t>
        </is>
      </c>
      <c r="J65" s="107" t="n"/>
      <c r="K65" s="107" t="n"/>
      <c r="L65" s="115" t="inlineStr">
        <is>
          <t>D</t>
        </is>
      </c>
      <c r="M65" s="108" t="inlineStr">
        <is>
          <t>M</t>
        </is>
      </c>
      <c r="N65" s="115" t="inlineStr">
        <is>
          <t>D</t>
        </is>
      </c>
      <c r="O65" s="107" t="n"/>
      <c r="P65" s="107" t="n"/>
      <c r="Q65" s="107" t="n"/>
      <c r="R65" s="107" t="n"/>
      <c r="S65" s="107" t="n"/>
      <c r="T65" s="107" t="n"/>
      <c r="U65" s="115" t="inlineStr">
        <is>
          <t>D</t>
        </is>
      </c>
      <c r="V65" s="115" t="inlineStr">
        <is>
          <t>D</t>
        </is>
      </c>
      <c r="W65" s="107" t="n"/>
      <c r="X65" s="107" t="n"/>
      <c r="Y65" s="107" t="n"/>
      <c r="Z65" s="115" t="inlineStr">
        <is>
          <t>D</t>
        </is>
      </c>
      <c r="AA65" s="107" t="n"/>
      <c r="AB65" s="115" t="inlineStr">
        <is>
          <t>D</t>
        </is>
      </c>
      <c r="AC65" s="107" t="n"/>
      <c r="AD65" s="107" t="n"/>
      <c r="AE65" s="107" t="n"/>
      <c r="AF65" s="107" t="n"/>
      <c r="AG65" s="115" t="inlineStr">
        <is>
          <t>D</t>
        </is>
      </c>
      <c r="AH65" s="107" t="n"/>
      <c r="AI65" s="115" t="inlineStr">
        <is>
          <t>D</t>
        </is>
      </c>
      <c r="AJ65" s="107" t="n"/>
      <c r="AK65" s="96" t="n"/>
      <c r="AL65" s="96" t="n"/>
      <c r="AM65" s="96" t="n"/>
      <c r="AN65" s="109">
        <f>IFERROR(INDEX(MAR!I$8:I$73,MATCH($A65,MAR!$A$8:$A$73,0))&amp;"","")</f>
        <v/>
      </c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ROUND(B65*4.0,0)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SUMPRODUCT(($C65:$I65="M")*6+($C65:$I65="T")*6+($C65:$I65="D")*12+($C65:$I65="N")*12+($C65:$I65="NT")*6+($C65:$I65="C")*10+($C65:$I65="A")*8+($C65:$I65="J")*5+($C65:$I65="E")*4+($C65:$I65="P")*6+($C65:$I65="R")*6)</f>
        <v/>
      </c>
      <c r="BF65" s="110">
        <f>SUMPRODUCT(($J65:$P65="M")*6+($J65:$P65="T")*6+($J65:$P65="D")*12+($J65:$P65="N")*12+($J65:$P65="NT")*6+($J65:$P65="C")*10+($J65:$P65="A")*8+($J65:$P65="J")*5+($J65:$P65="E")*4+($J65:$P65="P")*6+($J65:$P65="R")*6)</f>
        <v/>
      </c>
      <c r="BG65" s="110">
        <f>SUMPRODUCT(($Q65:$W65="M")*6+($Q65:$W65="T")*6+($Q65:$W65="D")*12+($Q65:$W65="N")*12+($Q65:$W65="NT")*6+($Q65:$W65="C")*10+($Q65:$W65="A")*8+($Q65:$W65="J")*5+($Q65:$W65="E")*4+($Q65:$W65="P")*6+($Q65:$W65="R")*6)</f>
        <v/>
      </c>
      <c r="BH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I65" s="110">
        <f>SUMPRODUCT(($AE65:$AJ65="M")*6+($AE65:$AJ65="T")*6+($AE65:$AJ65="D")*12+($AE65:$AJ65="N")*12+($AE65:$AJ65="NT")*6+($AE65:$AJ65="C")*10+($AE65:$AJ65="A")*8+($AE65:$AJ65="J")*5+($AE65:$AJ65="E")*4+($AE65:$AJ65="P")*6+($AE65:$AJ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123">
        <f>IFERROR(INDEX(JAN!AH$8:AH$73,MATCH($A66,JAN!$A$8:$A$73,0))&amp;"","")</f>
        <v/>
      </c>
      <c r="D66" s="123">
        <f>IFERROR(INDEX(JAN!AI$8:AI$73,MATCH($A66,JAN!$A$8:$A$73,0))&amp;"","")</f>
        <v/>
      </c>
      <c r="E66" s="123">
        <f>IFERROR(INDEX(JAN!AJ$8:AJ$73,MATCH($A66,JAN!$A$8:$A$73,0))&amp;"","")</f>
        <v/>
      </c>
      <c r="F66" s="123">
        <f>IFERROR(INDEX(JAN!AK$8:AK$73,MATCH($A66,JAN!$A$8:$A$73,0))&amp;"","")</f>
        <v/>
      </c>
      <c r="G66" s="123">
        <f>IFERROR(INDEX(JAN!AL$8:AL$73,MATCH($A66,JAN!$A$8:$A$73,0))&amp;"","")</f>
        <v/>
      </c>
      <c r="H66" s="109">
        <f>IFERROR(INDEX(JAN!AM$8:AM$73,MATCH($A66,JAN!$A$8:$A$73,0))&amp;"","")</f>
        <v/>
      </c>
      <c r="I66" s="107" t="n"/>
      <c r="J66" s="116" t="inlineStr">
        <is>
          <t>N</t>
        </is>
      </c>
      <c r="K66" s="117" t="inlineStr">
        <is>
          <t>T</t>
        </is>
      </c>
      <c r="L66" s="107" t="n"/>
      <c r="M66" s="107" t="n"/>
      <c r="N66" s="117" t="inlineStr">
        <is>
          <t>T</t>
        </is>
      </c>
      <c r="O66" s="116" t="inlineStr">
        <is>
          <t>N</t>
        </is>
      </c>
      <c r="P66" s="107" t="n"/>
      <c r="Q66" s="116" t="inlineStr">
        <is>
          <t>N</t>
        </is>
      </c>
      <c r="R66" s="117" t="inlineStr">
        <is>
          <t>T</t>
        </is>
      </c>
      <c r="S66" s="116" t="inlineStr">
        <is>
          <t>N</t>
        </is>
      </c>
      <c r="T66" s="117" t="inlineStr">
        <is>
          <t>T</t>
        </is>
      </c>
      <c r="U66" s="107" t="n"/>
      <c r="V66" s="107" t="n"/>
      <c r="W66" s="107" t="n"/>
      <c r="X66" s="107" t="n"/>
      <c r="Y66" s="107" t="n"/>
      <c r="Z66" s="116" t="inlineStr">
        <is>
          <t>N</t>
        </is>
      </c>
      <c r="AA66" s="107" t="n"/>
      <c r="AB66" s="116" t="inlineStr">
        <is>
          <t>N</t>
        </is>
      </c>
      <c r="AC66" s="107" t="n"/>
      <c r="AD66" s="115" t="inlineStr">
        <is>
          <t>D</t>
        </is>
      </c>
      <c r="AE66" s="116" t="inlineStr">
        <is>
          <t>N</t>
        </is>
      </c>
      <c r="AF66" s="117" t="inlineStr">
        <is>
          <t>T</t>
        </is>
      </c>
      <c r="AG66" s="107" t="n"/>
      <c r="AH66" s="107" t="n"/>
      <c r="AI66" s="107" t="n"/>
      <c r="AJ66" s="116" t="inlineStr">
        <is>
          <t>N</t>
        </is>
      </c>
      <c r="AK66" s="96" t="n"/>
      <c r="AL66" s="96" t="n"/>
      <c r="AM66" s="96" t="n"/>
      <c r="AN66" s="109">
        <f>IFERROR(INDEX(MAR!I$8:I$73,MATCH($A66,MAR!$A$8:$A$73,0))&amp;"","")</f>
        <v/>
      </c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ROUND(B66*4.0,0)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SUMPRODUCT(($C66:$I66="M")*6+($C66:$I66="T")*6+($C66:$I66="D")*12+($C66:$I66="N")*12+($C66:$I66="NT")*6+($C66:$I66="C")*10+($C66:$I66="A")*8+($C66:$I66="J")*5+($C66:$I66="E")*4+($C66:$I66="P")*6+($C66:$I66="R")*6)</f>
        <v/>
      </c>
      <c r="BF66" s="110">
        <f>SUMPRODUCT(($J66:$P66="M")*6+($J66:$P66="T")*6+($J66:$P66="D")*12+($J66:$P66="N")*12+($J66:$P66="NT")*6+($J66:$P66="C")*10+($J66:$P66="A")*8+($J66:$P66="J")*5+($J66:$P66="E")*4+($J66:$P66="P")*6+($J66:$P66="R")*6)</f>
        <v/>
      </c>
      <c r="BG66" s="110">
        <f>SUMPRODUCT(($Q66:$W66="M")*6+($Q66:$W66="T")*6+($Q66:$W66="D")*12+($Q66:$W66="N")*12+($Q66:$W66="NT")*6+($Q66:$W66="C")*10+($Q66:$W66="A")*8+($Q66:$W66="J")*5+($Q66:$W66="E")*4+($Q66:$W66="P")*6+($Q66:$W66="R")*6)</f>
        <v/>
      </c>
      <c r="BH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I66" s="110">
        <f>SUMPRODUCT(($AE66:$AJ66="M")*6+($AE66:$AJ66="T")*6+($AE66:$AJ66="D")*12+($AE66:$AJ66="N")*12+($AE66:$AJ66="NT")*6+($AE66:$AJ66="C")*10+($AE66:$AJ66="A")*8+($AE66:$AJ66="J")*5+($AE66:$AJ66="E")*4+($AE66:$AJ66="P")*6+($AE66:$AJ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123">
        <f>IFERROR(INDEX(JAN!AH$8:AH$73,MATCH($A67,JAN!$A$8:$A$73,0))&amp;"","")</f>
        <v/>
      </c>
      <c r="D67" s="123">
        <f>IFERROR(INDEX(JAN!AI$8:AI$73,MATCH($A67,JAN!$A$8:$A$73,0))&amp;"","")</f>
        <v/>
      </c>
      <c r="E67" s="123">
        <f>IFERROR(INDEX(JAN!AJ$8:AJ$73,MATCH($A67,JAN!$A$8:$A$73,0))&amp;"","")</f>
        <v/>
      </c>
      <c r="F67" s="123">
        <f>IFERROR(INDEX(JAN!AK$8:AK$73,MATCH($A67,JAN!$A$8:$A$73,0))&amp;"","")</f>
        <v/>
      </c>
      <c r="G67" s="123">
        <f>IFERROR(INDEX(JAN!AL$8:AL$73,MATCH($A67,JAN!$A$8:$A$73,0))&amp;"","")</f>
        <v/>
      </c>
      <c r="H67" s="109">
        <f>IFERROR(INDEX(JAN!AM$8:AM$73,MATCH($A67,JAN!$A$8:$A$73,0))&amp;"","")</f>
        <v/>
      </c>
      <c r="I67" s="107" t="n"/>
      <c r="J67" s="108" t="inlineStr">
        <is>
          <t>M</t>
        </is>
      </c>
      <c r="K67" s="116" t="inlineStr">
        <is>
          <t>N</t>
        </is>
      </c>
      <c r="L67" s="108" t="inlineStr">
        <is>
          <t>M</t>
        </is>
      </c>
      <c r="M67" s="108" t="inlineStr">
        <is>
          <t>M</t>
        </is>
      </c>
      <c r="N67" s="107" t="n"/>
      <c r="O67" s="107" t="n"/>
      <c r="P67" s="107" t="n"/>
      <c r="Q67" s="108" t="inlineStr">
        <is>
          <t>M</t>
        </is>
      </c>
      <c r="R67" s="107" t="n"/>
      <c r="S67" s="108" t="inlineStr">
        <is>
          <t>M</t>
        </is>
      </c>
      <c r="T67" s="107" t="n"/>
      <c r="U67" s="117" t="inlineStr">
        <is>
          <t>T</t>
        </is>
      </c>
      <c r="V67" s="107" t="n"/>
      <c r="W67" s="116" t="inlineStr">
        <is>
          <t>N</t>
        </is>
      </c>
      <c r="X67" s="108" t="inlineStr">
        <is>
          <t>M</t>
        </is>
      </c>
      <c r="Y67" s="107" t="n"/>
      <c r="Z67" s="108" t="inlineStr">
        <is>
          <t>M</t>
        </is>
      </c>
      <c r="AA67" s="107" t="n"/>
      <c r="AB67" s="116" t="inlineStr">
        <is>
          <t>N</t>
        </is>
      </c>
      <c r="AC67" s="107" t="n"/>
      <c r="AD67" s="108" t="inlineStr">
        <is>
          <t>M</t>
        </is>
      </c>
      <c r="AE67" s="108" t="inlineStr">
        <is>
          <t>M</t>
        </is>
      </c>
      <c r="AF67" s="116" t="inlineStr">
        <is>
          <t>N</t>
        </is>
      </c>
      <c r="AG67" s="108" t="inlineStr">
        <is>
          <t>M</t>
        </is>
      </c>
      <c r="AH67" s="117" t="inlineStr">
        <is>
          <t>T</t>
        </is>
      </c>
      <c r="AI67" s="107" t="n"/>
      <c r="AJ67" s="107" t="n"/>
      <c r="AK67" s="96" t="n"/>
      <c r="AL67" s="96" t="n"/>
      <c r="AM67" s="96" t="n"/>
      <c r="AN67" s="109">
        <f>IFERROR(INDEX(MAR!I$8:I$73,MATCH($A67,MAR!$A$8:$A$73,0))&amp;"","")</f>
        <v/>
      </c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ROUND(B67*4.0,0)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SUMPRODUCT(($C67:$I67="M")*6+($C67:$I67="T")*6+($C67:$I67="D")*12+($C67:$I67="N")*12+($C67:$I67="NT")*6+($C67:$I67="C")*10+($C67:$I67="A")*8+($C67:$I67="J")*5+($C67:$I67="E")*4+($C67:$I67="P")*6+($C67:$I67="R")*6)</f>
        <v/>
      </c>
      <c r="BF67" s="110">
        <f>SUMPRODUCT(($J67:$P67="M")*6+($J67:$P67="T")*6+($J67:$P67="D")*12+($J67:$P67="N")*12+($J67:$P67="NT")*6+($J67:$P67="C")*10+($J67:$P67="A")*8+($J67:$P67="J")*5+($J67:$P67="E")*4+($J67:$P67="P")*6+($J67:$P67="R")*6)</f>
        <v/>
      </c>
      <c r="BG67" s="110">
        <f>SUMPRODUCT(($Q67:$W67="M")*6+($Q67:$W67="T")*6+($Q67:$W67="D")*12+($Q67:$W67="N")*12+($Q67:$W67="NT")*6+($Q67:$W67="C")*10+($Q67:$W67="A")*8+($Q67:$W67="J")*5+($Q67:$W67="E")*4+($Q67:$W67="P")*6+($Q67:$W67="R")*6)</f>
        <v/>
      </c>
      <c r="BH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I67" s="110">
        <f>SUMPRODUCT(($AE67:$AJ67="M")*6+($AE67:$AJ67="T")*6+($AE67:$AJ67="D")*12+($AE67:$AJ67="N")*12+($AE67:$AJ67="NT")*6+($AE67:$AJ67="C")*10+($AE67:$AJ67="A")*8+($AE67:$AJ67="J")*5+($AE67:$AJ67="E")*4+($AE67:$AJ67="P")*6+($AE67:$AJ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123">
        <f>IFERROR(INDEX(JAN!AH$8:AH$73,MATCH($A68,JAN!$A$8:$A$73,0))&amp;"","")</f>
        <v/>
      </c>
      <c r="D68" s="123">
        <f>IFERROR(INDEX(JAN!AI$8:AI$73,MATCH($A68,JAN!$A$8:$A$73,0))&amp;"","")</f>
        <v/>
      </c>
      <c r="E68" s="123">
        <f>IFERROR(INDEX(JAN!AJ$8:AJ$73,MATCH($A68,JAN!$A$8:$A$73,0))&amp;"","")</f>
        <v/>
      </c>
      <c r="F68" s="123">
        <f>IFERROR(INDEX(JAN!AK$8:AK$73,MATCH($A68,JAN!$A$8:$A$73,0))&amp;"","")</f>
        <v/>
      </c>
      <c r="G68" s="123">
        <f>IFERROR(INDEX(JAN!AL$8:AL$73,MATCH($A68,JAN!$A$8:$A$73,0))&amp;"","")</f>
        <v/>
      </c>
      <c r="H68" s="109">
        <f>IFERROR(INDEX(JAN!AM$8:AM$73,MATCH($A68,JAN!$A$8:$A$73,0))&amp;"","")</f>
        <v/>
      </c>
      <c r="I68" s="108" t="inlineStr">
        <is>
          <t>M</t>
        </is>
      </c>
      <c r="J68" s="107" t="n"/>
      <c r="K68" s="107" t="n"/>
      <c r="L68" s="116" t="inlineStr">
        <is>
          <t>N</t>
        </is>
      </c>
      <c r="M68" s="107" t="n"/>
      <c r="N68" s="115" t="inlineStr">
        <is>
          <t>D</t>
        </is>
      </c>
      <c r="O68" s="107" t="n"/>
      <c r="P68" s="107" t="n"/>
      <c r="Q68" s="107" t="n"/>
      <c r="R68" s="107" t="n"/>
      <c r="S68" s="116" t="inlineStr">
        <is>
          <t>N</t>
        </is>
      </c>
      <c r="T68" s="107" t="n"/>
      <c r="U68" s="116" t="inlineStr">
        <is>
          <t>N</t>
        </is>
      </c>
      <c r="V68" s="107" t="n"/>
      <c r="W68" s="107" t="n"/>
      <c r="X68" s="107" t="n"/>
      <c r="Y68" s="107" t="n"/>
      <c r="Z68" s="107" t="n"/>
      <c r="AA68" s="107" t="n"/>
      <c r="AB68" s="115" t="inlineStr">
        <is>
          <t>D</t>
        </is>
      </c>
      <c r="AC68" s="116" t="inlineStr">
        <is>
          <t>N</t>
        </is>
      </c>
      <c r="AD68" s="107" t="n"/>
      <c r="AE68" s="107" t="n"/>
      <c r="AF68" s="107" t="n"/>
      <c r="AG68" s="116" t="inlineStr">
        <is>
          <t>N</t>
        </is>
      </c>
      <c r="AH68" s="107" t="n"/>
      <c r="AI68" s="108" t="inlineStr">
        <is>
          <t>M</t>
        </is>
      </c>
      <c r="AJ68" s="107" t="n"/>
      <c r="AK68" s="96" t="n"/>
      <c r="AL68" s="96" t="n"/>
      <c r="AM68" s="96" t="n"/>
      <c r="AN68" s="109">
        <f>IFERROR(INDEX(MAR!I$8:I$73,MATCH($A68,MAR!$A$8:$A$73,0))&amp;"","")</f>
        <v/>
      </c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ROUND(B68*4.0,0)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SUMPRODUCT(($C68:$I68="M")*6+($C68:$I68="T")*6+($C68:$I68="D")*12+($C68:$I68="N")*12+($C68:$I68="NT")*6+($C68:$I68="C")*10+($C68:$I68="A")*8+($C68:$I68="J")*5+($C68:$I68="E")*4+($C68:$I68="P")*6+($C68:$I68="R")*6)</f>
        <v/>
      </c>
      <c r="BF68" s="110">
        <f>SUMPRODUCT(($J68:$P68="M")*6+($J68:$P68="T")*6+($J68:$P68="D")*12+($J68:$P68="N")*12+($J68:$P68="NT")*6+($J68:$P68="C")*10+($J68:$P68="A")*8+($J68:$P68="J")*5+($J68:$P68="E")*4+($J68:$P68="P")*6+($J68:$P68="R")*6)</f>
        <v/>
      </c>
      <c r="BG68" s="110">
        <f>SUMPRODUCT(($Q68:$W68="M")*6+($Q68:$W68="T")*6+($Q68:$W68="D")*12+($Q68:$W68="N")*12+($Q68:$W68="NT")*6+($Q68:$W68="C")*10+($Q68:$W68="A")*8+($Q68:$W68="J")*5+($Q68:$W68="E")*4+($Q68:$W68="P")*6+($Q68:$W68="R")*6)</f>
        <v/>
      </c>
      <c r="BH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I68" s="110">
        <f>SUMPRODUCT(($AE68:$AJ68="M")*6+($AE68:$AJ68="T")*6+($AE68:$AJ68="D")*12+($AE68:$AJ68="N")*12+($AE68:$AJ68="NT")*6+($AE68:$AJ68="C")*10+($AE68:$AJ68="A")*8+($AE68:$AJ68="J")*5+($AE68:$AJ68="E")*4+($AE68:$AJ68="P")*6+($AE68:$AJ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123">
        <f>IFERROR(INDEX(JAN!AH$8:AH$73,MATCH($A69,JAN!$A$8:$A$73,0))&amp;"","")</f>
        <v/>
      </c>
      <c r="D69" s="123">
        <f>IFERROR(INDEX(JAN!AI$8:AI$73,MATCH($A69,JAN!$A$8:$A$73,0))&amp;"","")</f>
        <v/>
      </c>
      <c r="E69" s="123">
        <f>IFERROR(INDEX(JAN!AJ$8:AJ$73,MATCH($A69,JAN!$A$8:$A$73,0))&amp;"","")</f>
        <v/>
      </c>
      <c r="F69" s="123">
        <f>IFERROR(INDEX(JAN!AK$8:AK$73,MATCH($A69,JAN!$A$8:$A$73,0))&amp;"","")</f>
        <v/>
      </c>
      <c r="G69" s="123">
        <f>IFERROR(INDEX(JAN!AL$8:AL$73,MATCH($A69,JAN!$A$8:$A$73,0))&amp;"","")</f>
        <v/>
      </c>
      <c r="H69" s="109">
        <f>IFERROR(INDEX(JAN!AM$8:AM$73,MATCH($A69,JAN!$A$8:$A$73,0))&amp;"","")</f>
        <v/>
      </c>
      <c r="I69" s="108" t="inlineStr">
        <is>
          <t>M</t>
        </is>
      </c>
      <c r="J69" s="117" t="inlineStr">
        <is>
          <t>T</t>
        </is>
      </c>
      <c r="K69" s="107" t="n"/>
      <c r="L69" s="115" t="inlineStr">
        <is>
          <t>D</t>
        </is>
      </c>
      <c r="M69" s="107" t="n"/>
      <c r="N69" s="107" t="n"/>
      <c r="O69" s="107" t="n"/>
      <c r="P69" s="108" t="inlineStr">
        <is>
          <t>M</t>
        </is>
      </c>
      <c r="Q69" s="107" t="n"/>
      <c r="R69" s="107" t="n"/>
      <c r="S69" s="117" t="inlineStr">
        <is>
          <t>T</t>
        </is>
      </c>
      <c r="T69" s="107" t="n"/>
      <c r="U69" s="117" t="inlineStr">
        <is>
          <t>T</t>
        </is>
      </c>
      <c r="V69" s="115" t="inlineStr">
        <is>
          <t>D</t>
        </is>
      </c>
      <c r="W69" s="107" t="n"/>
      <c r="X69" s="117" t="inlineStr">
        <is>
          <t>T</t>
        </is>
      </c>
      <c r="Y69" s="107" t="n"/>
      <c r="Z69" s="115" t="inlineStr">
        <is>
          <t>D</t>
        </is>
      </c>
      <c r="AA69" s="108" t="inlineStr">
        <is>
          <t>M</t>
        </is>
      </c>
      <c r="AB69" s="107" t="n"/>
      <c r="AC69" s="107" t="n"/>
      <c r="AD69" s="107" t="n"/>
      <c r="AE69" s="107" t="n"/>
      <c r="AF69" s="107" t="n"/>
      <c r="AG69" s="115" t="inlineStr">
        <is>
          <t>D</t>
        </is>
      </c>
      <c r="AH69" s="116" t="inlineStr">
        <is>
          <t>N</t>
        </is>
      </c>
      <c r="AI69" s="107" t="n"/>
      <c r="AJ69" s="107" t="n"/>
      <c r="AK69" s="96" t="n"/>
      <c r="AL69" s="96" t="n"/>
      <c r="AM69" s="96" t="n"/>
      <c r="AN69" s="109">
        <f>IFERROR(INDEX(MAR!I$8:I$73,MATCH($A69,MAR!$A$8:$A$73,0))&amp;"","")</f>
        <v/>
      </c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ROUND(B69*4.0,0)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SUMPRODUCT(($C69:$I69="M")*6+($C69:$I69="T")*6+($C69:$I69="D")*12+($C69:$I69="N")*12+($C69:$I69="NT")*6+($C69:$I69="C")*10+($C69:$I69="A")*8+($C69:$I69="J")*5+($C69:$I69="E")*4+($C69:$I69="P")*6+($C69:$I69="R")*6)</f>
        <v/>
      </c>
      <c r="BF69" s="110">
        <f>SUMPRODUCT(($J69:$P69="M")*6+($J69:$P69="T")*6+($J69:$P69="D")*12+($J69:$P69="N")*12+($J69:$P69="NT")*6+($J69:$P69="C")*10+($J69:$P69="A")*8+($J69:$P69="J")*5+($J69:$P69="E")*4+($J69:$P69="P")*6+($J69:$P69="R")*6)</f>
        <v/>
      </c>
      <c r="BG69" s="110">
        <f>SUMPRODUCT(($Q69:$W69="M")*6+($Q69:$W69="T")*6+($Q69:$W69="D")*12+($Q69:$W69="N")*12+($Q69:$W69="NT")*6+($Q69:$W69="C")*10+($Q69:$W69="A")*8+($Q69:$W69="J")*5+($Q69:$W69="E")*4+($Q69:$W69="P")*6+($Q69:$W69="R")*6)</f>
        <v/>
      </c>
      <c r="BH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I69" s="110">
        <f>SUMPRODUCT(($AE69:$AJ69="M")*6+($AE69:$AJ69="T")*6+($AE69:$AJ69="D")*12+($AE69:$AJ69="N")*12+($AE69:$AJ69="NT")*6+($AE69:$AJ69="C")*10+($AE69:$AJ69="A")*8+($AE69:$AJ69="J")*5+($AE69:$AJ69="E")*4+($AE69:$AJ69="P")*6+($AE69:$AJ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123">
        <f>IFERROR(INDEX(JAN!AH$8:AH$73,MATCH($A70,JAN!$A$8:$A$73,0))&amp;"","")</f>
        <v/>
      </c>
      <c r="D70" s="123">
        <f>IFERROR(INDEX(JAN!AI$8:AI$73,MATCH($A70,JAN!$A$8:$A$73,0))&amp;"","")</f>
        <v/>
      </c>
      <c r="E70" s="123">
        <f>IFERROR(INDEX(JAN!AJ$8:AJ$73,MATCH($A70,JAN!$A$8:$A$73,0))&amp;"","")</f>
        <v/>
      </c>
      <c r="F70" s="123">
        <f>IFERROR(INDEX(JAN!AK$8:AK$73,MATCH($A70,JAN!$A$8:$A$73,0))&amp;"","")</f>
        <v/>
      </c>
      <c r="G70" s="123">
        <f>IFERROR(INDEX(JAN!AL$8:AL$73,MATCH($A70,JAN!$A$8:$A$73,0))&amp;"","")</f>
        <v/>
      </c>
      <c r="H70" s="109">
        <f>IFERROR(INDEX(JAN!AM$8:AM$73,MATCH($A70,JAN!$A$8:$A$73,0))&amp;"","")</f>
        <v/>
      </c>
      <c r="I70" s="107" t="n"/>
      <c r="J70" s="108" t="inlineStr">
        <is>
          <t>M</t>
        </is>
      </c>
      <c r="K70" s="117" t="inlineStr">
        <is>
          <t>T</t>
        </is>
      </c>
      <c r="L70" s="117" t="inlineStr">
        <is>
          <t>T</t>
        </is>
      </c>
      <c r="M70" s="117" t="inlineStr">
        <is>
          <t>T</t>
        </is>
      </c>
      <c r="N70" s="107" t="n"/>
      <c r="O70" s="107" t="n"/>
      <c r="P70" s="107" t="n"/>
      <c r="Q70" s="107" t="n"/>
      <c r="R70" s="116" t="inlineStr">
        <is>
          <t>N</t>
        </is>
      </c>
      <c r="S70" s="107" t="n"/>
      <c r="T70" s="116" t="inlineStr">
        <is>
          <t>N</t>
        </is>
      </c>
      <c r="U70" s="107" t="n"/>
      <c r="V70" s="107" t="n"/>
      <c r="W70" s="107" t="n"/>
      <c r="X70" s="107" t="n"/>
      <c r="Y70" s="117" t="inlineStr">
        <is>
          <t>T</t>
        </is>
      </c>
      <c r="Z70" s="107" t="n"/>
      <c r="AA70" s="117" t="inlineStr">
        <is>
          <t>T</t>
        </is>
      </c>
      <c r="AB70" s="107" t="n"/>
      <c r="AC70" s="107" t="n"/>
      <c r="AD70" s="116" t="inlineStr">
        <is>
          <t>N</t>
        </is>
      </c>
      <c r="AE70" s="107" t="n"/>
      <c r="AF70" s="107" t="n"/>
      <c r="AG70" s="107" t="n"/>
      <c r="AH70" s="117" t="inlineStr">
        <is>
          <t>T</t>
        </is>
      </c>
      <c r="AI70" s="107" t="n"/>
      <c r="AJ70" s="115" t="inlineStr">
        <is>
          <t>D</t>
        </is>
      </c>
      <c r="AK70" s="96" t="n"/>
      <c r="AL70" s="96" t="n"/>
      <c r="AM70" s="96" t="n"/>
      <c r="AN70" s="109">
        <f>IFERROR(INDEX(MAR!I$8:I$73,MATCH($A70,MAR!$A$8:$A$73,0))&amp;"","")</f>
        <v/>
      </c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ROUND(B70*4.0,0)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SUMPRODUCT(($C70:$I70="M")*6+($C70:$I70="T")*6+($C70:$I70="D")*12+($C70:$I70="N")*12+($C70:$I70="NT")*6+($C70:$I70="C")*10+($C70:$I70="A")*8+($C70:$I70="J")*5+($C70:$I70="E")*4+($C70:$I70="P")*6+($C70:$I70="R")*6)</f>
        <v/>
      </c>
      <c r="BF70" s="110">
        <f>SUMPRODUCT(($J70:$P70="M")*6+($J70:$P70="T")*6+($J70:$P70="D")*12+($J70:$P70="N")*12+($J70:$P70="NT")*6+($J70:$P70="C")*10+($J70:$P70="A")*8+($J70:$P70="J")*5+($J70:$P70="E")*4+($J70:$P70="P")*6+($J70:$P70="R")*6)</f>
        <v/>
      </c>
      <c r="BG70" s="110">
        <f>SUMPRODUCT(($Q70:$W70="M")*6+($Q70:$W70="T")*6+($Q70:$W70="D")*12+($Q70:$W70="N")*12+($Q70:$W70="NT")*6+($Q70:$W70="C")*10+($Q70:$W70="A")*8+($Q70:$W70="J")*5+($Q70:$W70="E")*4+($Q70:$W70="P")*6+($Q70:$W70="R")*6)</f>
        <v/>
      </c>
      <c r="BH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I70" s="110">
        <f>SUMPRODUCT(($AE70:$AJ70="M")*6+($AE70:$AJ70="T")*6+($AE70:$AJ70="D")*12+($AE70:$AJ70="N")*12+($AE70:$AJ70="NT")*6+($AE70:$AJ70="C")*10+($AE70:$AJ70="A")*8+($AE70:$AJ70="J")*5+($AE70:$AJ70="E")*4+($AE70:$AJ70="P")*6+($AE70:$AJ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123">
        <f>IFERROR(INDEX(JAN!AH$8:AH$73,MATCH($A71,JAN!$A$8:$A$73,0))&amp;"","")</f>
        <v/>
      </c>
      <c r="D71" s="123">
        <f>IFERROR(INDEX(JAN!AI$8:AI$73,MATCH($A71,JAN!$A$8:$A$73,0))&amp;"","")</f>
        <v/>
      </c>
      <c r="E71" s="123">
        <f>IFERROR(INDEX(JAN!AJ$8:AJ$73,MATCH($A71,JAN!$A$8:$A$73,0))&amp;"","")</f>
        <v/>
      </c>
      <c r="F71" s="123">
        <f>IFERROR(INDEX(JAN!AK$8:AK$73,MATCH($A71,JAN!$A$8:$A$73,0))&amp;"","")</f>
        <v/>
      </c>
      <c r="G71" s="123">
        <f>IFERROR(INDEX(JAN!AL$8:AL$73,MATCH($A71,JAN!$A$8:$A$73,0))&amp;"","")</f>
        <v/>
      </c>
      <c r="H71" s="109">
        <f>IFERROR(INDEX(JAN!AM$8:AM$73,MATCH($A71,JAN!$A$8:$A$73,0))&amp;"","")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15" t="inlineStr">
        <is>
          <t>D</t>
        </is>
      </c>
      <c r="Z71" s="117" t="inlineStr">
        <is>
          <t>T</t>
        </is>
      </c>
      <c r="AA71" s="107" t="n"/>
      <c r="AB71" s="107" t="n"/>
      <c r="AC71" s="107" t="n"/>
      <c r="AD71" s="107" t="n"/>
      <c r="AE71" s="115" t="inlineStr">
        <is>
          <t>D</t>
        </is>
      </c>
      <c r="AF71" s="107" t="n"/>
      <c r="AG71" s="107" t="n"/>
      <c r="AH71" s="107" t="n"/>
      <c r="AI71" s="107" t="n"/>
      <c r="AJ71" s="115" t="inlineStr">
        <is>
          <t>D</t>
        </is>
      </c>
      <c r="AK71" s="96" t="n"/>
      <c r="AL71" s="96" t="n"/>
      <c r="AM71" s="96" t="n"/>
      <c r="AN71" s="109">
        <f>IFERROR(INDEX(MAR!I$8:I$73,MATCH($A71,MAR!$A$8:$A$73,0))&amp;"","")</f>
        <v/>
      </c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ROUND(B71*4.0,0)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SUMPRODUCT(($C71:$I71="M")*6+($C71:$I71="T")*6+($C71:$I71="D")*12+($C71:$I71="N")*12+($C71:$I71="NT")*6+($C71:$I71="C")*10+($C71:$I71="A")*8+($C71:$I71="J")*5+($C71:$I71="E")*4+($C71:$I71="P")*6+($C71:$I71="R")*6)</f>
        <v/>
      </c>
      <c r="BF71" s="110">
        <f>SUMPRODUCT(($J71:$P71="M")*6+($J71:$P71="T")*6+($J71:$P71="D")*12+($J71:$P71="N")*12+($J71:$P71="NT")*6+($J71:$P71="C")*10+($J71:$P71="A")*8+($J71:$P71="J")*5+($J71:$P71="E")*4+($J71:$P71="P")*6+($J71:$P71="R")*6)</f>
        <v/>
      </c>
      <c r="BG71" s="110">
        <f>SUMPRODUCT(($Q71:$W71="M")*6+($Q71:$W71="T")*6+($Q71:$W71="D")*12+($Q71:$W71="N")*12+($Q71:$W71="NT")*6+($Q71:$W71="C")*10+($Q71:$W71="A")*8+($Q71:$W71="J")*5+($Q71:$W71="E")*4+($Q71:$W71="P")*6+($Q71:$W71="R")*6)</f>
        <v/>
      </c>
      <c r="BH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I71" s="110">
        <f>SUMPRODUCT(($AE71:$AJ71="M")*6+($AE71:$AJ71="T")*6+($AE71:$AJ71="D")*12+($AE71:$AJ71="N")*12+($AE71:$AJ71="NT")*6+($AE71:$AJ71="C")*10+($AE71:$AJ71="A")*8+($AE71:$AJ71="J")*5+($AE71:$AJ71="E")*4+($AE71:$AJ71="P")*6+($AE71:$AJ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123">
        <f>IFERROR(INDEX(JAN!AH$8:AH$73,MATCH($A72,JAN!$A$8:$A$73,0))&amp;"","")</f>
        <v/>
      </c>
      <c r="D72" s="123">
        <f>IFERROR(INDEX(JAN!AI$8:AI$73,MATCH($A72,JAN!$A$8:$A$73,0))&amp;"","")</f>
        <v/>
      </c>
      <c r="E72" s="123">
        <f>IFERROR(INDEX(JAN!AJ$8:AJ$73,MATCH($A72,JAN!$A$8:$A$73,0))&amp;"","")</f>
        <v/>
      </c>
      <c r="F72" s="123">
        <f>IFERROR(INDEX(JAN!AK$8:AK$73,MATCH($A72,JAN!$A$8:$A$73,0))&amp;"","")</f>
        <v/>
      </c>
      <c r="G72" s="123">
        <f>IFERROR(INDEX(JAN!AL$8:AL$73,MATCH($A72,JAN!$A$8:$A$73,0))&amp;"","")</f>
        <v/>
      </c>
      <c r="H72" s="109">
        <f>IFERROR(INDEX(JAN!AM$8:AM$73,MATCH($A72,JAN!$A$8:$A$73,0))&amp;"","")</f>
        <v/>
      </c>
      <c r="I72" s="116" t="inlineStr">
        <is>
          <t>N</t>
        </is>
      </c>
      <c r="J72" s="108" t="inlineStr">
        <is>
          <t>M</t>
        </is>
      </c>
      <c r="K72" s="107" t="n"/>
      <c r="L72" s="117" t="inlineStr">
        <is>
          <t>T</t>
        </is>
      </c>
      <c r="M72" s="107" t="n"/>
      <c r="N72" s="107" t="n"/>
      <c r="O72" s="115" t="inlineStr">
        <is>
          <t>D</t>
        </is>
      </c>
      <c r="P72" s="117" t="inlineStr">
        <is>
          <t>T</t>
        </is>
      </c>
      <c r="Q72" s="117" t="inlineStr">
        <is>
          <t>T</t>
        </is>
      </c>
      <c r="R72" s="117" t="inlineStr">
        <is>
          <t>T</t>
        </is>
      </c>
      <c r="S72" s="115" t="inlineStr">
        <is>
          <t>D</t>
        </is>
      </c>
      <c r="T72" s="107" t="n"/>
      <c r="U72" s="107" t="n"/>
      <c r="V72" s="108" t="inlineStr">
        <is>
          <t>M</t>
        </is>
      </c>
      <c r="W72" s="117" t="inlineStr">
        <is>
          <t>T</t>
        </is>
      </c>
      <c r="X72" s="107" t="n"/>
      <c r="Y72" s="117" t="inlineStr">
        <is>
          <t>T</t>
        </is>
      </c>
      <c r="Z72" s="115" t="inlineStr">
        <is>
          <t>D</t>
        </is>
      </c>
      <c r="AA72" s="107" t="n"/>
      <c r="AB72" s="115" t="inlineStr">
        <is>
          <t>D</t>
        </is>
      </c>
      <c r="AC72" s="107" t="n"/>
      <c r="AD72" s="107" t="n"/>
      <c r="AE72" s="108" t="inlineStr">
        <is>
          <t>M</t>
        </is>
      </c>
      <c r="AF72" s="117" t="inlineStr">
        <is>
          <t>T</t>
        </is>
      </c>
      <c r="AG72" s="117" t="inlineStr">
        <is>
          <t>T</t>
        </is>
      </c>
      <c r="AH72" s="107" t="n"/>
      <c r="AI72" s="116" t="inlineStr">
        <is>
          <t>N</t>
        </is>
      </c>
      <c r="AJ72" s="107" t="n"/>
      <c r="AK72" s="96" t="n"/>
      <c r="AL72" s="96" t="n"/>
      <c r="AM72" s="96" t="n"/>
      <c r="AN72" s="109">
        <f>IFERROR(INDEX(MAR!I$8:I$73,MATCH($A72,MAR!$A$8:$A$73,0))&amp;"","")</f>
        <v/>
      </c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ROUND(B72*4.0,0)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SUMPRODUCT(($C72:$I72="M")*6+($C72:$I72="T")*6+($C72:$I72="D")*12+($C72:$I72="N")*12+($C72:$I72="NT")*6+($C72:$I72="C")*10+($C72:$I72="A")*8+($C72:$I72="J")*5+($C72:$I72="E")*4+($C72:$I72="P")*6+($C72:$I72="R")*6)</f>
        <v/>
      </c>
      <c r="BF72" s="110">
        <f>SUMPRODUCT(($J72:$P72="M")*6+($J72:$P72="T")*6+($J72:$P72="D")*12+($J72:$P72="N")*12+($J72:$P72="NT")*6+($J72:$P72="C")*10+($J72:$P72="A")*8+($J72:$P72="J")*5+($J72:$P72="E")*4+($J72:$P72="P")*6+($J72:$P72="R")*6)</f>
        <v/>
      </c>
      <c r="BG72" s="110">
        <f>SUMPRODUCT(($Q72:$W72="M")*6+($Q72:$W72="T")*6+($Q72:$W72="D")*12+($Q72:$W72="N")*12+($Q72:$W72="NT")*6+($Q72:$W72="C")*10+($Q72:$W72="A")*8+($Q72:$W72="J")*5+($Q72:$W72="E")*4+($Q72:$W72="P")*6+($Q72:$W72="R")*6)</f>
        <v/>
      </c>
      <c r="BH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I72" s="110">
        <f>SUMPRODUCT(($AE72:$AJ72="M")*6+($AE72:$AJ72="T")*6+($AE72:$AJ72="D")*12+($AE72:$AJ72="N")*12+($AE72:$AJ72="NT")*6+($AE72:$AJ72="C")*10+($AE72:$AJ72="A")*8+($AE72:$AJ72="J")*5+($AE72:$AJ72="E")*4+($AE72:$AJ72="P")*6+($AE72:$AJ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123">
        <f>IFERROR(INDEX(JAN!AH$8:AH$73,MATCH($A73,JAN!$A$8:$A$73,0))&amp;"","")</f>
        <v/>
      </c>
      <c r="D73" s="123">
        <f>IFERROR(INDEX(JAN!AI$8:AI$73,MATCH($A73,JAN!$A$8:$A$73,0))&amp;"","")</f>
        <v/>
      </c>
      <c r="E73" s="123">
        <f>IFERROR(INDEX(JAN!AJ$8:AJ$73,MATCH($A73,JAN!$A$8:$A$73,0))&amp;"","")</f>
        <v/>
      </c>
      <c r="F73" s="123">
        <f>IFERROR(INDEX(JAN!AK$8:AK$73,MATCH($A73,JAN!$A$8:$A$73,0))&amp;"","")</f>
        <v/>
      </c>
      <c r="G73" s="123">
        <f>IFERROR(INDEX(JAN!AL$8:AL$73,MATCH($A73,JAN!$A$8:$A$73,0))&amp;"","")</f>
        <v/>
      </c>
      <c r="H73" s="109">
        <f>IFERROR(INDEX(JAN!AM$8:AM$73,MATCH($A73,JAN!$A$8:$A$73,0))&amp;"","")</f>
        <v/>
      </c>
      <c r="I73" s="117" t="inlineStr">
        <is>
          <t>T</t>
        </is>
      </c>
      <c r="J73" s="107" t="n"/>
      <c r="K73" s="107" t="n"/>
      <c r="L73" s="107" t="n"/>
      <c r="M73" s="116" t="inlineStr">
        <is>
          <t>N</t>
        </is>
      </c>
      <c r="N73" s="117" t="inlineStr">
        <is>
          <t>T</t>
        </is>
      </c>
      <c r="O73" s="107" t="n"/>
      <c r="P73" s="115" t="inlineStr">
        <is>
          <t>D</t>
        </is>
      </c>
      <c r="Q73" s="117" t="inlineStr">
        <is>
          <t>T</t>
        </is>
      </c>
      <c r="R73" s="107" t="n"/>
      <c r="S73" s="107" t="n"/>
      <c r="T73" s="116" t="inlineStr">
        <is>
          <t>N</t>
        </is>
      </c>
      <c r="U73" s="107" t="n"/>
      <c r="V73" s="115" t="inlineStr">
        <is>
          <t>D</t>
        </is>
      </c>
      <c r="W73" s="107" t="n"/>
      <c r="X73" s="116" t="inlineStr">
        <is>
          <t>N</t>
        </is>
      </c>
      <c r="Y73" s="107" t="n"/>
      <c r="Z73" s="107" t="n"/>
      <c r="AA73" s="107" t="n"/>
      <c r="AB73" s="117" t="inlineStr">
        <is>
          <t>T</t>
        </is>
      </c>
      <c r="AC73" s="115" t="inlineStr">
        <is>
          <t>D</t>
        </is>
      </c>
      <c r="AD73" s="107" t="n"/>
      <c r="AE73" s="107" t="n"/>
      <c r="AF73" s="117" t="inlineStr">
        <is>
          <t>T</t>
        </is>
      </c>
      <c r="AG73" s="107" t="n"/>
      <c r="AH73" s="116" t="inlineStr">
        <is>
          <t>N</t>
        </is>
      </c>
      <c r="AI73" s="108" t="inlineStr">
        <is>
          <t>M</t>
        </is>
      </c>
      <c r="AJ73" s="108" t="inlineStr">
        <is>
          <t>M</t>
        </is>
      </c>
      <c r="AK73" s="96" t="n"/>
      <c r="AL73" s="96" t="n"/>
      <c r="AM73" s="96" t="n"/>
      <c r="AN73" s="109">
        <f>IFERROR(INDEX(MAR!I$8:I$73,MATCH($A73,MAR!$A$8:$A$73,0))&amp;"","")</f>
        <v/>
      </c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ROUND(B73*4.0,0)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SUMPRODUCT(($C73:$I73="M")*6+($C73:$I73="T")*6+($C73:$I73="D")*12+($C73:$I73="N")*12+($C73:$I73="NT")*6+($C73:$I73="C")*10+($C73:$I73="A")*8+($C73:$I73="J")*5+($C73:$I73="E")*4+($C73:$I73="P")*6+($C73:$I73="R")*6)</f>
        <v/>
      </c>
      <c r="BF73" s="110">
        <f>SUMPRODUCT(($J73:$P73="M")*6+($J73:$P73="T")*6+($J73:$P73="D")*12+($J73:$P73="N")*12+($J73:$P73="NT")*6+($J73:$P73="C")*10+($J73:$P73="A")*8+($J73:$P73="J")*5+($J73:$P73="E")*4+($J73:$P73="P")*6+($J73:$P73="R")*6)</f>
        <v/>
      </c>
      <c r="BG73" s="110">
        <f>SUMPRODUCT(($Q73:$W73="M")*6+($Q73:$W73="T")*6+($Q73:$W73="D")*12+($Q73:$W73="N")*12+($Q73:$W73="NT")*6+($Q73:$W73="C")*10+($Q73:$W73="A")*8+($Q73:$W73="J")*5+($Q73:$W73="E")*4+($Q73:$W73="P")*6+($Q73:$W73="R")*6)</f>
        <v/>
      </c>
      <c r="BH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I73" s="110">
        <f>SUMPRODUCT(($AE73:$AJ73="M")*6+($AE73:$AJ73="T")*6+($AE73:$AJ73="D")*12+($AE73:$AJ73="N")*12+($AE73:$AJ73="NT")*6+($AE73:$AJ73="C")*10+($AE73:$AJ73="A")*8+($AE73:$AJ73="J")*5+($AE73:$AJ73="E")*4+($AE73:$AJ73="P")*6+($AE73:$AJ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120">
        <f>COUNTIF(C8:C73,"M")+COUNTIF(C8:C73,"D")+COUNTIF(C8:C73,"C")+COUNTIF(C8:C73,"J")+COUNTIF(C8:C73,"E")</f>
        <v/>
      </c>
      <c r="D75" s="120">
        <f>COUNTIF(D8:D73,"M")+COUNTIF(D8:D73,"D")+COUNTIF(D8:D73,"C")+COUNTIF(D8:D73,"J")+COUNTIF(D8:D73,"E")</f>
        <v/>
      </c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39" t="n"/>
      <c r="AL75" s="39" t="n"/>
      <c r="AM75" s="39" t="n"/>
      <c r="AN75" s="120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120">
        <f>COUNTIF(C8:C73,"T")+COUNTIF(C8:C73,"D")+COUNTIF(C8:C73,"C")</f>
        <v/>
      </c>
      <c r="D76" s="120">
        <f>COUNTIF(D8:D73,"T")+COUNTIF(D8:D73,"D")+COUNTIF(D8:D73,"C")</f>
        <v/>
      </c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39" t="n"/>
      <c r="AL76" s="39" t="n"/>
      <c r="AM76" s="39" t="n"/>
      <c r="AN76" s="120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120">
        <f>COUNTIF(C8:C73,"N")+COUNTIF(C8:C73,"NT")</f>
        <v/>
      </c>
      <c r="D77" s="120">
        <f>COUNTIF(D8:D73,"N")+COUNTIF(D8:D73,"NT")</f>
        <v/>
      </c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39" t="n"/>
      <c r="AL77" s="39" t="n"/>
      <c r="AM77" s="39" t="n"/>
      <c r="AN77" s="120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122">
        <f>MAX(0,CONFIG!$B$9-C75)</f>
        <v/>
      </c>
      <c r="D78" s="122">
        <f>MAX(0,CONFIG!$B$9-D75)</f>
        <v/>
      </c>
      <c r="E78" s="122">
        <f>MAX(0,CONFIG!$B$9-E75)</f>
        <v/>
      </c>
      <c r="F78" s="122">
        <f>MAX(0,CONFIG!$B$9-F75)</f>
        <v/>
      </c>
      <c r="G78" s="122">
        <f>MAX(0,CONFIG!$B$9-G75)</f>
        <v/>
      </c>
      <c r="H78" s="122">
        <f>MAX(0,CONFIG!$B$10-H75)</f>
        <v/>
      </c>
      <c r="I78" s="122">
        <f>MAX(0,CONFIG!$B$11-I75)</f>
        <v/>
      </c>
      <c r="J78" s="122">
        <f>MAX(0,CONFIG!$B$9-J75)</f>
        <v/>
      </c>
      <c r="K78" s="122">
        <f>MAX(0,CONFIG!$B$9-K75)</f>
        <v/>
      </c>
      <c r="L78" s="122">
        <f>MAX(0,CONFIG!$B$9-L75)</f>
        <v/>
      </c>
      <c r="M78" s="122">
        <f>MAX(0,CONFIG!$B$9-M75)</f>
        <v/>
      </c>
      <c r="N78" s="122">
        <f>MAX(0,CONFIG!$B$9-N75)</f>
        <v/>
      </c>
      <c r="O78" s="122">
        <f>MAX(0,CONFIG!$B$10-O75)</f>
        <v/>
      </c>
      <c r="P78" s="122">
        <f>MAX(0,CONFIG!$B$11-P75)</f>
        <v/>
      </c>
      <c r="Q78" s="122">
        <f>MAX(0,CONFIG!$B$9-Q75)</f>
        <v/>
      </c>
      <c r="R78" s="122">
        <f>MAX(0,CONFIG!$B$9-R75)</f>
        <v/>
      </c>
      <c r="S78" s="122">
        <f>MAX(0,CONFIG!$B$9-S75)</f>
        <v/>
      </c>
      <c r="T78" s="122">
        <f>MAX(0,CONFIG!$B$9-T75)</f>
        <v/>
      </c>
      <c r="U78" s="122">
        <f>MAX(0,CONFIG!$B$9-U75)</f>
        <v/>
      </c>
      <c r="V78" s="122">
        <f>MAX(0,CONFIG!$B$10-V75)</f>
        <v/>
      </c>
      <c r="W78" s="122">
        <f>MAX(0,CONFIG!$B$11-W75)</f>
        <v/>
      </c>
      <c r="X78" s="122">
        <f>MAX(0,CONFIG!$B$9-X75)</f>
        <v/>
      </c>
      <c r="Y78" s="122">
        <f>MAX(0,CONFIG!$B$9-Y75)</f>
        <v/>
      </c>
      <c r="Z78" s="122">
        <f>MAX(0,CONFIG!$B$9-Z75)</f>
        <v/>
      </c>
      <c r="AA78" s="122">
        <f>MAX(0,CONFIG!$B$9-AA75)</f>
        <v/>
      </c>
      <c r="AB78" s="122">
        <f>MAX(0,CONFIG!$B$9-AB75)</f>
        <v/>
      </c>
      <c r="AC78" s="122">
        <f>MAX(0,CONFIG!$B$10-AC75)</f>
        <v/>
      </c>
      <c r="AD78" s="122">
        <f>MAX(0,CONFIG!$B$11-AD75)</f>
        <v/>
      </c>
      <c r="AE78" s="122">
        <f>MAX(0,CONFIG!$B$9-AE75)</f>
        <v/>
      </c>
      <c r="AF78" s="122">
        <f>MAX(0,CONFIG!$B$9-AF75)</f>
        <v/>
      </c>
      <c r="AG78" s="122">
        <f>MAX(0,CONFIG!$B$9-AG75)</f>
        <v/>
      </c>
      <c r="AH78" s="122">
        <f>MAX(0,CONFIG!$B$9-AH75)</f>
        <v/>
      </c>
      <c r="AI78" s="122">
        <f>MAX(0,CONFIG!$B$9-AI75)</f>
        <v/>
      </c>
      <c r="AJ78" s="122">
        <f>MAX(0,CONFIG!$B$10-AJ75)</f>
        <v/>
      </c>
      <c r="AK78" s="39" t="n"/>
      <c r="AL78" s="39" t="n"/>
      <c r="AM78" s="39" t="n"/>
      <c r="AN78" s="122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122">
        <f>MAX(0,CONFIG!$C$9-C76)</f>
        <v/>
      </c>
      <c r="D79" s="122">
        <f>MAX(0,CONFIG!$C$9-D76)</f>
        <v/>
      </c>
      <c r="E79" s="122">
        <f>MAX(0,CONFIG!$C$9-E76)</f>
        <v/>
      </c>
      <c r="F79" s="122">
        <f>MAX(0,CONFIG!$C$9-F76)</f>
        <v/>
      </c>
      <c r="G79" s="122">
        <f>MAX(0,CONFIG!$C$9-G76)</f>
        <v/>
      </c>
      <c r="H79" s="122">
        <f>MAX(0,CONFIG!$C$10-H76)</f>
        <v/>
      </c>
      <c r="I79" s="122">
        <f>MAX(0,CONFIG!$C$11-I76)</f>
        <v/>
      </c>
      <c r="J79" s="122">
        <f>MAX(0,CONFIG!$C$9-J76)</f>
        <v/>
      </c>
      <c r="K79" s="122">
        <f>MAX(0,CONFIG!$C$9-K76)</f>
        <v/>
      </c>
      <c r="L79" s="122">
        <f>MAX(0,CONFIG!$C$9-L76)</f>
        <v/>
      </c>
      <c r="M79" s="122">
        <f>MAX(0,CONFIG!$C$9-M76)</f>
        <v/>
      </c>
      <c r="N79" s="122">
        <f>MAX(0,CONFIG!$C$9-N76)</f>
        <v/>
      </c>
      <c r="O79" s="122">
        <f>MAX(0,CONFIG!$C$10-O76)</f>
        <v/>
      </c>
      <c r="P79" s="122">
        <f>MAX(0,CONFIG!$C$11-P76)</f>
        <v/>
      </c>
      <c r="Q79" s="122">
        <f>MAX(0,CONFIG!$C$9-Q76)</f>
        <v/>
      </c>
      <c r="R79" s="122">
        <f>MAX(0,CONFIG!$C$9-R76)</f>
        <v/>
      </c>
      <c r="S79" s="122">
        <f>MAX(0,CONFIG!$C$9-S76)</f>
        <v/>
      </c>
      <c r="T79" s="122">
        <f>MAX(0,CONFIG!$C$9-T76)</f>
        <v/>
      </c>
      <c r="U79" s="122">
        <f>MAX(0,CONFIG!$C$9-U76)</f>
        <v/>
      </c>
      <c r="V79" s="122">
        <f>MAX(0,CONFIG!$C$10-V76)</f>
        <v/>
      </c>
      <c r="W79" s="122">
        <f>MAX(0,CONFIG!$C$11-W76)</f>
        <v/>
      </c>
      <c r="X79" s="122">
        <f>MAX(0,CONFIG!$C$9-X76)</f>
        <v/>
      </c>
      <c r="Y79" s="122">
        <f>MAX(0,CONFIG!$C$9-Y76)</f>
        <v/>
      </c>
      <c r="Z79" s="122">
        <f>MAX(0,CONFIG!$C$9-Z76)</f>
        <v/>
      </c>
      <c r="AA79" s="122">
        <f>MAX(0,CONFIG!$C$9-AA76)</f>
        <v/>
      </c>
      <c r="AB79" s="122">
        <f>MAX(0,CONFIG!$C$9-AB76)</f>
        <v/>
      </c>
      <c r="AC79" s="122">
        <f>MAX(0,CONFIG!$C$10-AC76)</f>
        <v/>
      </c>
      <c r="AD79" s="122">
        <f>MAX(0,CONFIG!$C$11-AD76)</f>
        <v/>
      </c>
      <c r="AE79" s="122">
        <f>MAX(0,CONFIG!$C$9-AE76)</f>
        <v/>
      </c>
      <c r="AF79" s="122">
        <f>MAX(0,CONFIG!$C$9-AF76)</f>
        <v/>
      </c>
      <c r="AG79" s="122">
        <f>MAX(0,CONFIG!$C$9-AG76)</f>
        <v/>
      </c>
      <c r="AH79" s="122">
        <f>MAX(0,CONFIG!$C$9-AH76)</f>
        <v/>
      </c>
      <c r="AI79" s="122">
        <f>MAX(0,CONFIG!$C$9-AI76)</f>
        <v/>
      </c>
      <c r="AJ79" s="122">
        <f>MAX(0,CONFIG!$C$10-AJ76)</f>
        <v/>
      </c>
      <c r="AK79" s="39" t="n"/>
      <c r="AL79" s="39" t="n"/>
      <c r="AM79" s="39" t="n"/>
      <c r="AN79" s="122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122">
        <f>MAX(0,CONFIG!$D$9-C77)</f>
        <v/>
      </c>
      <c r="D80" s="122">
        <f>MAX(0,CONFIG!$D$9-D77)</f>
        <v/>
      </c>
      <c r="E80" s="122">
        <f>MAX(0,CONFIG!$D$9-E77)</f>
        <v/>
      </c>
      <c r="F80" s="122">
        <f>MAX(0,CONFIG!$D$9-F77)</f>
        <v/>
      </c>
      <c r="G80" s="122">
        <f>MAX(0,CONFIG!$D$9-G77)</f>
        <v/>
      </c>
      <c r="H80" s="122">
        <f>MAX(0,CONFIG!$D$10-H77)</f>
        <v/>
      </c>
      <c r="I80" s="122">
        <f>MAX(0,CONFIG!$D$11-I77)</f>
        <v/>
      </c>
      <c r="J80" s="122">
        <f>MAX(0,CONFIG!$D$9-J77)</f>
        <v/>
      </c>
      <c r="K80" s="122">
        <f>MAX(0,CONFIG!$D$9-K77)</f>
        <v/>
      </c>
      <c r="L80" s="122">
        <f>MAX(0,CONFIG!$D$9-L77)</f>
        <v/>
      </c>
      <c r="M80" s="122">
        <f>MAX(0,CONFIG!$D$9-M77)</f>
        <v/>
      </c>
      <c r="N80" s="122">
        <f>MAX(0,CONFIG!$D$9-N77)</f>
        <v/>
      </c>
      <c r="O80" s="122">
        <f>MAX(0,CONFIG!$D$10-O77)</f>
        <v/>
      </c>
      <c r="P80" s="122">
        <f>MAX(0,CONFIG!$D$11-P77)</f>
        <v/>
      </c>
      <c r="Q80" s="122">
        <f>MAX(0,CONFIG!$D$9-Q77)</f>
        <v/>
      </c>
      <c r="R80" s="122">
        <f>MAX(0,CONFIG!$D$9-R77)</f>
        <v/>
      </c>
      <c r="S80" s="122">
        <f>MAX(0,CONFIG!$D$9-S77)</f>
        <v/>
      </c>
      <c r="T80" s="122">
        <f>MAX(0,CONFIG!$D$9-T77)</f>
        <v/>
      </c>
      <c r="U80" s="122">
        <f>MAX(0,CONFIG!$D$9-U77)</f>
        <v/>
      </c>
      <c r="V80" s="122">
        <f>MAX(0,CONFIG!$D$10-V77)</f>
        <v/>
      </c>
      <c r="W80" s="122">
        <f>MAX(0,CONFIG!$D$11-W77)</f>
        <v/>
      </c>
      <c r="X80" s="122">
        <f>MAX(0,CONFIG!$D$9-X77)</f>
        <v/>
      </c>
      <c r="Y80" s="122">
        <f>MAX(0,CONFIG!$D$9-Y77)</f>
        <v/>
      </c>
      <c r="Z80" s="122">
        <f>MAX(0,CONFIG!$D$9-Z77)</f>
        <v/>
      </c>
      <c r="AA80" s="122">
        <f>MAX(0,CONFIG!$D$9-AA77)</f>
        <v/>
      </c>
      <c r="AB80" s="122">
        <f>MAX(0,CONFIG!$D$9-AB77)</f>
        <v/>
      </c>
      <c r="AC80" s="122">
        <f>MAX(0,CONFIG!$D$10-AC77)</f>
        <v/>
      </c>
      <c r="AD80" s="122">
        <f>MAX(0,CONFIG!$D$11-AD77)</f>
        <v/>
      </c>
      <c r="AE80" s="122">
        <f>MAX(0,CONFIG!$D$9-AE77)</f>
        <v/>
      </c>
      <c r="AF80" s="122">
        <f>MAX(0,CONFIG!$D$9-AF77)</f>
        <v/>
      </c>
      <c r="AG80" s="122">
        <f>MAX(0,CONFIG!$D$9-AG77)</f>
        <v/>
      </c>
      <c r="AH80" s="122">
        <f>MAX(0,CONFIG!$D$9-AH77)</f>
        <v/>
      </c>
      <c r="AI80" s="122">
        <f>MAX(0,CONFIG!$D$9-AI77)</f>
        <v/>
      </c>
      <c r="AJ80" s="122">
        <f>MAX(0,CONFIG!$D$10-AJ77)</f>
        <v/>
      </c>
      <c r="AK80" s="39" t="n"/>
      <c r="AL80" s="39" t="n"/>
      <c r="AM80" s="39" t="n"/>
      <c r="AN80" s="122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7" t="inlineStr">
        <is>
          <t>23/02</t>
        </is>
      </c>
      <c r="D2" s="97" t="inlineStr">
        <is>
          <t>24/02</t>
        </is>
      </c>
      <c r="E2" s="97" t="inlineStr">
        <is>
          <t>25/02</t>
        </is>
      </c>
      <c r="F2" s="97" t="inlineStr">
        <is>
          <t>26/02</t>
        </is>
      </c>
      <c r="G2" s="97" t="inlineStr">
        <is>
          <t>27/02</t>
        </is>
      </c>
      <c r="H2" s="101" t="inlineStr">
        <is>
          <t>28/02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9" t="n">
        <v>31</v>
      </c>
      <c r="AN2" s="97" t="inlineStr">
        <is>
          <t>01/04</t>
        </is>
      </c>
      <c r="AO2" s="97" t="inlineStr">
        <is>
          <t>02/04</t>
        </is>
      </c>
      <c r="AP2" s="97" t="inlineStr">
        <is>
          <t>03/04</t>
        </is>
      </c>
      <c r="AQ2" s="101" t="inlineStr">
        <is>
          <t>04/04</t>
        </is>
      </c>
      <c r="AR2" s="101" t="inlineStr">
        <is>
          <t>05/04</t>
        </is>
      </c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102" t="inlineStr">
        <is>
          <t>ter</t>
        </is>
      </c>
      <c r="AN3" s="102" t="inlineStr">
        <is>
          <t>qua</t>
        </is>
      </c>
      <c r="AO3" s="102" t="inlineStr">
        <is>
          <t>qui</t>
        </is>
      </c>
      <c r="AP3" s="102" t="inlineStr">
        <is>
          <t>sex</t>
        </is>
      </c>
      <c r="AQ3" s="104" t="inlineStr">
        <is>
          <t>sáb</t>
        </is>
      </c>
      <c r="AR3" s="104" t="inlineStr">
        <is>
          <t>dom</t>
        </is>
      </c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123">
        <f>IFERROR(INDEX(FEV!AE$8:AE$73,MATCH($A8,FEV!$A$8:$A$73,0))&amp;"","")</f>
        <v/>
      </c>
      <c r="D8" s="123">
        <f>IFERROR(INDEX(FEV!AF$8:AF$73,MATCH($A8,FEV!$A$8:$A$73,0))&amp;"","")</f>
        <v/>
      </c>
      <c r="E8" s="123">
        <f>IFERROR(INDEX(FEV!AG$8:AG$73,MATCH($A8,FEV!$A$8:$A$73,0))&amp;"","")</f>
        <v/>
      </c>
      <c r="F8" s="123">
        <f>IFERROR(INDEX(FEV!AH$8:AH$73,MATCH($A8,FEV!$A$8:$A$73,0))&amp;"","")</f>
        <v/>
      </c>
      <c r="G8" s="123">
        <f>IFERROR(INDEX(FEV!AI$8:AI$73,MATCH($A8,FEV!$A$8:$A$73,0))&amp;"","")</f>
        <v/>
      </c>
      <c r="H8" s="109">
        <f>IFERROR(INDEX(FEV!AJ$8:AJ$73,MATCH($A8,FEV!$A$8:$A$73,0))&amp;"","")</f>
        <v/>
      </c>
      <c r="I8" s="108" t="inlineStr">
        <is>
          <t>M</t>
        </is>
      </c>
      <c r="J8" s="124" t="inlineStr">
        <is>
          <t>C</t>
        </is>
      </c>
      <c r="K8" s="124" t="inlineStr">
        <is>
          <t>C</t>
        </is>
      </c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7" t="n"/>
      <c r="P8" s="107" t="n"/>
      <c r="Q8" s="124" t="inlineStr">
        <is>
          <t>C</t>
        </is>
      </c>
      <c r="R8" s="124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4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4" t="inlineStr">
        <is>
          <t>C</t>
        </is>
      </c>
      <c r="Y8" s="124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4" t="inlineStr">
        <is>
          <t>C</t>
        </is>
      </c>
      <c r="AF8" s="124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4" t="inlineStr">
        <is>
          <t>C</t>
        </is>
      </c>
      <c r="AJ8" s="108" t="inlineStr">
        <is>
          <t>M</t>
        </is>
      </c>
      <c r="AK8" s="108" t="inlineStr">
        <is>
          <t>M</t>
        </is>
      </c>
      <c r="AL8" s="124" t="inlineStr">
        <is>
          <t>C</t>
        </is>
      </c>
      <c r="AM8" s="124" t="inlineStr">
        <is>
          <t>C</t>
        </is>
      </c>
      <c r="AN8" s="123">
        <f>IFERROR(INDEX(ABR!I$8:I$73,MATCH($A8,ABR!$A$8:$A$73,0))&amp;"","")</f>
        <v/>
      </c>
      <c r="AO8" s="123">
        <f>IFERROR(INDEX(ABR!J$8:J$73,MATCH($A8,ABR!$A$8:$A$73,0))&amp;"","")</f>
        <v/>
      </c>
      <c r="AP8" s="123">
        <f>IFERROR(INDEX(ABR!K$8:K$73,MATCH($A8,ABR!$A$8:$A$73,0))&amp;"","")</f>
        <v/>
      </c>
      <c r="AQ8" s="109">
        <f>IFERROR(INDEX(ABR!L$8:L$73,MATCH($A8,ABR!$A$8:$A$73,0))&amp;"","")</f>
        <v/>
      </c>
      <c r="AR8" s="109">
        <f>IFERROR(INDEX(ABR!M$8:M$73,MATCH($A8,ABR!$A$8:$A$73,0))&amp;"","")</f>
        <v/>
      </c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SUMPRODUCT(($C8:$I8="M")*6+($C8:$I8="T")*6+($C8:$I8="D")*12+($C8:$I8="N")*12+($C8:$I8="NT")*6+($C8:$I8="C")*10+($C8:$I8="A")*8+($C8:$I8="J")*5+($C8:$I8="E")*4+($C8:$I8="P")*6+($C8:$I8="R")*6)</f>
        <v/>
      </c>
      <c r="BF8" s="110">
        <f>SUMPRODUCT(($J8:$P8="M")*6+($J8:$P8="T")*6+($J8:$P8="D")*12+($J8:$P8="N")*12+($J8:$P8="NT")*6+($J8:$P8="C")*10+($J8:$P8="A")*8+($J8:$P8="J")*5+($J8:$P8="E")*4+($J8:$P8="P")*6+($J8:$P8="R")*6)</f>
        <v/>
      </c>
      <c r="BG8" s="110">
        <f>SUMPRODUCT(($Q8:$W8="M")*6+($Q8:$W8="T")*6+($Q8:$W8="D")*12+($Q8:$W8="N")*12+($Q8:$W8="NT")*6+($Q8:$W8="C")*10+($Q8:$W8="A")*8+($Q8:$W8="J")*5+($Q8:$W8="E")*4+($Q8:$W8="P")*6+($Q8:$W8="R")*6)</f>
        <v/>
      </c>
      <c r="BH8" s="110">
        <f>SUMPRODUCT(($X8:$AD8="M")*6+($X8:$AD8="T")*6+($X8:$AD8="D")*12+($X8:$AD8="N")*12+($X8:$AD8="NT")*6+($X8:$AD8="C")*10+($X8:$AD8="A")*8+($X8:$AD8="J")*5+($X8:$AD8="E")*4+($X8:$AD8="P")*6+($X8:$AD8="R")*6)</f>
        <v/>
      </c>
      <c r="BI8" s="110">
        <f>SUMPRODUCT(($AE8:$AK8="M")*6+($AE8:$AK8="T")*6+($AE8:$AK8="D")*12+($AE8:$AK8="N")*12+($AE8:$AK8="NT")*6+($AE8:$AK8="C")*10+($AE8:$AK8="A")*8+($AE8:$AK8="J")*5+($AE8:$AK8="E")*4+($AE8:$AK8="P")*6+($AE8:$AK8="R")*6)</f>
        <v/>
      </c>
      <c r="BJ8" s="110">
        <f>SUMPRODUCT(($AL8:$AM8="M")*6+($AL8:$AM8="T")*6+($AL8:$AM8="D")*12+($AL8:$AM8="N")*12+($AL8:$AM8="NT")*6+($AL8:$AM8="C")*10+($AL8:$AM8="A")*8+($AL8:$AM8="J")*5+($AL8:$AM8="E")*4+($AL8:$AM8="P")*6+($AL8:$AM8="R")*6)+SUMPRODUCT(($AN8:$AR8="M")*6+($AN8:$AR8="T")*6+($AN8:$AR8="D")*12+($AN8:$AR8="N")*12+($AN8:$AR8="NT")*6+($AN8:$AR8="C")*10+($AN8:$AR8="A")*8+($AN8:$AR8="J")*5+($AN8:$AR8="E")*4+($AN8:$AR8="P")*6+($AN8:$AR8="R")*6)</f>
        <v/>
      </c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123">
        <f>IFERROR(INDEX(FEV!AE$8:AE$73,MATCH($A9,FEV!$A$8:$A$73,0))&amp;"","")</f>
        <v/>
      </c>
      <c r="D9" s="123">
        <f>IFERROR(INDEX(FEV!AF$8:AF$73,MATCH($A9,FEV!$A$8:$A$73,0))&amp;"","")</f>
        <v/>
      </c>
      <c r="E9" s="123">
        <f>IFERROR(INDEX(FEV!AG$8:AG$73,MATCH($A9,FEV!$A$8:$A$73,0))&amp;"","")</f>
        <v/>
      </c>
      <c r="F9" s="123">
        <f>IFERROR(INDEX(FEV!AH$8:AH$73,MATCH($A9,FEV!$A$8:$A$73,0))&amp;"","")</f>
        <v/>
      </c>
      <c r="G9" s="123">
        <f>IFERROR(INDEX(FEV!AI$8:AI$73,MATCH($A9,FEV!$A$8:$A$73,0))&amp;"","")</f>
        <v/>
      </c>
      <c r="H9" s="109">
        <f>IFERROR(INDEX(FEV!AJ$8:AJ$73,MATCH($A9,FEV!$A$8:$A$73,0))&amp;"","")</f>
        <v/>
      </c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4" t="inlineStr">
        <is>
          <t>C</t>
        </is>
      </c>
      <c r="N9" s="124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4" t="inlineStr">
        <is>
          <t>C</t>
        </is>
      </c>
      <c r="U9" s="108" t="inlineStr">
        <is>
          <t>M</t>
        </is>
      </c>
      <c r="V9" s="107" t="n"/>
      <c r="W9" s="107" t="n"/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4" t="inlineStr">
        <is>
          <t>C</t>
        </is>
      </c>
      <c r="AB9" s="124" t="inlineStr">
        <is>
          <t>C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4" t="inlineStr">
        <is>
          <t>C</t>
        </is>
      </c>
      <c r="AI9" s="108" t="inlineStr">
        <is>
          <t>M</t>
        </is>
      </c>
      <c r="AJ9" s="107" t="n"/>
      <c r="AK9" s="107" t="n"/>
      <c r="AL9" s="108" t="inlineStr">
        <is>
          <t>M</t>
        </is>
      </c>
      <c r="AM9" s="108" t="inlineStr">
        <is>
          <t>M</t>
        </is>
      </c>
      <c r="AN9" s="123">
        <f>IFERROR(INDEX(ABR!I$8:I$73,MATCH($A9,ABR!$A$8:$A$73,0))&amp;"","")</f>
        <v/>
      </c>
      <c r="AO9" s="123">
        <f>IFERROR(INDEX(ABR!J$8:J$73,MATCH($A9,ABR!$A$8:$A$73,0))&amp;"","")</f>
        <v/>
      </c>
      <c r="AP9" s="123">
        <f>IFERROR(INDEX(ABR!K$8:K$73,MATCH($A9,ABR!$A$8:$A$73,0))&amp;"","")</f>
        <v/>
      </c>
      <c r="AQ9" s="109">
        <f>IFERROR(INDEX(ABR!L$8:L$73,MATCH($A9,ABR!$A$8:$A$73,0))&amp;"","")</f>
        <v/>
      </c>
      <c r="AR9" s="109">
        <f>IFERROR(INDEX(ABR!M$8:M$73,MATCH($A9,ABR!$A$8:$A$73,0))&amp;"","")</f>
        <v/>
      </c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SUMPRODUCT(($C9:$I9="M")*6+($C9:$I9="T")*6+($C9:$I9="D")*12+($C9:$I9="N")*12+($C9:$I9="NT")*6+($C9:$I9="C")*10+($C9:$I9="A")*8+($C9:$I9="J")*5+($C9:$I9="E")*4+($C9:$I9="P")*6+($C9:$I9="R")*6)</f>
        <v/>
      </c>
      <c r="BF9" s="110">
        <f>SUMPRODUCT(($J9:$P9="M")*6+($J9:$P9="T")*6+($J9:$P9="D")*12+($J9:$P9="N")*12+($J9:$P9="NT")*6+($J9:$P9="C")*10+($J9:$P9="A")*8+($J9:$P9="J")*5+($J9:$P9="E")*4+($J9:$P9="P")*6+($J9:$P9="R")*6)</f>
        <v/>
      </c>
      <c r="BG9" s="110">
        <f>SUMPRODUCT(($Q9:$W9="M")*6+($Q9:$W9="T")*6+($Q9:$W9="D")*12+($Q9:$W9="N")*12+($Q9:$W9="NT")*6+($Q9:$W9="C")*10+($Q9:$W9="A")*8+($Q9:$W9="J")*5+($Q9:$W9="E")*4+($Q9:$W9="P")*6+($Q9:$W9="R")*6)</f>
        <v/>
      </c>
      <c r="BH9" s="110">
        <f>SUMPRODUCT(($X9:$AD9="M")*6+($X9:$AD9="T")*6+($X9:$AD9="D")*12+($X9:$AD9="N")*12+($X9:$AD9="NT")*6+($X9:$AD9="C")*10+($X9:$AD9="A")*8+($X9:$AD9="J")*5+($X9:$AD9="E")*4+($X9:$AD9="P")*6+($X9:$AD9="R")*6)</f>
        <v/>
      </c>
      <c r="BI9" s="110">
        <f>SUMPRODUCT(($AE9:$AK9="M")*6+($AE9:$AK9="T")*6+($AE9:$AK9="D")*12+($AE9:$AK9="N")*12+($AE9:$AK9="NT")*6+($AE9:$AK9="C")*10+($AE9:$AK9="A")*8+($AE9:$AK9="J")*5+($AE9:$AK9="E")*4+($AE9:$AK9="P")*6+($AE9:$AK9="R")*6)</f>
        <v/>
      </c>
      <c r="BJ9" s="110">
        <f>SUMPRODUCT(($AL9:$AM9="M")*6+($AL9:$AM9="T")*6+($AL9:$AM9="D")*12+($AL9:$AM9="N")*12+($AL9:$AM9="NT")*6+($AL9:$AM9="C")*10+($AL9:$AM9="A")*8+($AL9:$AM9="J")*5+($AL9:$AM9="E")*4+($AL9:$AM9="P")*6+($AL9:$AM9="R")*6)+SUMPRODUCT(($AN9:$AR9="M")*6+($AN9:$AR9="T")*6+($AN9:$AR9="D")*12+($AN9:$AR9="N")*12+($AN9:$AR9="NT")*6+($AN9:$AR9="C")*10+($AN9:$AR9="A")*8+($AN9:$AR9="J")*5+($AN9:$AR9="E")*4+($AN9:$AR9="P")*6+($AN9:$AR9="R")*6)</f>
        <v/>
      </c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123">
        <f>IFERROR(INDEX(FEV!AE$8:AE$73,MATCH($A10,FEV!$A$8:$A$73,0))&amp;"","")</f>
        <v/>
      </c>
      <c r="D10" s="123">
        <f>IFERROR(INDEX(FEV!AF$8:AF$73,MATCH($A10,FEV!$A$8:$A$73,0))&amp;"","")</f>
        <v/>
      </c>
      <c r="E10" s="123">
        <f>IFERROR(INDEX(FEV!AG$8:AG$73,MATCH($A10,FEV!$A$8:$A$73,0))&amp;"","")</f>
        <v/>
      </c>
      <c r="F10" s="123">
        <f>IFERROR(INDEX(FEV!AH$8:AH$73,MATCH($A10,FEV!$A$8:$A$73,0))&amp;"","")</f>
        <v/>
      </c>
      <c r="G10" s="123">
        <f>IFERROR(INDEX(FEV!AI$8:AI$73,MATCH($A10,FEV!$A$8:$A$73,0))&amp;"","")</f>
        <v/>
      </c>
      <c r="H10" s="109">
        <f>IFERROR(INDEX(FEV!AJ$8:AJ$73,MATCH($A10,FEV!$A$8:$A$73,0))&amp;"","")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23">
        <f>IFERROR(INDEX(ABR!I$8:I$73,MATCH($A10,ABR!$A$8:$A$73,0))&amp;"","")</f>
        <v/>
      </c>
      <c r="AO10" s="123">
        <f>IFERROR(INDEX(ABR!J$8:J$73,MATCH($A10,ABR!$A$8:$A$73,0))&amp;"","")</f>
        <v/>
      </c>
      <c r="AP10" s="123">
        <f>IFERROR(INDEX(ABR!K$8:K$73,MATCH($A10,ABR!$A$8:$A$73,0))&amp;"","")</f>
        <v/>
      </c>
      <c r="AQ10" s="109">
        <f>IFERROR(INDEX(ABR!L$8:L$73,MATCH($A10,ABR!$A$8:$A$73,0))&amp;"","")</f>
        <v/>
      </c>
      <c r="AR10" s="109">
        <f>IFERROR(INDEX(ABR!M$8:M$73,MATCH($A10,ABR!$A$8:$A$73,0))&amp;"","")</f>
        <v/>
      </c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SUMPRODUCT(($C10:$I10="M")*6+($C10:$I10="T")*6+($C10:$I10="D")*12+($C10:$I10="N")*12+($C10:$I10="NT")*6+($C10:$I10="C")*10+($C10:$I10="A")*8+($C10:$I10="J")*5+($C10:$I10="E")*4+($C10:$I10="P")*6+($C10:$I10="R")*6)</f>
        <v/>
      </c>
      <c r="BF10" s="110">
        <f>SUMPRODUCT(($J10:$P10="M")*6+($J10:$P10="T")*6+($J10:$P10="D")*12+($J10:$P10="N")*12+($J10:$P10="NT")*6+($J10:$P10="C")*10+($J10:$P10="A")*8+($J10:$P10="J")*5+($J10:$P10="E")*4+($J10:$P10="P")*6+($J10:$P10="R")*6)</f>
        <v/>
      </c>
      <c r="BG10" s="110">
        <f>SUMPRODUCT(($Q10:$W10="M")*6+($Q10:$W10="T")*6+($Q10:$W10="D")*12+($Q10:$W10="N")*12+($Q10:$W10="NT")*6+($Q10:$W10="C")*10+($Q10:$W10="A")*8+($Q10:$W10="J")*5+($Q10:$W10="E")*4+($Q10:$W10="P")*6+($Q10:$W10="R")*6)</f>
        <v/>
      </c>
      <c r="BH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I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J10" s="110">
        <f>SUMPRODUCT(($AL10:$AM10="M")*6+($AL10:$AM10="T")*6+($AL10:$AM10="D")*12+($AL10:$AM10="N")*12+($AL10:$AM10="NT")*6+($AL10:$AM10="C")*10+($AL10:$AM10="A")*8+($AL10:$AM10="J")*5+($AL10:$AM10="E")*4+($AL10:$AM10="P")*6+($AL10:$AM10="R")*6)+SUMPRODUCT(($AN10:$AR10="M")*6+($AN10:$AR10="T")*6+($AN10:$AR10="D")*12+($AN10:$AR10="N")*12+($AN10:$AR10="NT")*6+($AN10:$AR10="C")*10+($AN10:$AR10="A")*8+($AN10:$AR10="J")*5+($AN10:$AR10="E")*4+($AN10:$AR10="P")*6+($AN10:$AR10="R")*6)</f>
        <v/>
      </c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123">
        <f>IFERROR(INDEX(FEV!AE$8:AE$73,MATCH($A11,FEV!$A$8:$A$73,0))&amp;"","")</f>
        <v/>
      </c>
      <c r="D11" s="123">
        <f>IFERROR(INDEX(FEV!AF$8:AF$73,MATCH($A11,FEV!$A$8:$A$73,0))&amp;"","")</f>
        <v/>
      </c>
      <c r="E11" s="123">
        <f>IFERROR(INDEX(FEV!AG$8:AG$73,MATCH($A11,FEV!$A$8:$A$73,0))&amp;"","")</f>
        <v/>
      </c>
      <c r="F11" s="123">
        <f>IFERROR(INDEX(FEV!AH$8:AH$73,MATCH($A11,FEV!$A$8:$A$73,0))&amp;"","")</f>
        <v/>
      </c>
      <c r="G11" s="123">
        <f>IFERROR(INDEX(FEV!AI$8:AI$73,MATCH($A11,FEV!$A$8:$A$73,0))&amp;"","")</f>
        <v/>
      </c>
      <c r="H11" s="109">
        <f>IFERROR(INDEX(FEV!AJ$8:AJ$73,MATCH($A11,FEV!$A$8:$A$73,0))&amp;"","")</f>
        <v/>
      </c>
      <c r="I11" s="116" t="inlineStr">
        <is>
          <t>N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15" t="inlineStr">
        <is>
          <t>D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6" t="inlineStr">
        <is>
          <t>N</t>
        </is>
      </c>
      <c r="W11" s="107" t="n"/>
      <c r="X11" s="108" t="inlineStr">
        <is>
          <t>M</t>
        </is>
      </c>
      <c r="Y11" s="108" t="inlineStr">
        <is>
          <t>M</t>
        </is>
      </c>
      <c r="Z11" s="115" t="inlineStr">
        <is>
          <t>D</t>
        </is>
      </c>
      <c r="AA11" s="115" t="inlineStr">
        <is>
          <t>D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116" t="inlineStr">
        <is>
          <t>N</t>
        </is>
      </c>
      <c r="AL11" s="108" t="inlineStr">
        <is>
          <t>M</t>
        </is>
      </c>
      <c r="AM11" s="108" t="inlineStr">
        <is>
          <t>M</t>
        </is>
      </c>
      <c r="AN11" s="123">
        <f>IFERROR(INDEX(ABR!I$8:I$73,MATCH($A11,ABR!$A$8:$A$73,0))&amp;"","")</f>
        <v/>
      </c>
      <c r="AO11" s="123">
        <f>IFERROR(INDEX(ABR!J$8:J$73,MATCH($A11,ABR!$A$8:$A$73,0))&amp;"","")</f>
        <v/>
      </c>
      <c r="AP11" s="123">
        <f>IFERROR(INDEX(ABR!K$8:K$73,MATCH($A11,ABR!$A$8:$A$73,0))&amp;"","")</f>
        <v/>
      </c>
      <c r="AQ11" s="109">
        <f>IFERROR(INDEX(ABR!L$8:L$73,MATCH($A11,ABR!$A$8:$A$73,0))&amp;"","")</f>
        <v/>
      </c>
      <c r="AR11" s="109">
        <f>IFERROR(INDEX(ABR!M$8:M$73,MATCH($A11,ABR!$A$8:$A$73,0))&amp;"","")</f>
        <v/>
      </c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SUMPRODUCT(($C11:$I11="M")*6+($C11:$I11="T")*6+($C11:$I11="D")*12+($C11:$I11="N")*12+($C11:$I11="NT")*6+($C11:$I11="C")*10+($C11:$I11="A")*8+($C11:$I11="J")*5+($C11:$I11="E")*4+($C11:$I11="P")*6+($C11:$I11="R")*6)</f>
        <v/>
      </c>
      <c r="BF11" s="110">
        <f>SUMPRODUCT(($J11:$P11="M")*6+($J11:$P11="T")*6+($J11:$P11="D")*12+($J11:$P11="N")*12+($J11:$P11="NT")*6+($J11:$P11="C")*10+($J11:$P11="A")*8+($J11:$P11="J")*5+($J11:$P11="E")*4+($J11:$P11="P")*6+($J11:$P11="R")*6)</f>
        <v/>
      </c>
      <c r="BG11" s="110">
        <f>SUMPRODUCT(($Q11:$W11="M")*6+($Q11:$W11="T")*6+($Q11:$W11="D")*12+($Q11:$W11="N")*12+($Q11:$W11="NT")*6+($Q11:$W11="C")*10+($Q11:$W11="A")*8+($Q11:$W11="J")*5+($Q11:$W11="E")*4+($Q11:$W11="P")*6+($Q11:$W11="R")*6)</f>
        <v/>
      </c>
      <c r="BH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I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J11" s="110">
        <f>SUMPRODUCT(($AL11:$AM11="M")*6+($AL11:$AM11="T")*6+($AL11:$AM11="D")*12+($AL11:$AM11="N")*12+($AL11:$AM11="NT")*6+($AL11:$AM11="C")*10+($AL11:$AM11="A")*8+($AL11:$AM11="J")*5+($AL11:$AM11="E")*4+($AL11:$AM11="P")*6+($AL11:$AM11="R")*6)+SUMPRODUCT(($AN11:$AR11="M")*6+($AN11:$AR11="T")*6+($AN11:$AR11="D")*12+($AN11:$AR11="N")*12+($AN11:$AR11="NT")*6+($AN11:$AR11="C")*10+($AN11:$AR11="A")*8+($AN11:$AR11="J")*5+($AN11:$AR11="E")*4+($AN11:$AR11="P")*6+($AN11:$AR11="R")*6)</f>
        <v/>
      </c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123">
        <f>IFERROR(INDEX(FEV!AE$8:AE$73,MATCH($A12,FEV!$A$8:$A$73,0))&amp;"","")</f>
        <v/>
      </c>
      <c r="D12" s="123">
        <f>IFERROR(INDEX(FEV!AF$8:AF$73,MATCH($A12,FEV!$A$8:$A$73,0))&amp;"","")</f>
        <v/>
      </c>
      <c r="E12" s="123">
        <f>IFERROR(INDEX(FEV!AG$8:AG$73,MATCH($A12,FEV!$A$8:$A$73,0))&amp;"","")</f>
        <v/>
      </c>
      <c r="F12" s="123">
        <f>IFERROR(INDEX(FEV!AH$8:AH$73,MATCH($A12,FEV!$A$8:$A$73,0))&amp;"","")</f>
        <v/>
      </c>
      <c r="G12" s="123">
        <f>IFERROR(INDEX(FEV!AI$8:AI$73,MATCH($A12,FEV!$A$8:$A$73,0))&amp;"","")</f>
        <v/>
      </c>
      <c r="H12" s="109">
        <f>IFERROR(INDEX(FEV!AJ$8:AJ$73,MATCH($A12,FEV!$A$8:$A$73,0))&amp;"","")</f>
        <v/>
      </c>
      <c r="I12" s="107" t="n"/>
      <c r="J12" s="108" t="inlineStr">
        <is>
          <t>M</t>
        </is>
      </c>
      <c r="K12" s="115" t="inlineStr">
        <is>
          <t>D</t>
        </is>
      </c>
      <c r="L12" s="108" t="inlineStr">
        <is>
          <t>M</t>
        </is>
      </c>
      <c r="M12" s="115" t="inlineStr">
        <is>
          <t>D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8" t="inlineStr">
        <is>
          <t>M</t>
        </is>
      </c>
      <c r="V12" s="107" t="n"/>
      <c r="W12" s="115" t="inlineStr">
        <is>
          <t>D</t>
        </is>
      </c>
      <c r="X12" s="108" t="inlineStr">
        <is>
          <t>M</t>
        </is>
      </c>
      <c r="Y12" s="115" t="inlineStr">
        <is>
          <t>D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7" t="n"/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7" t="n"/>
      <c r="AK12" s="115" t="inlineStr">
        <is>
          <t>D</t>
        </is>
      </c>
      <c r="AL12" s="108" t="inlineStr">
        <is>
          <t>M</t>
        </is>
      </c>
      <c r="AM12" s="115" t="inlineStr">
        <is>
          <t>D</t>
        </is>
      </c>
      <c r="AN12" s="123">
        <f>IFERROR(INDEX(ABR!I$8:I$73,MATCH($A12,ABR!$A$8:$A$73,0))&amp;"","")</f>
        <v/>
      </c>
      <c r="AO12" s="123">
        <f>IFERROR(INDEX(ABR!J$8:J$73,MATCH($A12,ABR!$A$8:$A$73,0))&amp;"","")</f>
        <v/>
      </c>
      <c r="AP12" s="123">
        <f>IFERROR(INDEX(ABR!K$8:K$73,MATCH($A12,ABR!$A$8:$A$73,0))&amp;"","")</f>
        <v/>
      </c>
      <c r="AQ12" s="109">
        <f>IFERROR(INDEX(ABR!L$8:L$73,MATCH($A12,ABR!$A$8:$A$73,0))&amp;"","")</f>
        <v/>
      </c>
      <c r="AR12" s="109">
        <f>IFERROR(INDEX(ABR!M$8:M$73,MATCH($A12,ABR!$A$8:$A$73,0))&amp;"","")</f>
        <v/>
      </c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SUMPRODUCT(($C12:$I12="M")*6+($C12:$I12="T")*6+($C12:$I12="D")*12+($C12:$I12="N")*12+($C12:$I12="NT")*6+($C12:$I12="C")*10+($C12:$I12="A")*8+($C12:$I12="J")*5+($C12:$I12="E")*4+($C12:$I12="P")*6+($C12:$I12="R")*6)</f>
        <v/>
      </c>
      <c r="BF12" s="110">
        <f>SUMPRODUCT(($J12:$P12="M")*6+($J12:$P12="T")*6+($J12:$P12="D")*12+($J12:$P12="N")*12+($J12:$P12="NT")*6+($J12:$P12="C")*10+($J12:$P12="A")*8+($J12:$P12="J")*5+($J12:$P12="E")*4+($J12:$P12="P")*6+($J12:$P12="R")*6)</f>
        <v/>
      </c>
      <c r="BG12" s="110">
        <f>SUMPRODUCT(($Q12:$W12="M")*6+($Q12:$W12="T")*6+($Q12:$W12="D")*12+($Q12:$W12="N")*12+($Q12:$W12="NT")*6+($Q12:$W12="C")*10+($Q12:$W12="A")*8+($Q12:$W12="J")*5+($Q12:$W12="E")*4+($Q12:$W12="P")*6+($Q12:$W12="R")*6)</f>
        <v/>
      </c>
      <c r="BH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I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J12" s="110">
        <f>SUMPRODUCT(($AL12:$AM12="M")*6+($AL12:$AM12="T")*6+($AL12:$AM12="D")*12+($AL12:$AM12="N")*12+($AL12:$AM12="NT")*6+($AL12:$AM12="C")*10+($AL12:$AM12="A")*8+($AL12:$AM12="J")*5+($AL12:$AM12="E")*4+($AL12:$AM12="P")*6+($AL12:$AM12="R")*6)+SUMPRODUCT(($AN12:$AR12="M")*6+($AN12:$AR12="T")*6+($AN12:$AR12="D")*12+($AN12:$AR12="N")*12+($AN12:$AR12="NT")*6+($AN12:$AR12="C")*10+($AN12:$AR12="A")*8+($AN12:$AR12="J")*5+($AN12:$AR12="E")*4+($AN12:$AR12="P")*6+($AN12:$AR12="R")*6)</f>
        <v/>
      </c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123">
        <f>IFERROR(INDEX(FEV!AE$8:AE$73,MATCH($A13,FEV!$A$8:$A$73,0))&amp;"","")</f>
        <v/>
      </c>
      <c r="D13" s="123">
        <f>IFERROR(INDEX(FEV!AF$8:AF$73,MATCH($A13,FEV!$A$8:$A$73,0))&amp;"","")</f>
        <v/>
      </c>
      <c r="E13" s="123">
        <f>IFERROR(INDEX(FEV!AG$8:AG$73,MATCH($A13,FEV!$A$8:$A$73,0))&amp;"","")</f>
        <v/>
      </c>
      <c r="F13" s="123">
        <f>IFERROR(INDEX(FEV!AH$8:AH$73,MATCH($A13,FEV!$A$8:$A$73,0))&amp;"","")</f>
        <v/>
      </c>
      <c r="G13" s="123">
        <f>IFERROR(INDEX(FEV!AI$8:AI$73,MATCH($A13,FEV!$A$8:$A$73,0))&amp;"","")</f>
        <v/>
      </c>
      <c r="H13" s="109">
        <f>IFERROR(INDEX(FEV!AJ$8:AJ$73,MATCH($A13,FEV!$A$8:$A$73,0))&amp;"","")</f>
        <v/>
      </c>
      <c r="I13" s="107" t="n"/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16" t="inlineStr">
        <is>
          <t>N</t>
        </is>
      </c>
      <c r="P13" s="107" t="n"/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15" t="inlineStr">
        <is>
          <t>D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07" t="n"/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16" t="inlineStr">
        <is>
          <t>N</t>
        </is>
      </c>
      <c r="AK13" s="107" t="n"/>
      <c r="AL13" s="108" t="inlineStr">
        <is>
          <t>M</t>
        </is>
      </c>
      <c r="AM13" s="108" t="inlineStr">
        <is>
          <t>M</t>
        </is>
      </c>
      <c r="AN13" s="123">
        <f>IFERROR(INDEX(ABR!I$8:I$73,MATCH($A13,ABR!$A$8:$A$73,0))&amp;"","")</f>
        <v/>
      </c>
      <c r="AO13" s="123">
        <f>IFERROR(INDEX(ABR!J$8:J$73,MATCH($A13,ABR!$A$8:$A$73,0))&amp;"","")</f>
        <v/>
      </c>
      <c r="AP13" s="123">
        <f>IFERROR(INDEX(ABR!K$8:K$73,MATCH($A13,ABR!$A$8:$A$73,0))&amp;"","")</f>
        <v/>
      </c>
      <c r="AQ13" s="109">
        <f>IFERROR(INDEX(ABR!L$8:L$73,MATCH($A13,ABR!$A$8:$A$73,0))&amp;"","")</f>
        <v/>
      </c>
      <c r="AR13" s="109">
        <f>IFERROR(INDEX(ABR!M$8:M$73,MATCH($A13,ABR!$A$8:$A$73,0))&amp;"","")</f>
        <v/>
      </c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SUMPRODUCT(($C13:$I13="M")*6+($C13:$I13="T")*6+($C13:$I13="D")*12+($C13:$I13="N")*12+($C13:$I13="NT")*6+($C13:$I13="C")*10+($C13:$I13="A")*8+($C13:$I13="J")*5+($C13:$I13="E")*4+($C13:$I13="P")*6+($C13:$I13="R")*6)</f>
        <v/>
      </c>
      <c r="BF13" s="110">
        <f>SUMPRODUCT(($J13:$P13="M")*6+($J13:$P13="T")*6+($J13:$P13="D")*12+($J13:$P13="N")*12+($J13:$P13="NT")*6+($J13:$P13="C")*10+($J13:$P13="A")*8+($J13:$P13="J")*5+($J13:$P13="E")*4+($J13:$P13="P")*6+($J13:$P13="R")*6)</f>
        <v/>
      </c>
      <c r="BG13" s="110">
        <f>SUMPRODUCT(($Q13:$W13="M")*6+($Q13:$W13="T")*6+($Q13:$W13="D")*12+($Q13:$W13="N")*12+($Q13:$W13="NT")*6+($Q13:$W13="C")*10+($Q13:$W13="A")*8+($Q13:$W13="J")*5+($Q13:$W13="E")*4+($Q13:$W13="P")*6+($Q13:$W13="R")*6)</f>
        <v/>
      </c>
      <c r="BH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I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J13" s="110">
        <f>SUMPRODUCT(($AL13:$AM13="M")*6+($AL13:$AM13="T")*6+($AL13:$AM13="D")*12+($AL13:$AM13="N")*12+($AL13:$AM13="NT")*6+($AL13:$AM13="C")*10+($AL13:$AM13="A")*8+($AL13:$AM13="J")*5+($AL13:$AM13="E")*4+($AL13:$AM13="P")*6+($AL13:$AM13="R")*6)+SUMPRODUCT(($AN13:$AR13="M")*6+($AN13:$AR13="T")*6+($AN13:$AR13="D")*12+($AN13:$AR13="N")*12+($AN13:$AR13="NT")*6+($AN13:$AR13="C")*10+($AN13:$AR13="A")*8+($AN13:$AR13="J")*5+($AN13:$AR13="E")*4+($AN13:$AR13="P")*6+($AN13:$AR13="R")*6)</f>
        <v/>
      </c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123">
        <f>IFERROR(INDEX(FEV!AE$8:AE$73,MATCH($A14,FEV!$A$8:$A$73,0))&amp;"","")</f>
        <v/>
      </c>
      <c r="D14" s="123">
        <f>IFERROR(INDEX(FEV!AF$8:AF$73,MATCH($A14,FEV!$A$8:$A$73,0))&amp;"","")</f>
        <v/>
      </c>
      <c r="E14" s="123">
        <f>IFERROR(INDEX(FEV!AG$8:AG$73,MATCH($A14,FEV!$A$8:$A$73,0))&amp;"","")</f>
        <v/>
      </c>
      <c r="F14" s="123">
        <f>IFERROR(INDEX(FEV!AH$8:AH$73,MATCH($A14,FEV!$A$8:$A$73,0))&amp;"","")</f>
        <v/>
      </c>
      <c r="G14" s="123">
        <f>IFERROR(INDEX(FEV!AI$8:AI$73,MATCH($A14,FEV!$A$8:$A$73,0))&amp;"","")</f>
        <v/>
      </c>
      <c r="H14" s="109">
        <f>IFERROR(INDEX(FEV!AJ$8:AJ$73,MATCH($A14,FEV!$A$8:$A$73,0))&amp;"","")</f>
        <v/>
      </c>
      <c r="I14" s="107" t="n"/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15" t="inlineStr">
        <is>
          <t>D</t>
        </is>
      </c>
      <c r="N14" s="108" t="inlineStr">
        <is>
          <t>M</t>
        </is>
      </c>
      <c r="O14" s="117" t="inlineStr">
        <is>
          <t>T</t>
        </is>
      </c>
      <c r="P14" s="107" t="n"/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15" t="inlineStr">
        <is>
          <t>D</t>
        </is>
      </c>
      <c r="U14" s="108" t="inlineStr">
        <is>
          <t>M</t>
        </is>
      </c>
      <c r="V14" s="107" t="n"/>
      <c r="W14" s="107" t="n"/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7" t="n"/>
      <c r="AD14" s="117" t="inlineStr">
        <is>
          <t>T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7" t="n"/>
      <c r="AI14" s="107" t="n"/>
      <c r="AJ14" s="117" t="inlineStr">
        <is>
          <t>T</t>
        </is>
      </c>
      <c r="AK14" s="115" t="inlineStr">
        <is>
          <t>D</t>
        </is>
      </c>
      <c r="AL14" s="108" t="inlineStr">
        <is>
          <t>M</t>
        </is>
      </c>
      <c r="AM14" s="108" t="inlineStr">
        <is>
          <t>M</t>
        </is>
      </c>
      <c r="AN14" s="123">
        <f>IFERROR(INDEX(ABR!I$8:I$73,MATCH($A14,ABR!$A$8:$A$73,0))&amp;"","")</f>
        <v/>
      </c>
      <c r="AO14" s="123">
        <f>IFERROR(INDEX(ABR!J$8:J$73,MATCH($A14,ABR!$A$8:$A$73,0))&amp;"","")</f>
        <v/>
      </c>
      <c r="AP14" s="123">
        <f>IFERROR(INDEX(ABR!K$8:K$73,MATCH($A14,ABR!$A$8:$A$73,0))&amp;"","")</f>
        <v/>
      </c>
      <c r="AQ14" s="109">
        <f>IFERROR(INDEX(ABR!L$8:L$73,MATCH($A14,ABR!$A$8:$A$73,0))&amp;"","")</f>
        <v/>
      </c>
      <c r="AR14" s="109">
        <f>IFERROR(INDEX(ABR!M$8:M$73,MATCH($A14,ABR!$A$8:$A$73,0))&amp;"","")</f>
        <v/>
      </c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SUMPRODUCT(($C14:$I14="M")*6+($C14:$I14="T")*6+($C14:$I14="D")*12+($C14:$I14="N")*12+($C14:$I14="NT")*6+($C14:$I14="C")*10+($C14:$I14="A")*8+($C14:$I14="J")*5+($C14:$I14="E")*4+($C14:$I14="P")*6+($C14:$I14="R")*6)</f>
        <v/>
      </c>
      <c r="BF14" s="110">
        <f>SUMPRODUCT(($J14:$P14="M")*6+($J14:$P14="T")*6+($J14:$P14="D")*12+($J14:$P14="N")*12+($J14:$P14="NT")*6+($J14:$P14="C")*10+($J14:$P14="A")*8+($J14:$P14="J")*5+($J14:$P14="E")*4+($J14:$P14="P")*6+($J14:$P14="R")*6)</f>
        <v/>
      </c>
      <c r="BG14" s="110">
        <f>SUMPRODUCT(($Q14:$W14="M")*6+($Q14:$W14="T")*6+($Q14:$W14="D")*12+($Q14:$W14="N")*12+($Q14:$W14="NT")*6+($Q14:$W14="C")*10+($Q14:$W14="A")*8+($Q14:$W14="J")*5+($Q14:$W14="E")*4+($Q14:$W14="P")*6+($Q14:$W14="R")*6)</f>
        <v/>
      </c>
      <c r="BH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I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J14" s="110">
        <f>SUMPRODUCT(($AL14:$AM14="M")*6+($AL14:$AM14="T")*6+($AL14:$AM14="D")*12+($AL14:$AM14="N")*12+($AL14:$AM14="NT")*6+($AL14:$AM14="C")*10+($AL14:$AM14="A")*8+($AL14:$AM14="J")*5+($AL14:$AM14="E")*4+($AL14:$AM14="P")*6+($AL14:$AM14="R")*6)+SUMPRODUCT(($AN14:$AR14="M")*6+($AN14:$AR14="T")*6+($AN14:$AR14="D")*12+($AN14:$AR14="N")*12+($AN14:$AR14="NT")*6+($AN14:$AR14="C")*10+($AN14:$AR14="A")*8+($AN14:$AR14="J")*5+($AN14:$AR14="E")*4+($AN14:$AR14="P")*6+($AN14:$AR14="R")*6)</f>
        <v/>
      </c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123">
        <f>IFERROR(INDEX(FEV!AE$8:AE$73,MATCH($A15,FEV!$A$8:$A$73,0))&amp;"","")</f>
        <v/>
      </c>
      <c r="D15" s="123">
        <f>IFERROR(INDEX(FEV!AF$8:AF$73,MATCH($A15,FEV!$A$8:$A$73,0))&amp;"","")</f>
        <v/>
      </c>
      <c r="E15" s="123">
        <f>IFERROR(INDEX(FEV!AG$8:AG$73,MATCH($A15,FEV!$A$8:$A$73,0))&amp;"","")</f>
        <v/>
      </c>
      <c r="F15" s="123">
        <f>IFERROR(INDEX(FEV!AH$8:AH$73,MATCH($A15,FEV!$A$8:$A$73,0))&amp;"","")</f>
        <v/>
      </c>
      <c r="G15" s="123">
        <f>IFERROR(INDEX(FEV!AI$8:AI$73,MATCH($A15,FEV!$A$8:$A$73,0))&amp;"","")</f>
        <v/>
      </c>
      <c r="H15" s="109">
        <f>IFERROR(INDEX(FEV!AJ$8:AJ$73,MATCH($A15,FEV!$A$8:$A$73,0))&amp;"","")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7" t="n"/>
      <c r="O15" s="116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5" t="inlineStr">
        <is>
          <t>D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6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5" t="inlineStr">
        <is>
          <t>D</t>
        </is>
      </c>
      <c r="AJ15" s="107" t="n"/>
      <c r="AK15" s="107" t="n"/>
      <c r="AL15" s="108" t="inlineStr">
        <is>
          <t>M</t>
        </is>
      </c>
      <c r="AM15" s="108" t="inlineStr">
        <is>
          <t>M</t>
        </is>
      </c>
      <c r="AN15" s="123">
        <f>IFERROR(INDEX(ABR!I$8:I$73,MATCH($A15,ABR!$A$8:$A$73,0))&amp;"","")</f>
        <v/>
      </c>
      <c r="AO15" s="123">
        <f>IFERROR(INDEX(ABR!J$8:J$73,MATCH($A15,ABR!$A$8:$A$73,0))&amp;"","")</f>
        <v/>
      </c>
      <c r="AP15" s="123">
        <f>IFERROR(INDEX(ABR!K$8:K$73,MATCH($A15,ABR!$A$8:$A$73,0))&amp;"","")</f>
        <v/>
      </c>
      <c r="AQ15" s="109">
        <f>IFERROR(INDEX(ABR!L$8:L$73,MATCH($A15,ABR!$A$8:$A$73,0))&amp;"","")</f>
        <v/>
      </c>
      <c r="AR15" s="109">
        <f>IFERROR(INDEX(ABR!M$8:M$73,MATCH($A15,ABR!$A$8:$A$73,0))&amp;"","")</f>
        <v/>
      </c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SUMPRODUCT(($C15:$I15="M")*6+($C15:$I15="T")*6+($C15:$I15="D")*12+($C15:$I15="N")*12+($C15:$I15="NT")*6+($C15:$I15="C")*10+($C15:$I15="A")*8+($C15:$I15="J")*5+($C15:$I15="E")*4+($C15:$I15="P")*6+($C15:$I15="R")*6)</f>
        <v/>
      </c>
      <c r="BF15" s="110">
        <f>SUMPRODUCT(($J15:$P15="M")*6+($J15:$P15="T")*6+($J15:$P15="D")*12+($J15:$P15="N")*12+($J15:$P15="NT")*6+($J15:$P15="C")*10+($J15:$P15="A")*8+($J15:$P15="J")*5+($J15:$P15="E")*4+($J15:$P15="P")*6+($J15:$P15="R")*6)</f>
        <v/>
      </c>
      <c r="BG15" s="110">
        <f>SUMPRODUCT(($Q15:$W15="M")*6+($Q15:$W15="T")*6+($Q15:$W15="D")*12+($Q15:$W15="N")*12+($Q15:$W15="NT")*6+($Q15:$W15="C")*10+($Q15:$W15="A")*8+($Q15:$W15="J")*5+($Q15:$W15="E")*4+($Q15:$W15="P")*6+($Q15:$W15="R")*6)</f>
        <v/>
      </c>
      <c r="BH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I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J15" s="110">
        <f>SUMPRODUCT(($AL15:$AM15="M")*6+($AL15:$AM15="T")*6+($AL15:$AM15="D")*12+($AL15:$AM15="N")*12+($AL15:$AM15="NT")*6+($AL15:$AM15="C")*10+($AL15:$AM15="A")*8+($AL15:$AM15="J")*5+($AL15:$AM15="E")*4+($AL15:$AM15="P")*6+($AL15:$AM15="R")*6)+SUMPRODUCT(($AN15:$AR15="M")*6+($AN15:$AR15="T")*6+($AN15:$AR15="D")*12+($AN15:$AR15="N")*12+($AN15:$AR15="NT")*6+($AN15:$AR15="C")*10+($AN15:$AR15="A")*8+($AN15:$AR15="J")*5+($AN15:$AR15="E")*4+($AN15:$AR15="P")*6+($AN15:$AR15="R")*6)</f>
        <v/>
      </c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123">
        <f>IFERROR(INDEX(FEV!AE$8:AE$73,MATCH($A16,FEV!$A$8:$A$73,0))&amp;"","")</f>
        <v/>
      </c>
      <c r="D16" s="123">
        <f>IFERROR(INDEX(FEV!AF$8:AF$73,MATCH($A16,FEV!$A$8:$A$73,0))&amp;"","")</f>
        <v/>
      </c>
      <c r="E16" s="123">
        <f>IFERROR(INDEX(FEV!AG$8:AG$73,MATCH($A16,FEV!$A$8:$A$73,0))&amp;"","")</f>
        <v/>
      </c>
      <c r="F16" s="123">
        <f>IFERROR(INDEX(FEV!AH$8:AH$73,MATCH($A16,FEV!$A$8:$A$73,0))&amp;"","")</f>
        <v/>
      </c>
      <c r="G16" s="123">
        <f>IFERROR(INDEX(FEV!AI$8:AI$73,MATCH($A16,FEV!$A$8:$A$73,0))&amp;"","")</f>
        <v/>
      </c>
      <c r="H16" s="109">
        <f>IFERROR(INDEX(FEV!AJ$8:AJ$73,MATCH($A16,FEV!$A$8:$A$73,0))&amp;"","")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23">
        <f>IFERROR(INDEX(ABR!I$8:I$73,MATCH($A16,ABR!$A$8:$A$73,0))&amp;"","")</f>
        <v/>
      </c>
      <c r="AO16" s="123">
        <f>IFERROR(INDEX(ABR!J$8:J$73,MATCH($A16,ABR!$A$8:$A$73,0))&amp;"","")</f>
        <v/>
      </c>
      <c r="AP16" s="123">
        <f>IFERROR(INDEX(ABR!K$8:K$73,MATCH($A16,ABR!$A$8:$A$73,0))&amp;"","")</f>
        <v/>
      </c>
      <c r="AQ16" s="109">
        <f>IFERROR(INDEX(ABR!L$8:L$73,MATCH($A16,ABR!$A$8:$A$73,0))&amp;"","")</f>
        <v/>
      </c>
      <c r="AR16" s="109">
        <f>IFERROR(INDEX(ABR!M$8:M$73,MATCH($A16,ABR!$A$8:$A$73,0))&amp;"","")</f>
        <v/>
      </c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SUMPRODUCT(($C16:$I16="M")*6+($C16:$I16="T")*6+($C16:$I16="D")*12+($C16:$I16="N")*12+($C16:$I16="NT")*6+($C16:$I16="C")*10+($C16:$I16="A")*8+($C16:$I16="J")*5+($C16:$I16="E")*4+($C16:$I16="P")*6+($C16:$I16="R")*6)</f>
        <v/>
      </c>
      <c r="BF16" s="110">
        <f>SUMPRODUCT(($J16:$P16="M")*6+($J16:$P16="T")*6+($J16:$P16="D")*12+($J16:$P16="N")*12+($J16:$P16="NT")*6+($J16:$P16="C")*10+($J16:$P16="A")*8+($J16:$P16="J")*5+($J16:$P16="E")*4+($J16:$P16="P")*6+($J16:$P16="R")*6)</f>
        <v/>
      </c>
      <c r="BG16" s="110">
        <f>SUMPRODUCT(($Q16:$W16="M")*6+($Q16:$W16="T")*6+($Q16:$W16="D")*12+($Q16:$W16="N")*12+($Q16:$W16="NT")*6+($Q16:$W16="C")*10+($Q16:$W16="A")*8+($Q16:$W16="J")*5+($Q16:$W16="E")*4+($Q16:$W16="P")*6+($Q16:$W16="R")*6)</f>
        <v/>
      </c>
      <c r="BH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I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J16" s="110">
        <f>SUMPRODUCT(($AL16:$AM16="M")*6+($AL16:$AM16="T")*6+($AL16:$AM16="D")*12+($AL16:$AM16="N")*12+($AL16:$AM16="NT")*6+($AL16:$AM16="C")*10+($AL16:$AM16="A")*8+($AL16:$AM16="J")*5+($AL16:$AM16="E")*4+($AL16:$AM16="P")*6+($AL16:$AM16="R")*6)+SUMPRODUCT(($AN16:$AR16="M")*6+($AN16:$AR16="T")*6+($AN16:$AR16="D")*12+($AN16:$AR16="N")*12+($AN16:$AR16="NT")*6+($AN16:$AR16="C")*10+($AN16:$AR16="A")*8+($AN16:$AR16="J")*5+($AN16:$AR16="E")*4+($AN16:$AR16="P")*6+($AN16:$AR16="R")*6)</f>
        <v/>
      </c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123">
        <f>IFERROR(INDEX(FEV!AE$8:AE$73,MATCH($A17,FEV!$A$8:$A$73,0))&amp;"","")</f>
        <v/>
      </c>
      <c r="D17" s="123">
        <f>IFERROR(INDEX(FEV!AF$8:AF$73,MATCH($A17,FEV!$A$8:$A$73,0))&amp;"","")</f>
        <v/>
      </c>
      <c r="E17" s="123">
        <f>IFERROR(INDEX(FEV!AG$8:AG$73,MATCH($A17,FEV!$A$8:$A$73,0))&amp;"","")</f>
        <v/>
      </c>
      <c r="F17" s="123">
        <f>IFERROR(INDEX(FEV!AH$8:AH$73,MATCH($A17,FEV!$A$8:$A$73,0))&amp;"","")</f>
        <v/>
      </c>
      <c r="G17" s="123">
        <f>IFERROR(INDEX(FEV!AI$8:AI$73,MATCH($A17,FEV!$A$8:$A$73,0))&amp;"","")</f>
        <v/>
      </c>
      <c r="H17" s="109">
        <f>IFERROR(INDEX(FEV!AJ$8:AJ$73,MATCH($A17,FEV!$A$8:$A$73,0))&amp;"","")</f>
        <v/>
      </c>
      <c r="I17" s="107" t="n"/>
      <c r="J17" s="116" t="inlineStr">
        <is>
          <t>N</t>
        </is>
      </c>
      <c r="K17" s="125" t="inlineStr">
        <is>
          <t>E</t>
        </is>
      </c>
      <c r="L17" s="107" t="n"/>
      <c r="M17" s="107" t="n"/>
      <c r="N17" s="117" t="inlineStr">
        <is>
          <t>T</t>
        </is>
      </c>
      <c r="O17" s="117" t="inlineStr">
        <is>
          <t>T</t>
        </is>
      </c>
      <c r="P17" s="116" t="inlineStr">
        <is>
          <t>N</t>
        </is>
      </c>
      <c r="Q17" s="116" t="inlineStr">
        <is>
          <t>N</t>
        </is>
      </c>
      <c r="R17" s="108" t="inlineStr">
        <is>
          <t>M</t>
        </is>
      </c>
      <c r="S17" s="107" t="n"/>
      <c r="T17" s="125" t="inlineStr">
        <is>
          <t>E</t>
        </is>
      </c>
      <c r="U17" s="107" t="n"/>
      <c r="V17" s="117" t="inlineStr">
        <is>
          <t>T</t>
        </is>
      </c>
      <c r="W17" s="116" t="inlineStr">
        <is>
          <t>N</t>
        </is>
      </c>
      <c r="X17" s="124" t="inlineStr">
        <is>
          <t>C</t>
        </is>
      </c>
      <c r="Y17" s="116" t="inlineStr">
        <is>
          <t>N</t>
        </is>
      </c>
      <c r="Z17" s="108" t="inlineStr">
        <is>
          <t>M</t>
        </is>
      </c>
      <c r="AA17" s="117" t="inlineStr">
        <is>
          <t>T</t>
        </is>
      </c>
      <c r="AB17" s="117" t="inlineStr">
        <is>
          <t>T</t>
        </is>
      </c>
      <c r="AC17" s="107" t="n"/>
      <c r="AD17" s="107" t="n"/>
      <c r="AE17" s="124" t="inlineStr">
        <is>
          <t>C</t>
        </is>
      </c>
      <c r="AF17" s="116" t="inlineStr">
        <is>
          <t>N</t>
        </is>
      </c>
      <c r="AG17" s="108" t="inlineStr">
        <is>
          <t>M</t>
        </is>
      </c>
      <c r="AH17" s="108" t="inlineStr">
        <is>
          <t>M</t>
        </is>
      </c>
      <c r="AI17" s="117" t="inlineStr">
        <is>
          <t>T</t>
        </is>
      </c>
      <c r="AJ17" s="107" t="n"/>
      <c r="AK17" s="107" t="n"/>
      <c r="AL17" s="116" t="inlineStr">
        <is>
          <t>N</t>
        </is>
      </c>
      <c r="AM17" s="107" t="n"/>
      <c r="AN17" s="123">
        <f>IFERROR(INDEX(ABR!I$8:I$73,MATCH($A17,ABR!$A$8:$A$73,0))&amp;"","")</f>
        <v/>
      </c>
      <c r="AO17" s="123">
        <f>IFERROR(INDEX(ABR!J$8:J$73,MATCH($A17,ABR!$A$8:$A$73,0))&amp;"","")</f>
        <v/>
      </c>
      <c r="AP17" s="123">
        <f>IFERROR(INDEX(ABR!K$8:K$73,MATCH($A17,ABR!$A$8:$A$73,0))&amp;"","")</f>
        <v/>
      </c>
      <c r="AQ17" s="109">
        <f>IFERROR(INDEX(ABR!L$8:L$73,MATCH($A17,ABR!$A$8:$A$73,0))&amp;"","")</f>
        <v/>
      </c>
      <c r="AR17" s="109">
        <f>IFERROR(INDEX(ABR!M$8:M$73,MATCH($A17,ABR!$A$8:$A$73,0))&amp;"","")</f>
        <v/>
      </c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SUMPRODUCT(($C17:$I17="M")*6+($C17:$I17="T")*6+($C17:$I17="D")*12+($C17:$I17="N")*12+($C17:$I17="NT")*6+($C17:$I17="C")*10+($C17:$I17="A")*8+($C17:$I17="J")*5+($C17:$I17="E")*4+($C17:$I17="P")*6+($C17:$I17="R")*6)</f>
        <v/>
      </c>
      <c r="BF17" s="110">
        <f>SUMPRODUCT(($J17:$P17="M")*6+($J17:$P17="T")*6+($J17:$P17="D")*12+($J17:$P17="N")*12+($J17:$P17="NT")*6+($J17:$P17="C")*10+($J17:$P17="A")*8+($J17:$P17="J")*5+($J17:$P17="E")*4+($J17:$P17="P")*6+($J17:$P17="R")*6)</f>
        <v/>
      </c>
      <c r="BG17" s="110">
        <f>SUMPRODUCT(($Q17:$W17="M")*6+($Q17:$W17="T")*6+($Q17:$W17="D")*12+($Q17:$W17="N")*12+($Q17:$W17="NT")*6+($Q17:$W17="C")*10+($Q17:$W17="A")*8+($Q17:$W17="J")*5+($Q17:$W17="E")*4+($Q17:$W17="P")*6+($Q17:$W17="R")*6)</f>
        <v/>
      </c>
      <c r="BH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I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J17" s="110">
        <f>SUMPRODUCT(($AL17:$AM17="M")*6+($AL17:$AM17="T")*6+($AL17:$AM17="D")*12+($AL17:$AM17="N")*12+($AL17:$AM17="NT")*6+($AL17:$AM17="C")*10+($AL17:$AM17="A")*8+($AL17:$AM17="J")*5+($AL17:$AM17="E")*4+($AL17:$AM17="P")*6+($AL17:$AM17="R")*6)+SUMPRODUCT(($AN17:$AR17="M")*6+($AN17:$AR17="T")*6+($AN17:$AR17="D")*12+($AN17:$AR17="N")*12+($AN17:$AR17="NT")*6+($AN17:$AR17="C")*10+($AN17:$AR17="A")*8+($AN17:$AR17="J")*5+($AN17:$AR17="E")*4+($AN17:$AR17="P")*6+($AN17:$AR17="R")*6)</f>
        <v/>
      </c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123">
        <f>IFERROR(INDEX(FEV!AE$8:AE$73,MATCH($A18,FEV!$A$8:$A$73,0))&amp;"","")</f>
        <v/>
      </c>
      <c r="D18" s="123">
        <f>IFERROR(INDEX(FEV!AF$8:AF$73,MATCH($A18,FEV!$A$8:$A$73,0))&amp;"","")</f>
        <v/>
      </c>
      <c r="E18" s="123">
        <f>IFERROR(INDEX(FEV!AG$8:AG$73,MATCH($A18,FEV!$A$8:$A$73,0))&amp;"","")</f>
        <v/>
      </c>
      <c r="F18" s="123">
        <f>IFERROR(INDEX(FEV!AH$8:AH$73,MATCH($A18,FEV!$A$8:$A$73,0))&amp;"","")</f>
        <v/>
      </c>
      <c r="G18" s="123">
        <f>IFERROR(INDEX(FEV!AI$8:AI$73,MATCH($A18,FEV!$A$8:$A$73,0))&amp;"","")</f>
        <v/>
      </c>
      <c r="H18" s="109">
        <f>IFERROR(INDEX(FEV!AJ$8:AJ$73,MATCH($A18,FEV!$A$8:$A$73,0))&amp;"","")</f>
        <v/>
      </c>
      <c r="I18" s="115" t="inlineStr">
        <is>
          <t>D</t>
        </is>
      </c>
      <c r="J18" s="115" t="inlineStr">
        <is>
          <t>D</t>
        </is>
      </c>
      <c r="K18" s="117" t="inlineStr">
        <is>
          <t>T</t>
        </is>
      </c>
      <c r="L18" s="115" t="inlineStr">
        <is>
          <t>D</t>
        </is>
      </c>
      <c r="M18" s="107" t="n"/>
      <c r="N18" s="117" t="inlineStr">
        <is>
          <t>T</t>
        </is>
      </c>
      <c r="O18" s="107" t="n"/>
      <c r="P18" s="107" t="n"/>
      <c r="Q18" s="107" t="n"/>
      <c r="R18" s="107" t="n"/>
      <c r="S18" s="107" t="n"/>
      <c r="T18" s="107" t="n"/>
      <c r="U18" s="115" t="inlineStr">
        <is>
          <t>D</t>
        </is>
      </c>
      <c r="V18" s="115" t="inlineStr">
        <is>
          <t>D</t>
        </is>
      </c>
      <c r="W18" s="115" t="inlineStr">
        <is>
          <t>D</t>
        </is>
      </c>
      <c r="X18" s="107" t="n"/>
      <c r="Y18" s="107" t="n"/>
      <c r="Z18" s="117" t="inlineStr">
        <is>
          <t>T</t>
        </is>
      </c>
      <c r="AA18" s="117" t="inlineStr">
        <is>
          <t>T</t>
        </is>
      </c>
      <c r="AB18" s="116" t="inlineStr">
        <is>
          <t>N</t>
        </is>
      </c>
      <c r="AC18" s="107" t="n"/>
      <c r="AD18" s="115" t="inlineStr">
        <is>
          <t>D</t>
        </is>
      </c>
      <c r="AE18" s="115" t="inlineStr">
        <is>
          <t>D</t>
        </is>
      </c>
      <c r="AF18" s="107" t="n"/>
      <c r="AG18" s="115" t="inlineStr">
        <is>
          <t>D</t>
        </is>
      </c>
      <c r="AH18" s="107" t="n"/>
      <c r="AI18" s="115" t="inlineStr">
        <is>
          <t>D</t>
        </is>
      </c>
      <c r="AJ18" s="107" t="n"/>
      <c r="AK18" s="107" t="n"/>
      <c r="AL18" s="115" t="inlineStr">
        <is>
          <t>D</t>
        </is>
      </c>
      <c r="AM18" s="117" t="inlineStr">
        <is>
          <t>T</t>
        </is>
      </c>
      <c r="AN18" s="123">
        <f>IFERROR(INDEX(ABR!I$8:I$73,MATCH($A18,ABR!$A$8:$A$73,0))&amp;"","")</f>
        <v/>
      </c>
      <c r="AO18" s="123">
        <f>IFERROR(INDEX(ABR!J$8:J$73,MATCH($A18,ABR!$A$8:$A$73,0))&amp;"","")</f>
        <v/>
      </c>
      <c r="AP18" s="123">
        <f>IFERROR(INDEX(ABR!K$8:K$73,MATCH($A18,ABR!$A$8:$A$73,0))&amp;"","")</f>
        <v/>
      </c>
      <c r="AQ18" s="109">
        <f>IFERROR(INDEX(ABR!L$8:L$73,MATCH($A18,ABR!$A$8:$A$73,0))&amp;"","")</f>
        <v/>
      </c>
      <c r="AR18" s="109">
        <f>IFERROR(INDEX(ABR!M$8:M$73,MATCH($A18,ABR!$A$8:$A$73,0))&amp;"","")</f>
        <v/>
      </c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SUMPRODUCT(($C18:$I18="M")*6+($C18:$I18="T")*6+($C18:$I18="D")*12+($C18:$I18="N")*12+($C18:$I18="NT")*6+($C18:$I18="C")*10+($C18:$I18="A")*8+($C18:$I18="J")*5+($C18:$I18="E")*4+($C18:$I18="P")*6+($C18:$I18="R")*6)</f>
        <v/>
      </c>
      <c r="BF18" s="110">
        <f>SUMPRODUCT(($J18:$P18="M")*6+($J18:$P18="T")*6+($J18:$P18="D")*12+($J18:$P18="N")*12+($J18:$P18="NT")*6+($J18:$P18="C")*10+($J18:$P18="A")*8+($J18:$P18="J")*5+($J18:$P18="E")*4+($J18:$P18="P")*6+($J18:$P18="R")*6)</f>
        <v/>
      </c>
      <c r="BG18" s="110">
        <f>SUMPRODUCT(($Q18:$W18="M")*6+($Q18:$W18="T")*6+($Q18:$W18="D")*12+($Q18:$W18="N")*12+($Q18:$W18="NT")*6+($Q18:$W18="C")*10+($Q18:$W18="A")*8+($Q18:$W18="J")*5+($Q18:$W18="E")*4+($Q18:$W18="P")*6+($Q18:$W18="R")*6)</f>
        <v/>
      </c>
      <c r="BH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I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J18" s="110">
        <f>SUMPRODUCT(($AL18:$AM18="M")*6+($AL18:$AM18="T")*6+($AL18:$AM18="D")*12+($AL18:$AM18="N")*12+($AL18:$AM18="NT")*6+($AL18:$AM18="C")*10+($AL18:$AM18="A")*8+($AL18:$AM18="J")*5+($AL18:$AM18="E")*4+($AL18:$AM18="P")*6+($AL18:$AM18="R")*6)+SUMPRODUCT(($AN18:$AR18="M")*6+($AN18:$AR18="T")*6+($AN18:$AR18="D")*12+($AN18:$AR18="N")*12+($AN18:$AR18="NT")*6+($AN18:$AR18="C")*10+($AN18:$AR18="A")*8+($AN18:$AR18="J")*5+($AN18:$AR18="E")*4+($AN18:$AR18="P")*6+($AN18:$AR18="R")*6)</f>
        <v/>
      </c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123">
        <f>IFERROR(INDEX(FEV!AE$8:AE$73,MATCH($A19,FEV!$A$8:$A$73,0))&amp;"","")</f>
        <v/>
      </c>
      <c r="D19" s="123">
        <f>IFERROR(INDEX(FEV!AF$8:AF$73,MATCH($A19,FEV!$A$8:$A$73,0))&amp;"","")</f>
        <v/>
      </c>
      <c r="E19" s="123">
        <f>IFERROR(INDEX(FEV!AG$8:AG$73,MATCH($A19,FEV!$A$8:$A$73,0))&amp;"","")</f>
        <v/>
      </c>
      <c r="F19" s="123">
        <f>IFERROR(INDEX(FEV!AH$8:AH$73,MATCH($A19,FEV!$A$8:$A$73,0))&amp;"","")</f>
        <v/>
      </c>
      <c r="G19" s="123">
        <f>IFERROR(INDEX(FEV!AI$8:AI$73,MATCH($A19,FEV!$A$8:$A$73,0))&amp;"","")</f>
        <v/>
      </c>
      <c r="H19" s="109">
        <f>IFERROR(INDEX(FEV!AJ$8:AJ$73,MATCH($A19,FEV!$A$8:$A$73,0))&amp;"","")</f>
        <v/>
      </c>
      <c r="I19" s="116" t="inlineStr">
        <is>
          <t>N</t>
        </is>
      </c>
      <c r="J19" s="107" t="n"/>
      <c r="K19" s="107" t="n"/>
      <c r="L19" s="116" t="inlineStr">
        <is>
          <t>N</t>
        </is>
      </c>
      <c r="M19" s="107" t="n"/>
      <c r="N19" s="116" t="inlineStr">
        <is>
          <t>N</t>
        </is>
      </c>
      <c r="O19" s="107" t="n"/>
      <c r="P19" s="116" t="inlineStr">
        <is>
          <t>N</t>
        </is>
      </c>
      <c r="Q19" s="116" t="inlineStr">
        <is>
          <t>N</t>
        </is>
      </c>
      <c r="R19" s="107" t="n"/>
      <c r="S19" s="116" t="inlineStr">
        <is>
          <t>N</t>
        </is>
      </c>
      <c r="T19" s="107" t="n"/>
      <c r="U19" s="116" t="inlineStr">
        <is>
          <t>N</t>
        </is>
      </c>
      <c r="V19" s="107" t="n"/>
      <c r="W19" s="107" t="n"/>
      <c r="X19" s="107" t="n"/>
      <c r="Y19" s="116" t="inlineStr">
        <is>
          <t>N</t>
        </is>
      </c>
      <c r="Z19" s="116" t="inlineStr">
        <is>
          <t>N</t>
        </is>
      </c>
      <c r="AA19" s="107" t="n"/>
      <c r="AB19" s="107" t="n"/>
      <c r="AC19" s="107" t="n"/>
      <c r="AD19" s="116" t="inlineStr">
        <is>
          <t>N</t>
        </is>
      </c>
      <c r="AE19" s="116" t="inlineStr">
        <is>
          <t>N</t>
        </is>
      </c>
      <c r="AF19" s="107" t="n"/>
      <c r="AG19" s="116" t="inlineStr">
        <is>
          <t>N</t>
        </is>
      </c>
      <c r="AH19" s="116" t="inlineStr">
        <is>
          <t>N</t>
        </is>
      </c>
      <c r="AI19" s="107" t="n"/>
      <c r="AJ19" s="107" t="n"/>
      <c r="AK19" s="107" t="n"/>
      <c r="AL19" s="107" t="n"/>
      <c r="AM19" s="107" t="n"/>
      <c r="AN19" s="123">
        <f>IFERROR(INDEX(ABR!I$8:I$73,MATCH($A19,ABR!$A$8:$A$73,0))&amp;"","")</f>
        <v/>
      </c>
      <c r="AO19" s="123">
        <f>IFERROR(INDEX(ABR!J$8:J$73,MATCH($A19,ABR!$A$8:$A$73,0))&amp;"","")</f>
        <v/>
      </c>
      <c r="AP19" s="123">
        <f>IFERROR(INDEX(ABR!K$8:K$73,MATCH($A19,ABR!$A$8:$A$73,0))&amp;"","")</f>
        <v/>
      </c>
      <c r="AQ19" s="109">
        <f>IFERROR(INDEX(ABR!L$8:L$73,MATCH($A19,ABR!$A$8:$A$73,0))&amp;"","")</f>
        <v/>
      </c>
      <c r="AR19" s="109">
        <f>IFERROR(INDEX(ABR!M$8:M$73,MATCH($A19,ABR!$A$8:$A$73,0))&amp;"","")</f>
        <v/>
      </c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SUMPRODUCT(($C19:$I19="M")*6+($C19:$I19="T")*6+($C19:$I19="D")*12+($C19:$I19="N")*12+($C19:$I19="NT")*6+($C19:$I19="C")*10+($C19:$I19="A")*8+($C19:$I19="J")*5+($C19:$I19="E")*4+($C19:$I19="P")*6+($C19:$I19="R")*6)</f>
        <v/>
      </c>
      <c r="BF19" s="110">
        <f>SUMPRODUCT(($J19:$P19="M")*6+($J19:$P19="T")*6+($J19:$P19="D")*12+($J19:$P19="N")*12+($J19:$P19="NT")*6+($J19:$P19="C")*10+($J19:$P19="A")*8+($J19:$P19="J")*5+($J19:$P19="E")*4+($J19:$P19="P")*6+($J19:$P19="R")*6)</f>
        <v/>
      </c>
      <c r="BG19" s="110">
        <f>SUMPRODUCT(($Q19:$W19="M")*6+($Q19:$W19="T")*6+($Q19:$W19="D")*12+($Q19:$W19="N")*12+($Q19:$W19="NT")*6+($Q19:$W19="C")*10+($Q19:$W19="A")*8+($Q19:$W19="J")*5+($Q19:$W19="E")*4+($Q19:$W19="P")*6+($Q19:$W19="R")*6)</f>
        <v/>
      </c>
      <c r="BH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I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J19" s="110">
        <f>SUMPRODUCT(($AL19:$AM19="M")*6+($AL19:$AM19="T")*6+($AL19:$AM19="D")*12+($AL19:$AM19="N")*12+($AL19:$AM19="NT")*6+($AL19:$AM19="C")*10+($AL19:$AM19="A")*8+($AL19:$AM19="J")*5+($AL19:$AM19="E")*4+($AL19:$AM19="P")*6+($AL19:$AM19="R")*6)+SUMPRODUCT(($AN19:$AR19="M")*6+($AN19:$AR19="T")*6+($AN19:$AR19="D")*12+($AN19:$AR19="N")*12+($AN19:$AR19="NT")*6+($AN19:$AR19="C")*10+($AN19:$AR19="A")*8+($AN19:$AR19="J")*5+($AN19:$AR19="E")*4+($AN19:$AR19="P")*6+($AN19:$AR19="R")*6)</f>
        <v/>
      </c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123">
        <f>IFERROR(INDEX(FEV!AE$8:AE$73,MATCH($A20,FEV!$A$8:$A$73,0))&amp;"","")</f>
        <v/>
      </c>
      <c r="D20" s="123">
        <f>IFERROR(INDEX(FEV!AF$8:AF$73,MATCH($A20,FEV!$A$8:$A$73,0))&amp;"","")</f>
        <v/>
      </c>
      <c r="E20" s="123">
        <f>IFERROR(INDEX(FEV!AG$8:AG$73,MATCH($A20,FEV!$A$8:$A$73,0))&amp;"","")</f>
        <v/>
      </c>
      <c r="F20" s="123">
        <f>IFERROR(INDEX(FEV!AH$8:AH$73,MATCH($A20,FEV!$A$8:$A$73,0))&amp;"","")</f>
        <v/>
      </c>
      <c r="G20" s="123">
        <f>IFERROR(INDEX(FEV!AI$8:AI$73,MATCH($A20,FEV!$A$8:$A$73,0))&amp;"","")</f>
        <v/>
      </c>
      <c r="H20" s="109">
        <f>IFERROR(INDEX(FEV!AJ$8:AJ$73,MATCH($A20,FEV!$A$8:$A$73,0))&amp;"","")</f>
        <v/>
      </c>
      <c r="I20" s="116" t="inlineStr">
        <is>
          <t>N</t>
        </is>
      </c>
      <c r="J20" s="107" t="n"/>
      <c r="K20" s="116" t="inlineStr">
        <is>
          <t>N</t>
        </is>
      </c>
      <c r="L20" s="116" t="inlineStr">
        <is>
          <t>N</t>
        </is>
      </c>
      <c r="M20" s="116" t="inlineStr">
        <is>
          <t>N</t>
        </is>
      </c>
      <c r="N20" s="107" t="n"/>
      <c r="O20" s="107" t="n"/>
      <c r="P20" s="107" t="n"/>
      <c r="Q20" s="107" t="n"/>
      <c r="R20" s="107" t="n"/>
      <c r="S20" s="116" t="inlineStr">
        <is>
          <t>N</t>
        </is>
      </c>
      <c r="T20" s="116" t="inlineStr">
        <is>
          <t>N</t>
        </is>
      </c>
      <c r="U20" s="107" t="n"/>
      <c r="V20" s="107" t="n"/>
      <c r="W20" s="116" t="inlineStr">
        <is>
          <t>N</t>
        </is>
      </c>
      <c r="X20" s="107" t="n"/>
      <c r="Y20" s="116" t="inlineStr">
        <is>
          <t>N</t>
        </is>
      </c>
      <c r="Z20" s="116" t="inlineStr">
        <is>
          <t>N</t>
        </is>
      </c>
      <c r="AA20" s="116" t="inlineStr">
        <is>
          <t>N</t>
        </is>
      </c>
      <c r="AB20" s="107" t="n"/>
      <c r="AC20" s="107" t="n"/>
      <c r="AD20" s="107" t="n"/>
      <c r="AE20" s="107" t="n"/>
      <c r="AF20" s="107" t="n"/>
      <c r="AG20" s="116" t="inlineStr">
        <is>
          <t>N</t>
        </is>
      </c>
      <c r="AH20" s="107" t="n"/>
      <c r="AI20" s="116" t="inlineStr">
        <is>
          <t>N</t>
        </is>
      </c>
      <c r="AJ20" s="107" t="n"/>
      <c r="AK20" s="116" t="inlineStr">
        <is>
          <t>N</t>
        </is>
      </c>
      <c r="AL20" s="107" t="n"/>
      <c r="AM20" s="116" t="inlineStr">
        <is>
          <t>N</t>
        </is>
      </c>
      <c r="AN20" s="123">
        <f>IFERROR(INDEX(ABR!I$8:I$73,MATCH($A20,ABR!$A$8:$A$73,0))&amp;"","")</f>
        <v/>
      </c>
      <c r="AO20" s="123">
        <f>IFERROR(INDEX(ABR!J$8:J$73,MATCH($A20,ABR!$A$8:$A$73,0))&amp;"","")</f>
        <v/>
      </c>
      <c r="AP20" s="123">
        <f>IFERROR(INDEX(ABR!K$8:K$73,MATCH($A20,ABR!$A$8:$A$73,0))&amp;"","")</f>
        <v/>
      </c>
      <c r="AQ20" s="109">
        <f>IFERROR(INDEX(ABR!L$8:L$73,MATCH($A20,ABR!$A$8:$A$73,0))&amp;"","")</f>
        <v/>
      </c>
      <c r="AR20" s="109">
        <f>IFERROR(INDEX(ABR!M$8:M$73,MATCH($A20,ABR!$A$8:$A$73,0))&amp;"","")</f>
        <v/>
      </c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SUMPRODUCT(($C20:$I20="M")*6+($C20:$I20="T")*6+($C20:$I20="D")*12+($C20:$I20="N")*12+($C20:$I20="NT")*6+($C20:$I20="C")*10+($C20:$I20="A")*8+($C20:$I20="J")*5+($C20:$I20="E")*4+($C20:$I20="P")*6+($C20:$I20="R")*6)</f>
        <v/>
      </c>
      <c r="BF20" s="110">
        <f>SUMPRODUCT(($J20:$P20="M")*6+($J20:$P20="T")*6+($J20:$P20="D")*12+($J20:$P20="N")*12+($J20:$P20="NT")*6+($J20:$P20="C")*10+($J20:$P20="A")*8+($J20:$P20="J")*5+($J20:$P20="E")*4+($J20:$P20="P")*6+($J20:$P20="R")*6)</f>
        <v/>
      </c>
      <c r="BG20" s="110">
        <f>SUMPRODUCT(($Q20:$W20="M")*6+($Q20:$W20="T")*6+($Q20:$W20="D")*12+($Q20:$W20="N")*12+($Q20:$W20="NT")*6+($Q20:$W20="C")*10+($Q20:$W20="A")*8+($Q20:$W20="J")*5+($Q20:$W20="E")*4+($Q20:$W20="P")*6+($Q20:$W20="R")*6)</f>
        <v/>
      </c>
      <c r="BH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I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J20" s="110">
        <f>SUMPRODUCT(($AL20:$AM20="M")*6+($AL20:$AM20="T")*6+($AL20:$AM20="D")*12+($AL20:$AM20="N")*12+($AL20:$AM20="NT")*6+($AL20:$AM20="C")*10+($AL20:$AM20="A")*8+($AL20:$AM20="J")*5+($AL20:$AM20="E")*4+($AL20:$AM20="P")*6+($AL20:$AM20="R")*6)+SUMPRODUCT(($AN20:$AR20="M")*6+($AN20:$AR20="T")*6+($AN20:$AR20="D")*12+($AN20:$AR20="N")*12+($AN20:$AR20="NT")*6+($AN20:$AR20="C")*10+($AN20:$AR20="A")*8+($AN20:$AR20="J")*5+($AN20:$AR20="E")*4+($AN20:$AR20="P")*6+($AN20:$AR20="R")*6)</f>
        <v/>
      </c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123">
        <f>IFERROR(INDEX(FEV!AE$8:AE$73,MATCH($A21,FEV!$A$8:$A$73,0))&amp;"","")</f>
        <v/>
      </c>
      <c r="D21" s="123">
        <f>IFERROR(INDEX(FEV!AF$8:AF$73,MATCH($A21,FEV!$A$8:$A$73,0))&amp;"","")</f>
        <v/>
      </c>
      <c r="E21" s="123">
        <f>IFERROR(INDEX(FEV!AG$8:AG$73,MATCH($A21,FEV!$A$8:$A$73,0))&amp;"","")</f>
        <v/>
      </c>
      <c r="F21" s="123">
        <f>IFERROR(INDEX(FEV!AH$8:AH$73,MATCH($A21,FEV!$A$8:$A$73,0))&amp;"","")</f>
        <v/>
      </c>
      <c r="G21" s="123">
        <f>IFERROR(INDEX(FEV!AI$8:AI$73,MATCH($A21,FEV!$A$8:$A$73,0))&amp;"","")</f>
        <v/>
      </c>
      <c r="H21" s="109">
        <f>IFERROR(INDEX(FEV!AJ$8:AJ$73,MATCH($A21,FEV!$A$8:$A$73,0))&amp;"","")</f>
        <v/>
      </c>
      <c r="I21" s="107" t="n"/>
      <c r="J21" s="117" t="inlineStr">
        <is>
          <t>T</t>
        </is>
      </c>
      <c r="K21" s="117" t="inlineStr">
        <is>
          <t>T</t>
        </is>
      </c>
      <c r="L21" s="107" t="n"/>
      <c r="M21" s="115" t="inlineStr">
        <is>
          <t>D</t>
        </is>
      </c>
      <c r="N21" s="116" t="inlineStr">
        <is>
          <t>N</t>
        </is>
      </c>
      <c r="O21" s="107" t="n"/>
      <c r="P21" s="107" t="n"/>
      <c r="Q21" s="117" t="inlineStr">
        <is>
          <t>T</t>
        </is>
      </c>
      <c r="R21" s="117" t="inlineStr">
        <is>
          <t>T</t>
        </is>
      </c>
      <c r="S21" s="107" t="n"/>
      <c r="T21" s="117" t="inlineStr">
        <is>
          <t>T</t>
        </is>
      </c>
      <c r="U21" s="117" t="inlineStr">
        <is>
          <t>T</t>
        </is>
      </c>
      <c r="V21" s="116" t="inlineStr">
        <is>
          <t>N</t>
        </is>
      </c>
      <c r="W21" s="107" t="n"/>
      <c r="X21" s="116" t="inlineStr">
        <is>
          <t>N</t>
        </is>
      </c>
      <c r="Y21" s="107" t="n"/>
      <c r="Z21" s="107" t="n"/>
      <c r="AA21" s="117" t="inlineStr">
        <is>
          <t>T</t>
        </is>
      </c>
      <c r="AB21" s="117" t="inlineStr">
        <is>
          <t>T</t>
        </is>
      </c>
      <c r="AC21" s="116" t="inlineStr">
        <is>
          <t>N</t>
        </is>
      </c>
      <c r="AD21" s="107" t="n"/>
      <c r="AE21" s="107" t="n"/>
      <c r="AF21" s="107" t="n"/>
      <c r="AG21" s="117" t="inlineStr">
        <is>
          <t>T</t>
        </is>
      </c>
      <c r="AH21" s="116" t="inlineStr">
        <is>
          <t>N</t>
        </is>
      </c>
      <c r="AI21" s="107" t="n"/>
      <c r="AJ21" s="115" t="inlineStr">
        <is>
          <t>D</t>
        </is>
      </c>
      <c r="AK21" s="108" t="inlineStr">
        <is>
          <t>M</t>
        </is>
      </c>
      <c r="AL21" s="117" t="inlineStr">
        <is>
          <t>T</t>
        </is>
      </c>
      <c r="AM21" s="117" t="inlineStr">
        <is>
          <t>T</t>
        </is>
      </c>
      <c r="AN21" s="123">
        <f>IFERROR(INDEX(ABR!I$8:I$73,MATCH($A21,ABR!$A$8:$A$73,0))&amp;"","")</f>
        <v/>
      </c>
      <c r="AO21" s="123">
        <f>IFERROR(INDEX(ABR!J$8:J$73,MATCH($A21,ABR!$A$8:$A$73,0))&amp;"","")</f>
        <v/>
      </c>
      <c r="AP21" s="123">
        <f>IFERROR(INDEX(ABR!K$8:K$73,MATCH($A21,ABR!$A$8:$A$73,0))&amp;"","")</f>
        <v/>
      </c>
      <c r="AQ21" s="109">
        <f>IFERROR(INDEX(ABR!L$8:L$73,MATCH($A21,ABR!$A$8:$A$73,0))&amp;"","")</f>
        <v/>
      </c>
      <c r="AR21" s="109">
        <f>IFERROR(INDEX(ABR!M$8:M$73,MATCH($A21,ABR!$A$8:$A$73,0))&amp;"","")</f>
        <v/>
      </c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SUMPRODUCT(($C21:$I21="M")*6+($C21:$I21="T")*6+($C21:$I21="D")*12+($C21:$I21="N")*12+($C21:$I21="NT")*6+($C21:$I21="C")*10+($C21:$I21="A")*8+($C21:$I21="J")*5+($C21:$I21="E")*4+($C21:$I21="P")*6+($C21:$I21="R")*6)</f>
        <v/>
      </c>
      <c r="BF21" s="110">
        <f>SUMPRODUCT(($J21:$P21="M")*6+($J21:$P21="T")*6+($J21:$P21="D")*12+($J21:$P21="N")*12+($J21:$P21="NT")*6+($J21:$P21="C")*10+($J21:$P21="A")*8+($J21:$P21="J")*5+($J21:$P21="E")*4+($J21:$P21="P")*6+($J21:$P21="R")*6)</f>
        <v/>
      </c>
      <c r="BG21" s="110">
        <f>SUMPRODUCT(($Q21:$W21="M")*6+($Q21:$W21="T")*6+($Q21:$W21="D")*12+($Q21:$W21="N")*12+($Q21:$W21="NT")*6+($Q21:$W21="C")*10+($Q21:$W21="A")*8+($Q21:$W21="J")*5+($Q21:$W21="E")*4+($Q21:$W21="P")*6+($Q21:$W21="R")*6)</f>
        <v/>
      </c>
      <c r="BH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I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J21" s="110">
        <f>SUMPRODUCT(($AL21:$AM21="M")*6+($AL21:$AM21="T")*6+($AL21:$AM21="D")*12+($AL21:$AM21="N")*12+($AL21:$AM21="NT")*6+($AL21:$AM21="C")*10+($AL21:$AM21="A")*8+($AL21:$AM21="J")*5+($AL21:$AM21="E")*4+($AL21:$AM21="P")*6+($AL21:$AM21="R")*6)+SUMPRODUCT(($AN21:$AR21="M")*6+($AN21:$AR21="T")*6+($AN21:$AR21="D")*12+($AN21:$AR21="N")*12+($AN21:$AR21="NT")*6+($AN21:$AR21="C")*10+($AN21:$AR21="A")*8+($AN21:$AR21="J")*5+($AN21:$AR21="E")*4+($AN21:$AR21="P")*6+($AN21:$AR21="R")*6)</f>
        <v/>
      </c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123">
        <f>IFERROR(INDEX(FEV!AE$8:AE$73,MATCH($A22,FEV!$A$8:$A$73,0))&amp;"","")</f>
        <v/>
      </c>
      <c r="D22" s="123">
        <f>IFERROR(INDEX(FEV!AF$8:AF$73,MATCH($A22,FEV!$A$8:$A$73,0))&amp;"","")</f>
        <v/>
      </c>
      <c r="E22" s="123">
        <f>IFERROR(INDEX(FEV!AG$8:AG$73,MATCH($A22,FEV!$A$8:$A$73,0))&amp;"","")</f>
        <v/>
      </c>
      <c r="F22" s="123">
        <f>IFERROR(INDEX(FEV!AH$8:AH$73,MATCH($A22,FEV!$A$8:$A$73,0))&amp;"","")</f>
        <v/>
      </c>
      <c r="G22" s="123">
        <f>IFERROR(INDEX(FEV!AI$8:AI$73,MATCH($A22,FEV!$A$8:$A$73,0))&amp;"","")</f>
        <v/>
      </c>
      <c r="H22" s="109">
        <f>IFERROR(INDEX(FEV!AJ$8:AJ$73,MATCH($A22,FEV!$A$8:$A$73,0))&amp;"","")</f>
        <v/>
      </c>
      <c r="I22" s="115" t="inlineStr">
        <is>
          <t>D</t>
        </is>
      </c>
      <c r="J22" s="116" t="inlineStr">
        <is>
          <t>N</t>
        </is>
      </c>
      <c r="K22" s="117" t="inlineStr">
        <is>
          <t>T</t>
        </is>
      </c>
      <c r="L22" s="108" t="inlineStr">
        <is>
          <t>M</t>
        </is>
      </c>
      <c r="M22" s="107" t="n"/>
      <c r="N22" s="108" t="inlineStr">
        <is>
          <t>M</t>
        </is>
      </c>
      <c r="O22" s="107" t="n"/>
      <c r="P22" s="107" t="n"/>
      <c r="Q22" s="107" t="n"/>
      <c r="R22" s="115" t="inlineStr">
        <is>
          <t>D</t>
        </is>
      </c>
      <c r="S22" s="107" t="n"/>
      <c r="T22" s="115" t="inlineStr">
        <is>
          <t>D</t>
        </is>
      </c>
      <c r="U22" s="107" t="n"/>
      <c r="V22" s="115" t="inlineStr">
        <is>
          <t>D</t>
        </is>
      </c>
      <c r="W22" s="107" t="n"/>
      <c r="X22" s="107" t="n"/>
      <c r="Y22" s="115" t="inlineStr">
        <is>
          <t>D</t>
        </is>
      </c>
      <c r="Z22" s="107" t="n"/>
      <c r="AA22" s="107" t="n"/>
      <c r="AB22" s="116" t="inlineStr">
        <is>
          <t>N</t>
        </is>
      </c>
      <c r="AC22" s="107" t="n"/>
      <c r="AD22" s="115" t="inlineStr">
        <is>
          <t>D</t>
        </is>
      </c>
      <c r="AE22" s="107" t="n"/>
      <c r="AF22" s="115" t="inlineStr">
        <is>
          <t>D</t>
        </is>
      </c>
      <c r="AG22" s="115" t="inlineStr">
        <is>
          <t>D</t>
        </is>
      </c>
      <c r="AH22" s="107" t="n"/>
      <c r="AI22" s="107" t="n"/>
      <c r="AJ22" s="115" t="inlineStr">
        <is>
          <t>D</t>
        </is>
      </c>
      <c r="AK22" s="107" t="n"/>
      <c r="AL22" s="107" t="n"/>
      <c r="AM22" s="115" t="inlineStr">
        <is>
          <t>D</t>
        </is>
      </c>
      <c r="AN22" s="123">
        <f>IFERROR(INDEX(ABR!I$8:I$73,MATCH($A22,ABR!$A$8:$A$73,0))&amp;"","")</f>
        <v/>
      </c>
      <c r="AO22" s="123">
        <f>IFERROR(INDEX(ABR!J$8:J$73,MATCH($A22,ABR!$A$8:$A$73,0))&amp;"","")</f>
        <v/>
      </c>
      <c r="AP22" s="123">
        <f>IFERROR(INDEX(ABR!K$8:K$73,MATCH($A22,ABR!$A$8:$A$73,0))&amp;"","")</f>
        <v/>
      </c>
      <c r="AQ22" s="109">
        <f>IFERROR(INDEX(ABR!L$8:L$73,MATCH($A22,ABR!$A$8:$A$73,0))&amp;"","")</f>
        <v/>
      </c>
      <c r="AR22" s="109">
        <f>IFERROR(INDEX(ABR!M$8:M$73,MATCH($A22,ABR!$A$8:$A$73,0))&amp;"","")</f>
        <v/>
      </c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SUMPRODUCT(($C22:$I22="M")*6+($C22:$I22="T")*6+($C22:$I22="D")*12+($C22:$I22="N")*12+($C22:$I22="NT")*6+($C22:$I22="C")*10+($C22:$I22="A")*8+($C22:$I22="J")*5+($C22:$I22="E")*4+($C22:$I22="P")*6+($C22:$I22="R")*6)</f>
        <v/>
      </c>
      <c r="BF22" s="110">
        <f>SUMPRODUCT(($J22:$P22="M")*6+($J22:$P22="T")*6+($J22:$P22="D")*12+($J22:$P22="N")*12+($J22:$P22="NT")*6+($J22:$P22="C")*10+($J22:$P22="A")*8+($J22:$P22="J")*5+($J22:$P22="E")*4+($J22:$P22="P")*6+($J22:$P22="R")*6)</f>
        <v/>
      </c>
      <c r="BG22" s="110">
        <f>SUMPRODUCT(($Q22:$W22="M")*6+($Q22:$W22="T")*6+($Q22:$W22="D")*12+($Q22:$W22="N")*12+($Q22:$W22="NT")*6+($Q22:$W22="C")*10+($Q22:$W22="A")*8+($Q22:$W22="J")*5+($Q22:$W22="E")*4+($Q22:$W22="P")*6+($Q22:$W22="R")*6)</f>
        <v/>
      </c>
      <c r="BH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I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J22" s="110">
        <f>SUMPRODUCT(($AL22:$AM22="M")*6+($AL22:$AM22="T")*6+($AL22:$AM22="D")*12+($AL22:$AM22="N")*12+($AL22:$AM22="NT")*6+($AL22:$AM22="C")*10+($AL22:$AM22="A")*8+($AL22:$AM22="J")*5+($AL22:$AM22="E")*4+($AL22:$AM22="P")*6+($AL22:$AM22="R")*6)+SUMPRODUCT(($AN22:$AR22="M")*6+($AN22:$AR22="T")*6+($AN22:$AR22="D")*12+($AN22:$AR22="N")*12+($AN22:$AR22="NT")*6+($AN22:$AR22="C")*10+($AN22:$AR22="A")*8+($AN22:$AR22="J")*5+($AN22:$AR22="E")*4+($AN22:$AR22="P")*6+($AN22:$AR22="R")*6)</f>
        <v/>
      </c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123">
        <f>IFERROR(INDEX(FEV!AE$8:AE$73,MATCH($A23,FEV!$A$8:$A$73,0))&amp;"","")</f>
        <v/>
      </c>
      <c r="D23" s="123">
        <f>IFERROR(INDEX(FEV!AF$8:AF$73,MATCH($A23,FEV!$A$8:$A$73,0))&amp;"","")</f>
        <v/>
      </c>
      <c r="E23" s="123">
        <f>IFERROR(INDEX(FEV!AG$8:AG$73,MATCH($A23,FEV!$A$8:$A$73,0))&amp;"","")</f>
        <v/>
      </c>
      <c r="F23" s="123">
        <f>IFERROR(INDEX(FEV!AH$8:AH$73,MATCH($A23,FEV!$A$8:$A$73,0))&amp;"","")</f>
        <v/>
      </c>
      <c r="G23" s="123">
        <f>IFERROR(INDEX(FEV!AI$8:AI$73,MATCH($A23,FEV!$A$8:$A$73,0))&amp;"","")</f>
        <v/>
      </c>
      <c r="H23" s="109">
        <f>IFERROR(INDEX(FEV!AJ$8:AJ$73,MATCH($A23,FEV!$A$8:$A$73,0))&amp;"","")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15" t="inlineStr">
        <is>
          <t>D</t>
        </is>
      </c>
      <c r="Z23" s="107" t="n"/>
      <c r="AA23" s="107" t="n"/>
      <c r="AB23" s="107" t="n"/>
      <c r="AC23" s="115" t="inlineStr">
        <is>
          <t>D</t>
        </is>
      </c>
      <c r="AD23" s="108" t="inlineStr">
        <is>
          <t>M</t>
        </is>
      </c>
      <c r="AE23" s="115" t="inlineStr">
        <is>
          <t>D</t>
        </is>
      </c>
      <c r="AF23" s="115" t="inlineStr">
        <is>
          <t>D</t>
        </is>
      </c>
      <c r="AG23" s="107" t="n"/>
      <c r="AH23" s="115" t="inlineStr">
        <is>
          <t>D</t>
        </is>
      </c>
      <c r="AI23" s="107" t="n"/>
      <c r="AJ23" s="107" t="n"/>
      <c r="AK23" s="107" t="n"/>
      <c r="AL23" s="115" t="inlineStr">
        <is>
          <t>D</t>
        </is>
      </c>
      <c r="AM23" s="115" t="inlineStr">
        <is>
          <t>D</t>
        </is>
      </c>
      <c r="AN23" s="123">
        <f>IFERROR(INDEX(ABR!I$8:I$73,MATCH($A23,ABR!$A$8:$A$73,0))&amp;"","")</f>
        <v/>
      </c>
      <c r="AO23" s="123">
        <f>IFERROR(INDEX(ABR!J$8:J$73,MATCH($A23,ABR!$A$8:$A$73,0))&amp;"","")</f>
        <v/>
      </c>
      <c r="AP23" s="123">
        <f>IFERROR(INDEX(ABR!K$8:K$73,MATCH($A23,ABR!$A$8:$A$73,0))&amp;"","")</f>
        <v/>
      </c>
      <c r="AQ23" s="109">
        <f>IFERROR(INDEX(ABR!L$8:L$73,MATCH($A23,ABR!$A$8:$A$73,0))&amp;"","")</f>
        <v/>
      </c>
      <c r="AR23" s="109">
        <f>IFERROR(INDEX(ABR!M$8:M$73,MATCH($A23,ABR!$A$8:$A$73,0))&amp;"","")</f>
        <v/>
      </c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SUMPRODUCT(($C23:$I23="M")*6+($C23:$I23="T")*6+($C23:$I23="D")*12+($C23:$I23="N")*12+($C23:$I23="NT")*6+($C23:$I23="C")*10+($C23:$I23="A")*8+($C23:$I23="J")*5+($C23:$I23="E")*4+($C23:$I23="P")*6+($C23:$I23="R")*6)</f>
        <v/>
      </c>
      <c r="BF23" s="110">
        <f>SUMPRODUCT(($J23:$P23="M")*6+($J23:$P23="T")*6+($J23:$P23="D")*12+($J23:$P23="N")*12+($J23:$P23="NT")*6+($J23:$P23="C")*10+($J23:$P23="A")*8+($J23:$P23="J")*5+($J23:$P23="E")*4+($J23:$P23="P")*6+($J23:$P23="R")*6)</f>
        <v/>
      </c>
      <c r="BG23" s="110">
        <f>SUMPRODUCT(($Q23:$W23="M")*6+($Q23:$W23="T")*6+($Q23:$W23="D")*12+($Q23:$W23="N")*12+($Q23:$W23="NT")*6+($Q23:$W23="C")*10+($Q23:$W23="A")*8+($Q23:$W23="J")*5+($Q23:$W23="E")*4+($Q23:$W23="P")*6+($Q23:$W23="R")*6)</f>
        <v/>
      </c>
      <c r="BH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I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J23" s="110">
        <f>SUMPRODUCT(($AL23:$AM23="M")*6+($AL23:$AM23="T")*6+($AL23:$AM23="D")*12+($AL23:$AM23="N")*12+($AL23:$AM23="NT")*6+($AL23:$AM23="C")*10+($AL23:$AM23="A")*8+($AL23:$AM23="J")*5+($AL23:$AM23="E")*4+($AL23:$AM23="P")*6+($AL23:$AM23="R")*6)+SUMPRODUCT(($AN23:$AR23="M")*6+($AN23:$AR23="T")*6+($AN23:$AR23="D")*12+($AN23:$AR23="N")*12+($AN23:$AR23="NT")*6+($AN23:$AR23="C")*10+($AN23:$AR23="A")*8+($AN23:$AR23="J")*5+($AN23:$AR23="E")*4+($AN23:$AR23="P")*6+($AN23:$AR23="R")*6)</f>
        <v/>
      </c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123">
        <f>IFERROR(INDEX(FEV!AE$8:AE$73,MATCH($A24,FEV!$A$8:$A$73,0))&amp;"","")</f>
        <v/>
      </c>
      <c r="D24" s="123">
        <f>IFERROR(INDEX(FEV!AF$8:AF$73,MATCH($A24,FEV!$A$8:$A$73,0))&amp;"","")</f>
        <v/>
      </c>
      <c r="E24" s="123">
        <f>IFERROR(INDEX(FEV!AG$8:AG$73,MATCH($A24,FEV!$A$8:$A$73,0))&amp;"","")</f>
        <v/>
      </c>
      <c r="F24" s="123">
        <f>IFERROR(INDEX(FEV!AH$8:AH$73,MATCH($A24,FEV!$A$8:$A$73,0))&amp;"","")</f>
        <v/>
      </c>
      <c r="G24" s="123">
        <f>IFERROR(INDEX(FEV!AI$8:AI$73,MATCH($A24,FEV!$A$8:$A$73,0))&amp;"","")</f>
        <v/>
      </c>
      <c r="H24" s="109">
        <f>IFERROR(INDEX(FEV!AJ$8:AJ$73,MATCH($A24,FEV!$A$8:$A$73,0))&amp;"","")</f>
        <v/>
      </c>
      <c r="I24" s="107" t="n"/>
      <c r="J24" s="115" t="inlineStr">
        <is>
          <t>D</t>
        </is>
      </c>
      <c r="K24" s="108" t="inlineStr">
        <is>
          <t>M</t>
        </is>
      </c>
      <c r="L24" s="108" t="inlineStr">
        <is>
          <t>M</t>
        </is>
      </c>
      <c r="M24" s="107" t="n"/>
      <c r="N24" s="107" t="n"/>
      <c r="O24" s="116" t="inlineStr">
        <is>
          <t>N</t>
        </is>
      </c>
      <c r="P24" s="107" t="n"/>
      <c r="Q24" s="115" t="inlineStr">
        <is>
          <t>D</t>
        </is>
      </c>
      <c r="R24" s="108" t="inlineStr">
        <is>
          <t>M</t>
        </is>
      </c>
      <c r="S24" s="108" t="inlineStr">
        <is>
          <t>M</t>
        </is>
      </c>
      <c r="T24" s="117" t="inlineStr">
        <is>
          <t>T</t>
        </is>
      </c>
      <c r="U24" s="117" t="inlineStr">
        <is>
          <t>T</t>
        </is>
      </c>
      <c r="V24" s="107" t="n"/>
      <c r="W24" s="107" t="n"/>
      <c r="X24" s="115" t="inlineStr">
        <is>
          <t>D</t>
        </is>
      </c>
      <c r="Y24" s="117" t="inlineStr">
        <is>
          <t>T</t>
        </is>
      </c>
      <c r="Z24" s="108" t="inlineStr">
        <is>
          <t>M</t>
        </is>
      </c>
      <c r="AA24" s="107" t="n"/>
      <c r="AB24" s="107" t="n"/>
      <c r="AC24" s="108" t="inlineStr">
        <is>
          <t>M</t>
        </is>
      </c>
      <c r="AD24" s="107" t="n"/>
      <c r="AE24" s="115" t="inlineStr">
        <is>
          <t>D</t>
        </is>
      </c>
      <c r="AF24" s="108" t="inlineStr">
        <is>
          <t>M</t>
        </is>
      </c>
      <c r="AG24" s="107" t="n"/>
      <c r="AH24" s="108" t="inlineStr">
        <is>
          <t>M</t>
        </is>
      </c>
      <c r="AI24" s="107" t="n"/>
      <c r="AJ24" s="116" t="inlineStr">
        <is>
          <t>N</t>
        </is>
      </c>
      <c r="AK24" s="107" t="n"/>
      <c r="AL24" s="115" t="inlineStr">
        <is>
          <t>D</t>
        </is>
      </c>
      <c r="AM24" s="107" t="n"/>
      <c r="AN24" s="123">
        <f>IFERROR(INDEX(ABR!I$8:I$73,MATCH($A24,ABR!$A$8:$A$73,0))&amp;"","")</f>
        <v/>
      </c>
      <c r="AO24" s="123">
        <f>IFERROR(INDEX(ABR!J$8:J$73,MATCH($A24,ABR!$A$8:$A$73,0))&amp;"","")</f>
        <v/>
      </c>
      <c r="AP24" s="123">
        <f>IFERROR(INDEX(ABR!K$8:K$73,MATCH($A24,ABR!$A$8:$A$73,0))&amp;"","")</f>
        <v/>
      </c>
      <c r="AQ24" s="109">
        <f>IFERROR(INDEX(ABR!L$8:L$73,MATCH($A24,ABR!$A$8:$A$73,0))&amp;"","")</f>
        <v/>
      </c>
      <c r="AR24" s="109">
        <f>IFERROR(INDEX(ABR!M$8:M$73,MATCH($A24,ABR!$A$8:$A$73,0))&amp;"","")</f>
        <v/>
      </c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SUMPRODUCT(($C24:$I24="M")*6+($C24:$I24="T")*6+($C24:$I24="D")*12+($C24:$I24="N")*12+($C24:$I24="NT")*6+($C24:$I24="C")*10+($C24:$I24="A")*8+($C24:$I24="J")*5+($C24:$I24="E")*4+($C24:$I24="P")*6+($C24:$I24="R")*6)</f>
        <v/>
      </c>
      <c r="BF24" s="110">
        <f>SUMPRODUCT(($J24:$P24="M")*6+($J24:$P24="T")*6+($J24:$P24="D")*12+($J24:$P24="N")*12+($J24:$P24="NT")*6+($J24:$P24="C")*10+($J24:$P24="A")*8+($J24:$P24="J")*5+($J24:$P24="E")*4+($J24:$P24="P")*6+($J24:$P24="R")*6)</f>
        <v/>
      </c>
      <c r="BG24" s="110">
        <f>SUMPRODUCT(($Q24:$W24="M")*6+($Q24:$W24="T")*6+($Q24:$W24="D")*12+($Q24:$W24="N")*12+($Q24:$W24="NT")*6+($Q24:$W24="C")*10+($Q24:$W24="A")*8+($Q24:$W24="J")*5+($Q24:$W24="E")*4+($Q24:$W24="P")*6+($Q24:$W24="R")*6)</f>
        <v/>
      </c>
      <c r="BH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I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J24" s="110">
        <f>SUMPRODUCT(($AL24:$AM24="M")*6+($AL24:$AM24="T")*6+($AL24:$AM24="D")*12+($AL24:$AM24="N")*12+($AL24:$AM24="NT")*6+($AL24:$AM24="C")*10+($AL24:$AM24="A")*8+($AL24:$AM24="J")*5+($AL24:$AM24="E")*4+($AL24:$AM24="P")*6+($AL24:$AM24="R")*6)+SUMPRODUCT(($AN24:$AR24="M")*6+($AN24:$AR24="T")*6+($AN24:$AR24="D")*12+($AN24:$AR24="N")*12+($AN24:$AR24="NT")*6+($AN24:$AR24="C")*10+($AN24:$AR24="A")*8+($AN24:$AR24="J")*5+($AN24:$AR24="E")*4+($AN24:$AR24="P")*6+($AN24:$AR24="R")*6)</f>
        <v/>
      </c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123">
        <f>IFERROR(INDEX(FEV!AE$8:AE$73,MATCH($A25,FEV!$A$8:$A$73,0))&amp;"","")</f>
        <v/>
      </c>
      <c r="D25" s="123">
        <f>IFERROR(INDEX(FEV!AF$8:AF$73,MATCH($A25,FEV!$A$8:$A$73,0))&amp;"","")</f>
        <v/>
      </c>
      <c r="E25" s="123">
        <f>IFERROR(INDEX(FEV!AG$8:AG$73,MATCH($A25,FEV!$A$8:$A$73,0))&amp;"","")</f>
        <v/>
      </c>
      <c r="F25" s="123">
        <f>IFERROR(INDEX(FEV!AH$8:AH$73,MATCH($A25,FEV!$A$8:$A$73,0))&amp;"","")</f>
        <v/>
      </c>
      <c r="G25" s="123">
        <f>IFERROR(INDEX(FEV!AI$8:AI$73,MATCH($A25,FEV!$A$8:$A$73,0))&amp;"","")</f>
        <v/>
      </c>
      <c r="H25" s="109">
        <f>IFERROR(INDEX(FEV!AJ$8:AJ$73,MATCH($A25,FEV!$A$8:$A$73,0))&amp;"","")</f>
        <v/>
      </c>
      <c r="I25" s="116" t="inlineStr">
        <is>
          <t>N</t>
        </is>
      </c>
      <c r="J25" s="107" t="n"/>
      <c r="K25" s="116" t="inlineStr">
        <is>
          <t>N</t>
        </is>
      </c>
      <c r="L25" s="116" t="inlineStr">
        <is>
          <t>N</t>
        </is>
      </c>
      <c r="M25" s="107" t="n"/>
      <c r="N25" s="107" t="n"/>
      <c r="O25" s="107" t="n"/>
      <c r="P25" s="116" t="inlineStr">
        <is>
          <t>N</t>
        </is>
      </c>
      <c r="Q25" s="107" t="n"/>
      <c r="R25" s="116" t="inlineStr">
        <is>
          <t>N</t>
        </is>
      </c>
      <c r="S25" s="116" t="inlineStr">
        <is>
          <t>N</t>
        </is>
      </c>
      <c r="T25" s="107" t="n"/>
      <c r="U25" s="107" t="n"/>
      <c r="V25" s="107" t="n"/>
      <c r="W25" s="116" t="inlineStr">
        <is>
          <t>N</t>
        </is>
      </c>
      <c r="X25" s="116" t="inlineStr">
        <is>
          <t>N</t>
        </is>
      </c>
      <c r="Y25" s="116" t="inlineStr">
        <is>
          <t>N</t>
        </is>
      </c>
      <c r="Z25" s="116" t="inlineStr">
        <is>
          <t>N</t>
        </is>
      </c>
      <c r="AA25" s="107" t="n"/>
      <c r="AB25" s="107" t="n"/>
      <c r="AC25" s="107" t="n"/>
      <c r="AD25" s="107" t="n"/>
      <c r="AE25" s="116" t="inlineStr">
        <is>
          <t>N</t>
        </is>
      </c>
      <c r="AF25" s="116" t="inlineStr">
        <is>
          <t>N</t>
        </is>
      </c>
      <c r="AG25" s="116" t="inlineStr">
        <is>
          <t>N</t>
        </is>
      </c>
      <c r="AH25" s="107" t="n"/>
      <c r="AI25" s="107" t="n"/>
      <c r="AJ25" s="107" t="n"/>
      <c r="AK25" s="107" t="n"/>
      <c r="AL25" s="116" t="inlineStr">
        <is>
          <t>N</t>
        </is>
      </c>
      <c r="AM25" s="116" t="inlineStr">
        <is>
          <t>N</t>
        </is>
      </c>
      <c r="AN25" s="123">
        <f>IFERROR(INDEX(ABR!I$8:I$73,MATCH($A25,ABR!$A$8:$A$73,0))&amp;"","")</f>
        <v/>
      </c>
      <c r="AO25" s="123">
        <f>IFERROR(INDEX(ABR!J$8:J$73,MATCH($A25,ABR!$A$8:$A$73,0))&amp;"","")</f>
        <v/>
      </c>
      <c r="AP25" s="123">
        <f>IFERROR(INDEX(ABR!K$8:K$73,MATCH($A25,ABR!$A$8:$A$73,0))&amp;"","")</f>
        <v/>
      </c>
      <c r="AQ25" s="109">
        <f>IFERROR(INDEX(ABR!L$8:L$73,MATCH($A25,ABR!$A$8:$A$73,0))&amp;"","")</f>
        <v/>
      </c>
      <c r="AR25" s="109">
        <f>IFERROR(INDEX(ABR!M$8:M$73,MATCH($A25,ABR!$A$8:$A$73,0))&amp;"","")</f>
        <v/>
      </c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SUMPRODUCT(($C25:$I25="M")*6+($C25:$I25="T")*6+($C25:$I25="D")*12+($C25:$I25="N")*12+($C25:$I25="NT")*6+($C25:$I25="C")*10+($C25:$I25="A")*8+($C25:$I25="J")*5+($C25:$I25="E")*4+($C25:$I25="P")*6+($C25:$I25="R")*6)</f>
        <v/>
      </c>
      <c r="BF25" s="110">
        <f>SUMPRODUCT(($J25:$P25="M")*6+($J25:$P25="T")*6+($J25:$P25="D")*12+($J25:$P25="N")*12+($J25:$P25="NT")*6+($J25:$P25="C")*10+($J25:$P25="A")*8+($J25:$P25="J")*5+($J25:$P25="E")*4+($J25:$P25="P")*6+($J25:$P25="R")*6)</f>
        <v/>
      </c>
      <c r="BG25" s="110">
        <f>SUMPRODUCT(($Q25:$W25="M")*6+($Q25:$W25="T")*6+($Q25:$W25="D")*12+($Q25:$W25="N")*12+($Q25:$W25="NT")*6+($Q25:$W25="C")*10+($Q25:$W25="A")*8+($Q25:$W25="J")*5+($Q25:$W25="E")*4+($Q25:$W25="P")*6+($Q25:$W25="R")*6)</f>
        <v/>
      </c>
      <c r="BH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I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J25" s="110">
        <f>SUMPRODUCT(($AL25:$AM25="M")*6+($AL25:$AM25="T")*6+($AL25:$AM25="D")*12+($AL25:$AM25="N")*12+($AL25:$AM25="NT")*6+($AL25:$AM25="C")*10+($AL25:$AM25="A")*8+($AL25:$AM25="J")*5+($AL25:$AM25="E")*4+($AL25:$AM25="P")*6+($AL25:$AM25="R")*6)+SUMPRODUCT(($AN25:$AR25="M")*6+($AN25:$AR25="T")*6+($AN25:$AR25="D")*12+($AN25:$AR25="N")*12+($AN25:$AR25="NT")*6+($AN25:$AR25="C")*10+($AN25:$AR25="A")*8+($AN25:$AR25="J")*5+($AN25:$AR25="E")*4+($AN25:$AR25="P")*6+($AN25:$AR25="R")*6)</f>
        <v/>
      </c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123">
        <f>IFERROR(INDEX(FEV!AE$8:AE$73,MATCH($A26,FEV!$A$8:$A$73,0))&amp;"","")</f>
        <v/>
      </c>
      <c r="D26" s="123">
        <f>IFERROR(INDEX(FEV!AF$8:AF$73,MATCH($A26,FEV!$A$8:$A$73,0))&amp;"","")</f>
        <v/>
      </c>
      <c r="E26" s="123">
        <f>IFERROR(INDEX(FEV!AG$8:AG$73,MATCH($A26,FEV!$A$8:$A$73,0))&amp;"","")</f>
        <v/>
      </c>
      <c r="F26" s="123">
        <f>IFERROR(INDEX(FEV!AH$8:AH$73,MATCH($A26,FEV!$A$8:$A$73,0))&amp;"","")</f>
        <v/>
      </c>
      <c r="G26" s="123">
        <f>IFERROR(INDEX(FEV!AI$8:AI$73,MATCH($A26,FEV!$A$8:$A$73,0))&amp;"","")</f>
        <v/>
      </c>
      <c r="H26" s="109">
        <f>IFERROR(INDEX(FEV!AJ$8:AJ$73,MATCH($A26,FEV!$A$8:$A$73,0))&amp;"","")</f>
        <v/>
      </c>
      <c r="I26" s="116" t="inlineStr">
        <is>
          <t>N</t>
        </is>
      </c>
      <c r="J26" s="117" t="inlineStr">
        <is>
          <t>T</t>
        </is>
      </c>
      <c r="K26" s="116" t="inlineStr">
        <is>
          <t>N</t>
        </is>
      </c>
      <c r="L26" s="107" t="n"/>
      <c r="M26" s="107" t="n"/>
      <c r="N26" s="117" t="inlineStr">
        <is>
          <t>T</t>
        </is>
      </c>
      <c r="O26" s="107" t="n"/>
      <c r="P26" s="116" t="inlineStr">
        <is>
          <t>N</t>
        </is>
      </c>
      <c r="Q26" s="107" t="n"/>
      <c r="R26" s="116" t="inlineStr">
        <is>
          <t>N</t>
        </is>
      </c>
      <c r="S26" s="107" t="n"/>
      <c r="T26" s="117" t="inlineStr">
        <is>
          <t>T</t>
        </is>
      </c>
      <c r="U26" s="117" t="inlineStr">
        <is>
          <t>T</t>
        </is>
      </c>
      <c r="V26" s="107" t="n"/>
      <c r="W26" s="116" t="inlineStr">
        <is>
          <t>N</t>
        </is>
      </c>
      <c r="X26" s="108" t="inlineStr">
        <is>
          <t>M</t>
        </is>
      </c>
      <c r="Y26" s="107" t="n"/>
      <c r="Z26" s="107" t="n"/>
      <c r="AA26" s="115" t="inlineStr">
        <is>
          <t>D</t>
        </is>
      </c>
      <c r="AB26" s="117" t="inlineStr">
        <is>
          <t>T</t>
        </is>
      </c>
      <c r="AC26" s="107" t="n"/>
      <c r="AD26" s="116" t="inlineStr">
        <is>
          <t>N</t>
        </is>
      </c>
      <c r="AE26" s="107" t="n"/>
      <c r="AF26" s="116" t="inlineStr">
        <is>
          <t>N</t>
        </is>
      </c>
      <c r="AG26" s="107" t="n"/>
      <c r="AH26" s="107" t="n"/>
      <c r="AI26" s="115" t="inlineStr">
        <is>
          <t>D</t>
        </is>
      </c>
      <c r="AJ26" s="108" t="inlineStr">
        <is>
          <t>M</t>
        </is>
      </c>
      <c r="AK26" s="107" t="n"/>
      <c r="AL26" s="115" t="inlineStr">
        <is>
          <t>D</t>
        </is>
      </c>
      <c r="AM26" s="107" t="n"/>
      <c r="AN26" s="123">
        <f>IFERROR(INDEX(ABR!I$8:I$73,MATCH($A26,ABR!$A$8:$A$73,0))&amp;"","")</f>
        <v/>
      </c>
      <c r="AO26" s="123">
        <f>IFERROR(INDEX(ABR!J$8:J$73,MATCH($A26,ABR!$A$8:$A$73,0))&amp;"","")</f>
        <v/>
      </c>
      <c r="AP26" s="123">
        <f>IFERROR(INDEX(ABR!K$8:K$73,MATCH($A26,ABR!$A$8:$A$73,0))&amp;"","")</f>
        <v/>
      </c>
      <c r="AQ26" s="109">
        <f>IFERROR(INDEX(ABR!L$8:L$73,MATCH($A26,ABR!$A$8:$A$73,0))&amp;"","")</f>
        <v/>
      </c>
      <c r="AR26" s="109">
        <f>IFERROR(INDEX(ABR!M$8:M$73,MATCH($A26,ABR!$A$8:$A$73,0))&amp;"","")</f>
        <v/>
      </c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SUMPRODUCT(($C26:$I26="M")*6+($C26:$I26="T")*6+($C26:$I26="D")*12+($C26:$I26="N")*12+($C26:$I26="NT")*6+($C26:$I26="C")*10+($C26:$I26="A")*8+($C26:$I26="J")*5+($C26:$I26="E")*4+($C26:$I26="P")*6+($C26:$I26="R")*6)</f>
        <v/>
      </c>
      <c r="BF26" s="110">
        <f>SUMPRODUCT(($J26:$P26="M")*6+($J26:$P26="T")*6+($J26:$P26="D")*12+($J26:$P26="N")*12+($J26:$P26="NT")*6+($J26:$P26="C")*10+($J26:$P26="A")*8+($J26:$P26="J")*5+($J26:$P26="E")*4+($J26:$P26="P")*6+($J26:$P26="R")*6)</f>
        <v/>
      </c>
      <c r="BG26" s="110">
        <f>SUMPRODUCT(($Q26:$W26="M")*6+($Q26:$W26="T")*6+($Q26:$W26="D")*12+($Q26:$W26="N")*12+($Q26:$W26="NT")*6+($Q26:$W26="C")*10+($Q26:$W26="A")*8+($Q26:$W26="J")*5+($Q26:$W26="E")*4+($Q26:$W26="P")*6+($Q26:$W26="R")*6)</f>
        <v/>
      </c>
      <c r="BH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I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J26" s="110">
        <f>SUMPRODUCT(($AL26:$AM26="M")*6+($AL26:$AM26="T")*6+($AL26:$AM26="D")*12+($AL26:$AM26="N")*12+($AL26:$AM26="NT")*6+($AL26:$AM26="C")*10+($AL26:$AM26="A")*8+($AL26:$AM26="J")*5+($AL26:$AM26="E")*4+($AL26:$AM26="P")*6+($AL26:$AM26="R")*6)+SUMPRODUCT(($AN26:$AR26="M")*6+($AN26:$AR26="T")*6+($AN26:$AR26="D")*12+($AN26:$AR26="N")*12+($AN26:$AR26="NT")*6+($AN26:$AR26="C")*10+($AN26:$AR26="A")*8+($AN26:$AR26="J")*5+($AN26:$AR26="E")*4+($AN26:$AR26="P")*6+($AN26:$AR26="R")*6)</f>
        <v/>
      </c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123">
        <f>IFERROR(INDEX(FEV!AE$8:AE$73,MATCH($A27,FEV!$A$8:$A$73,0))&amp;"","")</f>
        <v/>
      </c>
      <c r="D27" s="123">
        <f>IFERROR(INDEX(FEV!AF$8:AF$73,MATCH($A27,FEV!$A$8:$A$73,0))&amp;"","")</f>
        <v/>
      </c>
      <c r="E27" s="123">
        <f>IFERROR(INDEX(FEV!AG$8:AG$73,MATCH($A27,FEV!$A$8:$A$73,0))&amp;"","")</f>
        <v/>
      </c>
      <c r="F27" s="123">
        <f>IFERROR(INDEX(FEV!AH$8:AH$73,MATCH($A27,FEV!$A$8:$A$73,0))&amp;"","")</f>
        <v/>
      </c>
      <c r="G27" s="123">
        <f>IFERROR(INDEX(FEV!AI$8:AI$73,MATCH($A27,FEV!$A$8:$A$73,0))&amp;"","")</f>
        <v/>
      </c>
      <c r="H27" s="109">
        <f>IFERROR(INDEX(FEV!AJ$8:AJ$73,MATCH($A27,FEV!$A$8:$A$73,0))&amp;"","")</f>
        <v/>
      </c>
      <c r="I27" s="107" t="n"/>
      <c r="J27" s="107" t="n"/>
      <c r="K27" s="116" t="inlineStr">
        <is>
          <t>N</t>
        </is>
      </c>
      <c r="L27" s="107" t="n"/>
      <c r="M27" s="107" t="n"/>
      <c r="N27" s="116" t="inlineStr">
        <is>
          <t>N</t>
        </is>
      </c>
      <c r="O27" s="107" t="n"/>
      <c r="P27" s="107" t="n"/>
      <c r="Q27" s="108" t="inlineStr">
        <is>
          <t>M</t>
        </is>
      </c>
      <c r="R27" s="116" t="inlineStr">
        <is>
          <t>N</t>
        </is>
      </c>
      <c r="S27" s="107" t="n"/>
      <c r="T27" s="107" t="n"/>
      <c r="U27" s="107" t="n"/>
      <c r="V27" s="116" t="inlineStr">
        <is>
          <t>N</t>
        </is>
      </c>
      <c r="W27" s="107" t="n"/>
      <c r="X27" s="107" t="n"/>
      <c r="Y27" s="116" t="inlineStr">
        <is>
          <t>N</t>
        </is>
      </c>
      <c r="Z27" s="107" t="n"/>
      <c r="AA27" s="108" t="inlineStr">
        <is>
          <t>M</t>
        </is>
      </c>
      <c r="AB27" s="107" t="n"/>
      <c r="AC27" s="116" t="inlineStr">
        <is>
          <t>N</t>
        </is>
      </c>
      <c r="AD27" s="107" t="n"/>
      <c r="AE27" s="107" t="n"/>
      <c r="AF27" s="116" t="inlineStr">
        <is>
          <t>N</t>
        </is>
      </c>
      <c r="AG27" s="107" t="n"/>
      <c r="AH27" s="107" t="n"/>
      <c r="AI27" s="107" t="n"/>
      <c r="AJ27" s="116" t="inlineStr">
        <is>
          <t>N</t>
        </is>
      </c>
      <c r="AK27" s="107" t="n"/>
      <c r="AL27" s="107" t="n"/>
      <c r="AM27" s="107" t="n"/>
      <c r="AN27" s="123">
        <f>IFERROR(INDEX(ABR!I$8:I$73,MATCH($A27,ABR!$A$8:$A$73,0))&amp;"","")</f>
        <v/>
      </c>
      <c r="AO27" s="123">
        <f>IFERROR(INDEX(ABR!J$8:J$73,MATCH($A27,ABR!$A$8:$A$73,0))&amp;"","")</f>
        <v/>
      </c>
      <c r="AP27" s="123">
        <f>IFERROR(INDEX(ABR!K$8:K$73,MATCH($A27,ABR!$A$8:$A$73,0))&amp;"","")</f>
        <v/>
      </c>
      <c r="AQ27" s="109">
        <f>IFERROR(INDEX(ABR!L$8:L$73,MATCH($A27,ABR!$A$8:$A$73,0))&amp;"","")</f>
        <v/>
      </c>
      <c r="AR27" s="109">
        <f>IFERROR(INDEX(ABR!M$8:M$73,MATCH($A27,ABR!$A$8:$A$73,0))&amp;"","")</f>
        <v/>
      </c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SUMPRODUCT(($C27:$I27="M")*6+($C27:$I27="T")*6+($C27:$I27="D")*12+($C27:$I27="N")*12+($C27:$I27="NT")*6+($C27:$I27="C")*10+($C27:$I27="A")*8+($C27:$I27="J")*5+($C27:$I27="E")*4+($C27:$I27="P")*6+($C27:$I27="R")*6)</f>
        <v/>
      </c>
      <c r="BF27" s="110">
        <f>SUMPRODUCT(($J27:$P27="M")*6+($J27:$P27="T")*6+($J27:$P27="D")*12+($J27:$P27="N")*12+($J27:$P27="NT")*6+($J27:$P27="C")*10+($J27:$P27="A")*8+($J27:$P27="J")*5+($J27:$P27="E")*4+($J27:$P27="P")*6+($J27:$P27="R")*6)</f>
        <v/>
      </c>
      <c r="BG27" s="110">
        <f>SUMPRODUCT(($Q27:$W27="M")*6+($Q27:$W27="T")*6+($Q27:$W27="D")*12+($Q27:$W27="N")*12+($Q27:$W27="NT")*6+($Q27:$W27="C")*10+($Q27:$W27="A")*8+($Q27:$W27="J")*5+($Q27:$W27="E")*4+($Q27:$W27="P")*6+($Q27:$W27="R")*6)</f>
        <v/>
      </c>
      <c r="BH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I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J27" s="110">
        <f>SUMPRODUCT(($AL27:$AM27="M")*6+($AL27:$AM27="T")*6+($AL27:$AM27="D")*12+($AL27:$AM27="N")*12+($AL27:$AM27="NT")*6+($AL27:$AM27="C")*10+($AL27:$AM27="A")*8+($AL27:$AM27="J")*5+($AL27:$AM27="E")*4+($AL27:$AM27="P")*6+($AL27:$AM27="R")*6)+SUMPRODUCT(($AN27:$AR27="M")*6+($AN27:$AR27="T")*6+($AN27:$AR27="D")*12+($AN27:$AR27="N")*12+($AN27:$AR27="NT")*6+($AN27:$AR27="C")*10+($AN27:$AR27="A")*8+($AN27:$AR27="J")*5+($AN27:$AR27="E")*4+($AN27:$AR27="P")*6+($AN27:$AR27="R")*6)</f>
        <v/>
      </c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123">
        <f>IFERROR(INDEX(FEV!AE$8:AE$73,MATCH($A28,FEV!$A$8:$A$73,0))&amp;"","")</f>
        <v/>
      </c>
      <c r="D28" s="123">
        <f>IFERROR(INDEX(FEV!AF$8:AF$73,MATCH($A28,FEV!$A$8:$A$73,0))&amp;"","")</f>
        <v/>
      </c>
      <c r="E28" s="123">
        <f>IFERROR(INDEX(FEV!AG$8:AG$73,MATCH($A28,FEV!$A$8:$A$73,0))&amp;"","")</f>
        <v/>
      </c>
      <c r="F28" s="123">
        <f>IFERROR(INDEX(FEV!AH$8:AH$73,MATCH($A28,FEV!$A$8:$A$73,0))&amp;"","")</f>
        <v/>
      </c>
      <c r="G28" s="123">
        <f>IFERROR(INDEX(FEV!AI$8:AI$73,MATCH($A28,FEV!$A$8:$A$73,0))&amp;"","")</f>
        <v/>
      </c>
      <c r="H28" s="109">
        <f>IFERROR(INDEX(FEV!AJ$8:AJ$73,MATCH($A28,FEV!$A$8:$A$73,0))&amp;"","")</f>
        <v/>
      </c>
      <c r="I28" s="107" t="n"/>
      <c r="J28" s="107" t="n"/>
      <c r="K28" s="116" t="inlineStr">
        <is>
          <t>N</t>
        </is>
      </c>
      <c r="L28" s="107" t="n"/>
      <c r="M28" s="116" t="inlineStr">
        <is>
          <t>N</t>
        </is>
      </c>
      <c r="N28" s="107" t="n"/>
      <c r="O28" s="107" t="n"/>
      <c r="P28" s="107" t="n"/>
      <c r="Q28" s="107" t="n"/>
      <c r="R28" s="107" t="n"/>
      <c r="S28" s="115" t="inlineStr">
        <is>
          <t>D</t>
        </is>
      </c>
      <c r="T28" s="116" t="inlineStr">
        <is>
          <t>N</t>
        </is>
      </c>
      <c r="U28" s="107" t="n"/>
      <c r="V28" s="107" t="n"/>
      <c r="W28" s="116" t="inlineStr">
        <is>
          <t>N</t>
        </is>
      </c>
      <c r="X28" s="107" t="n"/>
      <c r="Y28" s="107" t="n"/>
      <c r="Z28" s="107" t="n"/>
      <c r="AA28" s="107" t="n"/>
      <c r="AB28" s="117" t="inlineStr">
        <is>
          <t>T</t>
        </is>
      </c>
      <c r="AC28" s="115" t="inlineStr">
        <is>
          <t>D</t>
        </is>
      </c>
      <c r="AD28" s="116" t="inlineStr">
        <is>
          <t>N</t>
        </is>
      </c>
      <c r="AE28" s="116" t="inlineStr">
        <is>
          <t>N</t>
        </is>
      </c>
      <c r="AF28" s="107" t="n"/>
      <c r="AG28" s="115" t="inlineStr">
        <is>
          <t>D</t>
        </is>
      </c>
      <c r="AH28" s="117" t="inlineStr">
        <is>
          <t>T</t>
        </is>
      </c>
      <c r="AI28" s="107" t="n"/>
      <c r="AJ28" s="107" t="n"/>
      <c r="AK28" s="107" t="n"/>
      <c r="AL28" s="107" t="n"/>
      <c r="AM28" s="107" t="n"/>
      <c r="AN28" s="123">
        <f>IFERROR(INDEX(ABR!I$8:I$73,MATCH($A28,ABR!$A$8:$A$73,0))&amp;"","")</f>
        <v/>
      </c>
      <c r="AO28" s="123">
        <f>IFERROR(INDEX(ABR!J$8:J$73,MATCH($A28,ABR!$A$8:$A$73,0))&amp;"","")</f>
        <v/>
      </c>
      <c r="AP28" s="123">
        <f>IFERROR(INDEX(ABR!K$8:K$73,MATCH($A28,ABR!$A$8:$A$73,0))&amp;"","")</f>
        <v/>
      </c>
      <c r="AQ28" s="109">
        <f>IFERROR(INDEX(ABR!L$8:L$73,MATCH($A28,ABR!$A$8:$A$73,0))&amp;"","")</f>
        <v/>
      </c>
      <c r="AR28" s="109">
        <f>IFERROR(INDEX(ABR!M$8:M$73,MATCH($A28,ABR!$A$8:$A$73,0))&amp;"","")</f>
        <v/>
      </c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SUMPRODUCT(($C28:$I28="M")*6+($C28:$I28="T")*6+($C28:$I28="D")*12+($C28:$I28="N")*12+($C28:$I28="NT")*6+($C28:$I28="C")*10+($C28:$I28="A")*8+($C28:$I28="J")*5+($C28:$I28="E")*4+($C28:$I28="P")*6+($C28:$I28="R")*6)</f>
        <v/>
      </c>
      <c r="BF28" s="110">
        <f>SUMPRODUCT(($J28:$P28="M")*6+($J28:$P28="T")*6+($J28:$P28="D")*12+($J28:$P28="N")*12+($J28:$P28="NT")*6+($J28:$P28="C")*10+($J28:$P28="A")*8+($J28:$P28="J")*5+($J28:$P28="E")*4+($J28:$P28="P")*6+($J28:$P28="R")*6)</f>
        <v/>
      </c>
      <c r="BG28" s="110">
        <f>SUMPRODUCT(($Q28:$W28="M")*6+($Q28:$W28="T")*6+($Q28:$W28="D")*12+($Q28:$W28="N")*12+($Q28:$W28="NT")*6+($Q28:$W28="C")*10+($Q28:$W28="A")*8+($Q28:$W28="J")*5+($Q28:$W28="E")*4+($Q28:$W28="P")*6+($Q28:$W28="R")*6)</f>
        <v/>
      </c>
      <c r="BH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I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J28" s="110">
        <f>SUMPRODUCT(($AL28:$AM28="M")*6+($AL28:$AM28="T")*6+($AL28:$AM28="D")*12+($AL28:$AM28="N")*12+($AL28:$AM28="NT")*6+($AL28:$AM28="C")*10+($AL28:$AM28="A")*8+($AL28:$AM28="J")*5+($AL28:$AM28="E")*4+($AL28:$AM28="P")*6+($AL28:$AM28="R")*6)+SUMPRODUCT(($AN28:$AR28="M")*6+($AN28:$AR28="T")*6+($AN28:$AR28="D")*12+($AN28:$AR28="N")*12+($AN28:$AR28="NT")*6+($AN28:$AR28="C")*10+($AN28:$AR28="A")*8+($AN28:$AR28="J")*5+($AN28:$AR28="E")*4+($AN28:$AR28="P")*6+($AN28:$AR28="R")*6)</f>
        <v/>
      </c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123">
        <f>IFERROR(INDEX(FEV!AE$8:AE$73,MATCH($A29,FEV!$A$8:$A$73,0))&amp;"","")</f>
        <v/>
      </c>
      <c r="D29" s="123">
        <f>IFERROR(INDEX(FEV!AF$8:AF$73,MATCH($A29,FEV!$A$8:$A$73,0))&amp;"","")</f>
        <v/>
      </c>
      <c r="E29" s="123">
        <f>IFERROR(INDEX(FEV!AG$8:AG$73,MATCH($A29,FEV!$A$8:$A$73,0))&amp;"","")</f>
        <v/>
      </c>
      <c r="F29" s="123">
        <f>IFERROR(INDEX(FEV!AH$8:AH$73,MATCH($A29,FEV!$A$8:$A$73,0))&amp;"","")</f>
        <v/>
      </c>
      <c r="G29" s="123">
        <f>IFERROR(INDEX(FEV!AI$8:AI$73,MATCH($A29,FEV!$A$8:$A$73,0))&amp;"","")</f>
        <v/>
      </c>
      <c r="H29" s="109">
        <f>IFERROR(INDEX(FEV!AJ$8:AJ$73,MATCH($A29,FEV!$A$8:$A$73,0))&amp;"","")</f>
        <v/>
      </c>
      <c r="I29" s="107" t="n"/>
      <c r="J29" s="116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6" t="inlineStr">
        <is>
          <t>N</t>
        </is>
      </c>
      <c r="R29" s="107" t="n"/>
      <c r="S29" s="107" t="n"/>
      <c r="T29" s="108" t="inlineStr">
        <is>
          <t>M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8" t="inlineStr">
        <is>
          <t>M</t>
        </is>
      </c>
      <c r="AA29" s="108" t="inlineStr">
        <is>
          <t>M</t>
        </is>
      </c>
      <c r="AB29" s="116" t="inlineStr">
        <is>
          <t>N</t>
        </is>
      </c>
      <c r="AC29" s="107" t="n"/>
      <c r="AD29" s="108" t="inlineStr">
        <is>
          <t>M</t>
        </is>
      </c>
      <c r="AE29" s="116" t="inlineStr">
        <is>
          <t>N</t>
        </is>
      </c>
      <c r="AF29" s="107" t="n"/>
      <c r="AG29" s="108" t="inlineStr">
        <is>
          <t>M</t>
        </is>
      </c>
      <c r="AH29" s="107" t="n"/>
      <c r="AI29" s="107" t="n"/>
      <c r="AJ29" s="108" t="inlineStr">
        <is>
          <t>M</t>
        </is>
      </c>
      <c r="AK29" s="107" t="n"/>
      <c r="AL29" s="116" t="inlineStr">
        <is>
          <t>N</t>
        </is>
      </c>
      <c r="AM29" s="117" t="inlineStr">
        <is>
          <t>T</t>
        </is>
      </c>
      <c r="AN29" s="123">
        <f>IFERROR(INDEX(ABR!I$8:I$73,MATCH($A29,ABR!$A$8:$A$73,0))&amp;"","")</f>
        <v/>
      </c>
      <c r="AO29" s="123">
        <f>IFERROR(INDEX(ABR!J$8:J$73,MATCH($A29,ABR!$A$8:$A$73,0))&amp;"","")</f>
        <v/>
      </c>
      <c r="AP29" s="123">
        <f>IFERROR(INDEX(ABR!K$8:K$73,MATCH($A29,ABR!$A$8:$A$73,0))&amp;"","")</f>
        <v/>
      </c>
      <c r="AQ29" s="109">
        <f>IFERROR(INDEX(ABR!L$8:L$73,MATCH($A29,ABR!$A$8:$A$73,0))&amp;"","")</f>
        <v/>
      </c>
      <c r="AR29" s="109">
        <f>IFERROR(INDEX(ABR!M$8:M$73,MATCH($A29,ABR!$A$8:$A$73,0))&amp;"","")</f>
        <v/>
      </c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SUMPRODUCT(($C29:$I29="M")*6+($C29:$I29="T")*6+($C29:$I29="D")*12+($C29:$I29="N")*12+($C29:$I29="NT")*6+($C29:$I29="C")*10+($C29:$I29="A")*8+($C29:$I29="J")*5+($C29:$I29="E")*4+($C29:$I29="P")*6+($C29:$I29="R")*6)</f>
        <v/>
      </c>
      <c r="BF29" s="110">
        <f>SUMPRODUCT(($J29:$P29="M")*6+($J29:$P29="T")*6+($J29:$P29="D")*12+($J29:$P29="N")*12+($J29:$P29="NT")*6+($J29:$P29="C")*10+($J29:$P29="A")*8+($J29:$P29="J")*5+($J29:$P29="E")*4+($J29:$P29="P")*6+($J29:$P29="R")*6)</f>
        <v/>
      </c>
      <c r="BG29" s="110">
        <f>SUMPRODUCT(($Q29:$W29="M")*6+($Q29:$W29="T")*6+($Q29:$W29="D")*12+($Q29:$W29="N")*12+($Q29:$W29="NT")*6+($Q29:$W29="C")*10+($Q29:$W29="A")*8+($Q29:$W29="J")*5+($Q29:$W29="E")*4+($Q29:$W29="P")*6+($Q29:$W29="R")*6)</f>
        <v/>
      </c>
      <c r="BH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I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J29" s="110">
        <f>SUMPRODUCT(($AL29:$AM29="M")*6+($AL29:$AM29="T")*6+($AL29:$AM29="D")*12+($AL29:$AM29="N")*12+($AL29:$AM29="NT")*6+($AL29:$AM29="C")*10+($AL29:$AM29="A")*8+($AL29:$AM29="J")*5+($AL29:$AM29="E")*4+($AL29:$AM29="P")*6+($AL29:$AM29="R")*6)+SUMPRODUCT(($AN29:$AR29="M")*6+($AN29:$AR29="T")*6+($AN29:$AR29="D")*12+($AN29:$AR29="N")*12+($AN29:$AR29="NT")*6+($AN29:$AR29="C")*10+($AN29:$AR29="A")*8+($AN29:$AR29="J")*5+($AN29:$AR29="E")*4+($AN29:$AR29="P")*6+($AN29:$AR29="R")*6)</f>
        <v/>
      </c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123">
        <f>IFERROR(INDEX(FEV!AE$8:AE$73,MATCH($A30,FEV!$A$8:$A$73,0))&amp;"","")</f>
        <v/>
      </c>
      <c r="D30" s="123">
        <f>IFERROR(INDEX(FEV!AF$8:AF$73,MATCH($A30,FEV!$A$8:$A$73,0))&amp;"","")</f>
        <v/>
      </c>
      <c r="E30" s="123">
        <f>IFERROR(INDEX(FEV!AG$8:AG$73,MATCH($A30,FEV!$A$8:$A$73,0))&amp;"","")</f>
        <v/>
      </c>
      <c r="F30" s="123">
        <f>IFERROR(INDEX(FEV!AH$8:AH$73,MATCH($A30,FEV!$A$8:$A$73,0))&amp;"","")</f>
        <v/>
      </c>
      <c r="G30" s="123">
        <f>IFERROR(INDEX(FEV!AI$8:AI$73,MATCH($A30,FEV!$A$8:$A$73,0))&amp;"","")</f>
        <v/>
      </c>
      <c r="H30" s="109">
        <f>IFERROR(INDEX(FEV!AJ$8:AJ$73,MATCH($A30,FEV!$A$8:$A$73,0))&amp;"","")</f>
        <v/>
      </c>
      <c r="I30" s="116" t="inlineStr">
        <is>
          <t>N</t>
        </is>
      </c>
      <c r="J30" s="117" t="inlineStr">
        <is>
          <t>T</t>
        </is>
      </c>
      <c r="K30" s="116" t="inlineStr">
        <is>
          <t>N</t>
        </is>
      </c>
      <c r="L30" s="117" t="inlineStr">
        <is>
          <t>T</t>
        </is>
      </c>
      <c r="M30" s="117" t="inlineStr">
        <is>
          <t>T</t>
        </is>
      </c>
      <c r="N30" s="107" t="n"/>
      <c r="O30" s="107" t="n"/>
      <c r="P30" s="107" t="n"/>
      <c r="Q30" s="107" t="n"/>
      <c r="R30" s="116" t="inlineStr">
        <is>
          <t>N</t>
        </is>
      </c>
      <c r="S30" s="117" t="inlineStr">
        <is>
          <t>T</t>
        </is>
      </c>
      <c r="T30" s="107" t="n"/>
      <c r="U30" s="107" t="n"/>
      <c r="V30" s="107" t="n"/>
      <c r="W30" s="116" t="inlineStr">
        <is>
          <t>N</t>
        </is>
      </c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16" t="inlineStr">
        <is>
          <t>N</t>
        </is>
      </c>
      <c r="AN30" s="123">
        <f>IFERROR(INDEX(ABR!I$8:I$73,MATCH($A30,ABR!$A$8:$A$73,0))&amp;"","")</f>
        <v/>
      </c>
      <c r="AO30" s="123">
        <f>IFERROR(INDEX(ABR!J$8:J$73,MATCH($A30,ABR!$A$8:$A$73,0))&amp;"","")</f>
        <v/>
      </c>
      <c r="AP30" s="123">
        <f>IFERROR(INDEX(ABR!K$8:K$73,MATCH($A30,ABR!$A$8:$A$73,0))&amp;"","")</f>
        <v/>
      </c>
      <c r="AQ30" s="109">
        <f>IFERROR(INDEX(ABR!L$8:L$73,MATCH($A30,ABR!$A$8:$A$73,0))&amp;"","")</f>
        <v/>
      </c>
      <c r="AR30" s="109">
        <f>IFERROR(INDEX(ABR!M$8:M$73,MATCH($A30,ABR!$A$8:$A$73,0))&amp;"","")</f>
        <v/>
      </c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SUMPRODUCT(($C30:$I30="M")*6+($C30:$I30="T")*6+($C30:$I30="D")*12+($C30:$I30="N")*12+($C30:$I30="NT")*6+($C30:$I30="C")*10+($C30:$I30="A")*8+($C30:$I30="J")*5+($C30:$I30="E")*4+($C30:$I30="P")*6+($C30:$I30="R")*6)</f>
        <v/>
      </c>
      <c r="BF30" s="110">
        <f>SUMPRODUCT(($J30:$P30="M")*6+($J30:$P30="T")*6+($J30:$P30="D")*12+($J30:$P30="N")*12+($J30:$P30="NT")*6+($J30:$P30="C")*10+($J30:$P30="A")*8+($J30:$P30="J")*5+($J30:$P30="E")*4+($J30:$P30="P")*6+($J30:$P30="R")*6)</f>
        <v/>
      </c>
      <c r="BG30" s="110">
        <f>SUMPRODUCT(($Q30:$W30="M")*6+($Q30:$W30="T")*6+($Q30:$W30="D")*12+($Q30:$W30="N")*12+($Q30:$W30="NT")*6+($Q30:$W30="C")*10+($Q30:$W30="A")*8+($Q30:$W30="J")*5+($Q30:$W30="E")*4+($Q30:$W30="P")*6+($Q30:$W30="R")*6)</f>
        <v/>
      </c>
      <c r="BH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I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J30" s="110">
        <f>SUMPRODUCT(($AL30:$AM30="M")*6+($AL30:$AM30="T")*6+($AL30:$AM30="D")*12+($AL30:$AM30="N")*12+($AL30:$AM30="NT")*6+($AL30:$AM30="C")*10+($AL30:$AM30="A")*8+($AL30:$AM30="J")*5+($AL30:$AM30="E")*4+($AL30:$AM30="P")*6+($AL30:$AM30="R")*6)+SUMPRODUCT(($AN30:$AR30="M")*6+($AN30:$AR30="T")*6+($AN30:$AR30="D")*12+($AN30:$AR30="N")*12+($AN30:$AR30="NT")*6+($AN30:$AR30="C")*10+($AN30:$AR30="A")*8+($AN30:$AR30="J")*5+($AN30:$AR30="E")*4+($AN30:$AR30="P")*6+($AN30:$AR30="R")*6)</f>
        <v/>
      </c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123">
        <f>IFERROR(INDEX(FEV!AE$8:AE$73,MATCH($A31,FEV!$A$8:$A$73,0))&amp;"","")</f>
        <v/>
      </c>
      <c r="D31" s="123">
        <f>IFERROR(INDEX(FEV!AF$8:AF$73,MATCH($A31,FEV!$A$8:$A$73,0))&amp;"","")</f>
        <v/>
      </c>
      <c r="E31" s="123">
        <f>IFERROR(INDEX(FEV!AG$8:AG$73,MATCH($A31,FEV!$A$8:$A$73,0))&amp;"","")</f>
        <v/>
      </c>
      <c r="F31" s="123">
        <f>IFERROR(INDEX(FEV!AH$8:AH$73,MATCH($A31,FEV!$A$8:$A$73,0))&amp;"","")</f>
        <v/>
      </c>
      <c r="G31" s="123">
        <f>IFERROR(INDEX(FEV!AI$8:AI$73,MATCH($A31,FEV!$A$8:$A$73,0))&amp;"","")</f>
        <v/>
      </c>
      <c r="H31" s="109">
        <f>IFERROR(INDEX(FEV!AJ$8:AJ$73,MATCH($A31,FEV!$A$8:$A$73,0))&amp;"","")</f>
        <v/>
      </c>
      <c r="I31" s="107" t="n"/>
      <c r="J31" s="107" t="n"/>
      <c r="K31" s="116" t="inlineStr">
        <is>
          <t>N</t>
        </is>
      </c>
      <c r="L31" s="117" t="inlineStr">
        <is>
          <t>T</t>
        </is>
      </c>
      <c r="M31" s="107" t="n"/>
      <c r="N31" s="108" t="inlineStr">
        <is>
          <t>M</t>
        </is>
      </c>
      <c r="O31" s="108" t="inlineStr">
        <is>
          <t>M</t>
        </is>
      </c>
      <c r="P31" s="107" t="n"/>
      <c r="Q31" s="115" t="inlineStr">
        <is>
          <t>D</t>
        </is>
      </c>
      <c r="R31" s="107" t="n"/>
      <c r="S31" s="117" t="inlineStr">
        <is>
          <t>T</t>
        </is>
      </c>
      <c r="T31" s="107" t="n"/>
      <c r="U31" s="108" t="inlineStr">
        <is>
          <t>M</t>
        </is>
      </c>
      <c r="V31" s="116" t="inlineStr">
        <is>
          <t>N</t>
        </is>
      </c>
      <c r="W31" s="107" t="n"/>
      <c r="X31" s="115" t="inlineStr">
        <is>
          <t>D</t>
        </is>
      </c>
      <c r="Y31" s="116" t="inlineStr">
        <is>
          <t>N</t>
        </is>
      </c>
      <c r="Z31" s="117" t="inlineStr">
        <is>
          <t>T</t>
        </is>
      </c>
      <c r="AA31" s="107" t="n"/>
      <c r="AB31" s="108" t="inlineStr">
        <is>
          <t>M</t>
        </is>
      </c>
      <c r="AC31" s="107" t="n"/>
      <c r="AD31" s="107" t="n"/>
      <c r="AE31" s="107" t="n"/>
      <c r="AF31" s="116" t="inlineStr">
        <is>
          <t>N</t>
        </is>
      </c>
      <c r="AG31" s="107" t="n"/>
      <c r="AH31" s="107" t="n"/>
      <c r="AI31" s="108" t="inlineStr">
        <is>
          <t>M</t>
        </is>
      </c>
      <c r="AJ31" s="116" t="inlineStr">
        <is>
          <t>N</t>
        </is>
      </c>
      <c r="AK31" s="108" t="inlineStr">
        <is>
          <t>M</t>
        </is>
      </c>
      <c r="AL31" s="107" t="n"/>
      <c r="AM31" s="116" t="inlineStr">
        <is>
          <t>N</t>
        </is>
      </c>
      <c r="AN31" s="123">
        <f>IFERROR(INDEX(ABR!I$8:I$73,MATCH($A31,ABR!$A$8:$A$73,0))&amp;"","")</f>
        <v/>
      </c>
      <c r="AO31" s="123">
        <f>IFERROR(INDEX(ABR!J$8:J$73,MATCH($A31,ABR!$A$8:$A$73,0))&amp;"","")</f>
        <v/>
      </c>
      <c r="AP31" s="123">
        <f>IFERROR(INDEX(ABR!K$8:K$73,MATCH($A31,ABR!$A$8:$A$73,0))&amp;"","")</f>
        <v/>
      </c>
      <c r="AQ31" s="109">
        <f>IFERROR(INDEX(ABR!L$8:L$73,MATCH($A31,ABR!$A$8:$A$73,0))&amp;"","")</f>
        <v/>
      </c>
      <c r="AR31" s="109">
        <f>IFERROR(INDEX(ABR!M$8:M$73,MATCH($A31,ABR!$A$8:$A$73,0))&amp;"","")</f>
        <v/>
      </c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SUMPRODUCT(($C31:$I31="M")*6+($C31:$I31="T")*6+($C31:$I31="D")*12+($C31:$I31="N")*12+($C31:$I31="NT")*6+($C31:$I31="C")*10+($C31:$I31="A")*8+($C31:$I31="J")*5+($C31:$I31="E")*4+($C31:$I31="P")*6+($C31:$I31="R")*6)</f>
        <v/>
      </c>
      <c r="BF31" s="110">
        <f>SUMPRODUCT(($J31:$P31="M")*6+($J31:$P31="T")*6+($J31:$P31="D")*12+($J31:$P31="N")*12+($J31:$P31="NT")*6+($J31:$P31="C")*10+($J31:$P31="A")*8+($J31:$P31="J")*5+($J31:$P31="E")*4+($J31:$P31="P")*6+($J31:$P31="R")*6)</f>
        <v/>
      </c>
      <c r="BG31" s="110">
        <f>SUMPRODUCT(($Q31:$W31="M")*6+($Q31:$W31="T")*6+($Q31:$W31="D")*12+($Q31:$W31="N")*12+($Q31:$W31="NT")*6+($Q31:$W31="C")*10+($Q31:$W31="A")*8+($Q31:$W31="J")*5+($Q31:$W31="E")*4+($Q31:$W31="P")*6+($Q31:$W31="R")*6)</f>
        <v/>
      </c>
      <c r="BH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I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J31" s="110">
        <f>SUMPRODUCT(($AL31:$AM31="M")*6+($AL31:$AM31="T")*6+($AL31:$AM31="D")*12+($AL31:$AM31="N")*12+($AL31:$AM31="NT")*6+($AL31:$AM31="C")*10+($AL31:$AM31="A")*8+($AL31:$AM31="J")*5+($AL31:$AM31="E")*4+($AL31:$AM31="P")*6+($AL31:$AM31="R")*6)+SUMPRODUCT(($AN31:$AR31="M")*6+($AN31:$AR31="T")*6+($AN31:$AR31="D")*12+($AN31:$AR31="N")*12+($AN31:$AR31="NT")*6+($AN31:$AR31="C")*10+($AN31:$AR31="A")*8+($AN31:$AR31="J")*5+($AN31:$AR31="E")*4+($AN31:$AR31="P")*6+($AN31:$AR31="R")*6)</f>
        <v/>
      </c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123">
        <f>IFERROR(INDEX(FEV!AE$8:AE$73,MATCH($A32,FEV!$A$8:$A$73,0))&amp;"","")</f>
        <v/>
      </c>
      <c r="D32" s="123">
        <f>IFERROR(INDEX(FEV!AF$8:AF$73,MATCH($A32,FEV!$A$8:$A$73,0))&amp;"","")</f>
        <v/>
      </c>
      <c r="E32" s="123">
        <f>IFERROR(INDEX(FEV!AG$8:AG$73,MATCH($A32,FEV!$A$8:$A$73,0))&amp;"","")</f>
        <v/>
      </c>
      <c r="F32" s="123">
        <f>IFERROR(INDEX(FEV!AH$8:AH$73,MATCH($A32,FEV!$A$8:$A$73,0))&amp;"","")</f>
        <v/>
      </c>
      <c r="G32" s="123">
        <f>IFERROR(INDEX(FEV!AI$8:AI$73,MATCH($A32,FEV!$A$8:$A$73,0))&amp;"","")</f>
        <v/>
      </c>
      <c r="H32" s="109">
        <f>IFERROR(INDEX(FEV!AJ$8:AJ$73,MATCH($A32,FEV!$A$8:$A$73,0))&amp;"","")</f>
        <v/>
      </c>
      <c r="I32" s="115" t="inlineStr">
        <is>
          <t>D</t>
        </is>
      </c>
      <c r="J32" s="115" t="inlineStr">
        <is>
          <t>D</t>
        </is>
      </c>
      <c r="K32" s="107" t="n"/>
      <c r="L32" s="108" t="inlineStr">
        <is>
          <t>M</t>
        </is>
      </c>
      <c r="M32" s="117" t="inlineStr">
        <is>
          <t>T</t>
        </is>
      </c>
      <c r="N32" s="117" t="inlineStr">
        <is>
          <t>T</t>
        </is>
      </c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8" t="inlineStr">
        <is>
          <t>M</t>
        </is>
      </c>
      <c r="AI32" s="115" t="inlineStr">
        <is>
          <t>D</t>
        </is>
      </c>
      <c r="AJ32" s="108" t="inlineStr">
        <is>
          <t>M</t>
        </is>
      </c>
      <c r="AK32" s="107" t="n"/>
      <c r="AL32" s="116" t="inlineStr">
        <is>
          <t>N</t>
        </is>
      </c>
      <c r="AM32" s="107" t="n"/>
      <c r="AN32" s="123">
        <f>IFERROR(INDEX(ABR!I$8:I$73,MATCH($A32,ABR!$A$8:$A$73,0))&amp;"","")</f>
        <v/>
      </c>
      <c r="AO32" s="123">
        <f>IFERROR(INDEX(ABR!J$8:J$73,MATCH($A32,ABR!$A$8:$A$73,0))&amp;"","")</f>
        <v/>
      </c>
      <c r="AP32" s="123">
        <f>IFERROR(INDEX(ABR!K$8:K$73,MATCH($A32,ABR!$A$8:$A$73,0))&amp;"","")</f>
        <v/>
      </c>
      <c r="AQ32" s="109">
        <f>IFERROR(INDEX(ABR!L$8:L$73,MATCH($A32,ABR!$A$8:$A$73,0))&amp;"","")</f>
        <v/>
      </c>
      <c r="AR32" s="109">
        <f>IFERROR(INDEX(ABR!M$8:M$73,MATCH($A32,ABR!$A$8:$A$73,0))&amp;"","")</f>
        <v/>
      </c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SUMPRODUCT(($C32:$I32="M")*6+($C32:$I32="T")*6+($C32:$I32="D")*12+($C32:$I32="N")*12+($C32:$I32="NT")*6+($C32:$I32="C")*10+($C32:$I32="A")*8+($C32:$I32="J")*5+($C32:$I32="E")*4+($C32:$I32="P")*6+($C32:$I32="R")*6)</f>
        <v/>
      </c>
      <c r="BF32" s="110">
        <f>SUMPRODUCT(($J32:$P32="M")*6+($J32:$P32="T")*6+($J32:$P32="D")*12+($J32:$P32="N")*12+($J32:$P32="NT")*6+($J32:$P32="C")*10+($J32:$P32="A")*8+($J32:$P32="J")*5+($J32:$P32="E")*4+($J32:$P32="P")*6+($J32:$P32="R")*6)</f>
        <v/>
      </c>
      <c r="BG32" s="110">
        <f>SUMPRODUCT(($Q32:$W32="M")*6+($Q32:$W32="T")*6+($Q32:$W32="D")*12+($Q32:$W32="N")*12+($Q32:$W32="NT")*6+($Q32:$W32="C")*10+($Q32:$W32="A")*8+($Q32:$W32="J")*5+($Q32:$W32="E")*4+($Q32:$W32="P")*6+($Q32:$W32="R")*6)</f>
        <v/>
      </c>
      <c r="BH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I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J32" s="110">
        <f>SUMPRODUCT(($AL32:$AM32="M")*6+($AL32:$AM32="T")*6+($AL32:$AM32="D")*12+($AL32:$AM32="N")*12+($AL32:$AM32="NT")*6+($AL32:$AM32="C")*10+($AL32:$AM32="A")*8+($AL32:$AM32="J")*5+($AL32:$AM32="E")*4+($AL32:$AM32="P")*6+($AL32:$AM32="R")*6)+SUMPRODUCT(($AN32:$AR32="M")*6+($AN32:$AR32="T")*6+($AN32:$AR32="D")*12+($AN32:$AR32="N")*12+($AN32:$AR32="NT")*6+($AN32:$AR32="C")*10+($AN32:$AR32="A")*8+($AN32:$AR32="J")*5+($AN32:$AR32="E")*4+($AN32:$AR32="P")*6+($AN32:$AR32="R")*6)</f>
        <v/>
      </c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123">
        <f>IFERROR(INDEX(FEV!AE$8:AE$73,MATCH($A33,FEV!$A$8:$A$73,0))&amp;"","")</f>
        <v/>
      </c>
      <c r="D33" s="123">
        <f>IFERROR(INDEX(FEV!AF$8:AF$73,MATCH($A33,FEV!$A$8:$A$73,0))&amp;"","")</f>
        <v/>
      </c>
      <c r="E33" s="123">
        <f>IFERROR(INDEX(FEV!AG$8:AG$73,MATCH($A33,FEV!$A$8:$A$73,0))&amp;"","")</f>
        <v/>
      </c>
      <c r="F33" s="123">
        <f>IFERROR(INDEX(FEV!AH$8:AH$73,MATCH($A33,FEV!$A$8:$A$73,0))&amp;"","")</f>
        <v/>
      </c>
      <c r="G33" s="123">
        <f>IFERROR(INDEX(FEV!AI$8:AI$73,MATCH($A33,FEV!$A$8:$A$73,0))&amp;"","")</f>
        <v/>
      </c>
      <c r="H33" s="109">
        <f>IFERROR(INDEX(FEV!AJ$8:AJ$73,MATCH($A33,FEV!$A$8:$A$73,0))&amp;"","")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23">
        <f>IFERROR(INDEX(ABR!I$8:I$73,MATCH($A33,ABR!$A$8:$A$73,0))&amp;"","")</f>
        <v/>
      </c>
      <c r="AO33" s="123">
        <f>IFERROR(INDEX(ABR!J$8:J$73,MATCH($A33,ABR!$A$8:$A$73,0))&amp;"","")</f>
        <v/>
      </c>
      <c r="AP33" s="123">
        <f>IFERROR(INDEX(ABR!K$8:K$73,MATCH($A33,ABR!$A$8:$A$73,0))&amp;"","")</f>
        <v/>
      </c>
      <c r="AQ33" s="109">
        <f>IFERROR(INDEX(ABR!L$8:L$73,MATCH($A33,ABR!$A$8:$A$73,0))&amp;"","")</f>
        <v/>
      </c>
      <c r="AR33" s="109">
        <f>IFERROR(INDEX(ABR!M$8:M$73,MATCH($A33,ABR!$A$8:$A$73,0))&amp;"","")</f>
        <v/>
      </c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SUMPRODUCT(($C33:$I33="M")*6+($C33:$I33="T")*6+($C33:$I33="D")*12+($C33:$I33="N")*12+($C33:$I33="NT")*6+($C33:$I33="C")*10+($C33:$I33="A")*8+($C33:$I33="J")*5+($C33:$I33="E")*4+($C33:$I33="P")*6+($C33:$I33="R")*6)</f>
        <v/>
      </c>
      <c r="BF33" s="110">
        <f>SUMPRODUCT(($J33:$P33="M")*6+($J33:$P33="T")*6+($J33:$P33="D")*12+($J33:$P33="N")*12+($J33:$P33="NT")*6+($J33:$P33="C")*10+($J33:$P33="A")*8+($J33:$P33="J")*5+($J33:$P33="E")*4+($J33:$P33="P")*6+($J33:$P33="R")*6)</f>
        <v/>
      </c>
      <c r="BG33" s="110">
        <f>SUMPRODUCT(($Q33:$W33="M")*6+($Q33:$W33="T")*6+($Q33:$W33="D")*12+($Q33:$W33="N")*12+($Q33:$W33="NT")*6+($Q33:$W33="C")*10+($Q33:$W33="A")*8+($Q33:$W33="J")*5+($Q33:$W33="E")*4+($Q33:$W33="P")*6+($Q33:$W33="R")*6)</f>
        <v/>
      </c>
      <c r="BH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I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J33" s="110">
        <f>SUMPRODUCT(($AL33:$AM33="M")*6+($AL33:$AM33="T")*6+($AL33:$AM33="D")*12+($AL33:$AM33="N")*12+($AL33:$AM33="NT")*6+($AL33:$AM33="C")*10+($AL33:$AM33="A")*8+($AL33:$AM33="J")*5+($AL33:$AM33="E")*4+($AL33:$AM33="P")*6+($AL33:$AM33="R")*6)+SUMPRODUCT(($AN33:$AR33="M")*6+($AN33:$AR33="T")*6+($AN33:$AR33="D")*12+($AN33:$AR33="N")*12+($AN33:$AR33="NT")*6+($AN33:$AR33="C")*10+($AN33:$AR33="A")*8+($AN33:$AR33="J")*5+($AN33:$AR33="E")*4+($AN33:$AR33="P")*6+($AN33:$AR33="R")*6)</f>
        <v/>
      </c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123">
        <f>IFERROR(INDEX(FEV!AE$8:AE$73,MATCH($A34,FEV!$A$8:$A$73,0))&amp;"","")</f>
        <v/>
      </c>
      <c r="D34" s="123">
        <f>IFERROR(INDEX(FEV!AF$8:AF$73,MATCH($A34,FEV!$A$8:$A$73,0))&amp;"","")</f>
        <v/>
      </c>
      <c r="E34" s="123">
        <f>IFERROR(INDEX(FEV!AG$8:AG$73,MATCH($A34,FEV!$A$8:$A$73,0))&amp;"","")</f>
        <v/>
      </c>
      <c r="F34" s="123">
        <f>IFERROR(INDEX(FEV!AH$8:AH$73,MATCH($A34,FEV!$A$8:$A$73,0))&amp;"","")</f>
        <v/>
      </c>
      <c r="G34" s="123">
        <f>IFERROR(INDEX(FEV!AI$8:AI$73,MATCH($A34,FEV!$A$8:$A$73,0))&amp;"","")</f>
        <v/>
      </c>
      <c r="H34" s="109">
        <f>IFERROR(INDEX(FEV!AJ$8:AJ$73,MATCH($A34,FEV!$A$8:$A$73,0))&amp;"","")</f>
        <v/>
      </c>
      <c r="I34" s="107" t="n"/>
      <c r="J34" s="107" t="n"/>
      <c r="K34" s="107" t="n"/>
      <c r="L34" s="115" t="inlineStr">
        <is>
          <t>D</t>
        </is>
      </c>
      <c r="M34" s="107" t="n"/>
      <c r="N34" s="107" t="n"/>
      <c r="O34" s="115" t="inlineStr">
        <is>
          <t>D</t>
        </is>
      </c>
      <c r="P34" s="108" t="inlineStr">
        <is>
          <t>M</t>
        </is>
      </c>
      <c r="Q34" s="107" t="n"/>
      <c r="R34" s="115" t="inlineStr">
        <is>
          <t>D</t>
        </is>
      </c>
      <c r="S34" s="108" t="inlineStr">
        <is>
          <t>M</t>
        </is>
      </c>
      <c r="T34" s="107" t="n"/>
      <c r="U34" s="116" t="inlineStr">
        <is>
          <t>N</t>
        </is>
      </c>
      <c r="V34" s="107" t="n"/>
      <c r="W34" s="107" t="n"/>
      <c r="X34" s="107" t="n"/>
      <c r="Y34" s="108" t="inlineStr">
        <is>
          <t>M</t>
        </is>
      </c>
      <c r="Z34" s="115" t="inlineStr">
        <is>
          <t>D</t>
        </is>
      </c>
      <c r="AA34" s="107" t="n"/>
      <c r="AB34" s="107" t="n"/>
      <c r="AC34" s="107" t="n"/>
      <c r="AD34" s="115" t="inlineStr">
        <is>
          <t>D</t>
        </is>
      </c>
      <c r="AE34" s="107" t="n"/>
      <c r="AF34" s="115" t="inlineStr">
        <is>
          <t>D</t>
        </is>
      </c>
      <c r="AG34" s="107" t="n"/>
      <c r="AH34" s="115" t="inlineStr">
        <is>
          <t>D</t>
        </is>
      </c>
      <c r="AI34" s="107" t="n"/>
      <c r="AJ34" s="107" t="n"/>
      <c r="AK34" s="117" t="inlineStr">
        <is>
          <t>T</t>
        </is>
      </c>
      <c r="AL34" s="107" t="n"/>
      <c r="AM34" s="115" t="inlineStr">
        <is>
          <t>D</t>
        </is>
      </c>
      <c r="AN34" s="123">
        <f>IFERROR(INDEX(ABR!I$8:I$73,MATCH($A34,ABR!$A$8:$A$73,0))&amp;"","")</f>
        <v/>
      </c>
      <c r="AO34" s="123">
        <f>IFERROR(INDEX(ABR!J$8:J$73,MATCH($A34,ABR!$A$8:$A$73,0))&amp;"","")</f>
        <v/>
      </c>
      <c r="AP34" s="123">
        <f>IFERROR(INDEX(ABR!K$8:K$73,MATCH($A34,ABR!$A$8:$A$73,0))&amp;"","")</f>
        <v/>
      </c>
      <c r="AQ34" s="109">
        <f>IFERROR(INDEX(ABR!L$8:L$73,MATCH($A34,ABR!$A$8:$A$73,0))&amp;"","")</f>
        <v/>
      </c>
      <c r="AR34" s="109">
        <f>IFERROR(INDEX(ABR!M$8:M$73,MATCH($A34,ABR!$A$8:$A$73,0))&amp;"","")</f>
        <v/>
      </c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SUMPRODUCT(($C34:$I34="M")*6+($C34:$I34="T")*6+($C34:$I34="D")*12+($C34:$I34="N")*12+($C34:$I34="NT")*6+($C34:$I34="C")*10+($C34:$I34="A")*8+($C34:$I34="J")*5+($C34:$I34="E")*4+($C34:$I34="P")*6+($C34:$I34="R")*6)</f>
        <v/>
      </c>
      <c r="BF34" s="110">
        <f>SUMPRODUCT(($J34:$P34="M")*6+($J34:$P34="T")*6+($J34:$P34="D")*12+($J34:$P34="N")*12+($J34:$P34="NT")*6+($J34:$P34="C")*10+($J34:$P34="A")*8+($J34:$P34="J")*5+($J34:$P34="E")*4+($J34:$P34="P")*6+($J34:$P34="R")*6)</f>
        <v/>
      </c>
      <c r="BG34" s="110">
        <f>SUMPRODUCT(($Q34:$W34="M")*6+($Q34:$W34="T")*6+($Q34:$W34="D")*12+($Q34:$W34="N")*12+($Q34:$W34="NT")*6+($Q34:$W34="C")*10+($Q34:$W34="A")*8+($Q34:$W34="J")*5+($Q34:$W34="E")*4+($Q34:$W34="P")*6+($Q34:$W34="R")*6)</f>
        <v/>
      </c>
      <c r="BH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I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J34" s="110">
        <f>SUMPRODUCT(($AL34:$AM34="M")*6+($AL34:$AM34="T")*6+($AL34:$AM34="D")*12+($AL34:$AM34="N")*12+($AL34:$AM34="NT")*6+($AL34:$AM34="C")*10+($AL34:$AM34="A")*8+($AL34:$AM34="J")*5+($AL34:$AM34="E")*4+($AL34:$AM34="P")*6+($AL34:$AM34="R")*6)+SUMPRODUCT(($AN34:$AR34="M")*6+($AN34:$AR34="T")*6+($AN34:$AR34="D")*12+($AN34:$AR34="N")*12+($AN34:$AR34="NT")*6+($AN34:$AR34="C")*10+($AN34:$AR34="A")*8+($AN34:$AR34="J")*5+($AN34:$AR34="E")*4+($AN34:$AR34="P")*6+($AN34:$AR34="R")*6)</f>
        <v/>
      </c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123">
        <f>IFERROR(INDEX(FEV!AE$8:AE$73,MATCH($A35,FEV!$A$8:$A$73,0))&amp;"","")</f>
        <v/>
      </c>
      <c r="D35" s="123">
        <f>IFERROR(INDEX(FEV!AF$8:AF$73,MATCH($A35,FEV!$A$8:$A$73,0))&amp;"","")</f>
        <v/>
      </c>
      <c r="E35" s="123">
        <f>IFERROR(INDEX(FEV!AG$8:AG$73,MATCH($A35,FEV!$A$8:$A$73,0))&amp;"","")</f>
        <v/>
      </c>
      <c r="F35" s="123">
        <f>IFERROR(INDEX(FEV!AH$8:AH$73,MATCH($A35,FEV!$A$8:$A$73,0))&amp;"","")</f>
        <v/>
      </c>
      <c r="G35" s="123">
        <f>IFERROR(INDEX(FEV!AI$8:AI$73,MATCH($A35,FEV!$A$8:$A$73,0))&amp;"","")</f>
        <v/>
      </c>
      <c r="H35" s="109">
        <f>IFERROR(INDEX(FEV!AJ$8:AJ$73,MATCH($A35,FEV!$A$8:$A$73,0))&amp;"","")</f>
        <v/>
      </c>
      <c r="I35" s="117" t="inlineStr">
        <is>
          <t>T</t>
        </is>
      </c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16" t="inlineStr">
        <is>
          <t>N</t>
        </is>
      </c>
      <c r="AD35" s="116" t="inlineStr">
        <is>
          <t>N</t>
        </is>
      </c>
      <c r="AE35" s="116" t="inlineStr">
        <is>
          <t>N</t>
        </is>
      </c>
      <c r="AF35" s="107" t="n"/>
      <c r="AG35" s="107" t="n"/>
      <c r="AH35" s="117" t="inlineStr">
        <is>
          <t>T</t>
        </is>
      </c>
      <c r="AI35" s="116" t="inlineStr">
        <is>
          <t>N</t>
        </is>
      </c>
      <c r="AJ35" s="107" t="n"/>
      <c r="AK35" s="107" t="n"/>
      <c r="AL35" s="107" t="n"/>
      <c r="AM35" s="108" t="inlineStr">
        <is>
          <t>M</t>
        </is>
      </c>
      <c r="AN35" s="123">
        <f>IFERROR(INDEX(ABR!I$8:I$73,MATCH($A35,ABR!$A$8:$A$73,0))&amp;"","")</f>
        <v/>
      </c>
      <c r="AO35" s="123">
        <f>IFERROR(INDEX(ABR!J$8:J$73,MATCH($A35,ABR!$A$8:$A$73,0))&amp;"","")</f>
        <v/>
      </c>
      <c r="AP35" s="123">
        <f>IFERROR(INDEX(ABR!K$8:K$73,MATCH($A35,ABR!$A$8:$A$73,0))&amp;"","")</f>
        <v/>
      </c>
      <c r="AQ35" s="109">
        <f>IFERROR(INDEX(ABR!L$8:L$73,MATCH($A35,ABR!$A$8:$A$73,0))&amp;"","")</f>
        <v/>
      </c>
      <c r="AR35" s="109">
        <f>IFERROR(INDEX(ABR!M$8:M$73,MATCH($A35,ABR!$A$8:$A$73,0))&amp;"","")</f>
        <v/>
      </c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SUMPRODUCT(($C35:$I35="M")*6+($C35:$I35="T")*6+($C35:$I35="D")*12+($C35:$I35="N")*12+($C35:$I35="NT")*6+($C35:$I35="C")*10+($C35:$I35="A")*8+($C35:$I35="J")*5+($C35:$I35="E")*4+($C35:$I35="P")*6+($C35:$I35="R")*6)</f>
        <v/>
      </c>
      <c r="BF35" s="110">
        <f>SUMPRODUCT(($J35:$P35="M")*6+($J35:$P35="T")*6+($J35:$P35="D")*12+($J35:$P35="N")*12+($J35:$P35="NT")*6+($J35:$P35="C")*10+($J35:$P35="A")*8+($J35:$P35="J")*5+($J35:$P35="E")*4+($J35:$P35="P")*6+($J35:$P35="R")*6)</f>
        <v/>
      </c>
      <c r="BG35" s="110">
        <f>SUMPRODUCT(($Q35:$W35="M")*6+($Q35:$W35="T")*6+($Q35:$W35="D")*12+($Q35:$W35="N")*12+($Q35:$W35="NT")*6+($Q35:$W35="C")*10+($Q35:$W35="A")*8+($Q35:$W35="J")*5+($Q35:$W35="E")*4+($Q35:$W35="P")*6+($Q35:$W35="R")*6)</f>
        <v/>
      </c>
      <c r="BH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I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J35" s="110">
        <f>SUMPRODUCT(($AL35:$AM35="M")*6+($AL35:$AM35="T")*6+($AL35:$AM35="D")*12+($AL35:$AM35="N")*12+($AL35:$AM35="NT")*6+($AL35:$AM35="C")*10+($AL35:$AM35="A")*8+($AL35:$AM35="J")*5+($AL35:$AM35="E")*4+($AL35:$AM35="P")*6+($AL35:$AM35="R")*6)+SUMPRODUCT(($AN35:$AR35="M")*6+($AN35:$AR35="T")*6+($AN35:$AR35="D")*12+($AN35:$AR35="N")*12+($AN35:$AR35="NT")*6+($AN35:$AR35="C")*10+($AN35:$AR35="A")*8+($AN35:$AR35="J")*5+($AN35:$AR35="E")*4+($AN35:$AR35="P")*6+($AN35:$AR35="R")*6)</f>
        <v/>
      </c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123">
        <f>IFERROR(INDEX(FEV!AE$8:AE$73,MATCH($A36,FEV!$A$8:$A$73,0))&amp;"","")</f>
        <v/>
      </c>
      <c r="D36" s="123">
        <f>IFERROR(INDEX(FEV!AF$8:AF$73,MATCH($A36,FEV!$A$8:$A$73,0))&amp;"","")</f>
        <v/>
      </c>
      <c r="E36" s="123">
        <f>IFERROR(INDEX(FEV!AG$8:AG$73,MATCH($A36,FEV!$A$8:$A$73,0))&amp;"","")</f>
        <v/>
      </c>
      <c r="F36" s="123">
        <f>IFERROR(INDEX(FEV!AH$8:AH$73,MATCH($A36,FEV!$A$8:$A$73,0))&amp;"","")</f>
        <v/>
      </c>
      <c r="G36" s="123">
        <f>IFERROR(INDEX(FEV!AI$8:AI$73,MATCH($A36,FEV!$A$8:$A$73,0))&amp;"","")</f>
        <v/>
      </c>
      <c r="H36" s="109">
        <f>IFERROR(INDEX(FEV!AJ$8:AJ$73,MATCH($A36,FEV!$A$8:$A$73,0))&amp;"","")</f>
        <v/>
      </c>
      <c r="I36" s="107" t="n"/>
      <c r="J36" s="107" t="n"/>
      <c r="K36" s="107" t="n"/>
      <c r="L36" s="107" t="n"/>
      <c r="M36" s="107" t="n"/>
      <c r="N36" s="108" t="inlineStr">
        <is>
          <t>M</t>
        </is>
      </c>
      <c r="O36" s="115" t="inlineStr">
        <is>
          <t>D</t>
        </is>
      </c>
      <c r="P36" s="115" t="inlineStr">
        <is>
          <t>D</t>
        </is>
      </c>
      <c r="Q36" s="107" t="n"/>
      <c r="R36" s="116" t="inlineStr">
        <is>
          <t>N</t>
        </is>
      </c>
      <c r="S36" s="107" t="n"/>
      <c r="T36" s="107" t="n"/>
      <c r="U36" s="115" t="inlineStr">
        <is>
          <t>D</t>
        </is>
      </c>
      <c r="V36" s="108" t="inlineStr">
        <is>
          <t>M</t>
        </is>
      </c>
      <c r="W36" s="107" t="n"/>
      <c r="X36" s="107" t="n"/>
      <c r="Y36" s="107" t="n"/>
      <c r="Z36" s="108" t="inlineStr">
        <is>
          <t>M</t>
        </is>
      </c>
      <c r="AA36" s="115" t="inlineStr">
        <is>
          <t>D</t>
        </is>
      </c>
      <c r="AB36" s="116" t="inlineStr">
        <is>
          <t>N</t>
        </is>
      </c>
      <c r="AC36" s="107" t="n"/>
      <c r="AD36" s="107" t="n"/>
      <c r="AE36" s="115" t="inlineStr">
        <is>
          <t>D</t>
        </is>
      </c>
      <c r="AF36" s="115" t="inlineStr">
        <is>
          <t>D</t>
        </is>
      </c>
      <c r="AG36" s="108" t="inlineStr">
        <is>
          <t>M</t>
        </is>
      </c>
      <c r="AH36" s="107" t="n"/>
      <c r="AI36" s="107" t="n"/>
      <c r="AJ36" s="107" t="n"/>
      <c r="AK36" s="107" t="n"/>
      <c r="AL36" s="107" t="n"/>
      <c r="AM36" s="107" t="n"/>
      <c r="AN36" s="123">
        <f>IFERROR(INDEX(ABR!I$8:I$73,MATCH($A36,ABR!$A$8:$A$73,0))&amp;"","")</f>
        <v/>
      </c>
      <c r="AO36" s="123">
        <f>IFERROR(INDEX(ABR!J$8:J$73,MATCH($A36,ABR!$A$8:$A$73,0))&amp;"","")</f>
        <v/>
      </c>
      <c r="AP36" s="123">
        <f>IFERROR(INDEX(ABR!K$8:K$73,MATCH($A36,ABR!$A$8:$A$73,0))&amp;"","")</f>
        <v/>
      </c>
      <c r="AQ36" s="109">
        <f>IFERROR(INDEX(ABR!L$8:L$73,MATCH($A36,ABR!$A$8:$A$73,0))&amp;"","")</f>
        <v/>
      </c>
      <c r="AR36" s="109">
        <f>IFERROR(INDEX(ABR!M$8:M$73,MATCH($A36,ABR!$A$8:$A$73,0))&amp;"","")</f>
        <v/>
      </c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SUMPRODUCT(($C36:$I36="M")*6+($C36:$I36="T")*6+($C36:$I36="D")*12+($C36:$I36="N")*12+($C36:$I36="NT")*6+($C36:$I36="C")*10+($C36:$I36="A")*8+($C36:$I36="J")*5+($C36:$I36="E")*4+($C36:$I36="P")*6+($C36:$I36="R")*6)</f>
        <v/>
      </c>
      <c r="BF36" s="110">
        <f>SUMPRODUCT(($J36:$P36="M")*6+($J36:$P36="T")*6+($J36:$P36="D")*12+($J36:$P36="N")*12+($J36:$P36="NT")*6+($J36:$P36="C")*10+($J36:$P36="A")*8+($J36:$P36="J")*5+($J36:$P36="E")*4+($J36:$P36="P")*6+($J36:$P36="R")*6)</f>
        <v/>
      </c>
      <c r="BG36" s="110">
        <f>SUMPRODUCT(($Q36:$W36="M")*6+($Q36:$W36="T")*6+($Q36:$W36="D")*12+($Q36:$W36="N")*12+($Q36:$W36="NT")*6+($Q36:$W36="C")*10+($Q36:$W36="A")*8+($Q36:$W36="J")*5+($Q36:$W36="E")*4+($Q36:$W36="P")*6+($Q36:$W36="R")*6)</f>
        <v/>
      </c>
      <c r="BH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I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J36" s="110">
        <f>SUMPRODUCT(($AL36:$AM36="M")*6+($AL36:$AM36="T")*6+($AL36:$AM36="D")*12+($AL36:$AM36="N")*12+($AL36:$AM36="NT")*6+($AL36:$AM36="C")*10+($AL36:$AM36="A")*8+($AL36:$AM36="J")*5+($AL36:$AM36="E")*4+($AL36:$AM36="P")*6+($AL36:$AM36="R")*6)+SUMPRODUCT(($AN36:$AR36="M")*6+($AN36:$AR36="T")*6+($AN36:$AR36="D")*12+($AN36:$AR36="N")*12+($AN36:$AR36="NT")*6+($AN36:$AR36="C")*10+($AN36:$AR36="A")*8+($AN36:$AR36="J")*5+($AN36:$AR36="E")*4+($AN36:$AR36="P")*6+($AN36:$AR36="R")*6)</f>
        <v/>
      </c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123">
        <f>IFERROR(INDEX(FEV!AE$8:AE$73,MATCH($A37,FEV!$A$8:$A$73,0))&amp;"","")</f>
        <v/>
      </c>
      <c r="D37" s="123">
        <f>IFERROR(INDEX(FEV!AF$8:AF$73,MATCH($A37,FEV!$A$8:$A$73,0))&amp;"","")</f>
        <v/>
      </c>
      <c r="E37" s="123">
        <f>IFERROR(INDEX(FEV!AG$8:AG$73,MATCH($A37,FEV!$A$8:$A$73,0))&amp;"","")</f>
        <v/>
      </c>
      <c r="F37" s="123">
        <f>IFERROR(INDEX(FEV!AH$8:AH$73,MATCH($A37,FEV!$A$8:$A$73,0))&amp;"","")</f>
        <v/>
      </c>
      <c r="G37" s="123">
        <f>IFERROR(INDEX(FEV!AI$8:AI$73,MATCH($A37,FEV!$A$8:$A$73,0))&amp;"","")</f>
        <v/>
      </c>
      <c r="H37" s="109">
        <f>IFERROR(INDEX(FEV!AJ$8:AJ$73,MATCH($A37,FEV!$A$8:$A$73,0))&amp;"","")</f>
        <v/>
      </c>
      <c r="I37" s="107" t="n"/>
      <c r="J37" s="117" t="inlineStr">
        <is>
          <t>T</t>
        </is>
      </c>
      <c r="K37" s="117" t="inlineStr">
        <is>
          <t>T</t>
        </is>
      </c>
      <c r="L37" s="117" t="inlineStr">
        <is>
          <t>T</t>
        </is>
      </c>
      <c r="M37" s="115" t="inlineStr">
        <is>
          <t>D</t>
        </is>
      </c>
      <c r="N37" s="107" t="n"/>
      <c r="O37" s="107" t="n"/>
      <c r="P37" s="107" t="n"/>
      <c r="Q37" s="117" t="inlineStr">
        <is>
          <t>T</t>
        </is>
      </c>
      <c r="R37" s="107" t="n"/>
      <c r="S37" s="117" t="inlineStr">
        <is>
          <t>T</t>
        </is>
      </c>
      <c r="T37" s="107" t="n"/>
      <c r="U37" s="107" t="n"/>
      <c r="V37" s="108" t="inlineStr">
        <is>
          <t>M</t>
        </is>
      </c>
      <c r="W37" s="115" t="inlineStr">
        <is>
          <t>D</t>
        </is>
      </c>
      <c r="X37" s="117" t="inlineStr">
        <is>
          <t>T</t>
        </is>
      </c>
      <c r="Y37" s="107" t="n"/>
      <c r="Z37" s="107" t="n"/>
      <c r="AA37" s="107" t="n"/>
      <c r="AB37" s="116" t="inlineStr">
        <is>
          <t>N</t>
        </is>
      </c>
      <c r="AC37" s="107" t="n"/>
      <c r="AD37" s="116" t="inlineStr">
        <is>
          <t>N</t>
        </is>
      </c>
      <c r="AE37" s="117" t="inlineStr">
        <is>
          <t>T</t>
        </is>
      </c>
      <c r="AF37" s="115" t="inlineStr">
        <is>
          <t>D</t>
        </is>
      </c>
      <c r="AG37" s="108" t="inlineStr">
        <is>
          <t>M</t>
        </is>
      </c>
      <c r="AH37" s="117" t="inlineStr">
        <is>
          <t>T</t>
        </is>
      </c>
      <c r="AI37" s="107" t="n"/>
      <c r="AJ37" s="107" t="n"/>
      <c r="AK37" s="107" t="n"/>
      <c r="AL37" s="107" t="n"/>
      <c r="AM37" s="107" t="n"/>
      <c r="AN37" s="123">
        <f>IFERROR(INDEX(ABR!I$8:I$73,MATCH($A37,ABR!$A$8:$A$73,0))&amp;"","")</f>
        <v/>
      </c>
      <c r="AO37" s="123">
        <f>IFERROR(INDEX(ABR!J$8:J$73,MATCH($A37,ABR!$A$8:$A$73,0))&amp;"","")</f>
        <v/>
      </c>
      <c r="AP37" s="123">
        <f>IFERROR(INDEX(ABR!K$8:K$73,MATCH($A37,ABR!$A$8:$A$73,0))&amp;"","")</f>
        <v/>
      </c>
      <c r="AQ37" s="109">
        <f>IFERROR(INDEX(ABR!L$8:L$73,MATCH($A37,ABR!$A$8:$A$73,0))&amp;"","")</f>
        <v/>
      </c>
      <c r="AR37" s="109">
        <f>IFERROR(INDEX(ABR!M$8:M$73,MATCH($A37,ABR!$A$8:$A$73,0))&amp;"","")</f>
        <v/>
      </c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SUMPRODUCT(($C37:$I37="M")*6+($C37:$I37="T")*6+($C37:$I37="D")*12+($C37:$I37="N")*12+($C37:$I37="NT")*6+($C37:$I37="C")*10+($C37:$I37="A")*8+($C37:$I37="J")*5+($C37:$I37="E")*4+($C37:$I37="P")*6+($C37:$I37="R")*6)</f>
        <v/>
      </c>
      <c r="BF37" s="110">
        <f>SUMPRODUCT(($J37:$P37="M")*6+($J37:$P37="T")*6+($J37:$P37="D")*12+($J37:$P37="N")*12+($J37:$P37="NT")*6+($J37:$P37="C")*10+($J37:$P37="A")*8+($J37:$P37="J")*5+($J37:$P37="E")*4+($J37:$P37="P")*6+($J37:$P37="R")*6)</f>
        <v/>
      </c>
      <c r="BG37" s="110">
        <f>SUMPRODUCT(($Q37:$W37="M")*6+($Q37:$W37="T")*6+($Q37:$W37="D")*12+($Q37:$W37="N")*12+($Q37:$W37="NT")*6+($Q37:$W37="C")*10+($Q37:$W37="A")*8+($Q37:$W37="J")*5+($Q37:$W37="E")*4+($Q37:$W37="P")*6+($Q37:$W37="R")*6)</f>
        <v/>
      </c>
      <c r="BH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I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J37" s="110">
        <f>SUMPRODUCT(($AL37:$AM37="M")*6+($AL37:$AM37="T")*6+($AL37:$AM37="D")*12+($AL37:$AM37="N")*12+($AL37:$AM37="NT")*6+($AL37:$AM37="C")*10+($AL37:$AM37="A")*8+($AL37:$AM37="J")*5+($AL37:$AM37="E")*4+($AL37:$AM37="P")*6+($AL37:$AM37="R")*6)+SUMPRODUCT(($AN37:$AR37="M")*6+($AN37:$AR37="T")*6+($AN37:$AR37="D")*12+($AN37:$AR37="N")*12+($AN37:$AR37="NT")*6+($AN37:$AR37="C")*10+($AN37:$AR37="A")*8+($AN37:$AR37="J")*5+($AN37:$AR37="E")*4+($AN37:$AR37="P")*6+($AN37:$AR37="R")*6)</f>
        <v/>
      </c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123">
        <f>IFERROR(INDEX(FEV!AE$8:AE$73,MATCH($A38,FEV!$A$8:$A$73,0))&amp;"","")</f>
        <v/>
      </c>
      <c r="D38" s="123">
        <f>IFERROR(INDEX(FEV!AF$8:AF$73,MATCH($A38,FEV!$A$8:$A$73,0))&amp;"","")</f>
        <v/>
      </c>
      <c r="E38" s="123">
        <f>IFERROR(INDEX(FEV!AG$8:AG$73,MATCH($A38,FEV!$A$8:$A$73,0))&amp;"","")</f>
        <v/>
      </c>
      <c r="F38" s="123">
        <f>IFERROR(INDEX(FEV!AH$8:AH$73,MATCH($A38,FEV!$A$8:$A$73,0))&amp;"","")</f>
        <v/>
      </c>
      <c r="G38" s="123">
        <f>IFERROR(INDEX(FEV!AI$8:AI$73,MATCH($A38,FEV!$A$8:$A$73,0))&amp;"","")</f>
        <v/>
      </c>
      <c r="H38" s="109">
        <f>IFERROR(INDEX(FEV!AJ$8:AJ$73,MATCH($A38,FEV!$A$8:$A$73,0))&amp;"","")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23">
        <f>IFERROR(INDEX(ABR!I$8:I$73,MATCH($A38,ABR!$A$8:$A$73,0))&amp;"","")</f>
        <v/>
      </c>
      <c r="AO38" s="123">
        <f>IFERROR(INDEX(ABR!J$8:J$73,MATCH($A38,ABR!$A$8:$A$73,0))&amp;"","")</f>
        <v/>
      </c>
      <c r="AP38" s="123">
        <f>IFERROR(INDEX(ABR!K$8:K$73,MATCH($A38,ABR!$A$8:$A$73,0))&amp;"","")</f>
        <v/>
      </c>
      <c r="AQ38" s="109">
        <f>IFERROR(INDEX(ABR!L$8:L$73,MATCH($A38,ABR!$A$8:$A$73,0))&amp;"","")</f>
        <v/>
      </c>
      <c r="AR38" s="109">
        <f>IFERROR(INDEX(ABR!M$8:M$73,MATCH($A38,ABR!$A$8:$A$73,0))&amp;"","")</f>
        <v/>
      </c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SUMPRODUCT(($C38:$I38="M")*6+($C38:$I38="T")*6+($C38:$I38="D")*12+($C38:$I38="N")*12+($C38:$I38="NT")*6+($C38:$I38="C")*10+($C38:$I38="A")*8+($C38:$I38="J")*5+($C38:$I38="E")*4+($C38:$I38="P")*6+($C38:$I38="R")*6)</f>
        <v/>
      </c>
      <c r="BF38" s="110">
        <f>SUMPRODUCT(($J38:$P38="M")*6+($J38:$P38="T")*6+($J38:$P38="D")*12+($J38:$P38="N")*12+($J38:$P38="NT")*6+($J38:$P38="C")*10+($J38:$P38="A")*8+($J38:$P38="J")*5+($J38:$P38="E")*4+($J38:$P38="P")*6+($J38:$P38="R")*6)</f>
        <v/>
      </c>
      <c r="BG38" s="110">
        <f>SUMPRODUCT(($Q38:$W38="M")*6+($Q38:$W38="T")*6+($Q38:$W38="D")*12+($Q38:$W38="N")*12+($Q38:$W38="NT")*6+($Q38:$W38="C")*10+($Q38:$W38="A")*8+($Q38:$W38="J")*5+($Q38:$W38="E")*4+($Q38:$W38="P")*6+($Q38:$W38="R")*6)</f>
        <v/>
      </c>
      <c r="BH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I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J38" s="110">
        <f>SUMPRODUCT(($AL38:$AM38="M")*6+($AL38:$AM38="T")*6+($AL38:$AM38="D")*12+($AL38:$AM38="N")*12+($AL38:$AM38="NT")*6+($AL38:$AM38="C")*10+($AL38:$AM38="A")*8+($AL38:$AM38="J")*5+($AL38:$AM38="E")*4+($AL38:$AM38="P")*6+($AL38:$AM38="R")*6)+SUMPRODUCT(($AN38:$AR38="M")*6+($AN38:$AR38="T")*6+($AN38:$AR38="D")*12+($AN38:$AR38="N")*12+($AN38:$AR38="NT")*6+($AN38:$AR38="C")*10+($AN38:$AR38="A")*8+($AN38:$AR38="J")*5+($AN38:$AR38="E")*4+($AN38:$AR38="P")*6+($AN38:$AR38="R")*6)</f>
        <v/>
      </c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123">
        <f>IFERROR(INDEX(FEV!AE$8:AE$73,MATCH($A39,FEV!$A$8:$A$73,0))&amp;"","")</f>
        <v/>
      </c>
      <c r="D39" s="123">
        <f>IFERROR(INDEX(FEV!AF$8:AF$73,MATCH($A39,FEV!$A$8:$A$73,0))&amp;"","")</f>
        <v/>
      </c>
      <c r="E39" s="123">
        <f>IFERROR(INDEX(FEV!AG$8:AG$73,MATCH($A39,FEV!$A$8:$A$73,0))&amp;"","")</f>
        <v/>
      </c>
      <c r="F39" s="123">
        <f>IFERROR(INDEX(FEV!AH$8:AH$73,MATCH($A39,FEV!$A$8:$A$73,0))&amp;"","")</f>
        <v/>
      </c>
      <c r="G39" s="123">
        <f>IFERROR(INDEX(FEV!AI$8:AI$73,MATCH($A39,FEV!$A$8:$A$73,0))&amp;"","")</f>
        <v/>
      </c>
      <c r="H39" s="109">
        <f>IFERROR(INDEX(FEV!AJ$8:AJ$73,MATCH($A39,FEV!$A$8:$A$73,0))&amp;"","")</f>
        <v/>
      </c>
      <c r="I39" s="117" t="inlineStr">
        <is>
          <t>T</t>
        </is>
      </c>
      <c r="J39" s="107" t="n"/>
      <c r="K39" s="108" t="inlineStr">
        <is>
          <t>M</t>
        </is>
      </c>
      <c r="L39" s="107" t="n"/>
      <c r="M39" s="107" t="n"/>
      <c r="N39" s="108" t="inlineStr">
        <is>
          <t>M</t>
        </is>
      </c>
      <c r="O39" s="116" t="inlineStr">
        <is>
          <t>N</t>
        </is>
      </c>
      <c r="P39" s="107" t="n"/>
      <c r="Q39" s="117" t="inlineStr">
        <is>
          <t>T</t>
        </is>
      </c>
      <c r="R39" s="108" t="inlineStr">
        <is>
          <t>M</t>
        </is>
      </c>
      <c r="S39" s="117" t="inlineStr">
        <is>
          <t>T</t>
        </is>
      </c>
      <c r="T39" s="107" t="n"/>
      <c r="U39" s="108" t="inlineStr">
        <is>
          <t>M</t>
        </is>
      </c>
      <c r="V39" s="107" t="n"/>
      <c r="W39" s="107" t="n"/>
      <c r="X39" s="117" t="inlineStr">
        <is>
          <t>T</t>
        </is>
      </c>
      <c r="Y39" s="108" t="inlineStr">
        <is>
          <t>M</t>
        </is>
      </c>
      <c r="Z39" s="108" t="inlineStr">
        <is>
          <t>M</t>
        </is>
      </c>
      <c r="AA39" s="107" t="n"/>
      <c r="AB39" s="108" t="inlineStr">
        <is>
          <t>M</t>
        </is>
      </c>
      <c r="AC39" s="107" t="n"/>
      <c r="AD39" s="107" t="n"/>
      <c r="AE39" s="107" t="n"/>
      <c r="AF39" s="107" t="n"/>
      <c r="AG39" s="117" t="inlineStr">
        <is>
          <t>T</t>
        </is>
      </c>
      <c r="AH39" s="107" t="n"/>
      <c r="AI39" s="108" t="inlineStr">
        <is>
          <t>M</t>
        </is>
      </c>
      <c r="AJ39" s="116" t="inlineStr">
        <is>
          <t>N</t>
        </is>
      </c>
      <c r="AK39" s="107" t="n"/>
      <c r="AL39" s="117" t="inlineStr">
        <is>
          <t>T</t>
        </is>
      </c>
      <c r="AM39" s="108" t="inlineStr">
        <is>
          <t>M</t>
        </is>
      </c>
      <c r="AN39" s="123">
        <f>IFERROR(INDEX(ABR!I$8:I$73,MATCH($A39,ABR!$A$8:$A$73,0))&amp;"","")</f>
        <v/>
      </c>
      <c r="AO39" s="123">
        <f>IFERROR(INDEX(ABR!J$8:J$73,MATCH($A39,ABR!$A$8:$A$73,0))&amp;"","")</f>
        <v/>
      </c>
      <c r="AP39" s="123">
        <f>IFERROR(INDEX(ABR!K$8:K$73,MATCH($A39,ABR!$A$8:$A$73,0))&amp;"","")</f>
        <v/>
      </c>
      <c r="AQ39" s="109">
        <f>IFERROR(INDEX(ABR!L$8:L$73,MATCH($A39,ABR!$A$8:$A$73,0))&amp;"","")</f>
        <v/>
      </c>
      <c r="AR39" s="109">
        <f>IFERROR(INDEX(ABR!M$8:M$73,MATCH($A39,ABR!$A$8:$A$73,0))&amp;"","")</f>
        <v/>
      </c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SUMPRODUCT(($C39:$I39="M")*6+($C39:$I39="T")*6+($C39:$I39="D")*12+($C39:$I39="N")*12+($C39:$I39="NT")*6+($C39:$I39="C")*10+($C39:$I39="A")*8+($C39:$I39="J")*5+($C39:$I39="E")*4+($C39:$I39="P")*6+($C39:$I39="R")*6)</f>
        <v/>
      </c>
      <c r="BF39" s="110">
        <f>SUMPRODUCT(($J39:$P39="M")*6+($J39:$P39="T")*6+($J39:$P39="D")*12+($J39:$P39="N")*12+($J39:$P39="NT")*6+($J39:$P39="C")*10+($J39:$P39="A")*8+($J39:$P39="J")*5+($J39:$P39="E")*4+($J39:$P39="P")*6+($J39:$P39="R")*6)</f>
        <v/>
      </c>
      <c r="BG39" s="110">
        <f>SUMPRODUCT(($Q39:$W39="M")*6+($Q39:$W39="T")*6+($Q39:$W39="D")*12+($Q39:$W39="N")*12+($Q39:$W39="NT")*6+($Q39:$W39="C")*10+($Q39:$W39="A")*8+($Q39:$W39="J")*5+($Q39:$W39="E")*4+($Q39:$W39="P")*6+($Q39:$W39="R")*6)</f>
        <v/>
      </c>
      <c r="BH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I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J39" s="110">
        <f>SUMPRODUCT(($AL39:$AM39="M")*6+($AL39:$AM39="T")*6+($AL39:$AM39="D")*12+($AL39:$AM39="N")*12+($AL39:$AM39="NT")*6+($AL39:$AM39="C")*10+($AL39:$AM39="A")*8+($AL39:$AM39="J")*5+($AL39:$AM39="E")*4+($AL39:$AM39="P")*6+($AL39:$AM39="R")*6)+SUMPRODUCT(($AN39:$AR39="M")*6+($AN39:$AR39="T")*6+($AN39:$AR39="D")*12+($AN39:$AR39="N")*12+($AN39:$AR39="NT")*6+($AN39:$AR39="C")*10+($AN39:$AR39="A")*8+($AN39:$AR39="J")*5+($AN39:$AR39="E")*4+($AN39:$AR39="P")*6+($AN39:$AR39="R")*6)</f>
        <v/>
      </c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123">
        <f>IFERROR(INDEX(FEV!AE$8:AE$73,MATCH($A40,FEV!$A$8:$A$73,0))&amp;"","")</f>
        <v/>
      </c>
      <c r="D40" s="123">
        <f>IFERROR(INDEX(FEV!AF$8:AF$73,MATCH($A40,FEV!$A$8:$A$73,0))&amp;"","")</f>
        <v/>
      </c>
      <c r="E40" s="123">
        <f>IFERROR(INDEX(FEV!AG$8:AG$73,MATCH($A40,FEV!$A$8:$A$73,0))&amp;"","")</f>
        <v/>
      </c>
      <c r="F40" s="123">
        <f>IFERROR(INDEX(FEV!AH$8:AH$73,MATCH($A40,FEV!$A$8:$A$73,0))&amp;"","")</f>
        <v/>
      </c>
      <c r="G40" s="123">
        <f>IFERROR(INDEX(FEV!AI$8:AI$73,MATCH($A40,FEV!$A$8:$A$73,0))&amp;"","")</f>
        <v/>
      </c>
      <c r="H40" s="109">
        <f>IFERROR(INDEX(FEV!AJ$8:AJ$73,MATCH($A40,FEV!$A$8:$A$73,0))&amp;"","")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8" t="inlineStr">
        <is>
          <t>M</t>
        </is>
      </c>
      <c r="Z40" s="108" t="inlineStr">
        <is>
          <t>M</t>
        </is>
      </c>
      <c r="AA40" s="117" t="inlineStr">
        <is>
          <t>T</t>
        </is>
      </c>
      <c r="AB40" s="108" t="inlineStr">
        <is>
          <t>M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8" t="inlineStr">
        <is>
          <t>M</t>
        </is>
      </c>
      <c r="AG40" s="108" t="inlineStr">
        <is>
          <t>M</t>
        </is>
      </c>
      <c r="AH40" s="117" t="inlineStr">
        <is>
          <t>T</t>
        </is>
      </c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8" t="inlineStr">
        <is>
          <t>M</t>
        </is>
      </c>
      <c r="AM40" s="108" t="inlineStr">
        <is>
          <t>M</t>
        </is>
      </c>
      <c r="AN40" s="123">
        <f>IFERROR(INDEX(ABR!I$8:I$73,MATCH($A40,ABR!$A$8:$A$73,0))&amp;"","")</f>
        <v/>
      </c>
      <c r="AO40" s="123">
        <f>IFERROR(INDEX(ABR!J$8:J$73,MATCH($A40,ABR!$A$8:$A$73,0))&amp;"","")</f>
        <v/>
      </c>
      <c r="AP40" s="123">
        <f>IFERROR(INDEX(ABR!K$8:K$73,MATCH($A40,ABR!$A$8:$A$73,0))&amp;"","")</f>
        <v/>
      </c>
      <c r="AQ40" s="109">
        <f>IFERROR(INDEX(ABR!L$8:L$73,MATCH($A40,ABR!$A$8:$A$73,0))&amp;"","")</f>
        <v/>
      </c>
      <c r="AR40" s="109">
        <f>IFERROR(INDEX(ABR!M$8:M$73,MATCH($A40,ABR!$A$8:$A$73,0))&amp;"","")</f>
        <v/>
      </c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SUMPRODUCT(($C40:$I40="M")*6+($C40:$I40="T")*6+($C40:$I40="D")*12+($C40:$I40="N")*12+($C40:$I40="NT")*6+($C40:$I40="C")*10+($C40:$I40="A")*8+($C40:$I40="J")*5+($C40:$I40="E")*4+($C40:$I40="P")*6+($C40:$I40="R")*6)</f>
        <v/>
      </c>
      <c r="BF40" s="110">
        <f>SUMPRODUCT(($J40:$P40="M")*6+($J40:$P40="T")*6+($J40:$P40="D")*12+($J40:$P40="N")*12+($J40:$P40="NT")*6+($J40:$P40="C")*10+($J40:$P40="A")*8+($J40:$P40="J")*5+($J40:$P40="E")*4+($J40:$P40="P")*6+($J40:$P40="R")*6)</f>
        <v/>
      </c>
      <c r="BG40" s="110">
        <f>SUMPRODUCT(($Q40:$W40="M")*6+($Q40:$W40="T")*6+($Q40:$W40="D")*12+($Q40:$W40="N")*12+($Q40:$W40="NT")*6+($Q40:$W40="C")*10+($Q40:$W40="A")*8+($Q40:$W40="J")*5+($Q40:$W40="E")*4+($Q40:$W40="P")*6+($Q40:$W40="R")*6)</f>
        <v/>
      </c>
      <c r="BH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I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J40" s="110">
        <f>SUMPRODUCT(($AL40:$AM40="M")*6+($AL40:$AM40="T")*6+($AL40:$AM40="D")*12+($AL40:$AM40="N")*12+($AL40:$AM40="NT")*6+($AL40:$AM40="C")*10+($AL40:$AM40="A")*8+($AL40:$AM40="J")*5+($AL40:$AM40="E")*4+($AL40:$AM40="P")*6+($AL40:$AM40="R")*6)+SUMPRODUCT(($AN40:$AR40="M")*6+($AN40:$AR40="T")*6+($AN40:$AR40="D")*12+($AN40:$AR40="N")*12+($AN40:$AR40="NT")*6+($AN40:$AR40="C")*10+($AN40:$AR40="A")*8+($AN40:$AR40="J")*5+($AN40:$AR40="E")*4+($AN40:$AR40="P")*6+($AN40:$AR40="R")*6)</f>
        <v/>
      </c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123">
        <f>IFERROR(INDEX(FEV!AE$8:AE$73,MATCH($A41,FEV!$A$8:$A$73,0))&amp;"","")</f>
        <v/>
      </c>
      <c r="D41" s="123">
        <f>IFERROR(INDEX(FEV!AF$8:AF$73,MATCH($A41,FEV!$A$8:$A$73,0))&amp;"","")</f>
        <v/>
      </c>
      <c r="E41" s="123">
        <f>IFERROR(INDEX(FEV!AG$8:AG$73,MATCH($A41,FEV!$A$8:$A$73,0))&amp;"","")</f>
        <v/>
      </c>
      <c r="F41" s="123">
        <f>IFERROR(INDEX(FEV!AH$8:AH$73,MATCH($A41,FEV!$A$8:$A$73,0))&amp;"","")</f>
        <v/>
      </c>
      <c r="G41" s="123">
        <f>IFERROR(INDEX(FEV!AI$8:AI$73,MATCH($A41,FEV!$A$8:$A$73,0))&amp;"","")</f>
        <v/>
      </c>
      <c r="H41" s="109">
        <f>IFERROR(INDEX(FEV!AJ$8:AJ$73,MATCH($A41,FEV!$A$8:$A$73,0))&amp;"","")</f>
        <v/>
      </c>
      <c r="I41" s="115" t="inlineStr">
        <is>
          <t>D</t>
        </is>
      </c>
      <c r="J41" s="115" t="inlineStr">
        <is>
          <t>D</t>
        </is>
      </c>
      <c r="K41" s="115" t="inlineStr">
        <is>
          <t>D</t>
        </is>
      </c>
      <c r="L41" s="107" t="n"/>
      <c r="M41" s="107" t="n"/>
      <c r="N41" s="107" t="n"/>
      <c r="O41" s="107" t="n"/>
      <c r="P41" s="107" t="n"/>
      <c r="Q41" s="117" t="inlineStr">
        <is>
          <t>T</t>
        </is>
      </c>
      <c r="R41" s="117" t="inlineStr">
        <is>
          <t>T</t>
        </is>
      </c>
      <c r="S41" s="107" t="n"/>
      <c r="T41" s="115" t="inlineStr">
        <is>
          <t>D</t>
        </is>
      </c>
      <c r="U41" s="107" t="n"/>
      <c r="V41" s="107" t="n"/>
      <c r="W41" s="107" t="n"/>
      <c r="X41" s="107" t="n"/>
      <c r="Y41" s="107" t="n"/>
      <c r="Z41" s="107" t="n"/>
      <c r="AA41" s="107" t="n"/>
      <c r="AB41" s="115" t="inlineStr">
        <is>
          <t>D</t>
        </is>
      </c>
      <c r="AC41" s="108" t="inlineStr">
        <is>
          <t>M</t>
        </is>
      </c>
      <c r="AD41" s="117" t="inlineStr">
        <is>
          <t>T</t>
        </is>
      </c>
      <c r="AE41" s="116" t="inlineStr">
        <is>
          <t>N</t>
        </is>
      </c>
      <c r="AF41" s="107" t="n"/>
      <c r="AG41" s="117" t="inlineStr">
        <is>
          <t>T</t>
        </is>
      </c>
      <c r="AH41" s="107" t="n"/>
      <c r="AI41" s="107" t="n"/>
      <c r="AJ41" s="107" t="n"/>
      <c r="AK41" s="117" t="inlineStr">
        <is>
          <t>T</t>
        </is>
      </c>
      <c r="AL41" s="115" t="inlineStr">
        <is>
          <t>D</t>
        </is>
      </c>
      <c r="AM41" s="116" t="inlineStr">
        <is>
          <t>N</t>
        </is>
      </c>
      <c r="AN41" s="123">
        <f>IFERROR(INDEX(ABR!I$8:I$73,MATCH($A41,ABR!$A$8:$A$73,0))&amp;"","")</f>
        <v/>
      </c>
      <c r="AO41" s="123">
        <f>IFERROR(INDEX(ABR!J$8:J$73,MATCH($A41,ABR!$A$8:$A$73,0))&amp;"","")</f>
        <v/>
      </c>
      <c r="AP41" s="123">
        <f>IFERROR(INDEX(ABR!K$8:K$73,MATCH($A41,ABR!$A$8:$A$73,0))&amp;"","")</f>
        <v/>
      </c>
      <c r="AQ41" s="109">
        <f>IFERROR(INDEX(ABR!L$8:L$73,MATCH($A41,ABR!$A$8:$A$73,0))&amp;"","")</f>
        <v/>
      </c>
      <c r="AR41" s="109">
        <f>IFERROR(INDEX(ABR!M$8:M$73,MATCH($A41,ABR!$A$8:$A$73,0))&amp;"","")</f>
        <v/>
      </c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SUMPRODUCT(($C41:$I41="M")*6+($C41:$I41="T")*6+($C41:$I41="D")*12+($C41:$I41="N")*12+($C41:$I41="NT")*6+($C41:$I41="C")*10+($C41:$I41="A")*8+($C41:$I41="J")*5+($C41:$I41="E")*4+($C41:$I41="P")*6+($C41:$I41="R")*6)</f>
        <v/>
      </c>
      <c r="BF41" s="110">
        <f>SUMPRODUCT(($J41:$P41="M")*6+($J41:$P41="T")*6+($J41:$P41="D")*12+($J41:$P41="N")*12+($J41:$P41="NT")*6+($J41:$P41="C")*10+($J41:$P41="A")*8+($J41:$P41="J")*5+($J41:$P41="E")*4+($J41:$P41="P")*6+($J41:$P41="R")*6)</f>
        <v/>
      </c>
      <c r="BG41" s="110">
        <f>SUMPRODUCT(($Q41:$W41="M")*6+($Q41:$W41="T")*6+($Q41:$W41="D")*12+($Q41:$W41="N")*12+($Q41:$W41="NT")*6+($Q41:$W41="C")*10+($Q41:$W41="A")*8+($Q41:$W41="J")*5+($Q41:$W41="E")*4+($Q41:$W41="P")*6+($Q41:$W41="R")*6)</f>
        <v/>
      </c>
      <c r="BH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I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J41" s="110">
        <f>SUMPRODUCT(($AL41:$AM41="M")*6+($AL41:$AM41="T")*6+($AL41:$AM41="D")*12+($AL41:$AM41="N")*12+($AL41:$AM41="NT")*6+($AL41:$AM41="C")*10+($AL41:$AM41="A")*8+($AL41:$AM41="J")*5+($AL41:$AM41="E")*4+($AL41:$AM41="P")*6+($AL41:$AM41="R")*6)+SUMPRODUCT(($AN41:$AR41="M")*6+($AN41:$AR41="T")*6+($AN41:$AR41="D")*12+($AN41:$AR41="N")*12+($AN41:$AR41="NT")*6+($AN41:$AR41="C")*10+($AN41:$AR41="A")*8+($AN41:$AR41="J")*5+($AN41:$AR41="E")*4+($AN41:$AR41="P")*6+($AN41:$AR41="R")*6)</f>
        <v/>
      </c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123">
        <f>IFERROR(INDEX(FEV!AE$8:AE$73,MATCH($A42,FEV!$A$8:$A$73,0))&amp;"","")</f>
        <v/>
      </c>
      <c r="D42" s="123">
        <f>IFERROR(INDEX(FEV!AF$8:AF$73,MATCH($A42,FEV!$A$8:$A$73,0))&amp;"","")</f>
        <v/>
      </c>
      <c r="E42" s="123">
        <f>IFERROR(INDEX(FEV!AG$8:AG$73,MATCH($A42,FEV!$A$8:$A$73,0))&amp;"","")</f>
        <v/>
      </c>
      <c r="F42" s="123">
        <f>IFERROR(INDEX(FEV!AH$8:AH$73,MATCH($A42,FEV!$A$8:$A$73,0))&amp;"","")</f>
        <v/>
      </c>
      <c r="G42" s="123">
        <f>IFERROR(INDEX(FEV!AI$8:AI$73,MATCH($A42,FEV!$A$8:$A$73,0))&amp;"","")</f>
        <v/>
      </c>
      <c r="H42" s="109">
        <f>IFERROR(INDEX(FEV!AJ$8:AJ$73,MATCH($A42,FEV!$A$8:$A$73,0))&amp;"","")</f>
        <v/>
      </c>
      <c r="I42" s="107" t="n"/>
      <c r="J42" s="107" t="n"/>
      <c r="K42" s="107" t="n"/>
      <c r="L42" s="107" t="n"/>
      <c r="M42" s="117" t="inlineStr">
        <is>
          <t>T</t>
        </is>
      </c>
      <c r="N42" s="117" t="inlineStr">
        <is>
          <t>T</t>
        </is>
      </c>
      <c r="O42" s="116" t="inlineStr">
        <is>
          <t>N</t>
        </is>
      </c>
      <c r="P42" s="107" t="n"/>
      <c r="Q42" s="117" t="inlineStr">
        <is>
          <t>T</t>
        </is>
      </c>
      <c r="R42" s="116" t="inlineStr">
        <is>
          <t>N</t>
        </is>
      </c>
      <c r="S42" s="107" t="n"/>
      <c r="T42" s="107" t="n"/>
      <c r="U42" s="117" t="inlineStr">
        <is>
          <t>T</t>
        </is>
      </c>
      <c r="V42" s="107" t="n"/>
      <c r="W42" s="107" t="n"/>
      <c r="X42" s="117" t="inlineStr">
        <is>
          <t>T</t>
        </is>
      </c>
      <c r="Y42" s="116" t="inlineStr">
        <is>
          <t>N</t>
        </is>
      </c>
      <c r="Z42" s="107" t="n"/>
      <c r="AA42" s="107" t="n"/>
      <c r="AB42" s="117" t="inlineStr">
        <is>
          <t>T</t>
        </is>
      </c>
      <c r="AC42" s="107" t="n"/>
      <c r="AD42" s="107" t="n"/>
      <c r="AE42" s="107" t="n"/>
      <c r="AF42" s="115" t="inlineStr">
        <is>
          <t>D</t>
        </is>
      </c>
      <c r="AG42" s="107" t="n"/>
      <c r="AH42" s="107" t="n"/>
      <c r="AI42" s="107" t="n"/>
      <c r="AJ42" s="107" t="n"/>
      <c r="AK42" s="116" t="inlineStr">
        <is>
          <t>N</t>
        </is>
      </c>
      <c r="AL42" s="107" t="n"/>
      <c r="AM42" s="107" t="n"/>
      <c r="AN42" s="123">
        <f>IFERROR(INDEX(ABR!I$8:I$73,MATCH($A42,ABR!$A$8:$A$73,0))&amp;"","")</f>
        <v/>
      </c>
      <c r="AO42" s="123">
        <f>IFERROR(INDEX(ABR!J$8:J$73,MATCH($A42,ABR!$A$8:$A$73,0))&amp;"","")</f>
        <v/>
      </c>
      <c r="AP42" s="123">
        <f>IFERROR(INDEX(ABR!K$8:K$73,MATCH($A42,ABR!$A$8:$A$73,0))&amp;"","")</f>
        <v/>
      </c>
      <c r="AQ42" s="109">
        <f>IFERROR(INDEX(ABR!L$8:L$73,MATCH($A42,ABR!$A$8:$A$73,0))&amp;"","")</f>
        <v/>
      </c>
      <c r="AR42" s="109">
        <f>IFERROR(INDEX(ABR!M$8:M$73,MATCH($A42,ABR!$A$8:$A$73,0))&amp;"","")</f>
        <v/>
      </c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SUMPRODUCT(($C42:$I42="M")*6+($C42:$I42="T")*6+($C42:$I42="D")*12+($C42:$I42="N")*12+($C42:$I42="NT")*6+($C42:$I42="C")*10+($C42:$I42="A")*8+($C42:$I42="J")*5+($C42:$I42="E")*4+($C42:$I42="P")*6+($C42:$I42="R")*6)</f>
        <v/>
      </c>
      <c r="BF42" s="110">
        <f>SUMPRODUCT(($J42:$P42="M")*6+($J42:$P42="T")*6+($J42:$P42="D")*12+($J42:$P42="N")*12+($J42:$P42="NT")*6+($J42:$P42="C")*10+($J42:$P42="A")*8+($J42:$P42="J")*5+($J42:$P42="E")*4+($J42:$P42="P")*6+($J42:$P42="R")*6)</f>
        <v/>
      </c>
      <c r="BG42" s="110">
        <f>SUMPRODUCT(($Q42:$W42="M")*6+($Q42:$W42="T")*6+($Q42:$W42="D")*12+($Q42:$W42="N")*12+($Q42:$W42="NT")*6+($Q42:$W42="C")*10+($Q42:$W42="A")*8+($Q42:$W42="J")*5+($Q42:$W42="E")*4+($Q42:$W42="P")*6+($Q42:$W42="R")*6)</f>
        <v/>
      </c>
      <c r="BH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I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J42" s="110">
        <f>SUMPRODUCT(($AL42:$AM42="M")*6+($AL42:$AM42="T")*6+($AL42:$AM42="D")*12+($AL42:$AM42="N")*12+($AL42:$AM42="NT")*6+($AL42:$AM42="C")*10+($AL42:$AM42="A")*8+($AL42:$AM42="J")*5+($AL42:$AM42="E")*4+($AL42:$AM42="P")*6+($AL42:$AM42="R")*6)+SUMPRODUCT(($AN42:$AR42="M")*6+($AN42:$AR42="T")*6+($AN42:$AR42="D")*12+($AN42:$AR42="N")*12+($AN42:$AR42="NT")*6+($AN42:$AR42="C")*10+($AN42:$AR42="A")*8+($AN42:$AR42="J")*5+($AN42:$AR42="E")*4+($AN42:$AR42="P")*6+($AN42:$AR42="R")*6)</f>
        <v/>
      </c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123">
        <f>IFERROR(INDEX(FEV!AE$8:AE$73,MATCH($A43,FEV!$A$8:$A$73,0))&amp;"","")</f>
        <v/>
      </c>
      <c r="D43" s="123">
        <f>IFERROR(INDEX(FEV!AF$8:AF$73,MATCH($A43,FEV!$A$8:$A$73,0))&amp;"","")</f>
        <v/>
      </c>
      <c r="E43" s="123">
        <f>IFERROR(INDEX(FEV!AG$8:AG$73,MATCH($A43,FEV!$A$8:$A$73,0))&amp;"","")</f>
        <v/>
      </c>
      <c r="F43" s="123">
        <f>IFERROR(INDEX(FEV!AH$8:AH$73,MATCH($A43,FEV!$A$8:$A$73,0))&amp;"","")</f>
        <v/>
      </c>
      <c r="G43" s="123">
        <f>IFERROR(INDEX(FEV!AI$8:AI$73,MATCH($A43,FEV!$A$8:$A$73,0))&amp;"","")</f>
        <v/>
      </c>
      <c r="H43" s="109">
        <f>IFERROR(INDEX(FEV!AJ$8:AJ$73,MATCH($A43,FEV!$A$8:$A$73,0))&amp;"","")</f>
        <v/>
      </c>
      <c r="I43" s="107" t="n"/>
      <c r="J43" s="107" t="n"/>
      <c r="K43" s="107" t="n"/>
      <c r="L43" s="107" t="n"/>
      <c r="M43" s="116" t="inlineStr">
        <is>
          <t>N</t>
        </is>
      </c>
      <c r="N43" s="107" t="n"/>
      <c r="O43" s="116" t="inlineStr">
        <is>
          <t>N</t>
        </is>
      </c>
      <c r="P43" s="107" t="n"/>
      <c r="Q43" s="116" t="inlineStr">
        <is>
          <t>N</t>
        </is>
      </c>
      <c r="R43" s="107" t="n"/>
      <c r="S43" s="107" t="n"/>
      <c r="T43" s="116" t="inlineStr">
        <is>
          <t>N</t>
        </is>
      </c>
      <c r="U43" s="107" t="n"/>
      <c r="V43" s="107" t="n"/>
      <c r="W43" s="107" t="n"/>
      <c r="X43" s="116" t="inlineStr">
        <is>
          <t>N</t>
        </is>
      </c>
      <c r="Y43" s="107" t="n"/>
      <c r="Z43" s="107" t="n"/>
      <c r="AA43" s="107" t="n"/>
      <c r="AB43" s="107" t="n"/>
      <c r="AC43" s="116" t="inlineStr">
        <is>
          <t>N</t>
        </is>
      </c>
      <c r="AD43" s="107" t="n"/>
      <c r="AE43" s="116" t="inlineStr">
        <is>
          <t>N</t>
        </is>
      </c>
      <c r="AF43" s="107" t="n"/>
      <c r="AG43" s="107" t="n"/>
      <c r="AH43" s="116" t="inlineStr">
        <is>
          <t>N</t>
        </is>
      </c>
      <c r="AI43" s="107" t="n"/>
      <c r="AJ43" s="107" t="n"/>
      <c r="AK43" s="107" t="n"/>
      <c r="AL43" s="116" t="inlineStr">
        <is>
          <t>N</t>
        </is>
      </c>
      <c r="AM43" s="107" t="n"/>
      <c r="AN43" s="123">
        <f>IFERROR(INDEX(ABR!I$8:I$73,MATCH($A43,ABR!$A$8:$A$73,0))&amp;"","")</f>
        <v/>
      </c>
      <c r="AO43" s="123">
        <f>IFERROR(INDEX(ABR!J$8:J$73,MATCH($A43,ABR!$A$8:$A$73,0))&amp;"","")</f>
        <v/>
      </c>
      <c r="AP43" s="123">
        <f>IFERROR(INDEX(ABR!K$8:K$73,MATCH($A43,ABR!$A$8:$A$73,0))&amp;"","")</f>
        <v/>
      </c>
      <c r="AQ43" s="109">
        <f>IFERROR(INDEX(ABR!L$8:L$73,MATCH($A43,ABR!$A$8:$A$73,0))&amp;"","")</f>
        <v/>
      </c>
      <c r="AR43" s="109">
        <f>IFERROR(INDEX(ABR!M$8:M$73,MATCH($A43,ABR!$A$8:$A$73,0))&amp;"","")</f>
        <v/>
      </c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SUMPRODUCT(($C43:$I43="M")*6+($C43:$I43="T")*6+($C43:$I43="D")*12+($C43:$I43="N")*12+($C43:$I43="NT")*6+($C43:$I43="C")*10+($C43:$I43="A")*8+($C43:$I43="J")*5+($C43:$I43="E")*4+($C43:$I43="P")*6+($C43:$I43="R")*6)</f>
        <v/>
      </c>
      <c r="BF43" s="110">
        <f>SUMPRODUCT(($J43:$P43="M")*6+($J43:$P43="T")*6+($J43:$P43="D")*12+($J43:$P43="N")*12+($J43:$P43="NT")*6+($J43:$P43="C")*10+($J43:$P43="A")*8+($J43:$P43="J")*5+($J43:$P43="E")*4+($J43:$P43="P")*6+($J43:$P43="R")*6)</f>
        <v/>
      </c>
      <c r="BG43" s="110">
        <f>SUMPRODUCT(($Q43:$W43="M")*6+($Q43:$W43="T")*6+($Q43:$W43="D")*12+($Q43:$W43="N")*12+($Q43:$W43="NT")*6+($Q43:$W43="C")*10+($Q43:$W43="A")*8+($Q43:$W43="J")*5+($Q43:$W43="E")*4+($Q43:$W43="P")*6+($Q43:$W43="R")*6)</f>
        <v/>
      </c>
      <c r="BH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I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J43" s="110">
        <f>SUMPRODUCT(($AL43:$AM43="M")*6+($AL43:$AM43="T")*6+($AL43:$AM43="D")*12+($AL43:$AM43="N")*12+($AL43:$AM43="NT")*6+($AL43:$AM43="C")*10+($AL43:$AM43="A")*8+($AL43:$AM43="J")*5+($AL43:$AM43="E")*4+($AL43:$AM43="P")*6+($AL43:$AM43="R")*6)+SUMPRODUCT(($AN43:$AR43="M")*6+($AN43:$AR43="T")*6+($AN43:$AR43="D")*12+($AN43:$AR43="N")*12+($AN43:$AR43="NT")*6+($AN43:$AR43="C")*10+($AN43:$AR43="A")*8+($AN43:$AR43="J")*5+($AN43:$AR43="E")*4+($AN43:$AR43="P")*6+($AN43:$AR43="R")*6)</f>
        <v/>
      </c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123">
        <f>IFERROR(INDEX(FEV!AE$8:AE$73,MATCH($A44,FEV!$A$8:$A$73,0))&amp;"","")</f>
        <v/>
      </c>
      <c r="D44" s="123">
        <f>IFERROR(INDEX(FEV!AF$8:AF$73,MATCH($A44,FEV!$A$8:$A$73,0))&amp;"","")</f>
        <v/>
      </c>
      <c r="E44" s="123">
        <f>IFERROR(INDEX(FEV!AG$8:AG$73,MATCH($A44,FEV!$A$8:$A$73,0))&amp;"","")</f>
        <v/>
      </c>
      <c r="F44" s="123">
        <f>IFERROR(INDEX(FEV!AH$8:AH$73,MATCH($A44,FEV!$A$8:$A$73,0))&amp;"","")</f>
        <v/>
      </c>
      <c r="G44" s="123">
        <f>IFERROR(INDEX(FEV!AI$8:AI$73,MATCH($A44,FEV!$A$8:$A$73,0))&amp;"","")</f>
        <v/>
      </c>
      <c r="H44" s="109">
        <f>IFERROR(INDEX(FEV!AJ$8:AJ$73,MATCH($A44,FEV!$A$8:$A$73,0))&amp;"","")</f>
        <v/>
      </c>
      <c r="I44" s="107" t="n"/>
      <c r="J44" s="107" t="n"/>
      <c r="K44" s="107" t="n"/>
      <c r="L44" s="107" t="n"/>
      <c r="M44" s="107" t="n"/>
      <c r="N44" s="107" t="n"/>
      <c r="O44" s="115" t="inlineStr">
        <is>
          <t>D</t>
        </is>
      </c>
      <c r="P44" s="117" t="inlineStr">
        <is>
          <t>T</t>
        </is>
      </c>
      <c r="Q44" s="107" t="n"/>
      <c r="R44" s="115" t="inlineStr">
        <is>
          <t>D</t>
        </is>
      </c>
      <c r="S44" s="107" t="n"/>
      <c r="T44" s="107" t="n"/>
      <c r="U44" s="116" t="inlineStr">
        <is>
          <t>N</t>
        </is>
      </c>
      <c r="V44" s="107" t="n"/>
      <c r="W44" s="107" t="n"/>
      <c r="X44" s="107" t="n"/>
      <c r="Y44" s="115" t="inlineStr">
        <is>
          <t>D</t>
        </is>
      </c>
      <c r="Z44" s="117" t="inlineStr">
        <is>
          <t>T</t>
        </is>
      </c>
      <c r="AA44" s="107" t="n"/>
      <c r="AB44" s="108" t="inlineStr">
        <is>
          <t>M</t>
        </is>
      </c>
      <c r="AC44" s="107" t="n"/>
      <c r="AD44" s="107" t="n"/>
      <c r="AE44" s="107" t="n"/>
      <c r="AF44" s="107" t="n"/>
      <c r="AG44" s="107" t="n"/>
      <c r="AH44" s="107" t="n"/>
      <c r="AI44" s="115" t="inlineStr">
        <is>
          <t>D</t>
        </is>
      </c>
      <c r="AJ44" s="107" t="n"/>
      <c r="AK44" s="107" t="n"/>
      <c r="AL44" s="107" t="n"/>
      <c r="AM44" s="117" t="inlineStr">
        <is>
          <t>T</t>
        </is>
      </c>
      <c r="AN44" s="123">
        <f>IFERROR(INDEX(ABR!I$8:I$73,MATCH($A44,ABR!$A$8:$A$73,0))&amp;"","")</f>
        <v/>
      </c>
      <c r="AO44" s="123">
        <f>IFERROR(INDEX(ABR!J$8:J$73,MATCH($A44,ABR!$A$8:$A$73,0))&amp;"","")</f>
        <v/>
      </c>
      <c r="AP44" s="123">
        <f>IFERROR(INDEX(ABR!K$8:K$73,MATCH($A44,ABR!$A$8:$A$73,0))&amp;"","")</f>
        <v/>
      </c>
      <c r="AQ44" s="109">
        <f>IFERROR(INDEX(ABR!L$8:L$73,MATCH($A44,ABR!$A$8:$A$73,0))&amp;"","")</f>
        <v/>
      </c>
      <c r="AR44" s="109">
        <f>IFERROR(INDEX(ABR!M$8:M$73,MATCH($A44,ABR!$A$8:$A$73,0))&amp;"","")</f>
        <v/>
      </c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SUMPRODUCT(($C44:$I44="M")*6+($C44:$I44="T")*6+($C44:$I44="D")*12+($C44:$I44="N")*12+($C44:$I44="NT")*6+($C44:$I44="C")*10+($C44:$I44="A")*8+($C44:$I44="J")*5+($C44:$I44="E")*4+($C44:$I44="P")*6+($C44:$I44="R")*6)</f>
        <v/>
      </c>
      <c r="BF44" s="110">
        <f>SUMPRODUCT(($J44:$P44="M")*6+($J44:$P44="T")*6+($J44:$P44="D")*12+($J44:$P44="N")*12+($J44:$P44="NT")*6+($J44:$P44="C")*10+($J44:$P44="A")*8+($J44:$P44="J")*5+($J44:$P44="E")*4+($J44:$P44="P")*6+($J44:$P44="R")*6)</f>
        <v/>
      </c>
      <c r="BG44" s="110">
        <f>SUMPRODUCT(($Q44:$W44="M")*6+($Q44:$W44="T")*6+($Q44:$W44="D")*12+($Q44:$W44="N")*12+($Q44:$W44="NT")*6+($Q44:$W44="C")*10+($Q44:$W44="A")*8+($Q44:$W44="J")*5+($Q44:$W44="E")*4+($Q44:$W44="P")*6+($Q44:$W44="R")*6)</f>
        <v/>
      </c>
      <c r="BH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I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J44" s="110">
        <f>SUMPRODUCT(($AL44:$AM44="M")*6+($AL44:$AM44="T")*6+($AL44:$AM44="D")*12+($AL44:$AM44="N")*12+($AL44:$AM44="NT")*6+($AL44:$AM44="C")*10+($AL44:$AM44="A")*8+($AL44:$AM44="J")*5+($AL44:$AM44="E")*4+($AL44:$AM44="P")*6+($AL44:$AM44="R")*6)+SUMPRODUCT(($AN44:$AR44="M")*6+($AN44:$AR44="T")*6+($AN44:$AR44="D")*12+($AN44:$AR44="N")*12+($AN44:$AR44="NT")*6+($AN44:$AR44="C")*10+($AN44:$AR44="A")*8+($AN44:$AR44="J")*5+($AN44:$AR44="E")*4+($AN44:$AR44="P")*6+($AN44:$AR44="R")*6)</f>
        <v/>
      </c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123">
        <f>IFERROR(INDEX(FEV!AE$8:AE$73,MATCH($A45,FEV!$A$8:$A$73,0))&amp;"","")</f>
        <v/>
      </c>
      <c r="D45" s="123">
        <f>IFERROR(INDEX(FEV!AF$8:AF$73,MATCH($A45,FEV!$A$8:$A$73,0))&amp;"","")</f>
        <v/>
      </c>
      <c r="E45" s="123">
        <f>IFERROR(INDEX(FEV!AG$8:AG$73,MATCH($A45,FEV!$A$8:$A$73,0))&amp;"","")</f>
        <v/>
      </c>
      <c r="F45" s="123">
        <f>IFERROR(INDEX(FEV!AH$8:AH$73,MATCH($A45,FEV!$A$8:$A$73,0))&amp;"","")</f>
        <v/>
      </c>
      <c r="G45" s="123">
        <f>IFERROR(INDEX(FEV!AI$8:AI$73,MATCH($A45,FEV!$A$8:$A$73,0))&amp;"","")</f>
        <v/>
      </c>
      <c r="H45" s="109">
        <f>IFERROR(INDEX(FEV!AJ$8:AJ$73,MATCH($A45,FEV!$A$8:$A$73,0))&amp;"","")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7" t="n"/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07" t="n"/>
      <c r="W45" s="108" t="inlineStr">
        <is>
          <t>M</t>
        </is>
      </c>
      <c r="X45" s="108" t="inlineStr">
        <is>
          <t>M</t>
        </is>
      </c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7" t="n"/>
      <c r="AF45" s="107" t="n"/>
      <c r="AG45" s="107" t="n"/>
      <c r="AH45" s="108" t="inlineStr">
        <is>
          <t>M</t>
        </is>
      </c>
      <c r="AI45" s="116" t="inlineStr">
        <is>
          <t>N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8" t="inlineStr">
        <is>
          <t>M</t>
        </is>
      </c>
      <c r="AN45" s="123">
        <f>IFERROR(INDEX(ABR!I$8:I$73,MATCH($A45,ABR!$A$8:$A$73,0))&amp;"","")</f>
        <v/>
      </c>
      <c r="AO45" s="123">
        <f>IFERROR(INDEX(ABR!J$8:J$73,MATCH($A45,ABR!$A$8:$A$73,0))&amp;"","")</f>
        <v/>
      </c>
      <c r="AP45" s="123">
        <f>IFERROR(INDEX(ABR!K$8:K$73,MATCH($A45,ABR!$A$8:$A$73,0))&amp;"","")</f>
        <v/>
      </c>
      <c r="AQ45" s="109">
        <f>IFERROR(INDEX(ABR!L$8:L$73,MATCH($A45,ABR!$A$8:$A$73,0))&amp;"","")</f>
        <v/>
      </c>
      <c r="AR45" s="109">
        <f>IFERROR(INDEX(ABR!M$8:M$73,MATCH($A45,ABR!$A$8:$A$73,0))&amp;"","")</f>
        <v/>
      </c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SUMPRODUCT(($C45:$I45="M")*6+($C45:$I45="T")*6+($C45:$I45="D")*12+($C45:$I45="N")*12+($C45:$I45="NT")*6+($C45:$I45="C")*10+($C45:$I45="A")*8+($C45:$I45="J")*5+($C45:$I45="E")*4+($C45:$I45="P")*6+($C45:$I45="R")*6)</f>
        <v/>
      </c>
      <c r="BF45" s="110">
        <f>SUMPRODUCT(($J45:$P45="M")*6+($J45:$P45="T")*6+($J45:$P45="D")*12+($J45:$P45="N")*12+($J45:$P45="NT")*6+($J45:$P45="C")*10+($J45:$P45="A")*8+($J45:$P45="J")*5+($J45:$P45="E")*4+($J45:$P45="P")*6+($J45:$P45="R")*6)</f>
        <v/>
      </c>
      <c r="BG45" s="110">
        <f>SUMPRODUCT(($Q45:$W45="M")*6+($Q45:$W45="T")*6+($Q45:$W45="D")*12+($Q45:$W45="N")*12+($Q45:$W45="NT")*6+($Q45:$W45="C")*10+($Q45:$W45="A")*8+($Q45:$W45="J")*5+($Q45:$W45="E")*4+($Q45:$W45="P")*6+($Q45:$W45="R")*6)</f>
        <v/>
      </c>
      <c r="BH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I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J45" s="110">
        <f>SUMPRODUCT(($AL45:$AM45="M")*6+($AL45:$AM45="T")*6+($AL45:$AM45="D")*12+($AL45:$AM45="N")*12+($AL45:$AM45="NT")*6+($AL45:$AM45="C")*10+($AL45:$AM45="A")*8+($AL45:$AM45="J")*5+($AL45:$AM45="E")*4+($AL45:$AM45="P")*6+($AL45:$AM45="R")*6)+SUMPRODUCT(($AN45:$AR45="M")*6+($AN45:$AR45="T")*6+($AN45:$AR45="D")*12+($AN45:$AR45="N")*12+($AN45:$AR45="NT")*6+($AN45:$AR45="C")*10+($AN45:$AR45="A")*8+($AN45:$AR45="J")*5+($AN45:$AR45="E")*4+($AN45:$AR45="P")*6+($AN45:$AR45="R")*6)</f>
        <v/>
      </c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123">
        <f>IFERROR(INDEX(FEV!AE$8:AE$73,MATCH($A46,FEV!$A$8:$A$73,0))&amp;"","")</f>
        <v/>
      </c>
      <c r="D46" s="123">
        <f>IFERROR(INDEX(FEV!AF$8:AF$73,MATCH($A46,FEV!$A$8:$A$73,0))&amp;"","")</f>
        <v/>
      </c>
      <c r="E46" s="123">
        <f>IFERROR(INDEX(FEV!AG$8:AG$73,MATCH($A46,FEV!$A$8:$A$73,0))&amp;"","")</f>
        <v/>
      </c>
      <c r="F46" s="123">
        <f>IFERROR(INDEX(FEV!AH$8:AH$73,MATCH($A46,FEV!$A$8:$A$73,0))&amp;"","")</f>
        <v/>
      </c>
      <c r="G46" s="123">
        <f>IFERROR(INDEX(FEV!AI$8:AI$73,MATCH($A46,FEV!$A$8:$A$73,0))&amp;"","")</f>
        <v/>
      </c>
      <c r="H46" s="109">
        <f>IFERROR(INDEX(FEV!AJ$8:AJ$73,MATCH($A46,FEV!$A$8:$A$73,0))&amp;"","")</f>
        <v/>
      </c>
      <c r="I46" s="107" t="n"/>
      <c r="J46" s="107" t="n"/>
      <c r="K46" s="115" t="inlineStr">
        <is>
          <t>D</t>
        </is>
      </c>
      <c r="L46" s="117" t="inlineStr">
        <is>
          <t>T</t>
        </is>
      </c>
      <c r="M46" s="107" t="n"/>
      <c r="N46" s="107" t="n"/>
      <c r="O46" s="117" t="inlineStr">
        <is>
          <t>T</t>
        </is>
      </c>
      <c r="P46" s="107" t="n"/>
      <c r="Q46" s="107" t="n"/>
      <c r="R46" s="107" t="n"/>
      <c r="S46" s="115" t="inlineStr">
        <is>
          <t>D</t>
        </is>
      </c>
      <c r="T46" s="107" t="n"/>
      <c r="U46" s="107" t="n"/>
      <c r="V46" s="107" t="n"/>
      <c r="W46" s="116" t="inlineStr">
        <is>
          <t>N</t>
        </is>
      </c>
      <c r="X46" s="107" t="n"/>
      <c r="Y46" s="115" t="inlineStr">
        <is>
          <t>D</t>
        </is>
      </c>
      <c r="Z46" s="117" t="inlineStr">
        <is>
          <t>T</t>
        </is>
      </c>
      <c r="AA46" s="117" t="inlineStr">
        <is>
          <t>T</t>
        </is>
      </c>
      <c r="AB46" s="107" t="n"/>
      <c r="AC46" s="107" t="n"/>
      <c r="AD46" s="107" t="n"/>
      <c r="AE46" s="107" t="n"/>
      <c r="AF46" s="107" t="n"/>
      <c r="AG46" s="107" t="n"/>
      <c r="AH46" s="107" t="n"/>
      <c r="AI46" s="116" t="inlineStr">
        <is>
          <t>N</t>
        </is>
      </c>
      <c r="AJ46" s="107" t="n"/>
      <c r="AK46" s="116" t="inlineStr">
        <is>
          <t>N</t>
        </is>
      </c>
      <c r="AL46" s="107" t="n"/>
      <c r="AM46" s="115" t="inlineStr">
        <is>
          <t>D</t>
        </is>
      </c>
      <c r="AN46" s="123">
        <f>IFERROR(INDEX(ABR!I$8:I$73,MATCH($A46,ABR!$A$8:$A$73,0))&amp;"","")</f>
        <v/>
      </c>
      <c r="AO46" s="123">
        <f>IFERROR(INDEX(ABR!J$8:J$73,MATCH($A46,ABR!$A$8:$A$73,0))&amp;"","")</f>
        <v/>
      </c>
      <c r="AP46" s="123">
        <f>IFERROR(INDEX(ABR!K$8:K$73,MATCH($A46,ABR!$A$8:$A$73,0))&amp;"","")</f>
        <v/>
      </c>
      <c r="AQ46" s="109">
        <f>IFERROR(INDEX(ABR!L$8:L$73,MATCH($A46,ABR!$A$8:$A$73,0))&amp;"","")</f>
        <v/>
      </c>
      <c r="AR46" s="109">
        <f>IFERROR(INDEX(ABR!M$8:M$73,MATCH($A46,ABR!$A$8:$A$73,0))&amp;"","")</f>
        <v/>
      </c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SUMPRODUCT(($C46:$I46="M")*6+($C46:$I46="T")*6+($C46:$I46="D")*12+($C46:$I46="N")*12+($C46:$I46="NT")*6+($C46:$I46="C")*10+($C46:$I46="A")*8+($C46:$I46="J")*5+($C46:$I46="E")*4+($C46:$I46="P")*6+($C46:$I46="R")*6)</f>
        <v/>
      </c>
      <c r="BF46" s="110">
        <f>SUMPRODUCT(($J46:$P46="M")*6+($J46:$P46="T")*6+($J46:$P46="D")*12+($J46:$P46="N")*12+($J46:$P46="NT")*6+($J46:$P46="C")*10+($J46:$P46="A")*8+($J46:$P46="J")*5+($J46:$P46="E")*4+($J46:$P46="P")*6+($J46:$P46="R")*6)</f>
        <v/>
      </c>
      <c r="BG46" s="110">
        <f>SUMPRODUCT(($Q46:$W46="M")*6+($Q46:$W46="T")*6+($Q46:$W46="D")*12+($Q46:$W46="N")*12+($Q46:$W46="NT")*6+($Q46:$W46="C")*10+($Q46:$W46="A")*8+($Q46:$W46="J")*5+($Q46:$W46="E")*4+($Q46:$W46="P")*6+($Q46:$W46="R")*6)</f>
        <v/>
      </c>
      <c r="BH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I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J46" s="110">
        <f>SUMPRODUCT(($AL46:$AM46="M")*6+($AL46:$AM46="T")*6+($AL46:$AM46="D")*12+($AL46:$AM46="N")*12+($AL46:$AM46="NT")*6+($AL46:$AM46="C")*10+($AL46:$AM46="A")*8+($AL46:$AM46="J")*5+($AL46:$AM46="E")*4+($AL46:$AM46="P")*6+($AL46:$AM46="R")*6)+SUMPRODUCT(($AN46:$AR46="M")*6+($AN46:$AR46="T")*6+($AN46:$AR46="D")*12+($AN46:$AR46="N")*12+($AN46:$AR46="NT")*6+($AN46:$AR46="C")*10+($AN46:$AR46="A")*8+($AN46:$AR46="J")*5+($AN46:$AR46="E")*4+($AN46:$AR46="P")*6+($AN46:$AR46="R")*6)</f>
        <v/>
      </c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123">
        <f>IFERROR(INDEX(FEV!AE$8:AE$73,MATCH($A47,FEV!$A$8:$A$73,0))&amp;"","")</f>
        <v/>
      </c>
      <c r="D47" s="123">
        <f>IFERROR(INDEX(FEV!AF$8:AF$73,MATCH($A47,FEV!$A$8:$A$73,0))&amp;"","")</f>
        <v/>
      </c>
      <c r="E47" s="123">
        <f>IFERROR(INDEX(FEV!AG$8:AG$73,MATCH($A47,FEV!$A$8:$A$73,0))&amp;"","")</f>
        <v/>
      </c>
      <c r="F47" s="123">
        <f>IFERROR(INDEX(FEV!AH$8:AH$73,MATCH($A47,FEV!$A$8:$A$73,0))&amp;"","")</f>
        <v/>
      </c>
      <c r="G47" s="123">
        <f>IFERROR(INDEX(FEV!AI$8:AI$73,MATCH($A47,FEV!$A$8:$A$73,0))&amp;"","")</f>
        <v/>
      </c>
      <c r="H47" s="109">
        <f>IFERROR(INDEX(FEV!AJ$8:AJ$73,MATCH($A47,FEV!$A$8:$A$73,0))&amp;"","")</f>
        <v/>
      </c>
      <c r="I47" s="115" t="inlineStr">
        <is>
          <t>D</t>
        </is>
      </c>
      <c r="J47" s="107" t="n"/>
      <c r="K47" s="115" t="inlineStr">
        <is>
          <t>D</t>
        </is>
      </c>
      <c r="L47" s="107" t="n"/>
      <c r="M47" s="116" t="inlineStr">
        <is>
          <t>N</t>
        </is>
      </c>
      <c r="N47" s="107" t="n"/>
      <c r="O47" s="107" t="n"/>
      <c r="P47" s="107" t="n"/>
      <c r="Q47" s="107" t="n"/>
      <c r="R47" s="115" t="inlineStr">
        <is>
          <t>D</t>
        </is>
      </c>
      <c r="S47" s="107" t="n"/>
      <c r="T47" s="107" t="n"/>
      <c r="U47" s="107" t="n"/>
      <c r="V47" s="115" t="inlineStr">
        <is>
          <t>D</t>
        </is>
      </c>
      <c r="W47" s="107" t="n"/>
      <c r="X47" s="107" t="n"/>
      <c r="Y47" s="115" t="inlineStr">
        <is>
          <t>D</t>
        </is>
      </c>
      <c r="Z47" s="107" t="n"/>
      <c r="AA47" s="116" t="inlineStr">
        <is>
          <t>N</t>
        </is>
      </c>
      <c r="AB47" s="107" t="n"/>
      <c r="AC47" s="107" t="n"/>
      <c r="AD47" s="107" t="n"/>
      <c r="AE47" s="107" t="n"/>
      <c r="AF47" s="115" t="inlineStr">
        <is>
          <t>D</t>
        </is>
      </c>
      <c r="AG47" s="107" t="n"/>
      <c r="AH47" s="107" t="n"/>
      <c r="AI47" s="107" t="n"/>
      <c r="AJ47" s="115" t="inlineStr">
        <is>
          <t>D</t>
        </is>
      </c>
      <c r="AK47" s="107" t="n"/>
      <c r="AL47" s="115" t="inlineStr">
        <is>
          <t>D</t>
        </is>
      </c>
      <c r="AM47" s="116" t="inlineStr">
        <is>
          <t>N</t>
        </is>
      </c>
      <c r="AN47" s="123">
        <f>IFERROR(INDEX(ABR!I$8:I$73,MATCH($A47,ABR!$A$8:$A$73,0))&amp;"","")</f>
        <v/>
      </c>
      <c r="AO47" s="123">
        <f>IFERROR(INDEX(ABR!J$8:J$73,MATCH($A47,ABR!$A$8:$A$73,0))&amp;"","")</f>
        <v/>
      </c>
      <c r="AP47" s="123">
        <f>IFERROR(INDEX(ABR!K$8:K$73,MATCH($A47,ABR!$A$8:$A$73,0))&amp;"","")</f>
        <v/>
      </c>
      <c r="AQ47" s="109">
        <f>IFERROR(INDEX(ABR!L$8:L$73,MATCH($A47,ABR!$A$8:$A$73,0))&amp;"","")</f>
        <v/>
      </c>
      <c r="AR47" s="109">
        <f>IFERROR(INDEX(ABR!M$8:M$73,MATCH($A47,ABR!$A$8:$A$73,0))&amp;"","")</f>
        <v/>
      </c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SUMPRODUCT(($C47:$I47="M")*6+($C47:$I47="T")*6+($C47:$I47="D")*12+($C47:$I47="N")*12+($C47:$I47="NT")*6+($C47:$I47="C")*10+($C47:$I47="A")*8+($C47:$I47="J")*5+($C47:$I47="E")*4+($C47:$I47="P")*6+($C47:$I47="R")*6)</f>
        <v/>
      </c>
      <c r="BF47" s="110">
        <f>SUMPRODUCT(($J47:$P47="M")*6+($J47:$P47="T")*6+($J47:$P47="D")*12+($J47:$P47="N")*12+($J47:$P47="NT")*6+($J47:$P47="C")*10+($J47:$P47="A")*8+($J47:$P47="J")*5+($J47:$P47="E")*4+($J47:$P47="P")*6+($J47:$P47="R")*6)</f>
        <v/>
      </c>
      <c r="BG47" s="110">
        <f>SUMPRODUCT(($Q47:$W47="M")*6+($Q47:$W47="T")*6+($Q47:$W47="D")*12+($Q47:$W47="N")*12+($Q47:$W47="NT")*6+($Q47:$W47="C")*10+($Q47:$W47="A")*8+($Q47:$W47="J")*5+($Q47:$W47="E")*4+($Q47:$W47="P")*6+($Q47:$W47="R")*6)</f>
        <v/>
      </c>
      <c r="BH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I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J47" s="110">
        <f>SUMPRODUCT(($AL47:$AM47="M")*6+($AL47:$AM47="T")*6+($AL47:$AM47="D")*12+($AL47:$AM47="N")*12+($AL47:$AM47="NT")*6+($AL47:$AM47="C")*10+($AL47:$AM47="A")*8+($AL47:$AM47="J")*5+($AL47:$AM47="E")*4+($AL47:$AM47="P")*6+($AL47:$AM47="R")*6)+SUMPRODUCT(($AN47:$AR47="M")*6+($AN47:$AR47="T")*6+($AN47:$AR47="D")*12+($AN47:$AR47="N")*12+($AN47:$AR47="NT")*6+($AN47:$AR47="C")*10+($AN47:$AR47="A")*8+($AN47:$AR47="J")*5+($AN47:$AR47="E")*4+($AN47:$AR47="P")*6+($AN47:$AR47="R")*6)</f>
        <v/>
      </c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123">
        <f>IFERROR(INDEX(FEV!AE$8:AE$73,MATCH($A48,FEV!$A$8:$A$73,0))&amp;"","")</f>
        <v/>
      </c>
      <c r="D48" s="123">
        <f>IFERROR(INDEX(FEV!AF$8:AF$73,MATCH($A48,FEV!$A$8:$A$73,0))&amp;"","")</f>
        <v/>
      </c>
      <c r="E48" s="123">
        <f>IFERROR(INDEX(FEV!AG$8:AG$73,MATCH($A48,FEV!$A$8:$A$73,0))&amp;"","")</f>
        <v/>
      </c>
      <c r="F48" s="123">
        <f>IFERROR(INDEX(FEV!AH$8:AH$73,MATCH($A48,FEV!$A$8:$A$73,0))&amp;"","")</f>
        <v/>
      </c>
      <c r="G48" s="123">
        <f>IFERROR(INDEX(FEV!AI$8:AI$73,MATCH($A48,FEV!$A$8:$A$73,0))&amp;"","")</f>
        <v/>
      </c>
      <c r="H48" s="109">
        <f>IFERROR(INDEX(FEV!AJ$8:AJ$73,MATCH($A48,FEV!$A$8:$A$73,0))&amp;"","")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23">
        <f>IFERROR(INDEX(ABR!I$8:I$73,MATCH($A48,ABR!$A$8:$A$73,0))&amp;"","")</f>
        <v/>
      </c>
      <c r="AO48" s="123">
        <f>IFERROR(INDEX(ABR!J$8:J$73,MATCH($A48,ABR!$A$8:$A$73,0))&amp;"","")</f>
        <v/>
      </c>
      <c r="AP48" s="123">
        <f>IFERROR(INDEX(ABR!K$8:K$73,MATCH($A48,ABR!$A$8:$A$73,0))&amp;"","")</f>
        <v/>
      </c>
      <c r="AQ48" s="109">
        <f>IFERROR(INDEX(ABR!L$8:L$73,MATCH($A48,ABR!$A$8:$A$73,0))&amp;"","")</f>
        <v/>
      </c>
      <c r="AR48" s="109">
        <f>IFERROR(INDEX(ABR!M$8:M$73,MATCH($A48,ABR!$A$8:$A$73,0))&amp;"","")</f>
        <v/>
      </c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SUMPRODUCT(($C48:$I48="M")*6+($C48:$I48="T")*6+($C48:$I48="D")*12+($C48:$I48="N")*12+($C48:$I48="NT")*6+($C48:$I48="C")*10+($C48:$I48="A")*8+($C48:$I48="J")*5+($C48:$I48="E")*4+($C48:$I48="P")*6+($C48:$I48="R")*6)</f>
        <v/>
      </c>
      <c r="BF48" s="110">
        <f>SUMPRODUCT(($J48:$P48="M")*6+($J48:$P48="T")*6+($J48:$P48="D")*12+($J48:$P48="N")*12+($J48:$P48="NT")*6+($J48:$P48="C")*10+($J48:$P48="A")*8+($J48:$P48="J")*5+($J48:$P48="E")*4+($J48:$P48="P")*6+($J48:$P48="R")*6)</f>
        <v/>
      </c>
      <c r="BG48" s="110">
        <f>SUMPRODUCT(($Q48:$W48="M")*6+($Q48:$W48="T")*6+($Q48:$W48="D")*12+($Q48:$W48="N")*12+($Q48:$W48="NT")*6+($Q48:$W48="C")*10+($Q48:$W48="A")*8+($Q48:$W48="J")*5+($Q48:$W48="E")*4+($Q48:$W48="P")*6+($Q48:$W48="R")*6)</f>
        <v/>
      </c>
      <c r="BH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I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J48" s="110">
        <f>SUMPRODUCT(($AL48:$AM48="M")*6+($AL48:$AM48="T")*6+($AL48:$AM48="D")*12+($AL48:$AM48="N")*12+($AL48:$AM48="NT")*6+($AL48:$AM48="C")*10+($AL48:$AM48="A")*8+($AL48:$AM48="J")*5+($AL48:$AM48="E")*4+($AL48:$AM48="P")*6+($AL48:$AM48="R")*6)+SUMPRODUCT(($AN48:$AR48="M")*6+($AN48:$AR48="T")*6+($AN48:$AR48="D")*12+($AN48:$AR48="N")*12+($AN48:$AR48="NT")*6+($AN48:$AR48="C")*10+($AN48:$AR48="A")*8+($AN48:$AR48="J")*5+($AN48:$AR48="E")*4+($AN48:$AR48="P")*6+($AN48:$AR48="R")*6)</f>
        <v/>
      </c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123">
        <f>IFERROR(INDEX(FEV!AE$8:AE$73,MATCH($A49,FEV!$A$8:$A$73,0))&amp;"","")</f>
        <v/>
      </c>
      <c r="D49" s="123">
        <f>IFERROR(INDEX(FEV!AF$8:AF$73,MATCH($A49,FEV!$A$8:$A$73,0))&amp;"","")</f>
        <v/>
      </c>
      <c r="E49" s="123">
        <f>IFERROR(INDEX(FEV!AG$8:AG$73,MATCH($A49,FEV!$A$8:$A$73,0))&amp;"","")</f>
        <v/>
      </c>
      <c r="F49" s="123">
        <f>IFERROR(INDEX(FEV!AH$8:AH$73,MATCH($A49,FEV!$A$8:$A$73,0))&amp;"","")</f>
        <v/>
      </c>
      <c r="G49" s="123">
        <f>IFERROR(INDEX(FEV!AI$8:AI$73,MATCH($A49,FEV!$A$8:$A$73,0))&amp;"","")</f>
        <v/>
      </c>
      <c r="H49" s="109">
        <f>IFERROR(INDEX(FEV!AJ$8:AJ$73,MATCH($A49,FEV!$A$8:$A$73,0))&amp;"","")</f>
        <v/>
      </c>
      <c r="I49" s="108" t="inlineStr">
        <is>
          <t>M</t>
        </is>
      </c>
      <c r="J49" s="115" t="inlineStr">
        <is>
          <t>D</t>
        </is>
      </c>
      <c r="K49" s="107" t="n"/>
      <c r="L49" s="115" t="inlineStr">
        <is>
          <t>D</t>
        </is>
      </c>
      <c r="M49" s="107" t="n"/>
      <c r="N49" s="107" t="n"/>
      <c r="O49" s="108" t="inlineStr">
        <is>
          <t>M</t>
        </is>
      </c>
      <c r="P49" s="107" t="n"/>
      <c r="Q49" s="115" t="inlineStr">
        <is>
          <t>D</t>
        </is>
      </c>
      <c r="R49" s="107" t="n"/>
      <c r="S49" s="115" t="inlineStr">
        <is>
          <t>D</t>
        </is>
      </c>
      <c r="T49" s="108" t="inlineStr">
        <is>
          <t>M</t>
        </is>
      </c>
      <c r="U49" s="107" t="n"/>
      <c r="V49" s="107" t="n"/>
      <c r="W49" s="107" t="n"/>
      <c r="X49" s="107" t="n"/>
      <c r="Y49" s="107" t="n"/>
      <c r="Z49" s="117" t="inlineStr">
        <is>
          <t>T</t>
        </is>
      </c>
      <c r="AA49" s="107" t="n"/>
      <c r="AB49" s="107" t="n"/>
      <c r="AC49" s="115" t="inlineStr">
        <is>
          <t>D</t>
        </is>
      </c>
      <c r="AD49" s="115" t="inlineStr">
        <is>
          <t>D</t>
        </is>
      </c>
      <c r="AE49" s="117" t="inlineStr">
        <is>
          <t>T</t>
        </is>
      </c>
      <c r="AF49" s="107" t="n"/>
      <c r="AG49" s="115" t="inlineStr">
        <is>
          <t>D</t>
        </is>
      </c>
      <c r="AH49" s="107" t="n"/>
      <c r="AI49" s="116" t="inlineStr">
        <is>
          <t>N</t>
        </is>
      </c>
      <c r="AJ49" s="107" t="n"/>
      <c r="AK49" s="107" t="n"/>
      <c r="AL49" s="107" t="n"/>
      <c r="AM49" s="107" t="n"/>
      <c r="AN49" s="123">
        <f>IFERROR(INDEX(ABR!I$8:I$73,MATCH($A49,ABR!$A$8:$A$73,0))&amp;"","")</f>
        <v/>
      </c>
      <c r="AO49" s="123">
        <f>IFERROR(INDEX(ABR!J$8:J$73,MATCH($A49,ABR!$A$8:$A$73,0))&amp;"","")</f>
        <v/>
      </c>
      <c r="AP49" s="123">
        <f>IFERROR(INDEX(ABR!K$8:K$73,MATCH($A49,ABR!$A$8:$A$73,0))&amp;"","")</f>
        <v/>
      </c>
      <c r="AQ49" s="109">
        <f>IFERROR(INDEX(ABR!L$8:L$73,MATCH($A49,ABR!$A$8:$A$73,0))&amp;"","")</f>
        <v/>
      </c>
      <c r="AR49" s="109">
        <f>IFERROR(INDEX(ABR!M$8:M$73,MATCH($A49,ABR!$A$8:$A$73,0))&amp;"","")</f>
        <v/>
      </c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SUMPRODUCT(($C49:$I49="M")*6+($C49:$I49="T")*6+($C49:$I49="D")*12+($C49:$I49="N")*12+($C49:$I49="NT")*6+($C49:$I49="C")*10+($C49:$I49="A")*8+($C49:$I49="J")*5+($C49:$I49="E")*4+($C49:$I49="P")*6+($C49:$I49="R")*6)</f>
        <v/>
      </c>
      <c r="BF49" s="110">
        <f>SUMPRODUCT(($J49:$P49="M")*6+($J49:$P49="T")*6+($J49:$P49="D")*12+($J49:$P49="N")*12+($J49:$P49="NT")*6+($J49:$P49="C")*10+($J49:$P49="A")*8+($J49:$P49="J")*5+($J49:$P49="E")*4+($J49:$P49="P")*6+($J49:$P49="R")*6)</f>
        <v/>
      </c>
      <c r="BG49" s="110">
        <f>SUMPRODUCT(($Q49:$W49="M")*6+($Q49:$W49="T")*6+($Q49:$W49="D")*12+($Q49:$W49="N")*12+($Q49:$W49="NT")*6+($Q49:$W49="C")*10+($Q49:$W49="A")*8+($Q49:$W49="J")*5+($Q49:$W49="E")*4+($Q49:$W49="P")*6+($Q49:$W49="R")*6)</f>
        <v/>
      </c>
      <c r="BH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I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J49" s="110">
        <f>SUMPRODUCT(($AL49:$AM49="M")*6+($AL49:$AM49="T")*6+($AL49:$AM49="D")*12+($AL49:$AM49="N")*12+($AL49:$AM49="NT")*6+($AL49:$AM49="C")*10+($AL49:$AM49="A")*8+($AL49:$AM49="J")*5+($AL49:$AM49="E")*4+($AL49:$AM49="P")*6+($AL49:$AM49="R")*6)+SUMPRODUCT(($AN49:$AR49="M")*6+($AN49:$AR49="T")*6+($AN49:$AR49="D")*12+($AN49:$AR49="N")*12+($AN49:$AR49="NT")*6+($AN49:$AR49="C")*10+($AN49:$AR49="A")*8+($AN49:$AR49="J")*5+($AN49:$AR49="E")*4+($AN49:$AR49="P")*6+($AN49:$AR49="R")*6)</f>
        <v/>
      </c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123">
        <f>IFERROR(INDEX(FEV!AE$8:AE$73,MATCH($A50,FEV!$A$8:$A$73,0))&amp;"","")</f>
        <v/>
      </c>
      <c r="D50" s="123">
        <f>IFERROR(INDEX(FEV!AF$8:AF$73,MATCH($A50,FEV!$A$8:$A$73,0))&amp;"","")</f>
        <v/>
      </c>
      <c r="E50" s="123">
        <f>IFERROR(INDEX(FEV!AG$8:AG$73,MATCH($A50,FEV!$A$8:$A$73,0))&amp;"","")</f>
        <v/>
      </c>
      <c r="F50" s="123">
        <f>IFERROR(INDEX(FEV!AH$8:AH$73,MATCH($A50,FEV!$A$8:$A$73,0))&amp;"","")</f>
        <v/>
      </c>
      <c r="G50" s="123">
        <f>IFERROR(INDEX(FEV!AI$8:AI$73,MATCH($A50,FEV!$A$8:$A$73,0))&amp;"","")</f>
        <v/>
      </c>
      <c r="H50" s="109">
        <f>IFERROR(INDEX(FEV!AJ$8:AJ$73,MATCH($A50,FEV!$A$8:$A$73,0))&amp;"","")</f>
        <v/>
      </c>
      <c r="I50" s="107" t="n"/>
      <c r="J50" s="107" t="n"/>
      <c r="K50" s="107" t="n"/>
      <c r="L50" s="116" t="inlineStr">
        <is>
          <t>N</t>
        </is>
      </c>
      <c r="M50" s="107" t="n"/>
      <c r="N50" s="107" t="n"/>
      <c r="O50" s="107" t="n"/>
      <c r="P50" s="115" t="inlineStr">
        <is>
          <t>D</t>
        </is>
      </c>
      <c r="Q50" s="115" t="inlineStr">
        <is>
          <t>D</t>
        </is>
      </c>
      <c r="R50" s="108" t="inlineStr">
        <is>
          <t>M</t>
        </is>
      </c>
      <c r="S50" s="117" t="inlineStr">
        <is>
          <t>T</t>
        </is>
      </c>
      <c r="T50" s="107" t="n"/>
      <c r="U50" s="107" t="n"/>
      <c r="V50" s="107" t="n"/>
      <c r="W50" s="107" t="n"/>
      <c r="X50" s="107" t="n"/>
      <c r="Y50" s="107" t="n"/>
      <c r="Z50" s="116" t="inlineStr">
        <is>
          <t>N</t>
        </is>
      </c>
      <c r="AA50" s="107" t="n"/>
      <c r="AB50" s="107" t="n"/>
      <c r="AC50" s="115" t="inlineStr">
        <is>
          <t>D</t>
        </is>
      </c>
      <c r="AD50" s="107" t="n"/>
      <c r="AE50" s="115" t="inlineStr">
        <is>
          <t>D</t>
        </is>
      </c>
      <c r="AF50" s="107" t="n"/>
      <c r="AG50" s="107" t="n"/>
      <c r="AH50" s="107" t="n"/>
      <c r="AI50" s="117" t="inlineStr">
        <is>
          <t>T</t>
        </is>
      </c>
      <c r="AJ50" s="117" t="inlineStr">
        <is>
          <t>T</t>
        </is>
      </c>
      <c r="AK50" s="107" t="n"/>
      <c r="AL50" s="115" t="inlineStr">
        <is>
          <t>D</t>
        </is>
      </c>
      <c r="AM50" s="116" t="inlineStr">
        <is>
          <t>N</t>
        </is>
      </c>
      <c r="AN50" s="123">
        <f>IFERROR(INDEX(ABR!I$8:I$73,MATCH($A50,ABR!$A$8:$A$73,0))&amp;"","")</f>
        <v/>
      </c>
      <c r="AO50" s="123">
        <f>IFERROR(INDEX(ABR!J$8:J$73,MATCH($A50,ABR!$A$8:$A$73,0))&amp;"","")</f>
        <v/>
      </c>
      <c r="AP50" s="123">
        <f>IFERROR(INDEX(ABR!K$8:K$73,MATCH($A50,ABR!$A$8:$A$73,0))&amp;"","")</f>
        <v/>
      </c>
      <c r="AQ50" s="109">
        <f>IFERROR(INDEX(ABR!L$8:L$73,MATCH($A50,ABR!$A$8:$A$73,0))&amp;"","")</f>
        <v/>
      </c>
      <c r="AR50" s="109">
        <f>IFERROR(INDEX(ABR!M$8:M$73,MATCH($A50,ABR!$A$8:$A$73,0))&amp;"","")</f>
        <v/>
      </c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SUMPRODUCT(($C50:$I50="M")*6+($C50:$I50="T")*6+($C50:$I50="D")*12+($C50:$I50="N")*12+($C50:$I50="NT")*6+($C50:$I50="C")*10+($C50:$I50="A")*8+($C50:$I50="J")*5+($C50:$I50="E")*4+($C50:$I50="P")*6+($C50:$I50="R")*6)</f>
        <v/>
      </c>
      <c r="BF50" s="110">
        <f>SUMPRODUCT(($J50:$P50="M")*6+($J50:$P50="T")*6+($J50:$P50="D")*12+($J50:$P50="N")*12+($J50:$P50="NT")*6+($J50:$P50="C")*10+($J50:$P50="A")*8+($J50:$P50="J")*5+($J50:$P50="E")*4+($J50:$P50="P")*6+($J50:$P50="R")*6)</f>
        <v/>
      </c>
      <c r="BG50" s="110">
        <f>SUMPRODUCT(($Q50:$W50="M")*6+($Q50:$W50="T")*6+($Q50:$W50="D")*12+($Q50:$W50="N")*12+($Q50:$W50="NT")*6+($Q50:$W50="C")*10+($Q50:$W50="A")*8+($Q50:$W50="J")*5+($Q50:$W50="E")*4+($Q50:$W50="P")*6+($Q50:$W50="R")*6)</f>
        <v/>
      </c>
      <c r="BH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I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J50" s="110">
        <f>SUMPRODUCT(($AL50:$AM50="M")*6+($AL50:$AM50="T")*6+($AL50:$AM50="D")*12+($AL50:$AM50="N")*12+($AL50:$AM50="NT")*6+($AL50:$AM50="C")*10+($AL50:$AM50="A")*8+($AL50:$AM50="J")*5+($AL50:$AM50="E")*4+($AL50:$AM50="P")*6+($AL50:$AM50="R")*6)+SUMPRODUCT(($AN50:$AR50="M")*6+($AN50:$AR50="T")*6+($AN50:$AR50="D")*12+($AN50:$AR50="N")*12+($AN50:$AR50="NT")*6+($AN50:$AR50="C")*10+($AN50:$AR50="A")*8+($AN50:$AR50="J")*5+($AN50:$AR50="E")*4+($AN50:$AR50="P")*6+($AN50:$AR50="R")*6)</f>
        <v/>
      </c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123">
        <f>IFERROR(INDEX(FEV!AE$8:AE$73,MATCH($A51,FEV!$A$8:$A$73,0))&amp;"","")</f>
        <v/>
      </c>
      <c r="D51" s="123">
        <f>IFERROR(INDEX(FEV!AF$8:AF$73,MATCH($A51,FEV!$A$8:$A$73,0))&amp;"","")</f>
        <v/>
      </c>
      <c r="E51" s="123">
        <f>IFERROR(INDEX(FEV!AG$8:AG$73,MATCH($A51,FEV!$A$8:$A$73,0))&amp;"","")</f>
        <v/>
      </c>
      <c r="F51" s="123">
        <f>IFERROR(INDEX(FEV!AH$8:AH$73,MATCH($A51,FEV!$A$8:$A$73,0))&amp;"","")</f>
        <v/>
      </c>
      <c r="G51" s="123">
        <f>IFERROR(INDEX(FEV!AI$8:AI$73,MATCH($A51,FEV!$A$8:$A$73,0))&amp;"","")</f>
        <v/>
      </c>
      <c r="H51" s="109">
        <f>IFERROR(INDEX(FEV!AJ$8:AJ$73,MATCH($A51,FEV!$A$8:$A$73,0))&amp;"","")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23">
        <f>IFERROR(INDEX(ABR!I$8:I$73,MATCH($A51,ABR!$A$8:$A$73,0))&amp;"","")</f>
        <v/>
      </c>
      <c r="AO51" s="123">
        <f>IFERROR(INDEX(ABR!J$8:J$73,MATCH($A51,ABR!$A$8:$A$73,0))&amp;"","")</f>
        <v/>
      </c>
      <c r="AP51" s="123">
        <f>IFERROR(INDEX(ABR!K$8:K$73,MATCH($A51,ABR!$A$8:$A$73,0))&amp;"","")</f>
        <v/>
      </c>
      <c r="AQ51" s="109">
        <f>IFERROR(INDEX(ABR!L$8:L$73,MATCH($A51,ABR!$A$8:$A$73,0))&amp;"","")</f>
        <v/>
      </c>
      <c r="AR51" s="109">
        <f>IFERROR(INDEX(ABR!M$8:M$73,MATCH($A51,ABR!$A$8:$A$73,0))&amp;"","")</f>
        <v/>
      </c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SUMPRODUCT(($C51:$I51="M")*6+($C51:$I51="T")*6+($C51:$I51="D")*12+($C51:$I51="N")*12+($C51:$I51="NT")*6+($C51:$I51="C")*10+($C51:$I51="A")*8+($C51:$I51="J")*5+($C51:$I51="E")*4+($C51:$I51="P")*6+($C51:$I51="R")*6)</f>
        <v/>
      </c>
      <c r="BF51" s="110">
        <f>SUMPRODUCT(($J51:$P51="M")*6+($J51:$P51="T")*6+($J51:$P51="D")*12+($J51:$P51="N")*12+($J51:$P51="NT")*6+($J51:$P51="C")*10+($J51:$P51="A")*8+($J51:$P51="J")*5+($J51:$P51="E")*4+($J51:$P51="P")*6+($J51:$P51="R")*6)</f>
        <v/>
      </c>
      <c r="BG51" s="110">
        <f>SUMPRODUCT(($Q51:$W51="M")*6+($Q51:$W51="T")*6+($Q51:$W51="D")*12+($Q51:$W51="N")*12+($Q51:$W51="NT")*6+($Q51:$W51="C")*10+($Q51:$W51="A")*8+($Q51:$W51="J")*5+($Q51:$W51="E")*4+($Q51:$W51="P")*6+($Q51:$W51="R")*6)</f>
        <v/>
      </c>
      <c r="BH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I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J51" s="110">
        <f>SUMPRODUCT(($AL51:$AM51="M")*6+($AL51:$AM51="T")*6+($AL51:$AM51="D")*12+($AL51:$AM51="N")*12+($AL51:$AM51="NT")*6+($AL51:$AM51="C")*10+($AL51:$AM51="A")*8+($AL51:$AM51="J")*5+($AL51:$AM51="E")*4+($AL51:$AM51="P")*6+($AL51:$AM51="R")*6)+SUMPRODUCT(($AN51:$AR51="M")*6+($AN51:$AR51="T")*6+($AN51:$AR51="D")*12+($AN51:$AR51="N")*12+($AN51:$AR51="NT")*6+($AN51:$AR51="C")*10+($AN51:$AR51="A")*8+($AN51:$AR51="J")*5+($AN51:$AR51="E")*4+($AN51:$AR51="P")*6+($AN51:$AR51="R")*6)</f>
        <v/>
      </c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123">
        <f>IFERROR(INDEX(FEV!AE$8:AE$73,MATCH($A52,FEV!$A$8:$A$73,0))&amp;"","")</f>
        <v/>
      </c>
      <c r="D52" s="123">
        <f>IFERROR(INDEX(FEV!AF$8:AF$73,MATCH($A52,FEV!$A$8:$A$73,0))&amp;"","")</f>
        <v/>
      </c>
      <c r="E52" s="123">
        <f>IFERROR(INDEX(FEV!AG$8:AG$73,MATCH($A52,FEV!$A$8:$A$73,0))&amp;"","")</f>
        <v/>
      </c>
      <c r="F52" s="123">
        <f>IFERROR(INDEX(FEV!AH$8:AH$73,MATCH($A52,FEV!$A$8:$A$73,0))&amp;"","")</f>
        <v/>
      </c>
      <c r="G52" s="123">
        <f>IFERROR(INDEX(FEV!AI$8:AI$73,MATCH($A52,FEV!$A$8:$A$73,0))&amp;"","")</f>
        <v/>
      </c>
      <c r="H52" s="109">
        <f>IFERROR(INDEX(FEV!AJ$8:AJ$73,MATCH($A52,FEV!$A$8:$A$73,0))&amp;"","")</f>
        <v/>
      </c>
      <c r="I52" s="107" t="n"/>
      <c r="J52" s="116" t="inlineStr">
        <is>
          <t>N</t>
        </is>
      </c>
      <c r="K52" s="107" t="n"/>
      <c r="L52" s="107" t="n"/>
      <c r="M52" s="107" t="n"/>
      <c r="N52" s="116" t="inlineStr">
        <is>
          <t>N</t>
        </is>
      </c>
      <c r="O52" s="107" t="n"/>
      <c r="P52" s="107" t="n"/>
      <c r="Q52" s="116" t="inlineStr">
        <is>
          <t>N</t>
        </is>
      </c>
      <c r="R52" s="107" t="n"/>
      <c r="S52" s="107" t="n"/>
      <c r="T52" s="107" t="n"/>
      <c r="U52" s="107" t="n"/>
      <c r="V52" s="116" t="inlineStr">
        <is>
          <t>N</t>
        </is>
      </c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23">
        <f>IFERROR(INDEX(ABR!I$8:I$73,MATCH($A52,ABR!$A$8:$A$73,0))&amp;"","")</f>
        <v/>
      </c>
      <c r="AO52" s="123">
        <f>IFERROR(INDEX(ABR!J$8:J$73,MATCH($A52,ABR!$A$8:$A$73,0))&amp;"","")</f>
        <v/>
      </c>
      <c r="AP52" s="123">
        <f>IFERROR(INDEX(ABR!K$8:K$73,MATCH($A52,ABR!$A$8:$A$73,0))&amp;"","")</f>
        <v/>
      </c>
      <c r="AQ52" s="109">
        <f>IFERROR(INDEX(ABR!L$8:L$73,MATCH($A52,ABR!$A$8:$A$73,0))&amp;"","")</f>
        <v/>
      </c>
      <c r="AR52" s="109">
        <f>IFERROR(INDEX(ABR!M$8:M$73,MATCH($A52,ABR!$A$8:$A$73,0))&amp;"","")</f>
        <v/>
      </c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SUMPRODUCT(($C52:$I52="M")*6+($C52:$I52="T")*6+($C52:$I52="D")*12+($C52:$I52="N")*12+($C52:$I52="NT")*6+($C52:$I52="C")*10+($C52:$I52="A")*8+($C52:$I52="J")*5+($C52:$I52="E")*4+($C52:$I52="P")*6+($C52:$I52="R")*6)</f>
        <v/>
      </c>
      <c r="BF52" s="110">
        <f>SUMPRODUCT(($J52:$P52="M")*6+($J52:$P52="T")*6+($J52:$P52="D")*12+($J52:$P52="N")*12+($J52:$P52="NT")*6+($J52:$P52="C")*10+($J52:$P52="A")*8+($J52:$P52="J")*5+($J52:$P52="E")*4+($J52:$P52="P")*6+($J52:$P52="R")*6)</f>
        <v/>
      </c>
      <c r="BG52" s="110">
        <f>SUMPRODUCT(($Q52:$W52="M")*6+($Q52:$W52="T")*6+($Q52:$W52="D")*12+($Q52:$W52="N")*12+($Q52:$W52="NT")*6+($Q52:$W52="C")*10+($Q52:$W52="A")*8+($Q52:$W52="J")*5+($Q52:$W52="E")*4+($Q52:$W52="P")*6+($Q52:$W52="R")*6)</f>
        <v/>
      </c>
      <c r="BH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I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J52" s="110">
        <f>SUMPRODUCT(($AL52:$AM52="M")*6+($AL52:$AM52="T")*6+($AL52:$AM52="D")*12+($AL52:$AM52="N")*12+($AL52:$AM52="NT")*6+($AL52:$AM52="C")*10+($AL52:$AM52="A")*8+($AL52:$AM52="J")*5+($AL52:$AM52="E")*4+($AL52:$AM52="P")*6+($AL52:$AM52="R")*6)+SUMPRODUCT(($AN52:$AR52="M")*6+($AN52:$AR52="T")*6+($AN52:$AR52="D")*12+($AN52:$AR52="N")*12+($AN52:$AR52="NT")*6+($AN52:$AR52="C")*10+($AN52:$AR52="A")*8+($AN52:$AR52="J")*5+($AN52:$AR52="E")*4+($AN52:$AR52="P")*6+($AN52:$AR52="R")*6)</f>
        <v/>
      </c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123">
        <f>IFERROR(INDEX(FEV!AE$8:AE$73,MATCH($A53,FEV!$A$8:$A$73,0))&amp;"","")</f>
        <v/>
      </c>
      <c r="D53" s="123">
        <f>IFERROR(INDEX(FEV!AF$8:AF$73,MATCH($A53,FEV!$A$8:$A$73,0))&amp;"","")</f>
        <v/>
      </c>
      <c r="E53" s="123">
        <f>IFERROR(INDEX(FEV!AG$8:AG$73,MATCH($A53,FEV!$A$8:$A$73,0))&amp;"","")</f>
        <v/>
      </c>
      <c r="F53" s="123">
        <f>IFERROR(INDEX(FEV!AH$8:AH$73,MATCH($A53,FEV!$A$8:$A$73,0))&amp;"","")</f>
        <v/>
      </c>
      <c r="G53" s="123">
        <f>IFERROR(INDEX(FEV!AI$8:AI$73,MATCH($A53,FEV!$A$8:$A$73,0))&amp;"","")</f>
        <v/>
      </c>
      <c r="H53" s="109">
        <f>IFERROR(INDEX(FEV!AJ$8:AJ$73,MATCH($A53,FEV!$A$8:$A$73,0))&amp;"","")</f>
        <v/>
      </c>
      <c r="I53" s="107" t="n"/>
      <c r="J53" s="116" t="inlineStr">
        <is>
          <t>N</t>
        </is>
      </c>
      <c r="K53" s="107" t="n"/>
      <c r="L53" s="107" t="n"/>
      <c r="M53" s="107" t="n"/>
      <c r="N53" s="107" t="n"/>
      <c r="O53" s="107" t="n"/>
      <c r="P53" s="116" t="inlineStr">
        <is>
          <t>N</t>
        </is>
      </c>
      <c r="Q53" s="116" t="inlineStr">
        <is>
          <t>N</t>
        </is>
      </c>
      <c r="R53" s="116" t="inlineStr">
        <is>
          <t>N</t>
        </is>
      </c>
      <c r="S53" s="107" t="n"/>
      <c r="T53" s="107" t="n"/>
      <c r="U53" s="107" t="n"/>
      <c r="V53" s="107" t="n"/>
      <c r="W53" s="107" t="n"/>
      <c r="X53" s="116" t="inlineStr">
        <is>
          <t>N</t>
        </is>
      </c>
      <c r="Y53" s="116" t="inlineStr">
        <is>
          <t>N</t>
        </is>
      </c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16" t="inlineStr">
        <is>
          <t>N</t>
        </is>
      </c>
      <c r="AJ53" s="107" t="n"/>
      <c r="AK53" s="116" t="inlineStr">
        <is>
          <t>N</t>
        </is>
      </c>
      <c r="AL53" s="116" t="inlineStr">
        <is>
          <t>N</t>
        </is>
      </c>
      <c r="AM53" s="116" t="inlineStr">
        <is>
          <t>N</t>
        </is>
      </c>
      <c r="AN53" s="123">
        <f>IFERROR(INDEX(ABR!I$8:I$73,MATCH($A53,ABR!$A$8:$A$73,0))&amp;"","")</f>
        <v/>
      </c>
      <c r="AO53" s="123">
        <f>IFERROR(INDEX(ABR!J$8:J$73,MATCH($A53,ABR!$A$8:$A$73,0))&amp;"","")</f>
        <v/>
      </c>
      <c r="AP53" s="123">
        <f>IFERROR(INDEX(ABR!K$8:K$73,MATCH($A53,ABR!$A$8:$A$73,0))&amp;"","")</f>
        <v/>
      </c>
      <c r="AQ53" s="109">
        <f>IFERROR(INDEX(ABR!L$8:L$73,MATCH($A53,ABR!$A$8:$A$73,0))&amp;"","")</f>
        <v/>
      </c>
      <c r="AR53" s="109">
        <f>IFERROR(INDEX(ABR!M$8:M$73,MATCH($A53,ABR!$A$8:$A$73,0))&amp;"","")</f>
        <v/>
      </c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SUMPRODUCT(($C53:$I53="M")*6+($C53:$I53="T")*6+($C53:$I53="D")*12+($C53:$I53="N")*12+($C53:$I53="NT")*6+($C53:$I53="C")*10+($C53:$I53="A")*8+($C53:$I53="J")*5+($C53:$I53="E")*4+($C53:$I53="P")*6+($C53:$I53="R")*6)</f>
        <v/>
      </c>
      <c r="BF53" s="110">
        <f>SUMPRODUCT(($J53:$P53="M")*6+($J53:$P53="T")*6+($J53:$P53="D")*12+($J53:$P53="N")*12+($J53:$P53="NT")*6+($J53:$P53="C")*10+($J53:$P53="A")*8+($J53:$P53="J")*5+($J53:$P53="E")*4+($J53:$P53="P")*6+($J53:$P53="R")*6)</f>
        <v/>
      </c>
      <c r="BG53" s="110">
        <f>SUMPRODUCT(($Q53:$W53="M")*6+($Q53:$W53="T")*6+($Q53:$W53="D")*12+($Q53:$W53="N")*12+($Q53:$W53="NT")*6+($Q53:$W53="C")*10+($Q53:$W53="A")*8+($Q53:$W53="J")*5+($Q53:$W53="E")*4+($Q53:$W53="P")*6+($Q53:$W53="R")*6)</f>
        <v/>
      </c>
      <c r="BH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I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J53" s="110">
        <f>SUMPRODUCT(($AL53:$AM53="M")*6+($AL53:$AM53="T")*6+($AL53:$AM53="D")*12+($AL53:$AM53="N")*12+($AL53:$AM53="NT")*6+($AL53:$AM53="C")*10+($AL53:$AM53="A")*8+($AL53:$AM53="J")*5+($AL53:$AM53="E")*4+($AL53:$AM53="P")*6+($AL53:$AM53="R")*6)+SUMPRODUCT(($AN53:$AR53="M")*6+($AN53:$AR53="T")*6+($AN53:$AR53="D")*12+($AN53:$AR53="N")*12+($AN53:$AR53="NT")*6+($AN53:$AR53="C")*10+($AN53:$AR53="A")*8+($AN53:$AR53="J")*5+($AN53:$AR53="E")*4+($AN53:$AR53="P")*6+($AN53:$AR53="R")*6)</f>
        <v/>
      </c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123">
        <f>IFERROR(INDEX(FEV!AE$8:AE$73,MATCH($A54,FEV!$A$8:$A$73,0))&amp;"","")</f>
        <v/>
      </c>
      <c r="D54" s="123">
        <f>IFERROR(INDEX(FEV!AF$8:AF$73,MATCH($A54,FEV!$A$8:$A$73,0))&amp;"","")</f>
        <v/>
      </c>
      <c r="E54" s="123">
        <f>IFERROR(INDEX(FEV!AG$8:AG$73,MATCH($A54,FEV!$A$8:$A$73,0))&amp;"","")</f>
        <v/>
      </c>
      <c r="F54" s="123">
        <f>IFERROR(INDEX(FEV!AH$8:AH$73,MATCH($A54,FEV!$A$8:$A$73,0))&amp;"","")</f>
        <v/>
      </c>
      <c r="G54" s="123">
        <f>IFERROR(INDEX(FEV!AI$8:AI$73,MATCH($A54,FEV!$A$8:$A$73,0))&amp;"","")</f>
        <v/>
      </c>
      <c r="H54" s="109">
        <f>IFERROR(INDEX(FEV!AJ$8:AJ$73,MATCH($A54,FEV!$A$8:$A$73,0))&amp;"","")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17" t="inlineStr">
        <is>
          <t>T</t>
        </is>
      </c>
      <c r="AA54" s="116" t="inlineStr">
        <is>
          <t>N</t>
        </is>
      </c>
      <c r="AB54" s="107" t="n"/>
      <c r="AC54" s="107" t="n"/>
      <c r="AD54" s="107" t="n"/>
      <c r="AE54" s="107" t="n"/>
      <c r="AF54" s="117" t="inlineStr">
        <is>
          <t>T</t>
        </is>
      </c>
      <c r="AG54" s="117" t="inlineStr">
        <is>
          <t>T</t>
        </is>
      </c>
      <c r="AH54" s="116" t="inlineStr">
        <is>
          <t>N</t>
        </is>
      </c>
      <c r="AI54" s="107" t="n"/>
      <c r="AJ54" s="107" t="n"/>
      <c r="AK54" s="107" t="n"/>
      <c r="AL54" s="107" t="n"/>
      <c r="AM54" s="107" t="n"/>
      <c r="AN54" s="123">
        <f>IFERROR(INDEX(ABR!I$8:I$73,MATCH($A54,ABR!$A$8:$A$73,0))&amp;"","")</f>
        <v/>
      </c>
      <c r="AO54" s="123">
        <f>IFERROR(INDEX(ABR!J$8:J$73,MATCH($A54,ABR!$A$8:$A$73,0))&amp;"","")</f>
        <v/>
      </c>
      <c r="AP54" s="123">
        <f>IFERROR(INDEX(ABR!K$8:K$73,MATCH($A54,ABR!$A$8:$A$73,0))&amp;"","")</f>
        <v/>
      </c>
      <c r="AQ54" s="109">
        <f>IFERROR(INDEX(ABR!L$8:L$73,MATCH($A54,ABR!$A$8:$A$73,0))&amp;"","")</f>
        <v/>
      </c>
      <c r="AR54" s="109">
        <f>IFERROR(INDEX(ABR!M$8:M$73,MATCH($A54,ABR!$A$8:$A$73,0))&amp;"","")</f>
        <v/>
      </c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SUMPRODUCT(($C54:$I54="M")*6+($C54:$I54="T")*6+($C54:$I54="D")*12+($C54:$I54="N")*12+($C54:$I54="NT")*6+($C54:$I54="C")*10+($C54:$I54="A")*8+($C54:$I54="J")*5+($C54:$I54="E")*4+($C54:$I54="P")*6+($C54:$I54="R")*6)</f>
        <v/>
      </c>
      <c r="BF54" s="110">
        <f>SUMPRODUCT(($J54:$P54="M")*6+($J54:$P54="T")*6+($J54:$P54="D")*12+($J54:$P54="N")*12+($J54:$P54="NT")*6+($J54:$P54="C")*10+($J54:$P54="A")*8+($J54:$P54="J")*5+($J54:$P54="E")*4+($J54:$P54="P")*6+($J54:$P54="R")*6)</f>
        <v/>
      </c>
      <c r="BG54" s="110">
        <f>SUMPRODUCT(($Q54:$W54="M")*6+($Q54:$W54="T")*6+($Q54:$W54="D")*12+($Q54:$W54="N")*12+($Q54:$W54="NT")*6+($Q54:$W54="C")*10+($Q54:$W54="A")*8+($Q54:$W54="J")*5+($Q54:$W54="E")*4+($Q54:$W54="P")*6+($Q54:$W54="R")*6)</f>
        <v/>
      </c>
      <c r="BH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I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J54" s="110">
        <f>SUMPRODUCT(($AL54:$AM54="M")*6+($AL54:$AM54="T")*6+($AL54:$AM54="D")*12+($AL54:$AM54="N")*12+($AL54:$AM54="NT")*6+($AL54:$AM54="C")*10+($AL54:$AM54="A")*8+($AL54:$AM54="J")*5+($AL54:$AM54="E")*4+($AL54:$AM54="P")*6+($AL54:$AM54="R")*6)+SUMPRODUCT(($AN54:$AR54="M")*6+($AN54:$AR54="T")*6+($AN54:$AR54="D")*12+($AN54:$AR54="N")*12+($AN54:$AR54="NT")*6+($AN54:$AR54="C")*10+($AN54:$AR54="A")*8+($AN54:$AR54="J")*5+($AN54:$AR54="E")*4+($AN54:$AR54="P")*6+($AN54:$AR54="R")*6)</f>
        <v/>
      </c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123">
        <f>IFERROR(INDEX(FEV!AE$8:AE$73,MATCH($A55,FEV!$A$8:$A$73,0))&amp;"","")</f>
        <v/>
      </c>
      <c r="D55" s="123">
        <f>IFERROR(INDEX(FEV!AF$8:AF$73,MATCH($A55,FEV!$A$8:$A$73,0))&amp;"","")</f>
        <v/>
      </c>
      <c r="E55" s="123">
        <f>IFERROR(INDEX(FEV!AG$8:AG$73,MATCH($A55,FEV!$A$8:$A$73,0))&amp;"","")</f>
        <v/>
      </c>
      <c r="F55" s="123">
        <f>IFERROR(INDEX(FEV!AH$8:AH$73,MATCH($A55,FEV!$A$8:$A$73,0))&amp;"","")</f>
        <v/>
      </c>
      <c r="G55" s="123">
        <f>IFERROR(INDEX(FEV!AI$8:AI$73,MATCH($A55,FEV!$A$8:$A$73,0))&amp;"","")</f>
        <v/>
      </c>
      <c r="H55" s="109">
        <f>IFERROR(INDEX(FEV!AJ$8:AJ$73,MATCH($A55,FEV!$A$8:$A$73,0))&amp;"","")</f>
        <v/>
      </c>
      <c r="I55" s="107" t="n"/>
      <c r="J55" s="108" t="inlineStr">
        <is>
          <t>M</t>
        </is>
      </c>
      <c r="K55" s="108" t="inlineStr">
        <is>
          <t>M</t>
        </is>
      </c>
      <c r="L55" s="107" t="n"/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7" t="n"/>
      <c r="W55" s="107" t="n"/>
      <c r="X55" s="107" t="n"/>
      <c r="Y55" s="107" t="n"/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8" t="inlineStr">
        <is>
          <t>M</t>
        </is>
      </c>
      <c r="AF55" s="107" t="n"/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23">
        <f>IFERROR(INDEX(ABR!I$8:I$73,MATCH($A55,ABR!$A$8:$A$73,0))&amp;"","")</f>
        <v/>
      </c>
      <c r="AO55" s="123">
        <f>IFERROR(INDEX(ABR!J$8:J$73,MATCH($A55,ABR!$A$8:$A$73,0))&amp;"","")</f>
        <v/>
      </c>
      <c r="AP55" s="123">
        <f>IFERROR(INDEX(ABR!K$8:K$73,MATCH($A55,ABR!$A$8:$A$73,0))&amp;"","")</f>
        <v/>
      </c>
      <c r="AQ55" s="109">
        <f>IFERROR(INDEX(ABR!L$8:L$73,MATCH($A55,ABR!$A$8:$A$73,0))&amp;"","")</f>
        <v/>
      </c>
      <c r="AR55" s="109">
        <f>IFERROR(INDEX(ABR!M$8:M$73,MATCH($A55,ABR!$A$8:$A$73,0))&amp;"","")</f>
        <v/>
      </c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SUMPRODUCT(($C55:$I55="M")*6+($C55:$I55="T")*6+($C55:$I55="D")*12+($C55:$I55="N")*12+($C55:$I55="NT")*6+($C55:$I55="C")*10+($C55:$I55="A")*8+($C55:$I55="J")*5+($C55:$I55="E")*4+($C55:$I55="P")*6+($C55:$I55="R")*6)</f>
        <v/>
      </c>
      <c r="BF55" s="110">
        <f>SUMPRODUCT(($J55:$P55="M")*6+($J55:$P55="T")*6+($J55:$P55="D")*12+($J55:$P55="N")*12+($J55:$P55="NT")*6+($J55:$P55="C")*10+($J55:$P55="A")*8+($J55:$P55="J")*5+($J55:$P55="E")*4+($J55:$P55="P")*6+($J55:$P55="R")*6)</f>
        <v/>
      </c>
      <c r="BG55" s="110">
        <f>SUMPRODUCT(($Q55:$W55="M")*6+($Q55:$W55="T")*6+($Q55:$W55="D")*12+($Q55:$W55="N")*12+($Q55:$W55="NT")*6+($Q55:$W55="C")*10+($Q55:$W55="A")*8+($Q55:$W55="J")*5+($Q55:$W55="E")*4+($Q55:$W55="P")*6+($Q55:$W55="R")*6)</f>
        <v/>
      </c>
      <c r="BH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I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J55" s="110">
        <f>SUMPRODUCT(($AL55:$AM55="M")*6+($AL55:$AM55="T")*6+($AL55:$AM55="D")*12+($AL55:$AM55="N")*12+($AL55:$AM55="NT")*6+($AL55:$AM55="C")*10+($AL55:$AM55="A")*8+($AL55:$AM55="J")*5+($AL55:$AM55="E")*4+($AL55:$AM55="P")*6+($AL55:$AM55="R")*6)+SUMPRODUCT(($AN55:$AR55="M")*6+($AN55:$AR55="T")*6+($AN55:$AR55="D")*12+($AN55:$AR55="N")*12+($AN55:$AR55="NT")*6+($AN55:$AR55="C")*10+($AN55:$AR55="A")*8+($AN55:$AR55="J")*5+($AN55:$AR55="E")*4+($AN55:$AR55="P")*6+($AN55:$AR55="R")*6)</f>
        <v/>
      </c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123">
        <f>IFERROR(INDEX(FEV!AE$8:AE$73,MATCH($A56,FEV!$A$8:$A$73,0))&amp;"","")</f>
        <v/>
      </c>
      <c r="D56" s="123">
        <f>IFERROR(INDEX(FEV!AF$8:AF$73,MATCH($A56,FEV!$A$8:$A$73,0))&amp;"","")</f>
        <v/>
      </c>
      <c r="E56" s="123">
        <f>IFERROR(INDEX(FEV!AG$8:AG$73,MATCH($A56,FEV!$A$8:$A$73,0))&amp;"","")</f>
        <v/>
      </c>
      <c r="F56" s="123">
        <f>IFERROR(INDEX(FEV!AH$8:AH$73,MATCH($A56,FEV!$A$8:$A$73,0))&amp;"","")</f>
        <v/>
      </c>
      <c r="G56" s="123">
        <f>IFERROR(INDEX(FEV!AI$8:AI$73,MATCH($A56,FEV!$A$8:$A$73,0))&amp;"","")</f>
        <v/>
      </c>
      <c r="H56" s="109">
        <f>IFERROR(INDEX(FEV!AJ$8:AJ$73,MATCH($A56,FEV!$A$8:$A$73,0))&amp;"","")</f>
        <v/>
      </c>
      <c r="I56" s="107" t="n"/>
      <c r="J56" s="107" t="n"/>
      <c r="K56" s="107" t="n"/>
      <c r="L56" s="107" t="n"/>
      <c r="M56" s="115" t="inlineStr">
        <is>
          <t>D</t>
        </is>
      </c>
      <c r="N56" s="107" t="n"/>
      <c r="O56" s="115" t="inlineStr">
        <is>
          <t>D</t>
        </is>
      </c>
      <c r="P56" s="107" t="n"/>
      <c r="Q56" s="107" t="n"/>
      <c r="R56" s="117" t="inlineStr">
        <is>
          <t>T</t>
        </is>
      </c>
      <c r="S56" s="107" t="n"/>
      <c r="T56" s="115" t="inlineStr">
        <is>
          <t>D</t>
        </is>
      </c>
      <c r="U56" s="117" t="inlineStr">
        <is>
          <t>T</t>
        </is>
      </c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23">
        <f>IFERROR(INDEX(ABR!I$8:I$73,MATCH($A56,ABR!$A$8:$A$73,0))&amp;"","")</f>
        <v/>
      </c>
      <c r="AO56" s="123">
        <f>IFERROR(INDEX(ABR!J$8:J$73,MATCH($A56,ABR!$A$8:$A$73,0))&amp;"","")</f>
        <v/>
      </c>
      <c r="AP56" s="123">
        <f>IFERROR(INDEX(ABR!K$8:K$73,MATCH($A56,ABR!$A$8:$A$73,0))&amp;"","")</f>
        <v/>
      </c>
      <c r="AQ56" s="109">
        <f>IFERROR(INDEX(ABR!L$8:L$73,MATCH($A56,ABR!$A$8:$A$73,0))&amp;"","")</f>
        <v/>
      </c>
      <c r="AR56" s="109">
        <f>IFERROR(INDEX(ABR!M$8:M$73,MATCH($A56,ABR!$A$8:$A$73,0))&amp;"","")</f>
        <v/>
      </c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SUMPRODUCT(($C56:$I56="M")*6+($C56:$I56="T")*6+($C56:$I56="D")*12+($C56:$I56="N")*12+($C56:$I56="NT")*6+($C56:$I56="C")*10+($C56:$I56="A")*8+($C56:$I56="J")*5+($C56:$I56="E")*4+($C56:$I56="P")*6+($C56:$I56="R")*6)</f>
        <v/>
      </c>
      <c r="BF56" s="110">
        <f>SUMPRODUCT(($J56:$P56="M")*6+($J56:$P56="T")*6+($J56:$P56="D")*12+($J56:$P56="N")*12+($J56:$P56="NT")*6+($J56:$P56="C")*10+($J56:$P56="A")*8+($J56:$P56="J")*5+($J56:$P56="E")*4+($J56:$P56="P")*6+($J56:$P56="R")*6)</f>
        <v/>
      </c>
      <c r="BG56" s="110">
        <f>SUMPRODUCT(($Q56:$W56="M")*6+($Q56:$W56="T")*6+($Q56:$W56="D")*12+($Q56:$W56="N")*12+($Q56:$W56="NT")*6+($Q56:$W56="C")*10+($Q56:$W56="A")*8+($Q56:$W56="J")*5+($Q56:$W56="E")*4+($Q56:$W56="P")*6+($Q56:$W56="R")*6)</f>
        <v/>
      </c>
      <c r="BH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I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J56" s="110">
        <f>SUMPRODUCT(($AL56:$AM56="M")*6+($AL56:$AM56="T")*6+($AL56:$AM56="D")*12+($AL56:$AM56="N")*12+($AL56:$AM56="NT")*6+($AL56:$AM56="C")*10+($AL56:$AM56="A")*8+($AL56:$AM56="J")*5+($AL56:$AM56="E")*4+($AL56:$AM56="P")*6+($AL56:$AM56="R")*6)+SUMPRODUCT(($AN56:$AR56="M")*6+($AN56:$AR56="T")*6+($AN56:$AR56="D")*12+($AN56:$AR56="N")*12+($AN56:$AR56="NT")*6+($AN56:$AR56="C")*10+($AN56:$AR56="A")*8+($AN56:$AR56="J")*5+($AN56:$AR56="E")*4+($AN56:$AR56="P")*6+($AN56:$AR56="R")*6)</f>
        <v/>
      </c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123">
        <f>IFERROR(INDEX(FEV!AE$8:AE$73,MATCH($A57,FEV!$A$8:$A$73,0))&amp;"","")</f>
        <v/>
      </c>
      <c r="D57" s="123">
        <f>IFERROR(INDEX(FEV!AF$8:AF$73,MATCH($A57,FEV!$A$8:$A$73,0))&amp;"","")</f>
        <v/>
      </c>
      <c r="E57" s="123">
        <f>IFERROR(INDEX(FEV!AG$8:AG$73,MATCH($A57,FEV!$A$8:$A$73,0))&amp;"","")</f>
        <v/>
      </c>
      <c r="F57" s="123">
        <f>IFERROR(INDEX(FEV!AH$8:AH$73,MATCH($A57,FEV!$A$8:$A$73,0))&amp;"","")</f>
        <v/>
      </c>
      <c r="G57" s="123">
        <f>IFERROR(INDEX(FEV!AI$8:AI$73,MATCH($A57,FEV!$A$8:$A$73,0))&amp;"","")</f>
        <v/>
      </c>
      <c r="H57" s="109">
        <f>IFERROR(INDEX(FEV!AJ$8:AJ$73,MATCH($A57,FEV!$A$8:$A$73,0))&amp;"","")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15" t="inlineStr">
        <is>
          <t>D</t>
        </is>
      </c>
      <c r="Q57" s="107" t="n"/>
      <c r="R57" s="117" t="inlineStr">
        <is>
          <t>T</t>
        </is>
      </c>
      <c r="S57" s="116" t="inlineStr">
        <is>
          <t>N</t>
        </is>
      </c>
      <c r="T57" s="107" t="n"/>
      <c r="U57" s="107" t="n"/>
      <c r="V57" s="107" t="n"/>
      <c r="W57" s="117" t="inlineStr">
        <is>
          <t>T</t>
        </is>
      </c>
      <c r="X57" s="116" t="inlineStr">
        <is>
          <t>N</t>
        </is>
      </c>
      <c r="Y57" s="107" t="n"/>
      <c r="Z57" s="107" t="n"/>
      <c r="AA57" s="107" t="n"/>
      <c r="AB57" s="107" t="n"/>
      <c r="AC57" s="115" t="inlineStr">
        <is>
          <t>D</t>
        </is>
      </c>
      <c r="AD57" s="107" t="n"/>
      <c r="AE57" s="107" t="n"/>
      <c r="AF57" s="116" t="inlineStr">
        <is>
          <t>N</t>
        </is>
      </c>
      <c r="AG57" s="107" t="n"/>
      <c r="AH57" s="116" t="inlineStr">
        <is>
          <t>N</t>
        </is>
      </c>
      <c r="AI57" s="107" t="n"/>
      <c r="AJ57" s="107" t="n"/>
      <c r="AK57" s="107" t="n"/>
      <c r="AL57" s="107" t="n"/>
      <c r="AM57" s="107" t="n"/>
      <c r="AN57" s="123">
        <f>IFERROR(INDEX(ABR!I$8:I$73,MATCH($A57,ABR!$A$8:$A$73,0))&amp;"","")</f>
        <v/>
      </c>
      <c r="AO57" s="123">
        <f>IFERROR(INDEX(ABR!J$8:J$73,MATCH($A57,ABR!$A$8:$A$73,0))&amp;"","")</f>
        <v/>
      </c>
      <c r="AP57" s="123">
        <f>IFERROR(INDEX(ABR!K$8:K$73,MATCH($A57,ABR!$A$8:$A$73,0))&amp;"","")</f>
        <v/>
      </c>
      <c r="AQ57" s="109">
        <f>IFERROR(INDEX(ABR!L$8:L$73,MATCH($A57,ABR!$A$8:$A$73,0))&amp;"","")</f>
        <v/>
      </c>
      <c r="AR57" s="109">
        <f>IFERROR(INDEX(ABR!M$8:M$73,MATCH($A57,ABR!$A$8:$A$73,0))&amp;"","")</f>
        <v/>
      </c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SUMPRODUCT(($C57:$I57="M")*6+($C57:$I57="T")*6+($C57:$I57="D")*12+($C57:$I57="N")*12+($C57:$I57="NT")*6+($C57:$I57="C")*10+($C57:$I57="A")*8+($C57:$I57="J")*5+($C57:$I57="E")*4+($C57:$I57="P")*6+($C57:$I57="R")*6)</f>
        <v/>
      </c>
      <c r="BF57" s="110">
        <f>SUMPRODUCT(($J57:$P57="M")*6+($J57:$P57="T")*6+($J57:$P57="D")*12+($J57:$P57="N")*12+($J57:$P57="NT")*6+($J57:$P57="C")*10+($J57:$P57="A")*8+($J57:$P57="J")*5+($J57:$P57="E")*4+($J57:$P57="P")*6+($J57:$P57="R")*6)</f>
        <v/>
      </c>
      <c r="BG57" s="110">
        <f>SUMPRODUCT(($Q57:$W57="M")*6+($Q57:$W57="T")*6+($Q57:$W57="D")*12+($Q57:$W57="N")*12+($Q57:$W57="NT")*6+($Q57:$W57="C")*10+($Q57:$W57="A")*8+($Q57:$W57="J")*5+($Q57:$W57="E")*4+($Q57:$W57="P")*6+($Q57:$W57="R")*6)</f>
        <v/>
      </c>
      <c r="BH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I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J57" s="110">
        <f>SUMPRODUCT(($AL57:$AM57="M")*6+($AL57:$AM57="T")*6+($AL57:$AM57="D")*12+($AL57:$AM57="N")*12+($AL57:$AM57="NT")*6+($AL57:$AM57="C")*10+($AL57:$AM57="A")*8+($AL57:$AM57="J")*5+($AL57:$AM57="E")*4+($AL57:$AM57="P")*6+($AL57:$AM57="R")*6)+SUMPRODUCT(($AN57:$AR57="M")*6+($AN57:$AR57="T")*6+($AN57:$AR57="D")*12+($AN57:$AR57="N")*12+($AN57:$AR57="NT")*6+($AN57:$AR57="C")*10+($AN57:$AR57="A")*8+($AN57:$AR57="J")*5+($AN57:$AR57="E")*4+($AN57:$AR57="P")*6+($AN57:$AR57="R")*6)</f>
        <v/>
      </c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123">
        <f>IFERROR(INDEX(FEV!AE$8:AE$73,MATCH($A58,FEV!$A$8:$A$73,0))&amp;"","")</f>
        <v/>
      </c>
      <c r="D58" s="123">
        <f>IFERROR(INDEX(FEV!AF$8:AF$73,MATCH($A58,FEV!$A$8:$A$73,0))&amp;"","")</f>
        <v/>
      </c>
      <c r="E58" s="123">
        <f>IFERROR(INDEX(FEV!AG$8:AG$73,MATCH($A58,FEV!$A$8:$A$73,0))&amp;"","")</f>
        <v/>
      </c>
      <c r="F58" s="123">
        <f>IFERROR(INDEX(FEV!AH$8:AH$73,MATCH($A58,FEV!$A$8:$A$73,0))&amp;"","")</f>
        <v/>
      </c>
      <c r="G58" s="123">
        <f>IFERROR(INDEX(FEV!AI$8:AI$73,MATCH($A58,FEV!$A$8:$A$73,0))&amp;"","")</f>
        <v/>
      </c>
      <c r="H58" s="109">
        <f>IFERROR(INDEX(FEV!AJ$8:AJ$73,MATCH($A58,FEV!$A$8:$A$73,0))&amp;"","")</f>
        <v/>
      </c>
      <c r="I58" s="107" t="n"/>
      <c r="J58" s="107" t="n"/>
      <c r="K58" s="117" t="inlineStr">
        <is>
          <t>T</t>
        </is>
      </c>
      <c r="L58" s="117" t="inlineStr">
        <is>
          <t>T</t>
        </is>
      </c>
      <c r="M58" s="107" t="n"/>
      <c r="N58" s="116" t="inlineStr">
        <is>
          <t>N</t>
        </is>
      </c>
      <c r="O58" s="107" t="n"/>
      <c r="P58" s="107" t="n"/>
      <c r="Q58" s="107" t="n"/>
      <c r="R58" s="107" t="n"/>
      <c r="S58" s="116" t="inlineStr">
        <is>
          <t>N</t>
        </is>
      </c>
      <c r="T58" s="107" t="n"/>
      <c r="U58" s="107" t="n"/>
      <c r="V58" s="107" t="n"/>
      <c r="W58" s="115" t="inlineStr">
        <is>
          <t>D</t>
        </is>
      </c>
      <c r="X58" s="117" t="inlineStr">
        <is>
          <t>T</t>
        </is>
      </c>
      <c r="Y58" s="107" t="n"/>
      <c r="Z58" s="116" t="inlineStr">
        <is>
          <t>N</t>
        </is>
      </c>
      <c r="AA58" s="107" t="n"/>
      <c r="AB58" s="117" t="inlineStr">
        <is>
          <t>T</t>
        </is>
      </c>
      <c r="AC58" s="107" t="n"/>
      <c r="AD58" s="107" t="n"/>
      <c r="AE58" s="107" t="n"/>
      <c r="AF58" s="107" t="n"/>
      <c r="AG58" s="116" t="inlineStr">
        <is>
          <t>N</t>
        </is>
      </c>
      <c r="AH58" s="107" t="n"/>
      <c r="AI58" s="107" t="n"/>
      <c r="AJ58" s="107" t="n"/>
      <c r="AK58" s="115" t="inlineStr">
        <is>
          <t>D</t>
        </is>
      </c>
      <c r="AL58" s="117" t="inlineStr">
        <is>
          <t>T</t>
        </is>
      </c>
      <c r="AM58" s="107" t="n"/>
      <c r="AN58" s="123">
        <f>IFERROR(INDEX(ABR!I$8:I$73,MATCH($A58,ABR!$A$8:$A$73,0))&amp;"","")</f>
        <v/>
      </c>
      <c r="AO58" s="123">
        <f>IFERROR(INDEX(ABR!J$8:J$73,MATCH($A58,ABR!$A$8:$A$73,0))&amp;"","")</f>
        <v/>
      </c>
      <c r="AP58" s="123">
        <f>IFERROR(INDEX(ABR!K$8:K$73,MATCH($A58,ABR!$A$8:$A$73,0))&amp;"","")</f>
        <v/>
      </c>
      <c r="AQ58" s="109">
        <f>IFERROR(INDEX(ABR!L$8:L$73,MATCH($A58,ABR!$A$8:$A$73,0))&amp;"","")</f>
        <v/>
      </c>
      <c r="AR58" s="109">
        <f>IFERROR(INDEX(ABR!M$8:M$73,MATCH($A58,ABR!$A$8:$A$73,0))&amp;"","")</f>
        <v/>
      </c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SUMPRODUCT(($C58:$I58="M")*6+($C58:$I58="T")*6+($C58:$I58="D")*12+($C58:$I58="N")*12+($C58:$I58="NT")*6+($C58:$I58="C")*10+($C58:$I58="A")*8+($C58:$I58="J")*5+($C58:$I58="E")*4+($C58:$I58="P")*6+($C58:$I58="R")*6)</f>
        <v/>
      </c>
      <c r="BF58" s="110">
        <f>SUMPRODUCT(($J58:$P58="M")*6+($J58:$P58="T")*6+($J58:$P58="D")*12+($J58:$P58="N")*12+($J58:$P58="NT")*6+($J58:$P58="C")*10+($J58:$P58="A")*8+($J58:$P58="J")*5+($J58:$P58="E")*4+($J58:$P58="P")*6+($J58:$P58="R")*6)</f>
        <v/>
      </c>
      <c r="BG58" s="110">
        <f>SUMPRODUCT(($Q58:$W58="M")*6+($Q58:$W58="T")*6+($Q58:$W58="D")*12+($Q58:$W58="N")*12+($Q58:$W58="NT")*6+($Q58:$W58="C")*10+($Q58:$W58="A")*8+($Q58:$W58="J")*5+($Q58:$W58="E")*4+($Q58:$W58="P")*6+($Q58:$W58="R")*6)</f>
        <v/>
      </c>
      <c r="BH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I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J58" s="110">
        <f>SUMPRODUCT(($AL58:$AM58="M")*6+($AL58:$AM58="T")*6+($AL58:$AM58="D")*12+($AL58:$AM58="N")*12+($AL58:$AM58="NT")*6+($AL58:$AM58="C")*10+($AL58:$AM58="A")*8+($AL58:$AM58="J")*5+($AL58:$AM58="E")*4+($AL58:$AM58="P")*6+($AL58:$AM58="R")*6)+SUMPRODUCT(($AN58:$AR58="M")*6+($AN58:$AR58="T")*6+($AN58:$AR58="D")*12+($AN58:$AR58="N")*12+($AN58:$AR58="NT")*6+($AN58:$AR58="C")*10+($AN58:$AR58="A")*8+($AN58:$AR58="J")*5+($AN58:$AR58="E")*4+($AN58:$AR58="P")*6+($AN58:$AR58="R")*6)</f>
        <v/>
      </c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123">
        <f>IFERROR(INDEX(FEV!AE$8:AE$73,MATCH($A59,FEV!$A$8:$A$73,0))&amp;"","")</f>
        <v/>
      </c>
      <c r="D59" s="123">
        <f>IFERROR(INDEX(FEV!AF$8:AF$73,MATCH($A59,FEV!$A$8:$A$73,0))&amp;"","")</f>
        <v/>
      </c>
      <c r="E59" s="123">
        <f>IFERROR(INDEX(FEV!AG$8:AG$73,MATCH($A59,FEV!$A$8:$A$73,0))&amp;"","")</f>
        <v/>
      </c>
      <c r="F59" s="123">
        <f>IFERROR(INDEX(FEV!AH$8:AH$73,MATCH($A59,FEV!$A$8:$A$73,0))&amp;"","")</f>
        <v/>
      </c>
      <c r="G59" s="123">
        <f>IFERROR(INDEX(FEV!AI$8:AI$73,MATCH($A59,FEV!$A$8:$A$73,0))&amp;"","")</f>
        <v/>
      </c>
      <c r="H59" s="109">
        <f>IFERROR(INDEX(FEV!AJ$8:AJ$73,MATCH($A59,FEV!$A$8:$A$73,0))&amp;"","")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23">
        <f>IFERROR(INDEX(ABR!I$8:I$73,MATCH($A59,ABR!$A$8:$A$73,0))&amp;"","")</f>
        <v/>
      </c>
      <c r="AO59" s="123">
        <f>IFERROR(INDEX(ABR!J$8:J$73,MATCH($A59,ABR!$A$8:$A$73,0))&amp;"","")</f>
        <v/>
      </c>
      <c r="AP59" s="123">
        <f>IFERROR(INDEX(ABR!K$8:K$73,MATCH($A59,ABR!$A$8:$A$73,0))&amp;"","")</f>
        <v/>
      </c>
      <c r="AQ59" s="109">
        <f>IFERROR(INDEX(ABR!L$8:L$73,MATCH($A59,ABR!$A$8:$A$73,0))&amp;"","")</f>
        <v/>
      </c>
      <c r="AR59" s="109">
        <f>IFERROR(INDEX(ABR!M$8:M$73,MATCH($A59,ABR!$A$8:$A$73,0))&amp;"","")</f>
        <v/>
      </c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SUMPRODUCT(($C59:$I59="M")*6+($C59:$I59="T")*6+($C59:$I59="D")*12+($C59:$I59="N")*12+($C59:$I59="NT")*6+($C59:$I59="C")*10+($C59:$I59="A")*8+($C59:$I59="J")*5+($C59:$I59="E")*4+($C59:$I59="P")*6+($C59:$I59="R")*6)</f>
        <v/>
      </c>
      <c r="BF59" s="110">
        <f>SUMPRODUCT(($J59:$P59="M")*6+($J59:$P59="T")*6+($J59:$P59="D")*12+($J59:$P59="N")*12+($J59:$P59="NT")*6+($J59:$P59="C")*10+($J59:$P59="A")*8+($J59:$P59="J")*5+($J59:$P59="E")*4+($J59:$P59="P")*6+($J59:$P59="R")*6)</f>
        <v/>
      </c>
      <c r="BG59" s="110">
        <f>SUMPRODUCT(($Q59:$W59="M")*6+($Q59:$W59="T")*6+($Q59:$W59="D")*12+($Q59:$W59="N")*12+($Q59:$W59="NT")*6+($Q59:$W59="C")*10+($Q59:$W59="A")*8+($Q59:$W59="J")*5+($Q59:$W59="E")*4+($Q59:$W59="P")*6+($Q59:$W59="R")*6)</f>
        <v/>
      </c>
      <c r="BH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I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J59" s="110">
        <f>SUMPRODUCT(($AL59:$AM59="M")*6+($AL59:$AM59="T")*6+($AL59:$AM59="D")*12+($AL59:$AM59="N")*12+($AL59:$AM59="NT")*6+($AL59:$AM59="C")*10+($AL59:$AM59="A")*8+($AL59:$AM59="J")*5+($AL59:$AM59="E")*4+($AL59:$AM59="P")*6+($AL59:$AM59="R")*6)+SUMPRODUCT(($AN59:$AR59="M")*6+($AN59:$AR59="T")*6+($AN59:$AR59="D")*12+($AN59:$AR59="N")*12+($AN59:$AR59="NT")*6+($AN59:$AR59="C")*10+($AN59:$AR59="A")*8+($AN59:$AR59="J")*5+($AN59:$AR59="E")*4+($AN59:$AR59="P")*6+($AN59:$AR59="R")*6)</f>
        <v/>
      </c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123">
        <f>IFERROR(INDEX(FEV!AE$8:AE$73,MATCH($A60,FEV!$A$8:$A$73,0))&amp;"","")</f>
        <v/>
      </c>
      <c r="D60" s="123">
        <f>IFERROR(INDEX(FEV!AF$8:AF$73,MATCH($A60,FEV!$A$8:$A$73,0))&amp;"","")</f>
        <v/>
      </c>
      <c r="E60" s="123">
        <f>IFERROR(INDEX(FEV!AG$8:AG$73,MATCH($A60,FEV!$A$8:$A$73,0))&amp;"","")</f>
        <v/>
      </c>
      <c r="F60" s="123">
        <f>IFERROR(INDEX(FEV!AH$8:AH$73,MATCH($A60,FEV!$A$8:$A$73,0))&amp;"","")</f>
        <v/>
      </c>
      <c r="G60" s="123">
        <f>IFERROR(INDEX(FEV!AI$8:AI$73,MATCH($A60,FEV!$A$8:$A$73,0))&amp;"","")</f>
        <v/>
      </c>
      <c r="H60" s="109">
        <f>IFERROR(INDEX(FEV!AJ$8:AJ$73,MATCH($A60,FEV!$A$8:$A$73,0))&amp;"","")</f>
        <v/>
      </c>
      <c r="I60" s="116" t="inlineStr">
        <is>
          <t>N</t>
        </is>
      </c>
      <c r="J60" s="107" t="n"/>
      <c r="K60" s="107" t="n"/>
      <c r="L60" s="117" t="inlineStr">
        <is>
          <t>T</t>
        </is>
      </c>
      <c r="M60" s="107" t="n"/>
      <c r="N60" s="117" t="inlineStr">
        <is>
          <t>T</t>
        </is>
      </c>
      <c r="O60" s="107" t="n"/>
      <c r="P60" s="116" t="inlineStr">
        <is>
          <t>N</t>
        </is>
      </c>
      <c r="Q60" s="107" t="n"/>
      <c r="R60" s="107" t="n"/>
      <c r="S60" s="107" t="n"/>
      <c r="T60" s="107" t="n"/>
      <c r="U60" s="116" t="inlineStr">
        <is>
          <t>N</t>
        </is>
      </c>
      <c r="V60" s="107" t="n"/>
      <c r="W60" s="115" t="inlineStr">
        <is>
          <t>D</t>
        </is>
      </c>
      <c r="X60" s="107" t="n"/>
      <c r="Y60" s="107" t="n"/>
      <c r="Z60" s="107" t="n"/>
      <c r="AA60" s="107" t="n"/>
      <c r="AB60" s="116" t="inlineStr">
        <is>
          <t>N</t>
        </is>
      </c>
      <c r="AC60" s="107" t="n"/>
      <c r="AD60" s="115" t="inlineStr">
        <is>
          <t>D</t>
        </is>
      </c>
      <c r="AE60" s="107" t="n"/>
      <c r="AF60" s="117" t="inlineStr">
        <is>
          <t>T</t>
        </is>
      </c>
      <c r="AG60" s="107" t="n"/>
      <c r="AH60" s="117" t="inlineStr">
        <is>
          <t>T</t>
        </is>
      </c>
      <c r="AI60" s="107" t="n"/>
      <c r="AJ60" s="107" t="n"/>
      <c r="AK60" s="115" t="inlineStr">
        <is>
          <t>D</t>
        </is>
      </c>
      <c r="AL60" s="107" t="n"/>
      <c r="AM60" s="108" t="inlineStr">
        <is>
          <t>M</t>
        </is>
      </c>
      <c r="AN60" s="123">
        <f>IFERROR(INDEX(ABR!I$8:I$73,MATCH($A60,ABR!$A$8:$A$73,0))&amp;"","")</f>
        <v/>
      </c>
      <c r="AO60" s="123">
        <f>IFERROR(INDEX(ABR!J$8:J$73,MATCH($A60,ABR!$A$8:$A$73,0))&amp;"","")</f>
        <v/>
      </c>
      <c r="AP60" s="123">
        <f>IFERROR(INDEX(ABR!K$8:K$73,MATCH($A60,ABR!$A$8:$A$73,0))&amp;"","")</f>
        <v/>
      </c>
      <c r="AQ60" s="109">
        <f>IFERROR(INDEX(ABR!L$8:L$73,MATCH($A60,ABR!$A$8:$A$73,0))&amp;"","")</f>
        <v/>
      </c>
      <c r="AR60" s="109">
        <f>IFERROR(INDEX(ABR!M$8:M$73,MATCH($A60,ABR!$A$8:$A$73,0))&amp;"","")</f>
        <v/>
      </c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SUMPRODUCT(($C60:$I60="M")*6+($C60:$I60="T")*6+($C60:$I60="D")*12+($C60:$I60="N")*12+($C60:$I60="NT")*6+($C60:$I60="C")*10+($C60:$I60="A")*8+($C60:$I60="J")*5+($C60:$I60="E")*4+($C60:$I60="P")*6+($C60:$I60="R")*6)</f>
        <v/>
      </c>
      <c r="BF60" s="110">
        <f>SUMPRODUCT(($J60:$P60="M")*6+($J60:$P60="T")*6+($J60:$P60="D")*12+($J60:$P60="N")*12+($J60:$P60="NT")*6+($J60:$P60="C")*10+($J60:$P60="A")*8+($J60:$P60="J")*5+($J60:$P60="E")*4+($J60:$P60="P")*6+($J60:$P60="R")*6)</f>
        <v/>
      </c>
      <c r="BG60" s="110">
        <f>SUMPRODUCT(($Q60:$W60="M")*6+($Q60:$W60="T")*6+($Q60:$W60="D")*12+($Q60:$W60="N")*12+($Q60:$W60="NT")*6+($Q60:$W60="C")*10+($Q60:$W60="A")*8+($Q60:$W60="J")*5+($Q60:$W60="E")*4+($Q60:$W60="P")*6+($Q60:$W60="R")*6)</f>
        <v/>
      </c>
      <c r="BH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I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J60" s="110">
        <f>SUMPRODUCT(($AL60:$AM60="M")*6+($AL60:$AM60="T")*6+($AL60:$AM60="D")*12+($AL60:$AM60="N")*12+($AL60:$AM60="NT")*6+($AL60:$AM60="C")*10+($AL60:$AM60="A")*8+($AL60:$AM60="J")*5+($AL60:$AM60="E")*4+($AL60:$AM60="P")*6+($AL60:$AM60="R")*6)+SUMPRODUCT(($AN60:$AR60="M")*6+($AN60:$AR60="T")*6+($AN60:$AR60="D")*12+($AN60:$AR60="N")*12+($AN60:$AR60="NT")*6+($AN60:$AR60="C")*10+($AN60:$AR60="A")*8+($AN60:$AR60="J")*5+($AN60:$AR60="E")*4+($AN60:$AR60="P")*6+($AN60:$AR60="R")*6)</f>
        <v/>
      </c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123">
        <f>IFERROR(INDEX(FEV!AE$8:AE$73,MATCH($A61,FEV!$A$8:$A$73,0))&amp;"","")</f>
        <v/>
      </c>
      <c r="D61" s="123">
        <f>IFERROR(INDEX(FEV!AF$8:AF$73,MATCH($A61,FEV!$A$8:$A$73,0))&amp;"","")</f>
        <v/>
      </c>
      <c r="E61" s="123">
        <f>IFERROR(INDEX(FEV!AG$8:AG$73,MATCH($A61,FEV!$A$8:$A$73,0))&amp;"","")</f>
        <v/>
      </c>
      <c r="F61" s="123">
        <f>IFERROR(INDEX(FEV!AH$8:AH$73,MATCH($A61,FEV!$A$8:$A$73,0))&amp;"","")</f>
        <v/>
      </c>
      <c r="G61" s="123">
        <f>IFERROR(INDEX(FEV!AI$8:AI$73,MATCH($A61,FEV!$A$8:$A$73,0))&amp;"","")</f>
        <v/>
      </c>
      <c r="H61" s="109">
        <f>IFERROR(INDEX(FEV!AJ$8:AJ$73,MATCH($A61,FEV!$A$8:$A$73,0))&amp;"","")</f>
        <v/>
      </c>
      <c r="I61" s="108" t="inlineStr">
        <is>
          <t>M</t>
        </is>
      </c>
      <c r="J61" s="115" t="inlineStr">
        <is>
          <t>D</t>
        </is>
      </c>
      <c r="K61" s="107" t="n"/>
      <c r="L61" s="107" t="n"/>
      <c r="M61" s="107" t="n"/>
      <c r="N61" s="116" t="inlineStr">
        <is>
          <t>N</t>
        </is>
      </c>
      <c r="O61" s="107" t="n"/>
      <c r="P61" s="107" t="n"/>
      <c r="Q61" s="115" t="inlineStr">
        <is>
          <t>D</t>
        </is>
      </c>
      <c r="R61" s="117" t="inlineStr">
        <is>
          <t>T</t>
        </is>
      </c>
      <c r="S61" s="107" t="n"/>
      <c r="T61" s="107" t="n"/>
      <c r="U61" s="117" t="inlineStr">
        <is>
          <t>T</t>
        </is>
      </c>
      <c r="V61" s="107" t="n"/>
      <c r="W61" s="107" t="n"/>
      <c r="X61" s="115" t="inlineStr">
        <is>
          <t>D</t>
        </is>
      </c>
      <c r="Y61" s="107" t="n"/>
      <c r="Z61" s="107" t="n"/>
      <c r="AA61" s="107" t="n"/>
      <c r="AB61" s="107" t="n"/>
      <c r="AC61" s="115" t="inlineStr">
        <is>
          <t>D</t>
        </is>
      </c>
      <c r="AD61" s="107" t="n"/>
      <c r="AE61" s="115" t="inlineStr">
        <is>
          <t>D</t>
        </is>
      </c>
      <c r="AF61" s="107" t="n"/>
      <c r="AG61" s="107" t="n"/>
      <c r="AH61" s="107" t="n"/>
      <c r="AI61" s="107" t="n"/>
      <c r="AJ61" s="115" t="inlineStr">
        <is>
          <t>D</t>
        </is>
      </c>
      <c r="AK61" s="107" t="n"/>
      <c r="AL61" s="107" t="n"/>
      <c r="AM61" s="107" t="n"/>
      <c r="AN61" s="123">
        <f>IFERROR(INDEX(ABR!I$8:I$73,MATCH($A61,ABR!$A$8:$A$73,0))&amp;"","")</f>
        <v/>
      </c>
      <c r="AO61" s="123">
        <f>IFERROR(INDEX(ABR!J$8:J$73,MATCH($A61,ABR!$A$8:$A$73,0))&amp;"","")</f>
        <v/>
      </c>
      <c r="AP61" s="123">
        <f>IFERROR(INDEX(ABR!K$8:K$73,MATCH($A61,ABR!$A$8:$A$73,0))&amp;"","")</f>
        <v/>
      </c>
      <c r="AQ61" s="109">
        <f>IFERROR(INDEX(ABR!L$8:L$73,MATCH($A61,ABR!$A$8:$A$73,0))&amp;"","")</f>
        <v/>
      </c>
      <c r="AR61" s="109">
        <f>IFERROR(INDEX(ABR!M$8:M$73,MATCH($A61,ABR!$A$8:$A$73,0))&amp;"","")</f>
        <v/>
      </c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SUMPRODUCT(($C61:$I61="M")*6+($C61:$I61="T")*6+($C61:$I61="D")*12+($C61:$I61="N")*12+($C61:$I61="NT")*6+($C61:$I61="C")*10+($C61:$I61="A")*8+($C61:$I61="J")*5+($C61:$I61="E")*4+($C61:$I61="P")*6+($C61:$I61="R")*6)</f>
        <v/>
      </c>
      <c r="BF61" s="110">
        <f>SUMPRODUCT(($J61:$P61="M")*6+($J61:$P61="T")*6+($J61:$P61="D")*12+($J61:$P61="N")*12+($J61:$P61="NT")*6+($J61:$P61="C")*10+($J61:$P61="A")*8+($J61:$P61="J")*5+($J61:$P61="E")*4+($J61:$P61="P")*6+($J61:$P61="R")*6)</f>
        <v/>
      </c>
      <c r="BG61" s="110">
        <f>SUMPRODUCT(($Q61:$W61="M")*6+($Q61:$W61="T")*6+($Q61:$W61="D")*12+($Q61:$W61="N")*12+($Q61:$W61="NT")*6+($Q61:$W61="C")*10+($Q61:$W61="A")*8+($Q61:$W61="J")*5+($Q61:$W61="E")*4+($Q61:$W61="P")*6+($Q61:$W61="R")*6)</f>
        <v/>
      </c>
      <c r="BH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I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J61" s="110">
        <f>SUMPRODUCT(($AL61:$AM61="M")*6+($AL61:$AM61="T")*6+($AL61:$AM61="D")*12+($AL61:$AM61="N")*12+($AL61:$AM61="NT")*6+($AL61:$AM61="C")*10+($AL61:$AM61="A")*8+($AL61:$AM61="J")*5+($AL61:$AM61="E")*4+($AL61:$AM61="P")*6+($AL61:$AM61="R")*6)+SUMPRODUCT(($AN61:$AR61="M")*6+($AN61:$AR61="T")*6+($AN61:$AR61="D")*12+($AN61:$AR61="N")*12+($AN61:$AR61="NT")*6+($AN61:$AR61="C")*10+($AN61:$AR61="A")*8+($AN61:$AR61="J")*5+($AN61:$AR61="E")*4+($AN61:$AR61="P")*6+($AN61:$AR61="R")*6)</f>
        <v/>
      </c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123">
        <f>IFERROR(INDEX(FEV!AE$8:AE$73,MATCH($A62,FEV!$A$8:$A$73,0))&amp;"","")</f>
        <v/>
      </c>
      <c r="D62" s="123">
        <f>IFERROR(INDEX(FEV!AF$8:AF$73,MATCH($A62,FEV!$A$8:$A$73,0))&amp;"","")</f>
        <v/>
      </c>
      <c r="E62" s="123">
        <f>IFERROR(INDEX(FEV!AG$8:AG$73,MATCH($A62,FEV!$A$8:$A$73,0))&amp;"","")</f>
        <v/>
      </c>
      <c r="F62" s="123">
        <f>IFERROR(INDEX(FEV!AH$8:AH$73,MATCH($A62,FEV!$A$8:$A$73,0))&amp;"","")</f>
        <v/>
      </c>
      <c r="G62" s="123">
        <f>IFERROR(INDEX(FEV!AI$8:AI$73,MATCH($A62,FEV!$A$8:$A$73,0))&amp;"","")</f>
        <v/>
      </c>
      <c r="H62" s="109">
        <f>IFERROR(INDEX(FEV!AJ$8:AJ$73,MATCH($A62,FEV!$A$8:$A$73,0))&amp;"","")</f>
        <v/>
      </c>
      <c r="I62" s="107" t="n"/>
      <c r="J62" s="107" t="n"/>
      <c r="K62" s="107" t="n"/>
      <c r="L62" s="107" t="n"/>
      <c r="M62" s="107" t="n"/>
      <c r="N62" s="107" t="n"/>
      <c r="O62" s="115" t="inlineStr">
        <is>
          <t>D</t>
        </is>
      </c>
      <c r="P62" s="115" t="inlineStr">
        <is>
          <t>D</t>
        </is>
      </c>
      <c r="Q62" s="107" t="n"/>
      <c r="R62" s="116" t="inlineStr">
        <is>
          <t>N</t>
        </is>
      </c>
      <c r="S62" s="107" t="n"/>
      <c r="T62" s="115" t="inlineStr">
        <is>
          <t>D</t>
        </is>
      </c>
      <c r="U62" s="107" t="n"/>
      <c r="V62" s="107" t="n"/>
      <c r="W62" s="107" t="n"/>
      <c r="X62" s="107" t="n"/>
      <c r="Y62" s="107" t="n"/>
      <c r="Z62" s="107" t="n"/>
      <c r="AA62" s="115" t="inlineStr">
        <is>
          <t>D</t>
        </is>
      </c>
      <c r="AB62" s="116" t="inlineStr">
        <is>
          <t>N</t>
        </is>
      </c>
      <c r="AC62" s="107" t="n"/>
      <c r="AD62" s="107" t="n"/>
      <c r="AE62" s="115" t="inlineStr">
        <is>
          <t>D</t>
        </is>
      </c>
      <c r="AF62" s="115" t="inlineStr">
        <is>
          <t>D</t>
        </is>
      </c>
      <c r="AG62" s="107" t="n"/>
      <c r="AH62" s="107" t="n"/>
      <c r="AI62" s="107" t="n"/>
      <c r="AJ62" s="107" t="n"/>
      <c r="AK62" s="107" t="n"/>
      <c r="AL62" s="107" t="n"/>
      <c r="AM62" s="107" t="n"/>
      <c r="AN62" s="123">
        <f>IFERROR(INDEX(ABR!I$8:I$73,MATCH($A62,ABR!$A$8:$A$73,0))&amp;"","")</f>
        <v/>
      </c>
      <c r="AO62" s="123">
        <f>IFERROR(INDEX(ABR!J$8:J$73,MATCH($A62,ABR!$A$8:$A$73,0))&amp;"","")</f>
        <v/>
      </c>
      <c r="AP62" s="123">
        <f>IFERROR(INDEX(ABR!K$8:K$73,MATCH($A62,ABR!$A$8:$A$73,0))&amp;"","")</f>
        <v/>
      </c>
      <c r="AQ62" s="109">
        <f>IFERROR(INDEX(ABR!L$8:L$73,MATCH($A62,ABR!$A$8:$A$73,0))&amp;"","")</f>
        <v/>
      </c>
      <c r="AR62" s="109">
        <f>IFERROR(INDEX(ABR!M$8:M$73,MATCH($A62,ABR!$A$8:$A$73,0))&amp;"","")</f>
        <v/>
      </c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SUMPRODUCT(($C62:$I62="M")*6+($C62:$I62="T")*6+($C62:$I62="D")*12+($C62:$I62="N")*12+($C62:$I62="NT")*6+($C62:$I62="C")*10+($C62:$I62="A")*8+($C62:$I62="J")*5+($C62:$I62="E")*4+($C62:$I62="P")*6+($C62:$I62="R")*6)</f>
        <v/>
      </c>
      <c r="BF62" s="110">
        <f>SUMPRODUCT(($J62:$P62="M")*6+($J62:$P62="T")*6+($J62:$P62="D")*12+($J62:$P62="N")*12+($J62:$P62="NT")*6+($J62:$P62="C")*10+($J62:$P62="A")*8+($J62:$P62="J")*5+($J62:$P62="E")*4+($J62:$P62="P")*6+($J62:$P62="R")*6)</f>
        <v/>
      </c>
      <c r="BG62" s="110">
        <f>SUMPRODUCT(($Q62:$W62="M")*6+($Q62:$W62="T")*6+($Q62:$W62="D")*12+($Q62:$W62="N")*12+($Q62:$W62="NT")*6+($Q62:$W62="C")*10+($Q62:$W62="A")*8+($Q62:$W62="J")*5+($Q62:$W62="E")*4+($Q62:$W62="P")*6+($Q62:$W62="R")*6)</f>
        <v/>
      </c>
      <c r="BH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I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J62" s="110">
        <f>SUMPRODUCT(($AL62:$AM62="M")*6+($AL62:$AM62="T")*6+($AL62:$AM62="D")*12+($AL62:$AM62="N")*12+($AL62:$AM62="NT")*6+($AL62:$AM62="C")*10+($AL62:$AM62="A")*8+($AL62:$AM62="J")*5+($AL62:$AM62="E")*4+($AL62:$AM62="P")*6+($AL62:$AM62="R")*6)+SUMPRODUCT(($AN62:$AR62="M")*6+($AN62:$AR62="T")*6+($AN62:$AR62="D")*12+($AN62:$AR62="N")*12+($AN62:$AR62="NT")*6+($AN62:$AR62="C")*10+($AN62:$AR62="A")*8+($AN62:$AR62="J")*5+($AN62:$AR62="E")*4+($AN62:$AR62="P")*6+($AN62:$AR62="R")*6)</f>
        <v/>
      </c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123">
        <f>IFERROR(INDEX(FEV!AE$8:AE$73,MATCH($A63,FEV!$A$8:$A$73,0))&amp;"","")</f>
        <v/>
      </c>
      <c r="D63" s="123">
        <f>IFERROR(INDEX(FEV!AF$8:AF$73,MATCH($A63,FEV!$A$8:$A$73,0))&amp;"","")</f>
        <v/>
      </c>
      <c r="E63" s="123">
        <f>IFERROR(INDEX(FEV!AG$8:AG$73,MATCH($A63,FEV!$A$8:$A$73,0))&amp;"","")</f>
        <v/>
      </c>
      <c r="F63" s="123">
        <f>IFERROR(INDEX(FEV!AH$8:AH$73,MATCH($A63,FEV!$A$8:$A$73,0))&amp;"","")</f>
        <v/>
      </c>
      <c r="G63" s="123">
        <f>IFERROR(INDEX(FEV!AI$8:AI$73,MATCH($A63,FEV!$A$8:$A$73,0))&amp;"","")</f>
        <v/>
      </c>
      <c r="H63" s="109">
        <f>IFERROR(INDEX(FEV!AJ$8:AJ$73,MATCH($A63,FEV!$A$8:$A$73,0))&amp;"","")</f>
        <v/>
      </c>
      <c r="I63" s="107" t="n"/>
      <c r="J63" s="107" t="n"/>
      <c r="K63" s="107" t="n"/>
      <c r="L63" s="107" t="n"/>
      <c r="M63" s="115" t="inlineStr">
        <is>
          <t>D</t>
        </is>
      </c>
      <c r="N63" s="116" t="inlineStr">
        <is>
          <t>N</t>
        </is>
      </c>
      <c r="O63" s="107" t="n"/>
      <c r="P63" s="107" t="n"/>
      <c r="Q63" s="107" t="n"/>
      <c r="R63" s="107" t="n"/>
      <c r="S63" s="107" t="n"/>
      <c r="T63" s="115" t="inlineStr">
        <is>
          <t>D</t>
        </is>
      </c>
      <c r="U63" s="107" t="n"/>
      <c r="V63" s="115" t="inlineStr">
        <is>
          <t>D</t>
        </is>
      </c>
      <c r="W63" s="107" t="n"/>
      <c r="X63" s="107" t="n"/>
      <c r="Y63" s="107" t="n"/>
      <c r="Z63" s="115" t="inlineStr">
        <is>
          <t>D</t>
        </is>
      </c>
      <c r="AA63" s="115" t="inlineStr">
        <is>
          <t>D</t>
        </is>
      </c>
      <c r="AB63" s="107" t="n"/>
      <c r="AC63" s="107" t="n"/>
      <c r="AD63" s="107" t="n"/>
      <c r="AE63" s="107" t="n"/>
      <c r="AF63" s="107" t="n"/>
      <c r="AG63" s="107" t="n"/>
      <c r="AH63" s="108" t="inlineStr">
        <is>
          <t>M</t>
        </is>
      </c>
      <c r="AI63" s="107" t="n"/>
      <c r="AJ63" s="117" t="inlineStr">
        <is>
          <t>T</t>
        </is>
      </c>
      <c r="AK63" s="115" t="inlineStr">
        <is>
          <t>D</t>
        </is>
      </c>
      <c r="AL63" s="107" t="n"/>
      <c r="AM63" s="107" t="n"/>
      <c r="AN63" s="123">
        <f>IFERROR(INDEX(ABR!I$8:I$73,MATCH($A63,ABR!$A$8:$A$73,0))&amp;"","")</f>
        <v/>
      </c>
      <c r="AO63" s="123">
        <f>IFERROR(INDEX(ABR!J$8:J$73,MATCH($A63,ABR!$A$8:$A$73,0))&amp;"","")</f>
        <v/>
      </c>
      <c r="AP63" s="123">
        <f>IFERROR(INDEX(ABR!K$8:K$73,MATCH($A63,ABR!$A$8:$A$73,0))&amp;"","")</f>
        <v/>
      </c>
      <c r="AQ63" s="109">
        <f>IFERROR(INDEX(ABR!L$8:L$73,MATCH($A63,ABR!$A$8:$A$73,0))&amp;"","")</f>
        <v/>
      </c>
      <c r="AR63" s="109">
        <f>IFERROR(INDEX(ABR!M$8:M$73,MATCH($A63,ABR!$A$8:$A$73,0))&amp;"","")</f>
        <v/>
      </c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SUMPRODUCT(($C63:$I63="M")*6+($C63:$I63="T")*6+($C63:$I63="D")*12+($C63:$I63="N")*12+($C63:$I63="NT")*6+($C63:$I63="C")*10+($C63:$I63="A")*8+($C63:$I63="J")*5+($C63:$I63="E")*4+($C63:$I63="P")*6+($C63:$I63="R")*6)</f>
        <v/>
      </c>
      <c r="BF63" s="110">
        <f>SUMPRODUCT(($J63:$P63="M")*6+($J63:$P63="T")*6+($J63:$P63="D")*12+($J63:$P63="N")*12+($J63:$P63="NT")*6+($J63:$P63="C")*10+($J63:$P63="A")*8+($J63:$P63="J")*5+($J63:$P63="E")*4+($J63:$P63="P")*6+($J63:$P63="R")*6)</f>
        <v/>
      </c>
      <c r="BG63" s="110">
        <f>SUMPRODUCT(($Q63:$W63="M")*6+($Q63:$W63="T")*6+($Q63:$W63="D")*12+($Q63:$W63="N")*12+($Q63:$W63="NT")*6+($Q63:$W63="C")*10+($Q63:$W63="A")*8+($Q63:$W63="J")*5+($Q63:$W63="E")*4+($Q63:$W63="P")*6+($Q63:$W63="R")*6)</f>
        <v/>
      </c>
      <c r="BH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I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J63" s="110">
        <f>SUMPRODUCT(($AL63:$AM63="M")*6+($AL63:$AM63="T")*6+($AL63:$AM63="D")*12+($AL63:$AM63="N")*12+($AL63:$AM63="NT")*6+($AL63:$AM63="C")*10+($AL63:$AM63="A")*8+($AL63:$AM63="J")*5+($AL63:$AM63="E")*4+($AL63:$AM63="P")*6+($AL63:$AM63="R")*6)+SUMPRODUCT(($AN63:$AR63="M")*6+($AN63:$AR63="T")*6+($AN63:$AR63="D")*12+($AN63:$AR63="N")*12+($AN63:$AR63="NT")*6+($AN63:$AR63="C")*10+($AN63:$AR63="A")*8+($AN63:$AR63="J")*5+($AN63:$AR63="E")*4+($AN63:$AR63="P")*6+($AN63:$AR63="R")*6)</f>
        <v/>
      </c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123">
        <f>IFERROR(INDEX(FEV!AE$8:AE$73,MATCH($A64,FEV!$A$8:$A$73,0))&amp;"","")</f>
        <v/>
      </c>
      <c r="D64" s="123">
        <f>IFERROR(INDEX(FEV!AF$8:AF$73,MATCH($A64,FEV!$A$8:$A$73,0))&amp;"","")</f>
        <v/>
      </c>
      <c r="E64" s="123">
        <f>IFERROR(INDEX(FEV!AG$8:AG$73,MATCH($A64,FEV!$A$8:$A$73,0))&amp;"","")</f>
        <v/>
      </c>
      <c r="F64" s="123">
        <f>IFERROR(INDEX(FEV!AH$8:AH$73,MATCH($A64,FEV!$A$8:$A$73,0))&amp;"","")</f>
        <v/>
      </c>
      <c r="G64" s="123">
        <f>IFERROR(INDEX(FEV!AI$8:AI$73,MATCH($A64,FEV!$A$8:$A$73,0))&amp;"","")</f>
        <v/>
      </c>
      <c r="H64" s="109">
        <f>IFERROR(INDEX(FEV!AJ$8:AJ$73,MATCH($A64,FEV!$A$8:$A$73,0))&amp;"","")</f>
        <v/>
      </c>
      <c r="I64" s="107" t="n"/>
      <c r="J64" s="107" t="n"/>
      <c r="K64" s="107" t="n"/>
      <c r="L64" s="116" t="inlineStr">
        <is>
          <t>N</t>
        </is>
      </c>
      <c r="M64" s="107" t="n"/>
      <c r="N64" s="107" t="n"/>
      <c r="O64" s="116" t="inlineStr">
        <is>
          <t>N</t>
        </is>
      </c>
      <c r="P64" s="117" t="inlineStr">
        <is>
          <t>T</t>
        </is>
      </c>
      <c r="Q64" s="116" t="inlineStr">
        <is>
          <t>N</t>
        </is>
      </c>
      <c r="R64" s="107" t="n"/>
      <c r="S64" s="116" t="inlineStr">
        <is>
          <t>N</t>
        </is>
      </c>
      <c r="T64" s="117" t="inlineStr">
        <is>
          <t>T</t>
        </is>
      </c>
      <c r="U64" s="107" t="n"/>
      <c r="V64" s="107" t="n"/>
      <c r="W64" s="107" t="n"/>
      <c r="X64" s="107" t="n"/>
      <c r="Y64" s="107" t="n"/>
      <c r="Z64" s="116" t="inlineStr">
        <is>
          <t>N</t>
        </is>
      </c>
      <c r="AA64" s="117" t="inlineStr">
        <is>
          <t>T</t>
        </is>
      </c>
      <c r="AB64" s="107" t="n"/>
      <c r="AC64" s="107" t="n"/>
      <c r="AD64" s="116" t="inlineStr">
        <is>
          <t>N</t>
        </is>
      </c>
      <c r="AE64" s="107" t="n"/>
      <c r="AF64" s="107" t="n"/>
      <c r="AG64" s="116" t="inlineStr">
        <is>
          <t>N</t>
        </is>
      </c>
      <c r="AH64" s="117" t="inlineStr">
        <is>
          <t>T</t>
        </is>
      </c>
      <c r="AI64" s="107" t="n"/>
      <c r="AJ64" s="116" t="inlineStr">
        <is>
          <t>N</t>
        </is>
      </c>
      <c r="AK64" s="107" t="n"/>
      <c r="AL64" s="107" t="n"/>
      <c r="AM64" s="107" t="n"/>
      <c r="AN64" s="123">
        <f>IFERROR(INDEX(ABR!I$8:I$73,MATCH($A64,ABR!$A$8:$A$73,0))&amp;"","")</f>
        <v/>
      </c>
      <c r="AO64" s="123">
        <f>IFERROR(INDEX(ABR!J$8:J$73,MATCH($A64,ABR!$A$8:$A$73,0))&amp;"","")</f>
        <v/>
      </c>
      <c r="AP64" s="123">
        <f>IFERROR(INDEX(ABR!K$8:K$73,MATCH($A64,ABR!$A$8:$A$73,0))&amp;"","")</f>
        <v/>
      </c>
      <c r="AQ64" s="109">
        <f>IFERROR(INDEX(ABR!L$8:L$73,MATCH($A64,ABR!$A$8:$A$73,0))&amp;"","")</f>
        <v/>
      </c>
      <c r="AR64" s="109">
        <f>IFERROR(INDEX(ABR!M$8:M$73,MATCH($A64,ABR!$A$8:$A$73,0))&amp;"","")</f>
        <v/>
      </c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SUMPRODUCT(($C64:$I64="M")*6+($C64:$I64="T")*6+($C64:$I64="D")*12+($C64:$I64="N")*12+($C64:$I64="NT")*6+($C64:$I64="C")*10+($C64:$I64="A")*8+($C64:$I64="J")*5+($C64:$I64="E")*4+($C64:$I64="P")*6+($C64:$I64="R")*6)</f>
        <v/>
      </c>
      <c r="BF64" s="110">
        <f>SUMPRODUCT(($J64:$P64="M")*6+($J64:$P64="T")*6+($J64:$P64="D")*12+($J64:$P64="N")*12+($J64:$P64="NT")*6+($J64:$P64="C")*10+($J64:$P64="A")*8+($J64:$P64="J")*5+($J64:$P64="E")*4+($J64:$P64="P")*6+($J64:$P64="R")*6)</f>
        <v/>
      </c>
      <c r="BG64" s="110">
        <f>SUMPRODUCT(($Q64:$W64="M")*6+($Q64:$W64="T")*6+($Q64:$W64="D")*12+($Q64:$W64="N")*12+($Q64:$W64="NT")*6+($Q64:$W64="C")*10+($Q64:$W64="A")*8+($Q64:$W64="J")*5+($Q64:$W64="E")*4+($Q64:$W64="P")*6+($Q64:$W64="R")*6)</f>
        <v/>
      </c>
      <c r="BH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I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J64" s="110">
        <f>SUMPRODUCT(($AL64:$AM64="M")*6+($AL64:$AM64="T")*6+($AL64:$AM64="D")*12+($AL64:$AM64="N")*12+($AL64:$AM64="NT")*6+($AL64:$AM64="C")*10+($AL64:$AM64="A")*8+($AL64:$AM64="J")*5+($AL64:$AM64="E")*4+($AL64:$AM64="P")*6+($AL64:$AM64="R")*6)+SUMPRODUCT(($AN64:$AR64="M")*6+($AN64:$AR64="T")*6+($AN64:$AR64="D")*12+($AN64:$AR64="N")*12+($AN64:$AR64="NT")*6+($AN64:$AR64="C")*10+($AN64:$AR64="A")*8+($AN64:$AR64="J")*5+($AN64:$AR64="E")*4+($AN64:$AR64="P")*6+($AN64:$AR64="R")*6)</f>
        <v/>
      </c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123">
        <f>IFERROR(INDEX(FEV!AE$8:AE$73,MATCH($A65,FEV!$A$8:$A$73,0))&amp;"","")</f>
        <v/>
      </c>
      <c r="D65" s="123">
        <f>IFERROR(INDEX(FEV!AF$8:AF$73,MATCH($A65,FEV!$A$8:$A$73,0))&amp;"","")</f>
        <v/>
      </c>
      <c r="E65" s="123">
        <f>IFERROR(INDEX(FEV!AG$8:AG$73,MATCH($A65,FEV!$A$8:$A$73,0))&amp;"","")</f>
        <v/>
      </c>
      <c r="F65" s="123">
        <f>IFERROR(INDEX(FEV!AH$8:AH$73,MATCH($A65,FEV!$A$8:$A$73,0))&amp;"","")</f>
        <v/>
      </c>
      <c r="G65" s="123">
        <f>IFERROR(INDEX(FEV!AI$8:AI$73,MATCH($A65,FEV!$A$8:$A$73,0))&amp;"","")</f>
        <v/>
      </c>
      <c r="H65" s="109">
        <f>IFERROR(INDEX(FEV!AJ$8:AJ$73,MATCH($A65,FEV!$A$8:$A$73,0))&amp;"","")</f>
        <v/>
      </c>
      <c r="I65" s="107" t="n"/>
      <c r="J65" s="107" t="n"/>
      <c r="K65" s="107" t="n"/>
      <c r="L65" s="107" t="n"/>
      <c r="M65" s="107" t="n"/>
      <c r="N65" s="115" t="inlineStr">
        <is>
          <t>D</t>
        </is>
      </c>
      <c r="O65" s="107" t="n"/>
      <c r="P65" s="115" t="inlineStr">
        <is>
          <t>D</t>
        </is>
      </c>
      <c r="Q65" s="107" t="n"/>
      <c r="R65" s="107" t="n"/>
      <c r="S65" s="115" t="inlineStr">
        <is>
          <t>D</t>
        </is>
      </c>
      <c r="T65" s="107" t="n"/>
      <c r="U65" s="115" t="inlineStr">
        <is>
          <t>D</t>
        </is>
      </c>
      <c r="V65" s="107" t="n"/>
      <c r="W65" s="107" t="n"/>
      <c r="X65" s="107" t="n"/>
      <c r="Y65" s="107" t="n"/>
      <c r="Z65" s="107" t="n"/>
      <c r="AA65" s="107" t="n"/>
      <c r="AB65" s="115" t="inlineStr">
        <is>
          <t>D</t>
        </is>
      </c>
      <c r="AC65" s="115" t="inlineStr">
        <is>
          <t>D</t>
        </is>
      </c>
      <c r="AD65" s="107" t="n"/>
      <c r="AE65" s="107" t="n"/>
      <c r="AF65" s="107" t="n"/>
      <c r="AG65" s="117" t="inlineStr">
        <is>
          <t>T</t>
        </is>
      </c>
      <c r="AH65" s="107" t="n"/>
      <c r="AI65" s="115" t="inlineStr">
        <is>
          <t>D</t>
        </is>
      </c>
      <c r="AJ65" s="107" t="n"/>
      <c r="AK65" s="117" t="inlineStr">
        <is>
          <t>T</t>
        </is>
      </c>
      <c r="AL65" s="107" t="n"/>
      <c r="AM65" s="107" t="n"/>
      <c r="AN65" s="123">
        <f>IFERROR(INDEX(ABR!I$8:I$73,MATCH($A65,ABR!$A$8:$A$73,0))&amp;"","")</f>
        <v/>
      </c>
      <c r="AO65" s="123">
        <f>IFERROR(INDEX(ABR!J$8:J$73,MATCH($A65,ABR!$A$8:$A$73,0))&amp;"","")</f>
        <v/>
      </c>
      <c r="AP65" s="123">
        <f>IFERROR(INDEX(ABR!K$8:K$73,MATCH($A65,ABR!$A$8:$A$73,0))&amp;"","")</f>
        <v/>
      </c>
      <c r="AQ65" s="109">
        <f>IFERROR(INDEX(ABR!L$8:L$73,MATCH($A65,ABR!$A$8:$A$73,0))&amp;"","")</f>
        <v/>
      </c>
      <c r="AR65" s="109">
        <f>IFERROR(INDEX(ABR!M$8:M$73,MATCH($A65,ABR!$A$8:$A$73,0))&amp;"","")</f>
        <v/>
      </c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SUMPRODUCT(($C65:$I65="M")*6+($C65:$I65="T")*6+($C65:$I65="D")*12+($C65:$I65="N")*12+($C65:$I65="NT")*6+($C65:$I65="C")*10+($C65:$I65="A")*8+($C65:$I65="J")*5+($C65:$I65="E")*4+($C65:$I65="P")*6+($C65:$I65="R")*6)</f>
        <v/>
      </c>
      <c r="BF65" s="110">
        <f>SUMPRODUCT(($J65:$P65="M")*6+($J65:$P65="T")*6+($J65:$P65="D")*12+($J65:$P65="N")*12+($J65:$P65="NT")*6+($J65:$P65="C")*10+($J65:$P65="A")*8+($J65:$P65="J")*5+($J65:$P65="E")*4+($J65:$P65="P")*6+($J65:$P65="R")*6)</f>
        <v/>
      </c>
      <c r="BG65" s="110">
        <f>SUMPRODUCT(($Q65:$W65="M")*6+($Q65:$W65="T")*6+($Q65:$W65="D")*12+($Q65:$W65="N")*12+($Q65:$W65="NT")*6+($Q65:$W65="C")*10+($Q65:$W65="A")*8+($Q65:$W65="J")*5+($Q65:$W65="E")*4+($Q65:$W65="P")*6+($Q65:$W65="R")*6)</f>
        <v/>
      </c>
      <c r="BH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I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J65" s="110">
        <f>SUMPRODUCT(($AL65:$AM65="M")*6+($AL65:$AM65="T")*6+($AL65:$AM65="D")*12+($AL65:$AM65="N")*12+($AL65:$AM65="NT")*6+($AL65:$AM65="C")*10+($AL65:$AM65="A")*8+($AL65:$AM65="J")*5+($AL65:$AM65="E")*4+($AL65:$AM65="P")*6+($AL65:$AM65="R")*6)+SUMPRODUCT(($AN65:$AR65="M")*6+($AN65:$AR65="T")*6+($AN65:$AR65="D")*12+($AN65:$AR65="N")*12+($AN65:$AR65="NT")*6+($AN65:$AR65="C")*10+($AN65:$AR65="A")*8+($AN65:$AR65="J")*5+($AN65:$AR65="E")*4+($AN65:$AR65="P")*6+($AN65:$AR65="R")*6)</f>
        <v/>
      </c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123">
        <f>IFERROR(INDEX(FEV!AE$8:AE$73,MATCH($A66,FEV!$A$8:$A$73,0))&amp;"","")</f>
        <v/>
      </c>
      <c r="D66" s="123">
        <f>IFERROR(INDEX(FEV!AF$8:AF$73,MATCH($A66,FEV!$A$8:$A$73,0))&amp;"","")</f>
        <v/>
      </c>
      <c r="E66" s="123">
        <f>IFERROR(INDEX(FEV!AG$8:AG$73,MATCH($A66,FEV!$A$8:$A$73,0))&amp;"","")</f>
        <v/>
      </c>
      <c r="F66" s="123">
        <f>IFERROR(INDEX(FEV!AH$8:AH$73,MATCH($A66,FEV!$A$8:$A$73,0))&amp;"","")</f>
        <v/>
      </c>
      <c r="G66" s="123">
        <f>IFERROR(INDEX(FEV!AI$8:AI$73,MATCH($A66,FEV!$A$8:$A$73,0))&amp;"","")</f>
        <v/>
      </c>
      <c r="H66" s="109">
        <f>IFERROR(INDEX(FEV!AJ$8:AJ$73,MATCH($A66,FEV!$A$8:$A$73,0))&amp;"","")</f>
        <v/>
      </c>
      <c r="I66" s="108" t="inlineStr">
        <is>
          <t>M</t>
        </is>
      </c>
      <c r="J66" s="116" t="inlineStr">
        <is>
          <t>N</t>
        </is>
      </c>
      <c r="K66" s="107" t="n"/>
      <c r="L66" s="107" t="n"/>
      <c r="M66" s="117" t="inlineStr">
        <is>
          <t>T</t>
        </is>
      </c>
      <c r="N66" s="117" t="inlineStr">
        <is>
          <t>T</t>
        </is>
      </c>
      <c r="O66" s="107" t="n"/>
      <c r="P66" s="116" t="inlineStr">
        <is>
          <t>N</t>
        </is>
      </c>
      <c r="Q66" s="107" t="n"/>
      <c r="R66" s="115" t="inlineStr">
        <is>
          <t>D</t>
        </is>
      </c>
      <c r="S66" s="107" t="n"/>
      <c r="T66" s="116" t="inlineStr">
        <is>
          <t>N</t>
        </is>
      </c>
      <c r="U66" s="107" t="n"/>
      <c r="V66" s="107" t="n"/>
      <c r="W66" s="115" t="inlineStr">
        <is>
          <t>D</t>
        </is>
      </c>
      <c r="X66" s="116" t="inlineStr">
        <is>
          <t>N</t>
        </is>
      </c>
      <c r="Y66" s="117" t="inlineStr">
        <is>
          <t>T</t>
        </is>
      </c>
      <c r="Z66" s="107" t="n"/>
      <c r="AA66" s="116" t="inlineStr">
        <is>
          <t>N</t>
        </is>
      </c>
      <c r="AB66" s="107" t="n"/>
      <c r="AC66" s="107" t="n"/>
      <c r="AD66" s="117" t="inlineStr">
        <is>
          <t>T</t>
        </is>
      </c>
      <c r="AE66" s="116" t="inlineStr">
        <is>
          <t>N</t>
        </is>
      </c>
      <c r="AF66" s="117" t="inlineStr">
        <is>
          <t>T</t>
        </is>
      </c>
      <c r="AG66" s="117" t="inlineStr">
        <is>
          <t>T</t>
        </is>
      </c>
      <c r="AH66" s="116" t="inlineStr">
        <is>
          <t>N</t>
        </is>
      </c>
      <c r="AI66" s="107" t="n"/>
      <c r="AJ66" s="107" t="n"/>
      <c r="AK66" s="107" t="n"/>
      <c r="AL66" s="107" t="n"/>
      <c r="AM66" s="115" t="inlineStr">
        <is>
          <t>D</t>
        </is>
      </c>
      <c r="AN66" s="123">
        <f>IFERROR(INDEX(ABR!I$8:I$73,MATCH($A66,ABR!$A$8:$A$73,0))&amp;"","")</f>
        <v/>
      </c>
      <c r="AO66" s="123">
        <f>IFERROR(INDEX(ABR!J$8:J$73,MATCH($A66,ABR!$A$8:$A$73,0))&amp;"","")</f>
        <v/>
      </c>
      <c r="AP66" s="123">
        <f>IFERROR(INDEX(ABR!K$8:K$73,MATCH($A66,ABR!$A$8:$A$73,0))&amp;"","")</f>
        <v/>
      </c>
      <c r="AQ66" s="109">
        <f>IFERROR(INDEX(ABR!L$8:L$73,MATCH($A66,ABR!$A$8:$A$73,0))&amp;"","")</f>
        <v/>
      </c>
      <c r="AR66" s="109">
        <f>IFERROR(INDEX(ABR!M$8:M$73,MATCH($A66,ABR!$A$8:$A$73,0))&amp;"","")</f>
        <v/>
      </c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SUMPRODUCT(($C66:$I66="M")*6+($C66:$I66="T")*6+($C66:$I66="D")*12+($C66:$I66="N")*12+($C66:$I66="NT")*6+($C66:$I66="C")*10+($C66:$I66="A")*8+($C66:$I66="J")*5+($C66:$I66="E")*4+($C66:$I66="P")*6+($C66:$I66="R")*6)</f>
        <v/>
      </c>
      <c r="BF66" s="110">
        <f>SUMPRODUCT(($J66:$P66="M")*6+($J66:$P66="T")*6+($J66:$P66="D")*12+($J66:$P66="N")*12+($J66:$P66="NT")*6+($J66:$P66="C")*10+($J66:$P66="A")*8+($J66:$P66="J")*5+($J66:$P66="E")*4+($J66:$P66="P")*6+($J66:$P66="R")*6)</f>
        <v/>
      </c>
      <c r="BG66" s="110">
        <f>SUMPRODUCT(($Q66:$W66="M")*6+($Q66:$W66="T")*6+($Q66:$W66="D")*12+($Q66:$W66="N")*12+($Q66:$W66="NT")*6+($Q66:$W66="C")*10+($Q66:$W66="A")*8+($Q66:$W66="J")*5+($Q66:$W66="E")*4+($Q66:$W66="P")*6+($Q66:$W66="R")*6)</f>
        <v/>
      </c>
      <c r="BH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I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J66" s="110">
        <f>SUMPRODUCT(($AL66:$AM66="M")*6+($AL66:$AM66="T")*6+($AL66:$AM66="D")*12+($AL66:$AM66="N")*12+($AL66:$AM66="NT")*6+($AL66:$AM66="C")*10+($AL66:$AM66="A")*8+($AL66:$AM66="J")*5+($AL66:$AM66="E")*4+($AL66:$AM66="P")*6+($AL66:$AM66="R")*6)+SUMPRODUCT(($AN66:$AR66="M")*6+($AN66:$AR66="T")*6+($AN66:$AR66="D")*12+($AN66:$AR66="N")*12+($AN66:$AR66="NT")*6+($AN66:$AR66="C")*10+($AN66:$AR66="A")*8+($AN66:$AR66="J")*5+($AN66:$AR66="E")*4+($AN66:$AR66="P")*6+($AN66:$AR66="R")*6)</f>
        <v/>
      </c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123">
        <f>IFERROR(INDEX(FEV!AE$8:AE$73,MATCH($A67,FEV!$A$8:$A$73,0))&amp;"","")</f>
        <v/>
      </c>
      <c r="D67" s="123">
        <f>IFERROR(INDEX(FEV!AF$8:AF$73,MATCH($A67,FEV!$A$8:$A$73,0))&amp;"","")</f>
        <v/>
      </c>
      <c r="E67" s="123">
        <f>IFERROR(INDEX(FEV!AG$8:AG$73,MATCH($A67,FEV!$A$8:$A$73,0))&amp;"","")</f>
        <v/>
      </c>
      <c r="F67" s="123">
        <f>IFERROR(INDEX(FEV!AH$8:AH$73,MATCH($A67,FEV!$A$8:$A$73,0))&amp;"","")</f>
        <v/>
      </c>
      <c r="G67" s="123">
        <f>IFERROR(INDEX(FEV!AI$8:AI$73,MATCH($A67,FEV!$A$8:$A$73,0))&amp;"","")</f>
        <v/>
      </c>
      <c r="H67" s="109">
        <f>IFERROR(INDEX(FEV!AJ$8:AJ$73,MATCH($A67,FEV!$A$8:$A$73,0))&amp;"","")</f>
        <v/>
      </c>
      <c r="I67" s="107" t="n"/>
      <c r="J67" s="108" t="inlineStr">
        <is>
          <t>M</t>
        </is>
      </c>
      <c r="K67" s="116" t="inlineStr">
        <is>
          <t>N</t>
        </is>
      </c>
      <c r="L67" s="108" t="inlineStr">
        <is>
          <t>M</t>
        </is>
      </c>
      <c r="M67" s="107" t="n"/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8" t="inlineStr">
        <is>
          <t>M</t>
        </is>
      </c>
      <c r="S67" s="108" t="inlineStr">
        <is>
          <t>M</t>
        </is>
      </c>
      <c r="T67" s="107" t="n"/>
      <c r="U67" s="116" t="inlineStr">
        <is>
          <t>N</t>
        </is>
      </c>
      <c r="V67" s="107" t="n"/>
      <c r="W67" s="107" t="n"/>
      <c r="X67" s="108" t="inlineStr">
        <is>
          <t>M</t>
        </is>
      </c>
      <c r="Y67" s="108" t="inlineStr">
        <is>
          <t>M</t>
        </is>
      </c>
      <c r="Z67" s="108" t="inlineStr">
        <is>
          <t>M</t>
        </is>
      </c>
      <c r="AA67" s="107" t="n"/>
      <c r="AB67" s="107" t="n"/>
      <c r="AC67" s="116" t="inlineStr">
        <is>
          <t>N</t>
        </is>
      </c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123">
        <f>IFERROR(INDEX(ABR!I$8:I$73,MATCH($A67,ABR!$A$8:$A$73,0))&amp;"","")</f>
        <v/>
      </c>
      <c r="AO67" s="123">
        <f>IFERROR(INDEX(ABR!J$8:J$73,MATCH($A67,ABR!$A$8:$A$73,0))&amp;"","")</f>
        <v/>
      </c>
      <c r="AP67" s="123">
        <f>IFERROR(INDEX(ABR!K$8:K$73,MATCH($A67,ABR!$A$8:$A$73,0))&amp;"","")</f>
        <v/>
      </c>
      <c r="AQ67" s="109">
        <f>IFERROR(INDEX(ABR!L$8:L$73,MATCH($A67,ABR!$A$8:$A$73,0))&amp;"","")</f>
        <v/>
      </c>
      <c r="AR67" s="109">
        <f>IFERROR(INDEX(ABR!M$8:M$73,MATCH($A67,ABR!$A$8:$A$73,0))&amp;"","")</f>
        <v/>
      </c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SUMPRODUCT(($C67:$I67="M")*6+($C67:$I67="T")*6+($C67:$I67="D")*12+($C67:$I67="N")*12+($C67:$I67="NT")*6+($C67:$I67="C")*10+($C67:$I67="A")*8+($C67:$I67="J")*5+($C67:$I67="E")*4+($C67:$I67="P")*6+($C67:$I67="R")*6)</f>
        <v/>
      </c>
      <c r="BF67" s="110">
        <f>SUMPRODUCT(($J67:$P67="M")*6+($J67:$P67="T")*6+($J67:$P67="D")*12+($J67:$P67="N")*12+($J67:$P67="NT")*6+($J67:$P67="C")*10+($J67:$P67="A")*8+($J67:$P67="J")*5+($J67:$P67="E")*4+($J67:$P67="P")*6+($J67:$P67="R")*6)</f>
        <v/>
      </c>
      <c r="BG67" s="110">
        <f>SUMPRODUCT(($Q67:$W67="M")*6+($Q67:$W67="T")*6+($Q67:$W67="D")*12+($Q67:$W67="N")*12+($Q67:$W67="NT")*6+($Q67:$W67="C")*10+($Q67:$W67="A")*8+($Q67:$W67="J")*5+($Q67:$W67="E")*4+($Q67:$W67="P")*6+($Q67:$W67="R")*6)</f>
        <v/>
      </c>
      <c r="BH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I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J67" s="110">
        <f>SUMPRODUCT(($AL67:$AM67="M")*6+($AL67:$AM67="T")*6+($AL67:$AM67="D")*12+($AL67:$AM67="N")*12+($AL67:$AM67="NT")*6+($AL67:$AM67="C")*10+($AL67:$AM67="A")*8+($AL67:$AM67="J")*5+($AL67:$AM67="E")*4+($AL67:$AM67="P")*6+($AL67:$AM67="R")*6)+SUMPRODUCT(($AN67:$AR67="M")*6+($AN67:$AR67="T")*6+($AN67:$AR67="D")*12+($AN67:$AR67="N")*12+($AN67:$AR67="NT")*6+($AN67:$AR67="C")*10+($AN67:$AR67="A")*8+($AN67:$AR67="J")*5+($AN67:$AR67="E")*4+($AN67:$AR67="P")*6+($AN67:$AR67="R")*6)</f>
        <v/>
      </c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123">
        <f>IFERROR(INDEX(FEV!AE$8:AE$73,MATCH($A68,FEV!$A$8:$A$73,0))&amp;"","")</f>
        <v/>
      </c>
      <c r="D68" s="123">
        <f>IFERROR(INDEX(FEV!AF$8:AF$73,MATCH($A68,FEV!$A$8:$A$73,0))&amp;"","")</f>
        <v/>
      </c>
      <c r="E68" s="123">
        <f>IFERROR(INDEX(FEV!AG$8:AG$73,MATCH($A68,FEV!$A$8:$A$73,0))&amp;"","")</f>
        <v/>
      </c>
      <c r="F68" s="123">
        <f>IFERROR(INDEX(FEV!AH$8:AH$73,MATCH($A68,FEV!$A$8:$A$73,0))&amp;"","")</f>
        <v/>
      </c>
      <c r="G68" s="123">
        <f>IFERROR(INDEX(FEV!AI$8:AI$73,MATCH($A68,FEV!$A$8:$A$73,0))&amp;"","")</f>
        <v/>
      </c>
      <c r="H68" s="109">
        <f>IFERROR(INDEX(FEV!AJ$8:AJ$73,MATCH($A68,FEV!$A$8:$A$73,0))&amp;"","")</f>
        <v/>
      </c>
      <c r="I68" s="108" t="inlineStr">
        <is>
          <t>M</t>
        </is>
      </c>
      <c r="J68" s="107" t="n"/>
      <c r="K68" s="107" t="n"/>
      <c r="L68" s="116" t="inlineStr">
        <is>
          <t>N</t>
        </is>
      </c>
      <c r="M68" s="107" t="n"/>
      <c r="N68" s="115" t="inlineStr">
        <is>
          <t>D</t>
        </is>
      </c>
      <c r="O68" s="107" t="n"/>
      <c r="P68" s="107" t="n"/>
      <c r="Q68" s="107" t="n"/>
      <c r="R68" s="107" t="n"/>
      <c r="S68" s="116" t="inlineStr">
        <is>
          <t>N</t>
        </is>
      </c>
      <c r="T68" s="107" t="n"/>
      <c r="U68" s="107" t="n"/>
      <c r="V68" s="115" t="inlineStr">
        <is>
          <t>D</t>
        </is>
      </c>
      <c r="W68" s="107" t="n"/>
      <c r="X68" s="107" t="n"/>
      <c r="Y68" s="107" t="n"/>
      <c r="Z68" s="116" t="inlineStr">
        <is>
          <t>N</t>
        </is>
      </c>
      <c r="AA68" s="107" t="n"/>
      <c r="AB68" s="115" t="inlineStr">
        <is>
          <t>D</t>
        </is>
      </c>
      <c r="AC68" s="107" t="n"/>
      <c r="AD68" s="107" t="n"/>
      <c r="AE68" s="107" t="n"/>
      <c r="AF68" s="107" t="n"/>
      <c r="AG68" s="116" t="inlineStr">
        <is>
          <t>N</t>
        </is>
      </c>
      <c r="AH68" s="107" t="n"/>
      <c r="AI68" s="117" t="inlineStr">
        <is>
          <t>T</t>
        </is>
      </c>
      <c r="AJ68" s="108" t="inlineStr">
        <is>
          <t>M</t>
        </is>
      </c>
      <c r="AK68" s="107" t="n"/>
      <c r="AL68" s="107" t="n"/>
      <c r="AM68" s="107" t="n"/>
      <c r="AN68" s="123">
        <f>IFERROR(INDEX(ABR!I$8:I$73,MATCH($A68,ABR!$A$8:$A$73,0))&amp;"","")</f>
        <v/>
      </c>
      <c r="AO68" s="123">
        <f>IFERROR(INDEX(ABR!J$8:J$73,MATCH($A68,ABR!$A$8:$A$73,0))&amp;"","")</f>
        <v/>
      </c>
      <c r="AP68" s="123">
        <f>IFERROR(INDEX(ABR!K$8:K$73,MATCH($A68,ABR!$A$8:$A$73,0))&amp;"","")</f>
        <v/>
      </c>
      <c r="AQ68" s="109">
        <f>IFERROR(INDEX(ABR!L$8:L$73,MATCH($A68,ABR!$A$8:$A$73,0))&amp;"","")</f>
        <v/>
      </c>
      <c r="AR68" s="109">
        <f>IFERROR(INDEX(ABR!M$8:M$73,MATCH($A68,ABR!$A$8:$A$73,0))&amp;"","")</f>
        <v/>
      </c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SUMPRODUCT(($C68:$I68="M")*6+($C68:$I68="T")*6+($C68:$I68="D")*12+($C68:$I68="N")*12+($C68:$I68="NT")*6+($C68:$I68="C")*10+($C68:$I68="A")*8+($C68:$I68="J")*5+($C68:$I68="E")*4+($C68:$I68="P")*6+($C68:$I68="R")*6)</f>
        <v/>
      </c>
      <c r="BF68" s="110">
        <f>SUMPRODUCT(($J68:$P68="M")*6+($J68:$P68="T")*6+($J68:$P68="D")*12+($J68:$P68="N")*12+($J68:$P68="NT")*6+($J68:$P68="C")*10+($J68:$P68="A")*8+($J68:$P68="J")*5+($J68:$P68="E")*4+($J68:$P68="P")*6+($J68:$P68="R")*6)</f>
        <v/>
      </c>
      <c r="BG68" s="110">
        <f>SUMPRODUCT(($Q68:$W68="M")*6+($Q68:$W68="T")*6+($Q68:$W68="D")*12+($Q68:$W68="N")*12+($Q68:$W68="NT")*6+($Q68:$W68="C")*10+($Q68:$W68="A")*8+($Q68:$W68="J")*5+($Q68:$W68="E")*4+($Q68:$W68="P")*6+($Q68:$W68="R")*6)</f>
        <v/>
      </c>
      <c r="BH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I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J68" s="110">
        <f>SUMPRODUCT(($AL68:$AM68="M")*6+($AL68:$AM68="T")*6+($AL68:$AM68="D")*12+($AL68:$AM68="N")*12+($AL68:$AM68="NT")*6+($AL68:$AM68="C")*10+($AL68:$AM68="A")*8+($AL68:$AM68="J")*5+($AL68:$AM68="E")*4+($AL68:$AM68="P")*6+($AL68:$AM68="R")*6)+SUMPRODUCT(($AN68:$AR68="M")*6+($AN68:$AR68="T")*6+($AN68:$AR68="D")*12+($AN68:$AR68="N")*12+($AN68:$AR68="NT")*6+($AN68:$AR68="C")*10+($AN68:$AR68="A")*8+($AN68:$AR68="J")*5+($AN68:$AR68="E")*4+($AN68:$AR68="P")*6+($AN68:$AR68="R")*6)</f>
        <v/>
      </c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123">
        <f>IFERROR(INDEX(FEV!AE$8:AE$73,MATCH($A69,FEV!$A$8:$A$73,0))&amp;"","")</f>
        <v/>
      </c>
      <c r="D69" s="123">
        <f>IFERROR(INDEX(FEV!AF$8:AF$73,MATCH($A69,FEV!$A$8:$A$73,0))&amp;"","")</f>
        <v/>
      </c>
      <c r="E69" s="123">
        <f>IFERROR(INDEX(FEV!AG$8:AG$73,MATCH($A69,FEV!$A$8:$A$73,0))&amp;"","")</f>
        <v/>
      </c>
      <c r="F69" s="123">
        <f>IFERROR(INDEX(FEV!AH$8:AH$73,MATCH($A69,FEV!$A$8:$A$73,0))&amp;"","")</f>
        <v/>
      </c>
      <c r="G69" s="123">
        <f>IFERROR(INDEX(FEV!AI$8:AI$73,MATCH($A69,FEV!$A$8:$A$73,0))&amp;"","")</f>
        <v/>
      </c>
      <c r="H69" s="109">
        <f>IFERROR(INDEX(FEV!AJ$8:AJ$73,MATCH($A69,FEV!$A$8:$A$73,0))&amp;"","")</f>
        <v/>
      </c>
      <c r="I69" s="107" t="n"/>
      <c r="J69" s="117" t="inlineStr">
        <is>
          <t>T</t>
        </is>
      </c>
      <c r="K69" s="107" t="n"/>
      <c r="L69" s="115" t="inlineStr">
        <is>
          <t>D</t>
        </is>
      </c>
      <c r="M69" s="108" t="inlineStr">
        <is>
          <t>M</t>
        </is>
      </c>
      <c r="N69" s="107" t="n"/>
      <c r="O69" s="107" t="n"/>
      <c r="P69" s="107" t="n"/>
      <c r="Q69" s="107" t="n"/>
      <c r="R69" s="107" t="n"/>
      <c r="S69" s="108" t="inlineStr">
        <is>
          <t>M</t>
        </is>
      </c>
      <c r="T69" s="107" t="n"/>
      <c r="U69" s="116" t="inlineStr">
        <is>
          <t>N</t>
        </is>
      </c>
      <c r="V69" s="117" t="inlineStr">
        <is>
          <t>T</t>
        </is>
      </c>
      <c r="W69" s="107" t="n"/>
      <c r="X69" s="107" t="n"/>
      <c r="Y69" s="107" t="n"/>
      <c r="Z69" s="108" t="inlineStr">
        <is>
          <t>M</t>
        </is>
      </c>
      <c r="AA69" s="107" t="n"/>
      <c r="AB69" s="107" t="n"/>
      <c r="AC69" s="117" t="inlineStr">
        <is>
          <t>T</t>
        </is>
      </c>
      <c r="AD69" s="116" t="inlineStr">
        <is>
          <t>N</t>
        </is>
      </c>
      <c r="AE69" s="117" t="inlineStr">
        <is>
          <t>T</t>
        </is>
      </c>
      <c r="AF69" s="107" t="n"/>
      <c r="AG69" s="115" t="inlineStr">
        <is>
          <t>D</t>
        </is>
      </c>
      <c r="AH69" s="107" t="n"/>
      <c r="AI69" s="117" t="inlineStr">
        <is>
          <t>T</t>
        </is>
      </c>
      <c r="AJ69" s="107" t="n"/>
      <c r="AK69" s="107" t="n"/>
      <c r="AL69" s="107" t="n"/>
      <c r="AM69" s="107" t="n"/>
      <c r="AN69" s="123">
        <f>IFERROR(INDEX(ABR!I$8:I$73,MATCH($A69,ABR!$A$8:$A$73,0))&amp;"","")</f>
        <v/>
      </c>
      <c r="AO69" s="123">
        <f>IFERROR(INDEX(ABR!J$8:J$73,MATCH($A69,ABR!$A$8:$A$73,0))&amp;"","")</f>
        <v/>
      </c>
      <c r="AP69" s="123">
        <f>IFERROR(INDEX(ABR!K$8:K$73,MATCH($A69,ABR!$A$8:$A$73,0))&amp;"","")</f>
        <v/>
      </c>
      <c r="AQ69" s="109">
        <f>IFERROR(INDEX(ABR!L$8:L$73,MATCH($A69,ABR!$A$8:$A$73,0))&amp;"","")</f>
        <v/>
      </c>
      <c r="AR69" s="109">
        <f>IFERROR(INDEX(ABR!M$8:M$73,MATCH($A69,ABR!$A$8:$A$73,0))&amp;"","")</f>
        <v/>
      </c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SUMPRODUCT(($C69:$I69="M")*6+($C69:$I69="T")*6+($C69:$I69="D")*12+($C69:$I69="N")*12+($C69:$I69="NT")*6+($C69:$I69="C")*10+($C69:$I69="A")*8+($C69:$I69="J")*5+($C69:$I69="E")*4+($C69:$I69="P")*6+($C69:$I69="R")*6)</f>
        <v/>
      </c>
      <c r="BF69" s="110">
        <f>SUMPRODUCT(($J69:$P69="M")*6+($J69:$P69="T")*6+($J69:$P69="D")*12+($J69:$P69="N")*12+($J69:$P69="NT")*6+($J69:$P69="C")*10+($J69:$P69="A")*8+($J69:$P69="J")*5+($J69:$P69="E")*4+($J69:$P69="P")*6+($J69:$P69="R")*6)</f>
        <v/>
      </c>
      <c r="BG69" s="110">
        <f>SUMPRODUCT(($Q69:$W69="M")*6+($Q69:$W69="T")*6+($Q69:$W69="D")*12+($Q69:$W69="N")*12+($Q69:$W69="NT")*6+($Q69:$W69="C")*10+($Q69:$W69="A")*8+($Q69:$W69="J")*5+($Q69:$W69="E")*4+($Q69:$W69="P")*6+($Q69:$W69="R")*6)</f>
        <v/>
      </c>
      <c r="BH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I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J69" s="110">
        <f>SUMPRODUCT(($AL69:$AM69="M")*6+($AL69:$AM69="T")*6+($AL69:$AM69="D")*12+($AL69:$AM69="N")*12+($AL69:$AM69="NT")*6+($AL69:$AM69="C")*10+($AL69:$AM69="A")*8+($AL69:$AM69="J")*5+($AL69:$AM69="E")*4+($AL69:$AM69="P")*6+($AL69:$AM69="R")*6)+SUMPRODUCT(($AN69:$AR69="M")*6+($AN69:$AR69="T")*6+($AN69:$AR69="D")*12+($AN69:$AR69="N")*12+($AN69:$AR69="NT")*6+($AN69:$AR69="C")*10+($AN69:$AR69="A")*8+($AN69:$AR69="J")*5+($AN69:$AR69="E")*4+($AN69:$AR69="P")*6+($AN69:$AR69="R")*6)</f>
        <v/>
      </c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123">
        <f>IFERROR(INDEX(FEV!AE$8:AE$73,MATCH($A70,FEV!$A$8:$A$73,0))&amp;"","")</f>
        <v/>
      </c>
      <c r="D70" s="123">
        <f>IFERROR(INDEX(FEV!AF$8:AF$73,MATCH($A70,FEV!$A$8:$A$73,0))&amp;"","")</f>
        <v/>
      </c>
      <c r="E70" s="123">
        <f>IFERROR(INDEX(FEV!AG$8:AG$73,MATCH($A70,FEV!$A$8:$A$73,0))&amp;"","")</f>
        <v/>
      </c>
      <c r="F70" s="123">
        <f>IFERROR(INDEX(FEV!AH$8:AH$73,MATCH($A70,FEV!$A$8:$A$73,0))&amp;"","")</f>
        <v/>
      </c>
      <c r="G70" s="123">
        <f>IFERROR(INDEX(FEV!AI$8:AI$73,MATCH($A70,FEV!$A$8:$A$73,0))&amp;"","")</f>
        <v/>
      </c>
      <c r="H70" s="109">
        <f>IFERROR(INDEX(FEV!AJ$8:AJ$73,MATCH($A70,FEV!$A$8:$A$73,0))&amp;"","")</f>
        <v/>
      </c>
      <c r="I70" s="117" t="inlineStr">
        <is>
          <t>T</t>
        </is>
      </c>
      <c r="J70" s="107" t="n"/>
      <c r="K70" s="117" t="inlineStr">
        <is>
          <t>T</t>
        </is>
      </c>
      <c r="L70" s="117" t="inlineStr">
        <is>
          <t>T</t>
        </is>
      </c>
      <c r="M70" s="116" t="inlineStr">
        <is>
          <t>N</t>
        </is>
      </c>
      <c r="N70" s="107" t="n"/>
      <c r="O70" s="107" t="n"/>
      <c r="P70" s="107" t="n"/>
      <c r="Q70" s="107" t="n"/>
      <c r="R70" s="117" t="inlineStr">
        <is>
          <t>T</t>
        </is>
      </c>
      <c r="S70" s="117" t="inlineStr">
        <is>
          <t>T</t>
        </is>
      </c>
      <c r="T70" s="116" t="inlineStr">
        <is>
          <t>N</t>
        </is>
      </c>
      <c r="U70" s="107" t="n"/>
      <c r="V70" s="107" t="n"/>
      <c r="W70" s="107" t="n"/>
      <c r="X70" s="107" t="n"/>
      <c r="Y70" s="117" t="inlineStr">
        <is>
          <t>T</t>
        </is>
      </c>
      <c r="Z70" s="117" t="inlineStr">
        <is>
          <t>T</t>
        </is>
      </c>
      <c r="AA70" s="116" t="inlineStr">
        <is>
          <t>N</t>
        </is>
      </c>
      <c r="AB70" s="107" t="n"/>
      <c r="AC70" s="107" t="n"/>
      <c r="AD70" s="107" t="n"/>
      <c r="AE70" s="107" t="n"/>
      <c r="AF70" s="107" t="n"/>
      <c r="AG70" s="107" t="n"/>
      <c r="AH70" s="117" t="inlineStr">
        <is>
          <t>T</t>
        </is>
      </c>
      <c r="AI70" s="107" t="n"/>
      <c r="AJ70" s="117" t="inlineStr">
        <is>
          <t>T</t>
        </is>
      </c>
      <c r="AK70" s="116" t="inlineStr">
        <is>
          <t>N</t>
        </is>
      </c>
      <c r="AL70" s="107" t="n"/>
      <c r="AM70" s="107" t="n"/>
      <c r="AN70" s="123">
        <f>IFERROR(INDEX(ABR!I$8:I$73,MATCH($A70,ABR!$A$8:$A$73,0))&amp;"","")</f>
        <v/>
      </c>
      <c r="AO70" s="123">
        <f>IFERROR(INDEX(ABR!J$8:J$73,MATCH($A70,ABR!$A$8:$A$73,0))&amp;"","")</f>
        <v/>
      </c>
      <c r="AP70" s="123">
        <f>IFERROR(INDEX(ABR!K$8:K$73,MATCH($A70,ABR!$A$8:$A$73,0))&amp;"","")</f>
        <v/>
      </c>
      <c r="AQ70" s="109">
        <f>IFERROR(INDEX(ABR!L$8:L$73,MATCH($A70,ABR!$A$8:$A$73,0))&amp;"","")</f>
        <v/>
      </c>
      <c r="AR70" s="109">
        <f>IFERROR(INDEX(ABR!M$8:M$73,MATCH($A70,ABR!$A$8:$A$73,0))&amp;"","")</f>
        <v/>
      </c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SUMPRODUCT(($C70:$I70="M")*6+($C70:$I70="T")*6+($C70:$I70="D")*12+($C70:$I70="N")*12+($C70:$I70="NT")*6+($C70:$I70="C")*10+($C70:$I70="A")*8+($C70:$I70="J")*5+($C70:$I70="E")*4+($C70:$I70="P")*6+($C70:$I70="R")*6)</f>
        <v/>
      </c>
      <c r="BF70" s="110">
        <f>SUMPRODUCT(($J70:$P70="M")*6+($J70:$P70="T")*6+($J70:$P70="D")*12+($J70:$P70="N")*12+($J70:$P70="NT")*6+($J70:$P70="C")*10+($J70:$P70="A")*8+($J70:$P70="J")*5+($J70:$P70="E")*4+($J70:$P70="P")*6+($J70:$P70="R")*6)</f>
        <v/>
      </c>
      <c r="BG70" s="110">
        <f>SUMPRODUCT(($Q70:$W70="M")*6+($Q70:$W70="T")*6+($Q70:$W70="D")*12+($Q70:$W70="N")*12+($Q70:$W70="NT")*6+($Q70:$W70="C")*10+($Q70:$W70="A")*8+($Q70:$W70="J")*5+($Q70:$W70="E")*4+($Q70:$W70="P")*6+($Q70:$W70="R")*6)</f>
        <v/>
      </c>
      <c r="BH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I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J70" s="110">
        <f>SUMPRODUCT(($AL70:$AM70="M")*6+($AL70:$AM70="T")*6+($AL70:$AM70="D")*12+($AL70:$AM70="N")*12+($AL70:$AM70="NT")*6+($AL70:$AM70="C")*10+($AL70:$AM70="A")*8+($AL70:$AM70="J")*5+($AL70:$AM70="E")*4+($AL70:$AM70="P")*6+($AL70:$AM70="R")*6)+SUMPRODUCT(($AN70:$AR70="M")*6+($AN70:$AR70="T")*6+($AN70:$AR70="D")*12+($AN70:$AR70="N")*12+($AN70:$AR70="NT")*6+($AN70:$AR70="C")*10+($AN70:$AR70="A")*8+($AN70:$AR70="J")*5+($AN70:$AR70="E")*4+($AN70:$AR70="P")*6+($AN70:$AR70="R")*6)</f>
        <v/>
      </c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123">
        <f>IFERROR(INDEX(FEV!AE$8:AE$73,MATCH($A71,FEV!$A$8:$A$73,0))&amp;"","")</f>
        <v/>
      </c>
      <c r="D71" s="123">
        <f>IFERROR(INDEX(FEV!AF$8:AF$73,MATCH($A71,FEV!$A$8:$A$73,0))&amp;"","")</f>
        <v/>
      </c>
      <c r="E71" s="123">
        <f>IFERROR(INDEX(FEV!AG$8:AG$73,MATCH($A71,FEV!$A$8:$A$73,0))&amp;"","")</f>
        <v/>
      </c>
      <c r="F71" s="123">
        <f>IFERROR(INDEX(FEV!AH$8:AH$73,MATCH($A71,FEV!$A$8:$A$73,0))&amp;"","")</f>
        <v/>
      </c>
      <c r="G71" s="123">
        <f>IFERROR(INDEX(FEV!AI$8:AI$73,MATCH($A71,FEV!$A$8:$A$73,0))&amp;"","")</f>
        <v/>
      </c>
      <c r="H71" s="109">
        <f>IFERROR(INDEX(FEV!AJ$8:AJ$73,MATCH($A71,FEV!$A$8:$A$73,0))&amp;"","")</f>
        <v/>
      </c>
      <c r="I71" s="107" t="n"/>
      <c r="J71" s="115" t="inlineStr">
        <is>
          <t>D</t>
        </is>
      </c>
      <c r="K71" s="107" t="n"/>
      <c r="L71" s="107" t="n"/>
      <c r="M71" s="107" t="n"/>
      <c r="N71" s="107" t="n"/>
      <c r="O71" s="107" t="n"/>
      <c r="P71" s="115" t="inlineStr">
        <is>
          <t>D</t>
        </is>
      </c>
      <c r="Q71" s="107" t="n"/>
      <c r="R71" s="107" t="n"/>
      <c r="S71" s="107" t="n"/>
      <c r="T71" s="107" t="n"/>
      <c r="U71" s="116" t="inlineStr">
        <is>
          <t>N</t>
        </is>
      </c>
      <c r="V71" s="107" t="n"/>
      <c r="W71" s="115" t="inlineStr">
        <is>
          <t>D</t>
        </is>
      </c>
      <c r="X71" s="115" t="inlineStr">
        <is>
          <t>D</t>
        </is>
      </c>
      <c r="Y71" s="115" t="inlineStr">
        <is>
          <t>D</t>
        </is>
      </c>
      <c r="Z71" s="107" t="n"/>
      <c r="AA71" s="107" t="n"/>
      <c r="AB71" s="107" t="n"/>
      <c r="AC71" s="107" t="n"/>
      <c r="AD71" s="107" t="n"/>
      <c r="AE71" s="115" t="inlineStr">
        <is>
          <t>D</t>
        </is>
      </c>
      <c r="AF71" s="116" t="inlineStr">
        <is>
          <t>N</t>
        </is>
      </c>
      <c r="AG71" s="107" t="n"/>
      <c r="AH71" s="107" t="n"/>
      <c r="AI71" s="107" t="n"/>
      <c r="AJ71" s="107" t="n"/>
      <c r="AK71" s="107" t="n"/>
      <c r="AL71" s="107" t="n"/>
      <c r="AM71" s="115" t="inlineStr">
        <is>
          <t>D</t>
        </is>
      </c>
      <c r="AN71" s="123">
        <f>IFERROR(INDEX(ABR!I$8:I$73,MATCH($A71,ABR!$A$8:$A$73,0))&amp;"","")</f>
        <v/>
      </c>
      <c r="AO71" s="123">
        <f>IFERROR(INDEX(ABR!J$8:J$73,MATCH($A71,ABR!$A$8:$A$73,0))&amp;"","")</f>
        <v/>
      </c>
      <c r="AP71" s="123">
        <f>IFERROR(INDEX(ABR!K$8:K$73,MATCH($A71,ABR!$A$8:$A$73,0))&amp;"","")</f>
        <v/>
      </c>
      <c r="AQ71" s="109">
        <f>IFERROR(INDEX(ABR!L$8:L$73,MATCH($A71,ABR!$A$8:$A$73,0))&amp;"","")</f>
        <v/>
      </c>
      <c r="AR71" s="109">
        <f>IFERROR(INDEX(ABR!M$8:M$73,MATCH($A71,ABR!$A$8:$A$73,0))&amp;"","")</f>
        <v/>
      </c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SUMPRODUCT(($C71:$I71="M")*6+($C71:$I71="T")*6+($C71:$I71="D")*12+($C71:$I71="N")*12+($C71:$I71="NT")*6+($C71:$I71="C")*10+($C71:$I71="A")*8+($C71:$I71="J")*5+($C71:$I71="E")*4+($C71:$I71="P")*6+($C71:$I71="R")*6)</f>
        <v/>
      </c>
      <c r="BF71" s="110">
        <f>SUMPRODUCT(($J71:$P71="M")*6+($J71:$P71="T")*6+($J71:$P71="D")*12+($J71:$P71="N")*12+($J71:$P71="NT")*6+($J71:$P71="C")*10+($J71:$P71="A")*8+($J71:$P71="J")*5+($J71:$P71="E")*4+($J71:$P71="P")*6+($J71:$P71="R")*6)</f>
        <v/>
      </c>
      <c r="BG71" s="110">
        <f>SUMPRODUCT(($Q71:$W71="M")*6+($Q71:$W71="T")*6+($Q71:$W71="D")*12+($Q71:$W71="N")*12+($Q71:$W71="NT")*6+($Q71:$W71="C")*10+($Q71:$W71="A")*8+($Q71:$W71="J")*5+($Q71:$W71="E")*4+($Q71:$W71="P")*6+($Q71:$W71="R")*6)</f>
        <v/>
      </c>
      <c r="BH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I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J71" s="110">
        <f>SUMPRODUCT(($AL71:$AM71="M")*6+($AL71:$AM71="T")*6+($AL71:$AM71="D")*12+($AL71:$AM71="N")*12+($AL71:$AM71="NT")*6+($AL71:$AM71="C")*10+($AL71:$AM71="A")*8+($AL71:$AM71="J")*5+($AL71:$AM71="E")*4+($AL71:$AM71="P")*6+($AL71:$AM71="R")*6)+SUMPRODUCT(($AN71:$AR71="M")*6+($AN71:$AR71="T")*6+($AN71:$AR71="D")*12+($AN71:$AR71="N")*12+($AN71:$AR71="NT")*6+($AN71:$AR71="C")*10+($AN71:$AR71="A")*8+($AN71:$AR71="J")*5+($AN71:$AR71="E")*4+($AN71:$AR71="P")*6+($AN71:$AR71="R")*6)</f>
        <v/>
      </c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123">
        <f>IFERROR(INDEX(FEV!AE$8:AE$73,MATCH($A72,FEV!$A$8:$A$73,0))&amp;"","")</f>
        <v/>
      </c>
      <c r="D72" s="123">
        <f>IFERROR(INDEX(FEV!AF$8:AF$73,MATCH($A72,FEV!$A$8:$A$73,0))&amp;"","")</f>
        <v/>
      </c>
      <c r="E72" s="123">
        <f>IFERROR(INDEX(FEV!AG$8:AG$73,MATCH($A72,FEV!$A$8:$A$73,0))&amp;"","")</f>
        <v/>
      </c>
      <c r="F72" s="123">
        <f>IFERROR(INDEX(FEV!AH$8:AH$73,MATCH($A72,FEV!$A$8:$A$73,0))&amp;"","")</f>
        <v/>
      </c>
      <c r="G72" s="123">
        <f>IFERROR(INDEX(FEV!AI$8:AI$73,MATCH($A72,FEV!$A$8:$A$73,0))&amp;"","")</f>
        <v/>
      </c>
      <c r="H72" s="109">
        <f>IFERROR(INDEX(FEV!AJ$8:AJ$73,MATCH($A72,FEV!$A$8:$A$73,0))&amp;"","")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23">
        <f>IFERROR(INDEX(ABR!I$8:I$73,MATCH($A72,ABR!$A$8:$A$73,0))&amp;"","")</f>
        <v/>
      </c>
      <c r="AO72" s="123">
        <f>IFERROR(INDEX(ABR!J$8:J$73,MATCH($A72,ABR!$A$8:$A$73,0))&amp;"","")</f>
        <v/>
      </c>
      <c r="AP72" s="123">
        <f>IFERROR(INDEX(ABR!K$8:K$73,MATCH($A72,ABR!$A$8:$A$73,0))&amp;"","")</f>
        <v/>
      </c>
      <c r="AQ72" s="109">
        <f>IFERROR(INDEX(ABR!L$8:L$73,MATCH($A72,ABR!$A$8:$A$73,0))&amp;"","")</f>
        <v/>
      </c>
      <c r="AR72" s="109">
        <f>IFERROR(INDEX(ABR!M$8:M$73,MATCH($A72,ABR!$A$8:$A$73,0))&amp;"","")</f>
        <v/>
      </c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SUMPRODUCT(($C72:$I72="M")*6+($C72:$I72="T")*6+($C72:$I72="D")*12+($C72:$I72="N")*12+($C72:$I72="NT")*6+($C72:$I72="C")*10+($C72:$I72="A")*8+($C72:$I72="J")*5+($C72:$I72="E")*4+($C72:$I72="P")*6+($C72:$I72="R")*6)</f>
        <v/>
      </c>
      <c r="BF72" s="110">
        <f>SUMPRODUCT(($J72:$P72="M")*6+($J72:$P72="T")*6+($J72:$P72="D")*12+($J72:$P72="N")*12+($J72:$P72="NT")*6+($J72:$P72="C")*10+($J72:$P72="A")*8+($J72:$P72="J")*5+($J72:$P72="E")*4+($J72:$P72="P")*6+($J72:$P72="R")*6)</f>
        <v/>
      </c>
      <c r="BG72" s="110">
        <f>SUMPRODUCT(($Q72:$W72="M")*6+($Q72:$W72="T")*6+($Q72:$W72="D")*12+($Q72:$W72="N")*12+($Q72:$W72="NT")*6+($Q72:$W72="C")*10+($Q72:$W72="A")*8+($Q72:$W72="J")*5+($Q72:$W72="E")*4+($Q72:$W72="P")*6+($Q72:$W72="R")*6)</f>
        <v/>
      </c>
      <c r="BH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I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J72" s="110">
        <f>SUMPRODUCT(($AL72:$AM72="M")*6+($AL72:$AM72="T")*6+($AL72:$AM72="D")*12+($AL72:$AM72="N")*12+($AL72:$AM72="NT")*6+($AL72:$AM72="C")*10+($AL72:$AM72="A")*8+($AL72:$AM72="J")*5+($AL72:$AM72="E")*4+($AL72:$AM72="P")*6+($AL72:$AM72="R")*6)+SUMPRODUCT(($AN72:$AR72="M")*6+($AN72:$AR72="T")*6+($AN72:$AR72="D")*12+($AN72:$AR72="N")*12+($AN72:$AR72="NT")*6+($AN72:$AR72="C")*10+($AN72:$AR72="A")*8+($AN72:$AR72="J")*5+($AN72:$AR72="E")*4+($AN72:$AR72="P")*6+($AN72:$AR72="R")*6)</f>
        <v/>
      </c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123">
        <f>IFERROR(INDEX(FEV!AE$8:AE$73,MATCH($A73,FEV!$A$8:$A$73,0))&amp;"","")</f>
        <v/>
      </c>
      <c r="D73" s="123">
        <f>IFERROR(INDEX(FEV!AF$8:AF$73,MATCH($A73,FEV!$A$8:$A$73,0))&amp;"","")</f>
        <v/>
      </c>
      <c r="E73" s="123">
        <f>IFERROR(INDEX(FEV!AG$8:AG$73,MATCH($A73,FEV!$A$8:$A$73,0))&amp;"","")</f>
        <v/>
      </c>
      <c r="F73" s="123">
        <f>IFERROR(INDEX(FEV!AH$8:AH$73,MATCH($A73,FEV!$A$8:$A$73,0))&amp;"","")</f>
        <v/>
      </c>
      <c r="G73" s="123">
        <f>IFERROR(INDEX(FEV!AI$8:AI$73,MATCH($A73,FEV!$A$8:$A$73,0))&amp;"","")</f>
        <v/>
      </c>
      <c r="H73" s="109">
        <f>IFERROR(INDEX(FEV!AJ$8:AJ$73,MATCH($A73,FEV!$A$8:$A$73,0))&amp;"","")</f>
        <v/>
      </c>
      <c r="I73" s="107" t="n"/>
      <c r="J73" s="116" t="inlineStr">
        <is>
          <t>N</t>
        </is>
      </c>
      <c r="K73" s="107" t="n"/>
      <c r="L73" s="107" t="n"/>
      <c r="M73" s="107" t="n"/>
      <c r="N73" s="115" t="inlineStr">
        <is>
          <t>D</t>
        </is>
      </c>
      <c r="O73" s="108" t="inlineStr">
        <is>
          <t>M</t>
        </is>
      </c>
      <c r="P73" s="107" t="n"/>
      <c r="Q73" s="107" t="n"/>
      <c r="R73" s="107" t="n"/>
      <c r="S73" s="107" t="n"/>
      <c r="T73" s="116" t="inlineStr">
        <is>
          <t>N</t>
        </is>
      </c>
      <c r="U73" s="108" t="inlineStr">
        <is>
          <t>M</t>
        </is>
      </c>
      <c r="V73" s="116" t="inlineStr">
        <is>
          <t>N</t>
        </is>
      </c>
      <c r="W73" s="107" t="n"/>
      <c r="X73" s="116" t="inlineStr">
        <is>
          <t>N</t>
        </is>
      </c>
      <c r="Y73" s="107" t="n"/>
      <c r="Z73" s="107" t="n"/>
      <c r="AA73" s="116" t="inlineStr">
        <is>
          <t>N</t>
        </is>
      </c>
      <c r="AB73" s="117" t="inlineStr">
        <is>
          <t>T</t>
        </is>
      </c>
      <c r="AC73" s="107" t="n"/>
      <c r="AD73" s="107" t="n"/>
      <c r="AE73" s="107" t="n"/>
      <c r="AF73" s="107" t="n"/>
      <c r="AG73" s="107" t="n"/>
      <c r="AH73" s="116" t="inlineStr">
        <is>
          <t>N</t>
        </is>
      </c>
      <c r="AI73" s="108" t="inlineStr">
        <is>
          <t>M</t>
        </is>
      </c>
      <c r="AJ73" s="107" t="n"/>
      <c r="AK73" s="116" t="inlineStr">
        <is>
          <t>N</t>
        </is>
      </c>
      <c r="AL73" s="116" t="inlineStr">
        <is>
          <t>N</t>
        </is>
      </c>
      <c r="AM73" s="107" t="n"/>
      <c r="AN73" s="123">
        <f>IFERROR(INDEX(ABR!I$8:I$73,MATCH($A73,ABR!$A$8:$A$73,0))&amp;"","")</f>
        <v/>
      </c>
      <c r="AO73" s="123">
        <f>IFERROR(INDEX(ABR!J$8:J$73,MATCH($A73,ABR!$A$8:$A$73,0))&amp;"","")</f>
        <v/>
      </c>
      <c r="AP73" s="123">
        <f>IFERROR(INDEX(ABR!K$8:K$73,MATCH($A73,ABR!$A$8:$A$73,0))&amp;"","")</f>
        <v/>
      </c>
      <c r="AQ73" s="109">
        <f>IFERROR(INDEX(ABR!L$8:L$73,MATCH($A73,ABR!$A$8:$A$73,0))&amp;"","")</f>
        <v/>
      </c>
      <c r="AR73" s="109">
        <f>IFERROR(INDEX(ABR!M$8:M$73,MATCH($A73,ABR!$A$8:$A$73,0))&amp;"","")</f>
        <v/>
      </c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SUMPRODUCT(($C73:$I73="M")*6+($C73:$I73="T")*6+($C73:$I73="D")*12+($C73:$I73="N")*12+($C73:$I73="NT")*6+($C73:$I73="C")*10+($C73:$I73="A")*8+($C73:$I73="J")*5+($C73:$I73="E")*4+($C73:$I73="P")*6+($C73:$I73="R")*6)</f>
        <v/>
      </c>
      <c r="BF73" s="110">
        <f>SUMPRODUCT(($J73:$P73="M")*6+($J73:$P73="T")*6+($J73:$P73="D")*12+($J73:$P73="N")*12+($J73:$P73="NT")*6+($J73:$P73="C")*10+($J73:$P73="A")*8+($J73:$P73="J")*5+($J73:$P73="E")*4+($J73:$P73="P")*6+($J73:$P73="R")*6)</f>
        <v/>
      </c>
      <c r="BG73" s="110">
        <f>SUMPRODUCT(($Q73:$W73="M")*6+($Q73:$W73="T")*6+($Q73:$W73="D")*12+($Q73:$W73="N")*12+($Q73:$W73="NT")*6+($Q73:$W73="C")*10+($Q73:$W73="A")*8+($Q73:$W73="J")*5+($Q73:$W73="E")*4+($Q73:$W73="P")*6+($Q73:$W73="R")*6)</f>
        <v/>
      </c>
      <c r="BH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I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J73" s="110">
        <f>SUMPRODUCT(($AL73:$AM73="M")*6+($AL73:$AM73="T")*6+($AL73:$AM73="D")*12+($AL73:$AM73="N")*12+($AL73:$AM73="NT")*6+($AL73:$AM73="C")*10+($AL73:$AM73="A")*8+($AL73:$AM73="J")*5+($AL73:$AM73="E")*4+($AL73:$AM73="P")*6+($AL73:$AM73="R")*6)+SUMPRODUCT(($AN73:$AR73="M")*6+($AN73:$AR73="T")*6+($AN73:$AR73="D")*12+($AN73:$AR73="N")*12+($AN73:$AR73="NT")*6+($AN73:$AR73="C")*10+($AN73:$AR73="A")*8+($AN73:$AR73="J")*5+($AN73:$AR73="E")*4+($AN73:$AR73="P")*6+($AN73:$AR73="R")*6)</f>
        <v/>
      </c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120">
        <f>COUNTIF(C8:C73,"M")+COUNTIF(C8:C73,"D")+COUNTIF(C8:C73,"C")+COUNTIF(C8:C73,"J")+COUNTIF(C8:C73,"E")</f>
        <v/>
      </c>
      <c r="D75" s="120">
        <f>COUNTIF(D8:D73,"M")+COUNTIF(D8:D73,"D")+COUNTIF(D8:D73,"C")+COUNTIF(D8:D73,"J")+COUNTIF(D8:D73,"E")</f>
        <v/>
      </c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120">
        <f>COUNTIF(AR8:AR73,"M")+COUNTIF(AR8:AR73,"D")+COUNTIF(AR8:AR73,"C")+COUNTIF(AR8:AR73,"J")+COUNTIF(AR8:AR73,"E")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120">
        <f>COUNTIF(C8:C73,"T")+COUNTIF(C8:C73,"D")+COUNTIF(C8:C73,"C")</f>
        <v/>
      </c>
      <c r="D76" s="120">
        <f>COUNTIF(D8:D73,"T")+COUNTIF(D8:D73,"D")+COUNTIF(D8:D73,"C")</f>
        <v/>
      </c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120">
        <f>COUNTIF(AR8:AR73,"T")+COUNTIF(AR8:AR73,"D")+COUNTIF(AR8:AR73,"C")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120">
        <f>COUNTIF(C8:C73,"N")+COUNTIF(C8:C73,"NT")</f>
        <v/>
      </c>
      <c r="D77" s="120">
        <f>COUNTIF(D8:D73,"N")+COUNTIF(D8:D73,"NT")</f>
        <v/>
      </c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120">
        <f>COUNTIF(AR8:AR73,"N")+COUNTIF(AR8:AR73,"NT")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122">
        <f>MAX(0,CONFIG!$B$9-C75)</f>
        <v/>
      </c>
      <c r="D78" s="122">
        <f>MAX(0,CONFIG!$B$9-D75)</f>
        <v/>
      </c>
      <c r="E78" s="122">
        <f>MAX(0,CONFIG!$B$9-E75)</f>
        <v/>
      </c>
      <c r="F78" s="122">
        <f>MAX(0,CONFIG!$B$9-F75)</f>
        <v/>
      </c>
      <c r="G78" s="122">
        <f>MAX(0,CONFIG!$B$9-G75)</f>
        <v/>
      </c>
      <c r="H78" s="122">
        <f>MAX(0,CONFIG!$B$10-H75)</f>
        <v/>
      </c>
      <c r="I78" s="122">
        <f>MAX(0,CONFIG!$B$11-I75)</f>
        <v/>
      </c>
      <c r="J78" s="122">
        <f>MAX(0,CONFIG!$B$9-J75)</f>
        <v/>
      </c>
      <c r="K78" s="122">
        <f>MAX(0,CONFIG!$B$9-K75)</f>
        <v/>
      </c>
      <c r="L78" s="122">
        <f>MAX(0,CONFIG!$B$9-L75)</f>
        <v/>
      </c>
      <c r="M78" s="122">
        <f>MAX(0,CONFIG!$B$9-M75)</f>
        <v/>
      </c>
      <c r="N78" s="122">
        <f>MAX(0,CONFIG!$B$9-N75)</f>
        <v/>
      </c>
      <c r="O78" s="122">
        <f>MAX(0,CONFIG!$B$10-O75)</f>
        <v/>
      </c>
      <c r="P78" s="122">
        <f>MAX(0,CONFIG!$B$11-P75)</f>
        <v/>
      </c>
      <c r="Q78" s="122">
        <f>MAX(0,CONFIG!$B$9-Q75)</f>
        <v/>
      </c>
      <c r="R78" s="122">
        <f>MAX(0,CONFIG!$B$9-R75)</f>
        <v/>
      </c>
      <c r="S78" s="122">
        <f>MAX(0,CONFIG!$B$9-S75)</f>
        <v/>
      </c>
      <c r="T78" s="122">
        <f>MAX(0,CONFIG!$B$9-T75)</f>
        <v/>
      </c>
      <c r="U78" s="122">
        <f>MAX(0,CONFIG!$B$9-U75)</f>
        <v/>
      </c>
      <c r="V78" s="122">
        <f>MAX(0,CONFIG!$B$10-V75)</f>
        <v/>
      </c>
      <c r="W78" s="122">
        <f>MAX(0,CONFIG!$B$11-W75)</f>
        <v/>
      </c>
      <c r="X78" s="122">
        <f>MAX(0,CONFIG!$B$9-X75)</f>
        <v/>
      </c>
      <c r="Y78" s="122">
        <f>MAX(0,CONFIG!$B$9-Y75)</f>
        <v/>
      </c>
      <c r="Z78" s="122">
        <f>MAX(0,CONFIG!$B$9-Z75)</f>
        <v/>
      </c>
      <c r="AA78" s="122">
        <f>MAX(0,CONFIG!$B$9-AA75)</f>
        <v/>
      </c>
      <c r="AB78" s="122">
        <f>MAX(0,CONFIG!$B$9-AB75)</f>
        <v/>
      </c>
      <c r="AC78" s="122">
        <f>MAX(0,CONFIG!$B$10-AC75)</f>
        <v/>
      </c>
      <c r="AD78" s="122">
        <f>MAX(0,CONFIG!$B$11-AD75)</f>
        <v/>
      </c>
      <c r="AE78" s="122">
        <f>MAX(0,CONFIG!$B$9-AE75)</f>
        <v/>
      </c>
      <c r="AF78" s="122">
        <f>MAX(0,CONFIG!$B$9-AF75)</f>
        <v/>
      </c>
      <c r="AG78" s="122">
        <f>MAX(0,CONFIG!$B$9-AG75)</f>
        <v/>
      </c>
      <c r="AH78" s="122">
        <f>MAX(0,CONFIG!$B$9-AH75)</f>
        <v/>
      </c>
      <c r="AI78" s="122">
        <f>MAX(0,CONFIG!$B$9-AI75)</f>
        <v/>
      </c>
      <c r="AJ78" s="122">
        <f>MAX(0,CONFIG!$B$10-AJ75)</f>
        <v/>
      </c>
      <c r="AK78" s="122">
        <f>MAX(0,CONFIG!$B$11-AK75)</f>
        <v/>
      </c>
      <c r="AL78" s="122">
        <f>MAX(0,CONFIG!$B$9-AL75)</f>
        <v/>
      </c>
      <c r="AM78" s="122">
        <f>MAX(0,CONFIG!$B$9-AM75)</f>
        <v/>
      </c>
      <c r="AN78" s="122">
        <f>MAX(0,CONFIG!$B$9-AN75)</f>
        <v/>
      </c>
      <c r="AO78" s="122">
        <f>MAX(0,CONFIG!$B$9-AO75)</f>
        <v/>
      </c>
      <c r="AP78" s="122">
        <f>MAX(0,CONFIG!$B$9-AP75)</f>
        <v/>
      </c>
      <c r="AQ78" s="122">
        <f>MAX(0,CONFIG!$B$10-AQ75)</f>
        <v/>
      </c>
      <c r="AR78" s="122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122">
        <f>MAX(0,CONFIG!$C$9-C76)</f>
        <v/>
      </c>
      <c r="D79" s="122">
        <f>MAX(0,CONFIG!$C$9-D76)</f>
        <v/>
      </c>
      <c r="E79" s="122">
        <f>MAX(0,CONFIG!$C$9-E76)</f>
        <v/>
      </c>
      <c r="F79" s="122">
        <f>MAX(0,CONFIG!$C$9-F76)</f>
        <v/>
      </c>
      <c r="G79" s="122">
        <f>MAX(0,CONFIG!$C$9-G76)</f>
        <v/>
      </c>
      <c r="H79" s="122">
        <f>MAX(0,CONFIG!$C$10-H76)</f>
        <v/>
      </c>
      <c r="I79" s="122">
        <f>MAX(0,CONFIG!$C$11-I76)</f>
        <v/>
      </c>
      <c r="J79" s="122">
        <f>MAX(0,CONFIG!$C$9-J76)</f>
        <v/>
      </c>
      <c r="K79" s="122">
        <f>MAX(0,CONFIG!$C$9-K76)</f>
        <v/>
      </c>
      <c r="L79" s="122">
        <f>MAX(0,CONFIG!$C$9-L76)</f>
        <v/>
      </c>
      <c r="M79" s="122">
        <f>MAX(0,CONFIG!$C$9-M76)</f>
        <v/>
      </c>
      <c r="N79" s="122">
        <f>MAX(0,CONFIG!$C$9-N76)</f>
        <v/>
      </c>
      <c r="O79" s="122">
        <f>MAX(0,CONFIG!$C$10-O76)</f>
        <v/>
      </c>
      <c r="P79" s="122">
        <f>MAX(0,CONFIG!$C$11-P76)</f>
        <v/>
      </c>
      <c r="Q79" s="122">
        <f>MAX(0,CONFIG!$C$9-Q76)</f>
        <v/>
      </c>
      <c r="R79" s="122">
        <f>MAX(0,CONFIG!$C$9-R76)</f>
        <v/>
      </c>
      <c r="S79" s="122">
        <f>MAX(0,CONFIG!$C$9-S76)</f>
        <v/>
      </c>
      <c r="T79" s="122">
        <f>MAX(0,CONFIG!$C$9-T76)</f>
        <v/>
      </c>
      <c r="U79" s="122">
        <f>MAX(0,CONFIG!$C$9-U76)</f>
        <v/>
      </c>
      <c r="V79" s="122">
        <f>MAX(0,CONFIG!$C$10-V76)</f>
        <v/>
      </c>
      <c r="W79" s="122">
        <f>MAX(0,CONFIG!$C$11-W76)</f>
        <v/>
      </c>
      <c r="X79" s="122">
        <f>MAX(0,CONFIG!$C$9-X76)</f>
        <v/>
      </c>
      <c r="Y79" s="122">
        <f>MAX(0,CONFIG!$C$9-Y76)</f>
        <v/>
      </c>
      <c r="Z79" s="122">
        <f>MAX(0,CONFIG!$C$9-Z76)</f>
        <v/>
      </c>
      <c r="AA79" s="122">
        <f>MAX(0,CONFIG!$C$9-AA76)</f>
        <v/>
      </c>
      <c r="AB79" s="122">
        <f>MAX(0,CONFIG!$C$9-AB76)</f>
        <v/>
      </c>
      <c r="AC79" s="122">
        <f>MAX(0,CONFIG!$C$10-AC76)</f>
        <v/>
      </c>
      <c r="AD79" s="122">
        <f>MAX(0,CONFIG!$C$11-AD76)</f>
        <v/>
      </c>
      <c r="AE79" s="122">
        <f>MAX(0,CONFIG!$C$9-AE76)</f>
        <v/>
      </c>
      <c r="AF79" s="122">
        <f>MAX(0,CONFIG!$C$9-AF76)</f>
        <v/>
      </c>
      <c r="AG79" s="122">
        <f>MAX(0,CONFIG!$C$9-AG76)</f>
        <v/>
      </c>
      <c r="AH79" s="122">
        <f>MAX(0,CONFIG!$C$9-AH76)</f>
        <v/>
      </c>
      <c r="AI79" s="122">
        <f>MAX(0,CONFIG!$C$9-AI76)</f>
        <v/>
      </c>
      <c r="AJ79" s="122">
        <f>MAX(0,CONFIG!$C$10-AJ76)</f>
        <v/>
      </c>
      <c r="AK79" s="122">
        <f>MAX(0,CONFIG!$C$11-AK76)</f>
        <v/>
      </c>
      <c r="AL79" s="122">
        <f>MAX(0,CONFIG!$C$9-AL76)</f>
        <v/>
      </c>
      <c r="AM79" s="122">
        <f>MAX(0,CONFIG!$C$9-AM76)</f>
        <v/>
      </c>
      <c r="AN79" s="122">
        <f>MAX(0,CONFIG!$C$9-AN76)</f>
        <v/>
      </c>
      <c r="AO79" s="122">
        <f>MAX(0,CONFIG!$C$9-AO76)</f>
        <v/>
      </c>
      <c r="AP79" s="122">
        <f>MAX(0,CONFIG!$C$9-AP76)</f>
        <v/>
      </c>
      <c r="AQ79" s="122">
        <f>MAX(0,CONFIG!$C$10-AQ76)</f>
        <v/>
      </c>
      <c r="AR79" s="122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122">
        <f>MAX(0,CONFIG!$D$9-C77)</f>
        <v/>
      </c>
      <c r="D80" s="122">
        <f>MAX(0,CONFIG!$D$9-D77)</f>
        <v/>
      </c>
      <c r="E80" s="122">
        <f>MAX(0,CONFIG!$D$9-E77)</f>
        <v/>
      </c>
      <c r="F80" s="122">
        <f>MAX(0,CONFIG!$D$9-F77)</f>
        <v/>
      </c>
      <c r="G80" s="122">
        <f>MAX(0,CONFIG!$D$9-G77)</f>
        <v/>
      </c>
      <c r="H80" s="122">
        <f>MAX(0,CONFIG!$D$10-H77)</f>
        <v/>
      </c>
      <c r="I80" s="122">
        <f>MAX(0,CONFIG!$D$11-I77)</f>
        <v/>
      </c>
      <c r="J80" s="122">
        <f>MAX(0,CONFIG!$D$9-J77)</f>
        <v/>
      </c>
      <c r="K80" s="122">
        <f>MAX(0,CONFIG!$D$9-K77)</f>
        <v/>
      </c>
      <c r="L80" s="122">
        <f>MAX(0,CONFIG!$D$9-L77)</f>
        <v/>
      </c>
      <c r="M80" s="122">
        <f>MAX(0,CONFIG!$D$9-M77)</f>
        <v/>
      </c>
      <c r="N80" s="122">
        <f>MAX(0,CONFIG!$D$9-N77)</f>
        <v/>
      </c>
      <c r="O80" s="122">
        <f>MAX(0,CONFIG!$D$10-O77)</f>
        <v/>
      </c>
      <c r="P80" s="122">
        <f>MAX(0,CONFIG!$D$11-P77)</f>
        <v/>
      </c>
      <c r="Q80" s="122">
        <f>MAX(0,CONFIG!$D$9-Q77)</f>
        <v/>
      </c>
      <c r="R80" s="122">
        <f>MAX(0,CONFIG!$D$9-R77)</f>
        <v/>
      </c>
      <c r="S80" s="122">
        <f>MAX(0,CONFIG!$D$9-S77)</f>
        <v/>
      </c>
      <c r="T80" s="122">
        <f>MAX(0,CONFIG!$D$9-T77)</f>
        <v/>
      </c>
      <c r="U80" s="122">
        <f>MAX(0,CONFIG!$D$9-U77)</f>
        <v/>
      </c>
      <c r="V80" s="122">
        <f>MAX(0,CONFIG!$D$10-V77)</f>
        <v/>
      </c>
      <c r="W80" s="122">
        <f>MAX(0,CONFIG!$D$11-W77)</f>
        <v/>
      </c>
      <c r="X80" s="122">
        <f>MAX(0,CONFIG!$D$9-X77)</f>
        <v/>
      </c>
      <c r="Y80" s="122">
        <f>MAX(0,CONFIG!$D$9-Y77)</f>
        <v/>
      </c>
      <c r="Z80" s="122">
        <f>MAX(0,CONFIG!$D$9-Z77)</f>
        <v/>
      </c>
      <c r="AA80" s="122">
        <f>MAX(0,CONFIG!$D$9-AA77)</f>
        <v/>
      </c>
      <c r="AB80" s="122">
        <f>MAX(0,CONFIG!$D$9-AB77)</f>
        <v/>
      </c>
      <c r="AC80" s="122">
        <f>MAX(0,CONFIG!$D$10-AC77)</f>
        <v/>
      </c>
      <c r="AD80" s="122">
        <f>MAX(0,CONFIG!$D$11-AD77)</f>
        <v/>
      </c>
      <c r="AE80" s="122">
        <f>MAX(0,CONFIG!$D$9-AE77)</f>
        <v/>
      </c>
      <c r="AF80" s="122">
        <f>MAX(0,CONFIG!$D$9-AF77)</f>
        <v/>
      </c>
      <c r="AG80" s="122">
        <f>MAX(0,CONFIG!$D$9-AG77)</f>
        <v/>
      </c>
      <c r="AH80" s="122">
        <f>MAX(0,CONFIG!$D$9-AH77)</f>
        <v/>
      </c>
      <c r="AI80" s="122">
        <f>MAX(0,CONFIG!$D$9-AI77)</f>
        <v/>
      </c>
      <c r="AJ80" s="122">
        <f>MAX(0,CONFIG!$D$10-AJ77)</f>
        <v/>
      </c>
      <c r="AK80" s="122">
        <f>MAX(0,CONFIG!$D$11-AK77)</f>
        <v/>
      </c>
      <c r="AL80" s="122">
        <f>MAX(0,CONFIG!$D$9-AL77)</f>
        <v/>
      </c>
      <c r="AM80" s="122">
        <f>MAX(0,CONFIG!$D$9-AM77)</f>
        <v/>
      </c>
      <c r="AN80" s="122">
        <f>MAX(0,CONFIG!$D$9-AN77)</f>
        <v/>
      </c>
      <c r="AO80" s="122">
        <f>MAX(0,CONFIG!$D$9-AO77)</f>
        <v/>
      </c>
      <c r="AP80" s="122">
        <f>MAX(0,CONFIG!$D$9-AP77)</f>
        <v/>
      </c>
      <c r="AQ80" s="122">
        <f>MAX(0,CONFIG!$D$10-AQ77)</f>
        <v/>
      </c>
      <c r="AR80" s="122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30/03</t>
        </is>
      </c>
      <c r="H2" s="97" t="inlineStr">
        <is>
          <t>31/03</t>
        </is>
      </c>
      <c r="I2" s="99" t="n">
        <v>1</v>
      </c>
      <c r="J2" s="99" t="n">
        <v>2</v>
      </c>
      <c r="K2" s="98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8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01/05</t>
        </is>
      </c>
      <c r="AO2" s="101" t="inlineStr">
        <is>
          <t>02/05</t>
        </is>
      </c>
      <c r="AP2" s="101" t="inlineStr">
        <is>
          <t>03/05</t>
        </is>
      </c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3" t="inlineStr">
        <is>
          <t>paix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3" t="inlineStr">
        <is>
          <t>tira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96" t="n"/>
      <c r="AN3" s="102" t="inlineStr">
        <is>
          <t>sex</t>
        </is>
      </c>
      <c r="AO3" s="104" t="inlineStr">
        <is>
          <t>sáb</t>
        </is>
      </c>
      <c r="AP3" s="104" t="inlineStr">
        <is>
          <t>dom</t>
        </is>
      </c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1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1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3">
        <f>IFERROR(INDEX(MAR!AL$8:AL$73,MATCH($A8,MAR!$A$8:$A$73,0))&amp;"","")</f>
        <v/>
      </c>
      <c r="H8" s="123">
        <f>IFERROR(INDEX(MAR!AM$8:AM$73,MATCH($A8,MAR!$A$8:$A$73,0))&amp;"","")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24" t="inlineStr">
        <is>
          <t>C</t>
        </is>
      </c>
      <c r="O8" s="124" t="inlineStr">
        <is>
          <t>C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24" t="inlineStr">
        <is>
          <t>C</t>
        </is>
      </c>
      <c r="V8" s="124" t="inlineStr">
        <is>
          <t>C</t>
        </is>
      </c>
      <c r="W8" s="108" t="inlineStr">
        <is>
          <t>M</t>
        </is>
      </c>
      <c r="X8" s="108" t="inlineStr">
        <is>
          <t>M</t>
        </is>
      </c>
      <c r="Y8" s="124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24" t="inlineStr">
        <is>
          <t>C</t>
        </is>
      </c>
      <c r="AC8" s="124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24" t="inlineStr">
        <is>
          <t>C</t>
        </is>
      </c>
      <c r="AJ8" s="124" t="inlineStr">
        <is>
          <t>C</t>
        </is>
      </c>
      <c r="AK8" s="108" t="inlineStr">
        <is>
          <t>M</t>
        </is>
      </c>
      <c r="AL8" s="108" t="inlineStr">
        <is>
          <t>M</t>
        </is>
      </c>
      <c r="AM8" s="96" t="n"/>
      <c r="AN8" s="123">
        <f>IFERROR(INDEX(MAI!I$8:I$73,MATCH($A8,MAI!$A$8:$A$73,0))&amp;"","")</f>
        <v/>
      </c>
      <c r="AO8" s="109">
        <f>IFERROR(INDEX(MAI!J$8:J$73,MATCH($A8,MAI!$A$8:$A$73,0))&amp;"","")</f>
        <v/>
      </c>
      <c r="AP8" s="109">
        <f>IFERROR(INDEX(MAI!K$8:K$73,MATCH($A8,MAI!$A$8:$A$73,0))&amp;"","")</f>
        <v/>
      </c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SUMPRODUCT(($G8:$M8="M")*6+($G8:$M8="T")*6+($G8:$M8="D")*12+($G8:$M8="N")*12+($G8:$M8="NT")*6+($G8:$M8="C")*10+($G8:$M8="A")*8+($G8:$M8="J")*5+($G8:$M8="E")*4+($G8:$M8="P")*6+($G8:$M8="R")*6)</f>
        <v/>
      </c>
      <c r="BF8" s="110">
        <f>SUMPRODUCT(($N8:$T8="M")*6+($N8:$T8="T")*6+($N8:$T8="D")*12+($N8:$T8="N")*12+($N8:$T8="NT")*6+($N8:$T8="C")*10+($N8:$T8="A")*8+($N8:$T8="J")*5+($N8:$T8="E")*4+($N8:$T8="P")*6+($N8:$T8="R")*6)</f>
        <v/>
      </c>
      <c r="BG8" s="110">
        <f>SUMPRODUCT(($U8:$AA8="M")*6+($U8:$AA8="T")*6+($U8:$AA8="D")*12+($U8:$AA8="N")*12+($U8:$AA8="NT")*6+($U8:$AA8="C")*10+($U8:$AA8="A")*8+($U8:$AA8="J")*5+($U8:$AA8="E")*4+($U8:$AA8="P")*6+($U8:$AA8="R")*6)</f>
        <v/>
      </c>
      <c r="BH8" s="110">
        <f>SUMPRODUCT(($AB8:$AH8="M")*6+($AB8:$AH8="T")*6+($AB8:$AH8="D")*12+($AB8:$AH8="N")*12+($AB8:$AH8="NT")*6+($AB8:$AH8="C")*10+($AB8:$AH8="A")*8+($AB8:$AH8="J")*5+($AB8:$AH8="E")*4+($AB8:$AH8="P")*6+($AB8:$AH8="R")*6)</f>
        <v/>
      </c>
      <c r="BI8" s="110">
        <f>SUMPRODUCT(($AI8:$AL8="M")*6+($AI8:$AL8="T")*6+($AI8:$AL8="D")*12+($AI8:$AL8="N")*12+($AI8:$AL8="NT")*6+($AI8:$AL8="C")*10+($AI8:$AL8="A")*8+($AI8:$AL8="J")*5+($AI8:$AL8="E")*4+($AI8:$AL8="P")*6+($AI8:$AL8="R")*6)+SUMPRODUCT(($AN8:$AP8="M")*6+($AN8:$AP8="T")*6+($AN8:$AP8="D")*12+($AN8:$AP8="N")*12+($AN8:$AP8="NT")*6+($AN8:$AP8="C")*10+($AN8:$AP8="A")*8+($AN8:$AP8="J")*5+($AN8:$AP8="E")*4+($AN8:$AP8="P")*6+($AN8:$AP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3">
        <f>IFERROR(INDEX(MAR!AL$8:AL$73,MATCH($A9,MAR!$A$8:$A$73,0))&amp;"","")</f>
        <v/>
      </c>
      <c r="H9" s="123">
        <f>IFERROR(INDEX(MAR!AM$8:AM$73,MATCH($A9,MAR!$A$8:$A$73,0))&amp;"","")</f>
        <v/>
      </c>
      <c r="I9" s="108" t="inlineStr">
        <is>
          <t>M</t>
        </is>
      </c>
      <c r="J9" s="124" t="inlineStr">
        <is>
          <t>C</t>
        </is>
      </c>
      <c r="K9" s="124" t="inlineStr">
        <is>
          <t>C</t>
        </is>
      </c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24" t="inlineStr">
        <is>
          <t>C</t>
        </is>
      </c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8" t="inlineStr">
        <is>
          <t>M</t>
        </is>
      </c>
      <c r="AK9" s="108" t="inlineStr">
        <is>
          <t>M</t>
        </is>
      </c>
      <c r="AL9" s="124" t="inlineStr">
        <is>
          <t>C</t>
        </is>
      </c>
      <c r="AM9" s="96" t="n"/>
      <c r="AN9" s="123">
        <f>IFERROR(INDEX(MAI!I$8:I$73,MATCH($A9,MAI!$A$8:$A$73,0))&amp;"","")</f>
        <v/>
      </c>
      <c r="AO9" s="109">
        <f>IFERROR(INDEX(MAI!J$8:J$73,MATCH($A9,MAI!$A$8:$A$73,0))&amp;"","")</f>
        <v/>
      </c>
      <c r="AP9" s="109">
        <f>IFERROR(INDEX(MAI!K$8:K$73,MATCH($A9,MAI!$A$8:$A$73,0))&amp;"","")</f>
        <v/>
      </c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SUMPRODUCT(($G9:$M9="M")*6+($G9:$M9="T")*6+($G9:$M9="D")*12+($G9:$M9="N")*12+($G9:$M9="NT")*6+($G9:$M9="C")*10+($G9:$M9="A")*8+($G9:$M9="J")*5+($G9:$M9="E")*4+($G9:$M9="P")*6+($G9:$M9="R")*6)</f>
        <v/>
      </c>
      <c r="BF9" s="110">
        <f>SUMPRODUCT(($N9:$T9="M")*6+($N9:$T9="T")*6+($N9:$T9="D")*12+($N9:$T9="N")*12+($N9:$T9="NT")*6+($N9:$T9="C")*10+($N9:$T9="A")*8+($N9:$T9="J")*5+($N9:$T9="E")*4+($N9:$T9="P")*6+($N9:$T9="R")*6)</f>
        <v/>
      </c>
      <c r="BG9" s="110">
        <f>SUMPRODUCT(($U9:$AA9="M")*6+($U9:$AA9="T")*6+($U9:$AA9="D")*12+($U9:$AA9="N")*12+($U9:$AA9="NT")*6+($U9:$AA9="C")*10+($U9:$AA9="A")*8+($U9:$AA9="J")*5+($U9:$AA9="E")*4+($U9:$AA9="P")*6+($U9:$AA9="R")*6)</f>
        <v/>
      </c>
      <c r="BH9" s="110">
        <f>SUMPRODUCT(($AB9:$AH9="M")*6+($AB9:$AH9="T")*6+($AB9:$AH9="D")*12+($AB9:$AH9="N")*12+($AB9:$AH9="NT")*6+($AB9:$AH9="C")*10+($AB9:$AH9="A")*8+($AB9:$AH9="J")*5+($AB9:$AH9="E")*4+($AB9:$AH9="P")*6+($AB9:$AH9="R")*6)</f>
        <v/>
      </c>
      <c r="BI9" s="110">
        <f>SUMPRODUCT(($AI9:$AL9="M")*6+($AI9:$AL9="T")*6+($AI9:$AL9="D")*12+($AI9:$AL9="N")*12+($AI9:$AL9="NT")*6+($AI9:$AL9="C")*10+($AI9:$AL9="A")*8+($AI9:$AL9="J")*5+($AI9:$AL9="E")*4+($AI9:$AL9="P")*6+($AI9:$AL9="R")*6)+SUMPRODUCT(($AN9:$AP9="M")*6+($AN9:$AP9="T")*6+($AN9:$AP9="D")*12+($AN9:$AP9="N")*12+($AN9:$AP9="NT")*6+($AN9:$AP9="C")*10+($AN9:$AP9="A")*8+($AN9:$AP9="J")*5+($AN9:$AP9="E")*4+($AN9:$AP9="P")*6+($AN9:$AP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3">
        <f>IFERROR(INDEX(MAR!AL$8:AL$73,MATCH($A10,MAR!$A$8:$A$73,0))&amp;"","")</f>
        <v/>
      </c>
      <c r="H10" s="123">
        <f>IFERROR(INDEX(MAR!AM$8:AM$73,MATCH($A10,MAR!$A$8:$A$73,0))&amp;"","")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3">
        <f>IFERROR(INDEX(MAI!I$8:I$73,MATCH($A10,MAI!$A$8:$A$73,0))&amp;"","")</f>
        <v/>
      </c>
      <c r="AO10" s="109">
        <f>IFERROR(INDEX(MAI!J$8:J$73,MATCH($A10,MAI!$A$8:$A$73,0))&amp;"","")</f>
        <v/>
      </c>
      <c r="AP10" s="109">
        <f>IFERROR(INDEX(MAI!K$8:K$73,MATCH($A10,MAI!$A$8:$A$73,0))&amp;"","")</f>
        <v/>
      </c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SUMPRODUCT(($G10:$M10="M")*6+($G10:$M10="T")*6+($G10:$M10="D")*12+($G10:$M10="N")*12+($G10:$M10="NT")*6+($G10:$M10="C")*10+($G10:$M10="A")*8+($G10:$M10="J")*5+($G10:$M10="E")*4+($G10:$M10="P")*6+($G10:$M10="R")*6)</f>
        <v/>
      </c>
      <c r="BF10" s="110">
        <f>SUMPRODUCT(($N10:$T10="M")*6+($N10:$T10="T")*6+($N10:$T10="D")*12+($N10:$T10="N")*12+($N10:$T10="NT")*6+($N10:$T10="C")*10+($N10:$T10="A")*8+($N10:$T10="J")*5+($N10:$T10="E")*4+($N10:$T10="P")*6+($N10:$T10="R")*6)</f>
        <v/>
      </c>
      <c r="BG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H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I10" s="110">
        <f>SUMPRODUCT(($AI10:$AL10="M")*6+($AI10:$AL10="T")*6+($AI10:$AL10="D")*12+($AI10:$AL10="N")*12+($AI10:$AL10="NT")*6+($AI10:$AL10="C")*10+($AI10:$AL10="A")*8+($AI10:$AL10="J")*5+($AI10:$AL10="E")*4+($AI10:$AL10="P")*6+($AI10:$AL10="R")*6)+SUMPRODUCT(($AN10:$AP10="M")*6+($AN10:$AP10="T")*6+($AN10:$AP10="D")*12+($AN10:$AP10="N")*12+($AN10:$AP10="NT")*6+($AN10:$AP10="C")*10+($AN10:$AP10="A")*8+($AN10:$AP10="J")*5+($AN10:$AP10="E")*4+($AN10:$AP10="P")*6+($AN10:$AP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3">
        <f>IFERROR(INDEX(MAR!AL$8:AL$73,MATCH($A11,MAR!$A$8:$A$73,0))&amp;"","")</f>
        <v/>
      </c>
      <c r="H11" s="123">
        <f>IFERROR(INDEX(MAR!AM$8:AM$73,MATCH($A11,MAR!$A$8:$A$73,0))&amp;"","")</f>
        <v/>
      </c>
      <c r="I11" s="108" t="inlineStr">
        <is>
          <t>M</t>
        </is>
      </c>
      <c r="J11" s="115" t="inlineStr">
        <is>
          <t>D</t>
        </is>
      </c>
      <c r="K11" s="108" t="inlineStr">
        <is>
          <t>M</t>
        </is>
      </c>
      <c r="L11" s="107" t="n"/>
      <c r="M11" s="107" t="n"/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16" t="inlineStr">
        <is>
          <t>N</t>
        </is>
      </c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7" t="n"/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16" t="inlineStr">
        <is>
          <t>N</t>
        </is>
      </c>
      <c r="AH11" s="107" t="n"/>
      <c r="AI11" s="108" t="inlineStr">
        <is>
          <t>M</t>
        </is>
      </c>
      <c r="AJ11" s="108" t="inlineStr">
        <is>
          <t>M</t>
        </is>
      </c>
      <c r="AK11" s="115" t="inlineStr">
        <is>
          <t>D</t>
        </is>
      </c>
      <c r="AL11" s="115" t="inlineStr">
        <is>
          <t>D</t>
        </is>
      </c>
      <c r="AM11" s="96" t="n"/>
      <c r="AN11" s="123">
        <f>IFERROR(INDEX(MAI!I$8:I$73,MATCH($A11,MAI!$A$8:$A$73,0))&amp;"","")</f>
        <v/>
      </c>
      <c r="AO11" s="109">
        <f>IFERROR(INDEX(MAI!J$8:J$73,MATCH($A11,MAI!$A$8:$A$73,0))&amp;"","")</f>
        <v/>
      </c>
      <c r="AP11" s="109">
        <f>IFERROR(INDEX(MAI!K$8:K$73,MATCH($A11,MAI!$A$8:$A$73,0))&amp;"","")</f>
        <v/>
      </c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SUMPRODUCT(($G11:$M11="M")*6+($G11:$M11="T")*6+($G11:$M11="D")*12+($G11:$M11="N")*12+($G11:$M11="NT")*6+($G11:$M11="C")*10+($G11:$M11="A")*8+($G11:$M11="J")*5+($G11:$M11="E")*4+($G11:$M11="P")*6+($G11:$M11="R")*6)</f>
        <v/>
      </c>
      <c r="BF11" s="110">
        <f>SUMPRODUCT(($N11:$T11="M")*6+($N11:$T11="T")*6+($N11:$T11="D")*12+($N11:$T11="N")*12+($N11:$T11="NT")*6+($N11:$T11="C")*10+($N11:$T11="A")*8+($N11:$T11="J")*5+($N11:$T11="E")*4+($N11:$T11="P")*6+($N11:$T11="R")*6)</f>
        <v/>
      </c>
      <c r="BG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H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I11" s="110">
        <f>SUMPRODUCT(($AI11:$AL11="M")*6+($AI11:$AL11="T")*6+($AI11:$AL11="D")*12+($AI11:$AL11="N")*12+($AI11:$AL11="NT")*6+($AI11:$AL11="C")*10+($AI11:$AL11="A")*8+($AI11:$AL11="J")*5+($AI11:$AL11="E")*4+($AI11:$AL11="P")*6+($AI11:$AL11="R")*6)+SUMPRODUCT(($AN11:$AP11="M")*6+($AN11:$AP11="T")*6+($AN11:$AP11="D")*12+($AN11:$AP11="N")*12+($AN11:$AP11="NT")*6+($AN11:$AP11="C")*10+($AN11:$AP11="A")*8+($AN11:$AP11="J")*5+($AN11:$AP11="E")*4+($AN11:$AP11="P")*6+($AN11:$AP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3">
        <f>IFERROR(INDEX(MAR!AL$8:AL$73,MATCH($A12,MAR!$A$8:$A$73,0))&amp;"","")</f>
        <v/>
      </c>
      <c r="H12" s="123">
        <f>IFERROR(INDEX(MAR!AM$8:AM$73,MATCH($A12,MAR!$A$8:$A$73,0))&amp;"","")</f>
        <v/>
      </c>
      <c r="I12" s="108" t="inlineStr">
        <is>
          <t>M</t>
        </is>
      </c>
      <c r="J12" s="108" t="inlineStr">
        <is>
          <t>M</t>
        </is>
      </c>
      <c r="K12" s="115" t="inlineStr">
        <is>
          <t>D</t>
        </is>
      </c>
      <c r="L12" s="107" t="n"/>
      <c r="M12" s="107" t="n"/>
      <c r="N12" s="108" t="inlineStr">
        <is>
          <t>M</t>
        </is>
      </c>
      <c r="O12" s="115" t="inlineStr">
        <is>
          <t>D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07" t="n"/>
      <c r="AA12" s="115" t="inlineStr">
        <is>
          <t>D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5" t="inlineStr">
        <is>
          <t>D</t>
        </is>
      </c>
      <c r="AH12" s="107" t="n"/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15" t="inlineStr">
        <is>
          <t>D</t>
        </is>
      </c>
      <c r="AM12" s="96" t="n"/>
      <c r="AN12" s="123">
        <f>IFERROR(INDEX(MAI!I$8:I$73,MATCH($A12,MAI!$A$8:$A$73,0))&amp;"","")</f>
        <v/>
      </c>
      <c r="AO12" s="109">
        <f>IFERROR(INDEX(MAI!J$8:J$73,MATCH($A12,MAI!$A$8:$A$73,0))&amp;"","")</f>
        <v/>
      </c>
      <c r="AP12" s="109">
        <f>IFERROR(INDEX(MAI!K$8:K$73,MATCH($A12,MAI!$A$8:$A$73,0))&amp;"","")</f>
        <v/>
      </c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SUMPRODUCT(($G12:$M12="M")*6+($G12:$M12="T")*6+($G12:$M12="D")*12+($G12:$M12="N")*12+($G12:$M12="NT")*6+($G12:$M12="C")*10+($G12:$M12="A")*8+($G12:$M12="J")*5+($G12:$M12="E")*4+($G12:$M12="P")*6+($G12:$M12="R")*6)</f>
        <v/>
      </c>
      <c r="BF12" s="110">
        <f>SUMPRODUCT(($N12:$T12="M")*6+($N12:$T12="T")*6+($N12:$T12="D")*12+($N12:$T12="N")*12+($N12:$T12="NT")*6+($N12:$T12="C")*10+($N12:$T12="A")*8+($N12:$T12="J")*5+($N12:$T12="E")*4+($N12:$T12="P")*6+($N12:$T12="R")*6)</f>
        <v/>
      </c>
      <c r="BG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H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I12" s="110">
        <f>SUMPRODUCT(($AI12:$AL12="M")*6+($AI12:$AL12="T")*6+($AI12:$AL12="D")*12+($AI12:$AL12="N")*12+($AI12:$AL12="NT")*6+($AI12:$AL12="C")*10+($AI12:$AL12="A")*8+($AI12:$AL12="J")*5+($AI12:$AL12="E")*4+($AI12:$AL12="P")*6+($AI12:$AL12="R")*6)+SUMPRODUCT(($AN12:$AP12="M")*6+($AN12:$AP12="T")*6+($AN12:$AP12="D")*12+($AN12:$AP12="N")*12+($AN12:$AP12="NT")*6+($AN12:$AP12="C")*10+($AN12:$AP12="A")*8+($AN12:$AP12="J")*5+($AN12:$AP12="E")*4+($AN12:$AP12="P")*6+($AN12:$AP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3">
        <f>IFERROR(INDEX(MAR!AL$8:AL$73,MATCH($A13,MAR!$A$8:$A$73,0))&amp;"","")</f>
        <v/>
      </c>
      <c r="H13" s="123">
        <f>IFERROR(INDEX(MAR!AM$8:AM$73,MATCH($A13,MAR!$A$8:$A$73,0))&amp;"","")</f>
        <v/>
      </c>
      <c r="I13" s="108" t="inlineStr">
        <is>
          <t>M</t>
        </is>
      </c>
      <c r="J13" s="108" t="inlineStr">
        <is>
          <t>M</t>
        </is>
      </c>
      <c r="K13" s="107" t="n"/>
      <c r="L13" s="107" t="n"/>
      <c r="M13" s="115" t="inlineStr">
        <is>
          <t>D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7" t="n"/>
      <c r="AA13" s="116" t="inlineStr">
        <is>
          <t>N</t>
        </is>
      </c>
      <c r="AB13" s="108" t="inlineStr">
        <is>
          <t>M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7" t="n"/>
      <c r="AH13" s="107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96" t="n"/>
      <c r="AN13" s="123">
        <f>IFERROR(INDEX(MAI!I$8:I$73,MATCH($A13,MAI!$A$8:$A$73,0))&amp;"","")</f>
        <v/>
      </c>
      <c r="AO13" s="109">
        <f>IFERROR(INDEX(MAI!J$8:J$73,MATCH($A13,MAI!$A$8:$A$73,0))&amp;"","")</f>
        <v/>
      </c>
      <c r="AP13" s="109">
        <f>IFERROR(INDEX(MAI!K$8:K$73,MATCH($A13,MAI!$A$8:$A$73,0))&amp;"","")</f>
        <v/>
      </c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SUMPRODUCT(($G13:$M13="M")*6+($G13:$M13="T")*6+($G13:$M13="D")*12+($G13:$M13="N")*12+($G13:$M13="NT")*6+($G13:$M13="C")*10+($G13:$M13="A")*8+($G13:$M13="J")*5+($G13:$M13="E")*4+($G13:$M13="P")*6+($G13:$M13="R")*6)</f>
        <v/>
      </c>
      <c r="BF13" s="110">
        <f>SUMPRODUCT(($N13:$T13="M")*6+($N13:$T13="T")*6+($N13:$T13="D")*12+($N13:$T13="N")*12+($N13:$T13="NT")*6+($N13:$T13="C")*10+($N13:$T13="A")*8+($N13:$T13="J")*5+($N13:$T13="E")*4+($N13:$T13="P")*6+($N13:$T13="R")*6)</f>
        <v/>
      </c>
      <c r="BG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H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I13" s="110">
        <f>SUMPRODUCT(($AI13:$AL13="M")*6+($AI13:$AL13="T")*6+($AI13:$AL13="D")*12+($AI13:$AL13="N")*12+($AI13:$AL13="NT")*6+($AI13:$AL13="C")*10+($AI13:$AL13="A")*8+($AI13:$AL13="J")*5+($AI13:$AL13="E")*4+($AI13:$AL13="P")*6+($AI13:$AL13="R")*6)+SUMPRODUCT(($AN13:$AP13="M")*6+($AN13:$AP13="T")*6+($AN13:$AP13="D")*12+($AN13:$AP13="N")*12+($AN13:$AP13="NT")*6+($AN13:$AP13="C")*10+($AN13:$AP13="A")*8+($AN13:$AP13="J")*5+($AN13:$AP13="E")*4+($AN13:$AP13="P")*6+($AN13:$AP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3">
        <f>IFERROR(INDEX(MAR!AL$8:AL$73,MATCH($A14,MAR!$A$8:$A$73,0))&amp;"","")</f>
        <v/>
      </c>
      <c r="H14" s="123">
        <f>IFERROR(INDEX(MAR!AM$8:AM$73,MATCH($A14,MAR!$A$8:$A$73,0))&amp;"","")</f>
        <v/>
      </c>
      <c r="I14" s="108" t="inlineStr">
        <is>
          <t>M</t>
        </is>
      </c>
      <c r="J14" s="108" t="inlineStr">
        <is>
          <t>M</t>
        </is>
      </c>
      <c r="K14" s="116" t="inlineStr">
        <is>
          <t>N</t>
        </is>
      </c>
      <c r="L14" s="107" t="n"/>
      <c r="M14" s="115" t="inlineStr">
        <is>
          <t>D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15" t="inlineStr">
        <is>
          <t>D</t>
        </is>
      </c>
      <c r="S14" s="107" t="n"/>
      <c r="T14" s="107" t="n"/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7" t="n"/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5" t="inlineStr">
        <is>
          <t>D</t>
        </is>
      </c>
      <c r="AG14" s="107" t="n"/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8" t="inlineStr">
        <is>
          <t>M</t>
        </is>
      </c>
      <c r="AM14" s="96" t="n"/>
      <c r="AN14" s="123">
        <f>IFERROR(INDEX(MAI!I$8:I$73,MATCH($A14,MAI!$A$8:$A$73,0))&amp;"","")</f>
        <v/>
      </c>
      <c r="AO14" s="109">
        <f>IFERROR(INDEX(MAI!J$8:J$73,MATCH($A14,MAI!$A$8:$A$73,0))&amp;"","")</f>
        <v/>
      </c>
      <c r="AP14" s="109">
        <f>IFERROR(INDEX(MAI!K$8:K$73,MATCH($A14,MAI!$A$8:$A$73,0))&amp;"","")</f>
        <v/>
      </c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SUMPRODUCT(($G14:$M14="M")*6+($G14:$M14="T")*6+($G14:$M14="D")*12+($G14:$M14="N")*12+($G14:$M14="NT")*6+($G14:$M14="C")*10+($G14:$M14="A")*8+($G14:$M14="J")*5+($G14:$M14="E")*4+($G14:$M14="P")*6+($G14:$M14="R")*6)</f>
        <v/>
      </c>
      <c r="BF14" s="110">
        <f>SUMPRODUCT(($N14:$T14="M")*6+($N14:$T14="T")*6+($N14:$T14="D")*12+($N14:$T14="N")*12+($N14:$T14="NT")*6+($N14:$T14="C")*10+($N14:$T14="A")*8+($N14:$T14="J")*5+($N14:$T14="E")*4+($N14:$T14="P")*6+($N14:$T14="R")*6)</f>
        <v/>
      </c>
      <c r="BG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H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I14" s="110">
        <f>SUMPRODUCT(($AI14:$AL14="M")*6+($AI14:$AL14="T")*6+($AI14:$AL14="D")*12+($AI14:$AL14="N")*12+($AI14:$AL14="NT")*6+($AI14:$AL14="C")*10+($AI14:$AL14="A")*8+($AI14:$AL14="J")*5+($AI14:$AL14="E")*4+($AI14:$AL14="P")*6+($AI14:$AL14="R")*6)+SUMPRODUCT(($AN14:$AP14="M")*6+($AN14:$AP14="T")*6+($AN14:$AP14="D")*12+($AN14:$AP14="N")*12+($AN14:$AP14="NT")*6+($AN14:$AP14="C")*10+($AN14:$AP14="A")*8+($AN14:$AP14="J")*5+($AN14:$AP14="E")*4+($AN14:$AP14="P")*6+($AN14:$AP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3">
        <f>IFERROR(INDEX(MAR!AL$8:AL$73,MATCH($A15,MAR!$A$8:$A$73,0))&amp;"","")</f>
        <v/>
      </c>
      <c r="H15" s="123">
        <f>IFERROR(INDEX(MAR!AM$8:AM$73,MATCH($A15,MAR!$A$8:$A$73,0))&amp;"","")</f>
        <v/>
      </c>
      <c r="I15" s="108" t="inlineStr">
        <is>
          <t>M</t>
        </is>
      </c>
      <c r="J15" s="108" t="inlineStr">
        <is>
          <t>M</t>
        </is>
      </c>
      <c r="K15" s="108" t="inlineStr">
        <is>
          <t>M</t>
        </is>
      </c>
      <c r="L15" s="107" t="n"/>
      <c r="M15" s="116" t="inlineStr">
        <is>
          <t>N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7" t="n"/>
      <c r="T15" s="107" t="n"/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16" t="inlineStr">
        <is>
          <t>N</t>
        </is>
      </c>
      <c r="AA15" s="107" t="n"/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7" t="n"/>
      <c r="AH15" s="107" t="n"/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96" t="n"/>
      <c r="AN15" s="123">
        <f>IFERROR(INDEX(MAI!I$8:I$73,MATCH($A15,MAI!$A$8:$A$73,0))&amp;"","")</f>
        <v/>
      </c>
      <c r="AO15" s="109">
        <f>IFERROR(INDEX(MAI!J$8:J$73,MATCH($A15,MAI!$A$8:$A$73,0))&amp;"","")</f>
        <v/>
      </c>
      <c r="AP15" s="109">
        <f>IFERROR(INDEX(MAI!K$8:K$73,MATCH($A15,MAI!$A$8:$A$73,0))&amp;"","")</f>
        <v/>
      </c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SUMPRODUCT(($G15:$M15="M")*6+($G15:$M15="T")*6+($G15:$M15="D")*12+($G15:$M15="N")*12+($G15:$M15="NT")*6+($G15:$M15="C")*10+($G15:$M15="A")*8+($G15:$M15="J")*5+($G15:$M15="E")*4+($G15:$M15="P")*6+($G15:$M15="R")*6)</f>
        <v/>
      </c>
      <c r="BF15" s="110">
        <f>SUMPRODUCT(($N15:$T15="M")*6+($N15:$T15="T")*6+($N15:$T15="D")*12+($N15:$T15="N")*12+($N15:$T15="NT")*6+($N15:$T15="C")*10+($N15:$T15="A")*8+($N15:$T15="J")*5+($N15:$T15="E")*4+($N15:$T15="P")*6+($N15:$T15="R")*6)</f>
        <v/>
      </c>
      <c r="BG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H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I15" s="110">
        <f>SUMPRODUCT(($AI15:$AL15="M")*6+($AI15:$AL15="T")*6+($AI15:$AL15="D")*12+($AI15:$AL15="N")*12+($AI15:$AL15="NT")*6+($AI15:$AL15="C")*10+($AI15:$AL15="A")*8+($AI15:$AL15="J")*5+($AI15:$AL15="E")*4+($AI15:$AL15="P")*6+($AI15:$AL15="R")*6)+SUMPRODUCT(($AN15:$AP15="M")*6+($AN15:$AP15="T")*6+($AN15:$AP15="D")*12+($AN15:$AP15="N")*12+($AN15:$AP15="NT")*6+($AN15:$AP15="C")*10+($AN15:$AP15="A")*8+($AN15:$AP15="J")*5+($AN15:$AP15="E")*4+($AN15:$AP15="P")*6+($AN15:$AP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3">
        <f>IFERROR(INDEX(MAR!AL$8:AL$73,MATCH($A16,MAR!$A$8:$A$73,0))&amp;"","")</f>
        <v/>
      </c>
      <c r="H16" s="123">
        <f>IFERROR(INDEX(MAR!AM$8:AM$73,MATCH($A16,MAR!$A$8:$A$73,0))&amp;"","")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15" t="inlineStr">
        <is>
          <t>D</t>
        </is>
      </c>
      <c r="S16" s="107" t="n"/>
      <c r="T16" s="107" t="n"/>
      <c r="U16" s="115" t="inlineStr">
        <is>
          <t>D</t>
        </is>
      </c>
      <c r="V16" s="107" t="n"/>
      <c r="W16" s="107" t="n"/>
      <c r="X16" s="107" t="n"/>
      <c r="Y16" s="115" t="inlineStr">
        <is>
          <t>D</t>
        </is>
      </c>
      <c r="Z16" s="107" t="n"/>
      <c r="AA16" s="108" t="inlineStr">
        <is>
          <t>M</t>
        </is>
      </c>
      <c r="AB16" s="117" t="inlineStr">
        <is>
          <t>T</t>
        </is>
      </c>
      <c r="AC16" s="117" t="inlineStr">
        <is>
          <t>T</t>
        </is>
      </c>
      <c r="AD16" s="107" t="n"/>
      <c r="AE16" s="107" t="n"/>
      <c r="AF16" s="117" t="inlineStr">
        <is>
          <t>T</t>
        </is>
      </c>
      <c r="AG16" s="107" t="n"/>
      <c r="AH16" s="115" t="inlineStr">
        <is>
          <t>D</t>
        </is>
      </c>
      <c r="AI16" s="115" t="inlineStr">
        <is>
          <t>D</t>
        </is>
      </c>
      <c r="AJ16" s="117" t="inlineStr">
        <is>
          <t>T</t>
        </is>
      </c>
      <c r="AK16" s="107" t="n"/>
      <c r="AL16" s="107" t="n"/>
      <c r="AM16" s="96" t="n"/>
      <c r="AN16" s="123">
        <f>IFERROR(INDEX(MAI!I$8:I$73,MATCH($A16,MAI!$A$8:$A$73,0))&amp;"","")</f>
        <v/>
      </c>
      <c r="AO16" s="109">
        <f>IFERROR(INDEX(MAI!J$8:J$73,MATCH($A16,MAI!$A$8:$A$73,0))&amp;"","")</f>
        <v/>
      </c>
      <c r="AP16" s="109">
        <f>IFERROR(INDEX(MAI!K$8:K$73,MATCH($A16,MAI!$A$8:$A$73,0))&amp;"","")</f>
        <v/>
      </c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SUMPRODUCT(($G16:$M16="M")*6+($G16:$M16="T")*6+($G16:$M16="D")*12+($G16:$M16="N")*12+($G16:$M16="NT")*6+($G16:$M16="C")*10+($G16:$M16="A")*8+($G16:$M16="J")*5+($G16:$M16="E")*4+($G16:$M16="P")*6+($G16:$M16="R")*6)</f>
        <v/>
      </c>
      <c r="BF16" s="110">
        <f>SUMPRODUCT(($N16:$T16="M")*6+($N16:$T16="T")*6+($N16:$T16="D")*12+($N16:$T16="N")*12+($N16:$T16="NT")*6+($N16:$T16="C")*10+($N16:$T16="A")*8+($N16:$T16="J")*5+($N16:$T16="E")*4+($N16:$T16="P")*6+($N16:$T16="R")*6)</f>
        <v/>
      </c>
      <c r="BG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H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I16" s="110">
        <f>SUMPRODUCT(($AI16:$AL16="M")*6+($AI16:$AL16="T")*6+($AI16:$AL16="D")*12+($AI16:$AL16="N")*12+($AI16:$AL16="NT")*6+($AI16:$AL16="C")*10+($AI16:$AL16="A")*8+($AI16:$AL16="J")*5+($AI16:$AL16="E")*4+($AI16:$AL16="P")*6+($AI16:$AL16="R")*6)+SUMPRODUCT(($AN16:$AP16="M")*6+($AN16:$AP16="T")*6+($AN16:$AP16="D")*12+($AN16:$AP16="N")*12+($AN16:$AP16="NT")*6+($AN16:$AP16="C")*10+($AN16:$AP16="A")*8+($AN16:$AP16="J")*5+($AN16:$AP16="E")*4+($AN16:$AP16="P")*6+($AN16:$AP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3">
        <f>IFERROR(INDEX(MAR!AL$8:AL$73,MATCH($A17,MAR!$A$8:$A$73,0))&amp;"","")</f>
        <v/>
      </c>
      <c r="H17" s="123">
        <f>IFERROR(INDEX(MAR!AM$8:AM$73,MATCH($A17,MAR!$A$8:$A$73,0))&amp;"","")</f>
        <v/>
      </c>
      <c r="I17" s="117" t="inlineStr">
        <is>
          <t>T</t>
        </is>
      </c>
      <c r="J17" s="125" t="inlineStr">
        <is>
          <t>E</t>
        </is>
      </c>
      <c r="K17" s="116" t="inlineStr">
        <is>
          <t>N</t>
        </is>
      </c>
      <c r="L17" s="108" t="inlineStr">
        <is>
          <t>M</t>
        </is>
      </c>
      <c r="M17" s="107" t="n"/>
      <c r="N17" s="116" t="inlineStr">
        <is>
          <t>N</t>
        </is>
      </c>
      <c r="O17" s="125" t="inlineStr">
        <is>
          <t>E</t>
        </is>
      </c>
      <c r="P17" s="108" t="inlineStr">
        <is>
          <t>M</t>
        </is>
      </c>
      <c r="Q17" s="107" t="n"/>
      <c r="R17" s="107" t="n"/>
      <c r="S17" s="117" t="inlineStr">
        <is>
          <t>T</t>
        </is>
      </c>
      <c r="T17" s="116" t="inlineStr">
        <is>
          <t>N</t>
        </is>
      </c>
      <c r="U17" s="116" t="inlineStr">
        <is>
          <t>N</t>
        </is>
      </c>
      <c r="V17" s="125" t="inlineStr">
        <is>
          <t>E</t>
        </is>
      </c>
      <c r="W17" s="117" t="inlineStr">
        <is>
          <t>T</t>
        </is>
      </c>
      <c r="X17" s="115" t="inlineStr">
        <is>
          <t>D</t>
        </is>
      </c>
      <c r="Y17" s="117" t="inlineStr">
        <is>
          <t>T</t>
        </is>
      </c>
      <c r="Z17" s="107" t="n"/>
      <c r="AA17" s="107" t="n"/>
      <c r="AB17" s="124" t="inlineStr">
        <is>
          <t>C</t>
        </is>
      </c>
      <c r="AC17" s="107" t="n"/>
      <c r="AD17" s="117" t="inlineStr">
        <is>
          <t>T</t>
        </is>
      </c>
      <c r="AE17" s="116" t="inlineStr">
        <is>
          <t>N</t>
        </is>
      </c>
      <c r="AF17" s="107" t="n"/>
      <c r="AG17" s="107" t="n"/>
      <c r="AH17" s="116" t="inlineStr">
        <is>
          <t>N</t>
        </is>
      </c>
      <c r="AI17" s="116" t="inlineStr">
        <is>
          <t>N</t>
        </is>
      </c>
      <c r="AJ17" s="108" t="inlineStr">
        <is>
          <t>M</t>
        </is>
      </c>
      <c r="AK17" s="124" t="inlineStr">
        <is>
          <t>C</t>
        </is>
      </c>
      <c r="AL17" s="116" t="inlineStr">
        <is>
          <t>N</t>
        </is>
      </c>
      <c r="AM17" s="96" t="n"/>
      <c r="AN17" s="123">
        <f>IFERROR(INDEX(MAI!I$8:I$73,MATCH($A17,MAI!$A$8:$A$73,0))&amp;"","")</f>
        <v/>
      </c>
      <c r="AO17" s="109">
        <f>IFERROR(INDEX(MAI!J$8:J$73,MATCH($A17,MAI!$A$8:$A$73,0))&amp;"","")</f>
        <v/>
      </c>
      <c r="AP17" s="109">
        <f>IFERROR(INDEX(MAI!K$8:K$73,MATCH($A17,MAI!$A$8:$A$73,0))&amp;"","")</f>
        <v/>
      </c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SUMPRODUCT(($G17:$M17="M")*6+($G17:$M17="T")*6+($G17:$M17="D")*12+($G17:$M17="N")*12+($G17:$M17="NT")*6+($G17:$M17="C")*10+($G17:$M17="A")*8+($G17:$M17="J")*5+($G17:$M17="E")*4+($G17:$M17="P")*6+($G17:$M17="R")*6)</f>
        <v/>
      </c>
      <c r="BF17" s="110">
        <f>SUMPRODUCT(($N17:$T17="M")*6+($N17:$T17="T")*6+($N17:$T17="D")*12+($N17:$T17="N")*12+($N17:$T17="NT")*6+($N17:$T17="C")*10+($N17:$T17="A")*8+($N17:$T17="J")*5+($N17:$T17="E")*4+($N17:$T17="P")*6+($N17:$T17="R")*6)</f>
        <v/>
      </c>
      <c r="BG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H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I17" s="110">
        <f>SUMPRODUCT(($AI17:$AL17="M")*6+($AI17:$AL17="T")*6+($AI17:$AL17="D")*12+($AI17:$AL17="N")*12+($AI17:$AL17="NT")*6+($AI17:$AL17="C")*10+($AI17:$AL17="A")*8+($AI17:$AL17="J")*5+($AI17:$AL17="E")*4+($AI17:$AL17="P")*6+($AI17:$AL17="R")*6)+SUMPRODUCT(($AN17:$AP17="M")*6+($AN17:$AP17="T")*6+($AN17:$AP17="D")*12+($AN17:$AP17="N")*12+($AN17:$AP17="NT")*6+($AN17:$AP17="C")*10+($AN17:$AP17="A")*8+($AN17:$AP17="J")*5+($AN17:$AP17="E")*4+($AN17:$AP17="P")*6+($AN17:$AP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3">
        <f>IFERROR(INDEX(MAR!AL$8:AL$73,MATCH($A18,MAR!$A$8:$A$73,0))&amp;"","")</f>
        <v/>
      </c>
      <c r="H18" s="123">
        <f>IFERROR(INDEX(MAR!AM$8:AM$73,MATCH($A18,MAR!$A$8:$A$73,0))&amp;"","")</f>
        <v/>
      </c>
      <c r="I18" s="115" t="inlineStr">
        <is>
          <t>D</t>
        </is>
      </c>
      <c r="J18" s="108" t="inlineStr">
        <is>
          <t>M</t>
        </is>
      </c>
      <c r="K18" s="115" t="inlineStr">
        <is>
          <t>D</t>
        </is>
      </c>
      <c r="L18" s="107" t="n"/>
      <c r="M18" s="107" t="n"/>
      <c r="N18" s="107" t="n"/>
      <c r="O18" s="107" t="n"/>
      <c r="P18" s="115" t="inlineStr">
        <is>
          <t>D</t>
        </is>
      </c>
      <c r="Q18" s="107" t="n"/>
      <c r="R18" s="116" t="inlineStr">
        <is>
          <t>N</t>
        </is>
      </c>
      <c r="S18" s="107" t="n"/>
      <c r="T18" s="115" t="inlineStr">
        <is>
          <t>D</t>
        </is>
      </c>
      <c r="U18" s="115" t="inlineStr">
        <is>
          <t>D</t>
        </is>
      </c>
      <c r="V18" s="107" t="n"/>
      <c r="W18" s="115" t="inlineStr">
        <is>
          <t>D</t>
        </is>
      </c>
      <c r="X18" s="107" t="n"/>
      <c r="Y18" s="107" t="n"/>
      <c r="Z18" s="107" t="n"/>
      <c r="AA18" s="115" t="inlineStr">
        <is>
          <t>D</t>
        </is>
      </c>
      <c r="AB18" s="115" t="inlineStr">
        <is>
          <t>D</t>
        </is>
      </c>
      <c r="AC18" s="107" t="n"/>
      <c r="AD18" s="115" t="inlineStr">
        <is>
          <t>D</t>
        </is>
      </c>
      <c r="AE18" s="107" t="n"/>
      <c r="AF18" s="107" t="n"/>
      <c r="AG18" s="116" t="inlineStr">
        <is>
          <t>N</t>
        </is>
      </c>
      <c r="AH18" s="107" t="n"/>
      <c r="AI18" s="115" t="inlineStr">
        <is>
          <t>D</t>
        </is>
      </c>
      <c r="AJ18" s="107" t="n"/>
      <c r="AK18" s="115" t="inlineStr">
        <is>
          <t>D</t>
        </is>
      </c>
      <c r="AL18" s="107" t="n"/>
      <c r="AM18" s="96" t="n"/>
      <c r="AN18" s="123">
        <f>IFERROR(INDEX(MAI!I$8:I$73,MATCH($A18,MAI!$A$8:$A$73,0))&amp;"","")</f>
        <v/>
      </c>
      <c r="AO18" s="109">
        <f>IFERROR(INDEX(MAI!J$8:J$73,MATCH($A18,MAI!$A$8:$A$73,0))&amp;"","")</f>
        <v/>
      </c>
      <c r="AP18" s="109">
        <f>IFERROR(INDEX(MAI!K$8:K$73,MATCH($A18,MAI!$A$8:$A$73,0))&amp;"","")</f>
        <v/>
      </c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SUMPRODUCT(($G18:$M18="M")*6+($G18:$M18="T")*6+($G18:$M18="D")*12+($G18:$M18="N")*12+($G18:$M18="NT")*6+($G18:$M18="C")*10+($G18:$M18="A")*8+($G18:$M18="J")*5+($G18:$M18="E")*4+($G18:$M18="P")*6+($G18:$M18="R")*6)</f>
        <v/>
      </c>
      <c r="BF18" s="110">
        <f>SUMPRODUCT(($N18:$T18="M")*6+($N18:$T18="T")*6+($N18:$T18="D")*12+($N18:$T18="N")*12+($N18:$T18="NT")*6+($N18:$T18="C")*10+($N18:$T18="A")*8+($N18:$T18="J")*5+($N18:$T18="E")*4+($N18:$T18="P")*6+($N18:$T18="R")*6)</f>
        <v/>
      </c>
      <c r="BG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H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I18" s="110">
        <f>SUMPRODUCT(($AI18:$AL18="M")*6+($AI18:$AL18="T")*6+($AI18:$AL18="D")*12+($AI18:$AL18="N")*12+($AI18:$AL18="NT")*6+($AI18:$AL18="C")*10+($AI18:$AL18="A")*8+($AI18:$AL18="J")*5+($AI18:$AL18="E")*4+($AI18:$AL18="P")*6+($AI18:$AL18="R")*6)+SUMPRODUCT(($AN18:$AP18="M")*6+($AN18:$AP18="T")*6+($AN18:$AP18="D")*12+($AN18:$AP18="N")*12+($AN18:$AP18="NT")*6+($AN18:$AP18="C")*10+($AN18:$AP18="A")*8+($AN18:$AP18="J")*5+($AN18:$AP18="E")*4+($AN18:$AP18="P")*6+($AN18:$AP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3">
        <f>IFERROR(INDEX(MAR!AL$8:AL$73,MATCH($A19,MAR!$A$8:$A$73,0))&amp;"","")</f>
        <v/>
      </c>
      <c r="H19" s="123">
        <f>IFERROR(INDEX(MAR!AM$8:AM$73,MATCH($A19,MAR!$A$8:$A$73,0))&amp;"","")</f>
        <v/>
      </c>
      <c r="I19" s="116" t="inlineStr">
        <is>
          <t>N</t>
        </is>
      </c>
      <c r="J19" s="107" t="n"/>
      <c r="K19" s="116" t="inlineStr">
        <is>
          <t>N</t>
        </is>
      </c>
      <c r="L19" s="107" t="n"/>
      <c r="M19" s="116" t="inlineStr">
        <is>
          <t>N</t>
        </is>
      </c>
      <c r="N19" s="107" t="n"/>
      <c r="O19" s="107" t="n"/>
      <c r="P19" s="116" t="inlineStr">
        <is>
          <t>N</t>
        </is>
      </c>
      <c r="Q19" s="116" t="inlineStr">
        <is>
          <t>N</t>
        </is>
      </c>
      <c r="R19" s="107" t="n"/>
      <c r="S19" s="107" t="n"/>
      <c r="T19" s="116" t="inlineStr">
        <is>
          <t>N</t>
        </is>
      </c>
      <c r="U19" s="116" t="inlineStr">
        <is>
          <t>N</t>
        </is>
      </c>
      <c r="V19" s="107" t="n"/>
      <c r="W19" s="116" t="inlineStr">
        <is>
          <t>N</t>
        </is>
      </c>
      <c r="X19" s="116" t="inlineStr">
        <is>
          <t>N</t>
        </is>
      </c>
      <c r="Y19" s="107" t="n"/>
      <c r="Z19" s="107" t="n"/>
      <c r="AA19" s="107" t="n"/>
      <c r="AB19" s="107" t="n"/>
      <c r="AC19" s="107" t="n"/>
      <c r="AD19" s="116" t="inlineStr">
        <is>
          <t>N</t>
        </is>
      </c>
      <c r="AE19" s="116" t="inlineStr">
        <is>
          <t>N</t>
        </is>
      </c>
      <c r="AF19" s="107" t="n"/>
      <c r="AG19" s="107" t="n"/>
      <c r="AH19" s="116" t="inlineStr">
        <is>
          <t>N</t>
        </is>
      </c>
      <c r="AI19" s="107" t="n"/>
      <c r="AJ19" s="107" t="n"/>
      <c r="AK19" s="116" t="inlineStr">
        <is>
          <t>N</t>
        </is>
      </c>
      <c r="AL19" s="107" t="n"/>
      <c r="AM19" s="96" t="n"/>
      <c r="AN19" s="123">
        <f>IFERROR(INDEX(MAI!I$8:I$73,MATCH($A19,MAI!$A$8:$A$73,0))&amp;"","")</f>
        <v/>
      </c>
      <c r="AO19" s="109">
        <f>IFERROR(INDEX(MAI!J$8:J$73,MATCH($A19,MAI!$A$8:$A$73,0))&amp;"","")</f>
        <v/>
      </c>
      <c r="AP19" s="109">
        <f>IFERROR(INDEX(MAI!K$8:K$73,MATCH($A19,MAI!$A$8:$A$73,0))&amp;"","")</f>
        <v/>
      </c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SUMPRODUCT(($G19:$M19="M")*6+($G19:$M19="T")*6+($G19:$M19="D")*12+($G19:$M19="N")*12+($G19:$M19="NT")*6+($G19:$M19="C")*10+($G19:$M19="A")*8+($G19:$M19="J")*5+($G19:$M19="E")*4+($G19:$M19="P")*6+($G19:$M19="R")*6)</f>
        <v/>
      </c>
      <c r="BF19" s="110">
        <f>SUMPRODUCT(($N19:$T19="M")*6+($N19:$T19="T")*6+($N19:$T19="D")*12+($N19:$T19="N")*12+($N19:$T19="NT")*6+($N19:$T19="C")*10+($N19:$T19="A")*8+($N19:$T19="J")*5+($N19:$T19="E")*4+($N19:$T19="P")*6+($N19:$T19="R")*6)</f>
        <v/>
      </c>
      <c r="BG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H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I19" s="110">
        <f>SUMPRODUCT(($AI19:$AL19="M")*6+($AI19:$AL19="T")*6+($AI19:$AL19="D")*12+($AI19:$AL19="N")*12+($AI19:$AL19="NT")*6+($AI19:$AL19="C")*10+($AI19:$AL19="A")*8+($AI19:$AL19="J")*5+($AI19:$AL19="E")*4+($AI19:$AL19="P")*6+($AI19:$AL19="R")*6)+SUMPRODUCT(($AN19:$AP19="M")*6+($AN19:$AP19="T")*6+($AN19:$AP19="D")*12+($AN19:$AP19="N")*12+($AN19:$AP19="NT")*6+($AN19:$AP19="C")*10+($AN19:$AP19="A")*8+($AN19:$AP19="J")*5+($AN19:$AP19="E")*4+($AN19:$AP19="P")*6+($AN19:$AP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3">
        <f>IFERROR(INDEX(MAR!AL$8:AL$73,MATCH($A20,MAR!$A$8:$A$73,0))&amp;"","")</f>
        <v/>
      </c>
      <c r="H20" s="123">
        <f>IFERROR(INDEX(MAR!AM$8:AM$73,MATCH($A20,MAR!$A$8:$A$73,0))&amp;"","")</f>
        <v/>
      </c>
      <c r="I20" s="116" t="inlineStr">
        <is>
          <t>N</t>
        </is>
      </c>
      <c r="J20" s="116" t="inlineStr">
        <is>
          <t>N</t>
        </is>
      </c>
      <c r="K20" s="116" t="inlineStr">
        <is>
          <t>N</t>
        </is>
      </c>
      <c r="L20" s="107" t="n"/>
      <c r="M20" s="107" t="n"/>
      <c r="N20" s="116" t="inlineStr">
        <is>
          <t>N</t>
        </is>
      </c>
      <c r="O20" s="107" t="n"/>
      <c r="P20" s="116" t="inlineStr">
        <is>
          <t>N</t>
        </is>
      </c>
      <c r="Q20" s="116" t="inlineStr">
        <is>
          <t>N</t>
        </is>
      </c>
      <c r="R20" s="107" t="n"/>
      <c r="S20" s="107" t="n"/>
      <c r="T20" s="107" t="n"/>
      <c r="U20" s="107" t="n"/>
      <c r="V20" s="107" t="n"/>
      <c r="W20" s="116" t="inlineStr">
        <is>
          <t>N</t>
        </is>
      </c>
      <c r="X20" s="116" t="inlineStr">
        <is>
          <t>N</t>
        </is>
      </c>
      <c r="Y20" s="107" t="n"/>
      <c r="Z20" s="116" t="inlineStr">
        <is>
          <t>N</t>
        </is>
      </c>
      <c r="AA20" s="107" t="n"/>
      <c r="AB20" s="107" t="n"/>
      <c r="AC20" s="116" t="inlineStr">
        <is>
          <t>N</t>
        </is>
      </c>
      <c r="AD20" s="116" t="inlineStr">
        <is>
          <t>N</t>
        </is>
      </c>
      <c r="AE20" s="116" t="inlineStr">
        <is>
          <t>N</t>
        </is>
      </c>
      <c r="AF20" s="107" t="n"/>
      <c r="AG20" s="107" t="n"/>
      <c r="AH20" s="107" t="n"/>
      <c r="AI20" s="107" t="n"/>
      <c r="AJ20" s="107" t="n"/>
      <c r="AK20" s="116" t="inlineStr">
        <is>
          <t>N</t>
        </is>
      </c>
      <c r="AL20" s="107" t="n"/>
      <c r="AM20" s="96" t="n"/>
      <c r="AN20" s="123">
        <f>IFERROR(INDEX(MAI!I$8:I$73,MATCH($A20,MAI!$A$8:$A$73,0))&amp;"","")</f>
        <v/>
      </c>
      <c r="AO20" s="109">
        <f>IFERROR(INDEX(MAI!J$8:J$73,MATCH($A20,MAI!$A$8:$A$73,0))&amp;"","")</f>
        <v/>
      </c>
      <c r="AP20" s="109">
        <f>IFERROR(INDEX(MAI!K$8:K$73,MATCH($A20,MAI!$A$8:$A$73,0))&amp;"","")</f>
        <v/>
      </c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SUMPRODUCT(($G20:$M20="M")*6+($G20:$M20="T")*6+($G20:$M20="D")*12+($G20:$M20="N")*12+($G20:$M20="NT")*6+($G20:$M20="C")*10+($G20:$M20="A")*8+($G20:$M20="J")*5+($G20:$M20="E")*4+($G20:$M20="P")*6+($G20:$M20="R")*6)</f>
        <v/>
      </c>
      <c r="BF20" s="110">
        <f>SUMPRODUCT(($N20:$T20="M")*6+($N20:$T20="T")*6+($N20:$T20="D")*12+($N20:$T20="N")*12+($N20:$T20="NT")*6+($N20:$T20="C")*10+($N20:$T20="A")*8+($N20:$T20="J")*5+($N20:$T20="E")*4+($N20:$T20="P")*6+($N20:$T20="R")*6)</f>
        <v/>
      </c>
      <c r="BG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H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I20" s="110">
        <f>SUMPRODUCT(($AI20:$AL20="M")*6+($AI20:$AL20="T")*6+($AI20:$AL20="D")*12+($AI20:$AL20="N")*12+($AI20:$AL20="NT")*6+($AI20:$AL20="C")*10+($AI20:$AL20="A")*8+($AI20:$AL20="J")*5+($AI20:$AL20="E")*4+($AI20:$AL20="P")*6+($AI20:$AL20="R")*6)+SUMPRODUCT(($AN20:$AP20="M")*6+($AN20:$AP20="T")*6+($AN20:$AP20="D")*12+($AN20:$AP20="N")*12+($AN20:$AP20="NT")*6+($AN20:$AP20="C")*10+($AN20:$AP20="A")*8+($AN20:$AP20="J")*5+($AN20:$AP20="E")*4+($AN20:$AP20="P")*6+($AN20:$AP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3">
        <f>IFERROR(INDEX(MAR!AL$8:AL$73,MATCH($A21,MAR!$A$8:$A$73,0))&amp;"","")</f>
        <v/>
      </c>
      <c r="H21" s="123">
        <f>IFERROR(INDEX(MAR!AM$8:AM$73,MATCH($A21,MAR!$A$8:$A$73,0))&amp;"","")</f>
        <v/>
      </c>
      <c r="I21" s="116" t="inlineStr">
        <is>
          <t>N</t>
        </is>
      </c>
      <c r="J21" s="107" t="n"/>
      <c r="K21" s="116" t="inlineStr">
        <is>
          <t>N</t>
        </is>
      </c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23">
        <f>IFERROR(INDEX(MAI!I$8:I$73,MATCH($A21,MAI!$A$8:$A$73,0))&amp;"","")</f>
        <v/>
      </c>
      <c r="AO21" s="109">
        <f>IFERROR(INDEX(MAI!J$8:J$73,MATCH($A21,MAI!$A$8:$A$73,0))&amp;"","")</f>
        <v/>
      </c>
      <c r="AP21" s="109">
        <f>IFERROR(INDEX(MAI!K$8:K$73,MATCH($A21,MAI!$A$8:$A$73,0))&amp;"","")</f>
        <v/>
      </c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SUMPRODUCT(($G21:$M21="M")*6+($G21:$M21="T")*6+($G21:$M21="D")*12+($G21:$M21="N")*12+($G21:$M21="NT")*6+($G21:$M21="C")*10+($G21:$M21="A")*8+($G21:$M21="J")*5+($G21:$M21="E")*4+($G21:$M21="P")*6+($G21:$M21="R")*6)</f>
        <v/>
      </c>
      <c r="BF21" s="110">
        <f>SUMPRODUCT(($N21:$T21="M")*6+($N21:$T21="T")*6+($N21:$T21="D")*12+($N21:$T21="N")*12+($N21:$T21="NT")*6+($N21:$T21="C")*10+($N21:$T21="A")*8+($N21:$T21="J")*5+($N21:$T21="E")*4+($N21:$T21="P")*6+($N21:$T21="R")*6)</f>
        <v/>
      </c>
      <c r="BG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H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I21" s="110">
        <f>SUMPRODUCT(($AI21:$AL21="M")*6+($AI21:$AL21="T")*6+($AI21:$AL21="D")*12+($AI21:$AL21="N")*12+($AI21:$AL21="NT")*6+($AI21:$AL21="C")*10+($AI21:$AL21="A")*8+($AI21:$AL21="J")*5+($AI21:$AL21="E")*4+($AI21:$AL21="P")*6+($AI21:$AL21="R")*6)+SUMPRODUCT(($AN21:$AP21="M")*6+($AN21:$AP21="T")*6+($AN21:$AP21="D")*12+($AN21:$AP21="N")*12+($AN21:$AP21="NT")*6+($AN21:$AP21="C")*10+($AN21:$AP21="A")*8+($AN21:$AP21="J")*5+($AN21:$AP21="E")*4+($AN21:$AP21="P")*6+($AN21:$AP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3">
        <f>IFERROR(INDEX(MAR!AL$8:AL$73,MATCH($A22,MAR!$A$8:$A$73,0))&amp;"","")</f>
        <v/>
      </c>
      <c r="H22" s="123">
        <f>IFERROR(INDEX(MAR!AM$8:AM$73,MATCH($A22,MAR!$A$8:$A$73,0))&amp;"","")</f>
        <v/>
      </c>
      <c r="I22" s="115" t="inlineStr">
        <is>
          <t>D</t>
        </is>
      </c>
      <c r="J22" s="115" t="inlineStr">
        <is>
          <t>D</t>
        </is>
      </c>
      <c r="K22" s="107" t="n"/>
      <c r="L22" s="107" t="n"/>
      <c r="M22" s="107" t="n"/>
      <c r="N22" s="107" t="n"/>
      <c r="O22" s="117" t="inlineStr">
        <is>
          <t>T</t>
        </is>
      </c>
      <c r="P22" s="107" t="n"/>
      <c r="Q22" s="115" t="inlineStr">
        <is>
          <t>D</t>
        </is>
      </c>
      <c r="R22" s="108" t="inlineStr">
        <is>
          <t>M</t>
        </is>
      </c>
      <c r="S22" s="107" t="n"/>
      <c r="T22" s="115" t="inlineStr">
        <is>
          <t>D</t>
        </is>
      </c>
      <c r="U22" s="107" t="n"/>
      <c r="V22" s="108" t="inlineStr">
        <is>
          <t>M</t>
        </is>
      </c>
      <c r="W22" s="115" t="inlineStr">
        <is>
          <t>D</t>
        </is>
      </c>
      <c r="X22" s="108" t="inlineStr">
        <is>
          <t>M</t>
        </is>
      </c>
      <c r="Y22" s="107" t="n"/>
      <c r="Z22" s="107" t="n"/>
      <c r="AA22" s="115" t="inlineStr">
        <is>
          <t>D</t>
        </is>
      </c>
      <c r="AB22" s="107" t="n"/>
      <c r="AC22" s="115" t="inlineStr">
        <is>
          <t>D</t>
        </is>
      </c>
      <c r="AD22" s="107" t="n"/>
      <c r="AE22" s="107" t="n"/>
      <c r="AF22" s="116" t="inlineStr">
        <is>
          <t>N</t>
        </is>
      </c>
      <c r="AG22" s="107" t="n"/>
      <c r="AH22" s="115" t="inlineStr">
        <is>
          <t>D</t>
        </is>
      </c>
      <c r="AI22" s="107" t="n"/>
      <c r="AJ22" s="115" t="inlineStr">
        <is>
          <t>D</t>
        </is>
      </c>
      <c r="AK22" s="108" t="inlineStr">
        <is>
          <t>M</t>
        </is>
      </c>
      <c r="AL22" s="115" t="inlineStr">
        <is>
          <t>D</t>
        </is>
      </c>
      <c r="AM22" s="96" t="n"/>
      <c r="AN22" s="123">
        <f>IFERROR(INDEX(MAI!I$8:I$73,MATCH($A22,MAI!$A$8:$A$73,0))&amp;"","")</f>
        <v/>
      </c>
      <c r="AO22" s="109">
        <f>IFERROR(INDEX(MAI!J$8:J$73,MATCH($A22,MAI!$A$8:$A$73,0))&amp;"","")</f>
        <v/>
      </c>
      <c r="AP22" s="109">
        <f>IFERROR(INDEX(MAI!K$8:K$73,MATCH($A22,MAI!$A$8:$A$73,0))&amp;"","")</f>
        <v/>
      </c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SUMPRODUCT(($G22:$M22="M")*6+($G22:$M22="T")*6+($G22:$M22="D")*12+($G22:$M22="N")*12+($G22:$M22="NT")*6+($G22:$M22="C")*10+($G22:$M22="A")*8+($G22:$M22="J")*5+($G22:$M22="E")*4+($G22:$M22="P")*6+($G22:$M22="R")*6)</f>
        <v/>
      </c>
      <c r="BF22" s="110">
        <f>SUMPRODUCT(($N22:$T22="M")*6+($N22:$T22="T")*6+($N22:$T22="D")*12+($N22:$T22="N")*12+($N22:$T22="NT")*6+($N22:$T22="C")*10+($N22:$T22="A")*8+($N22:$T22="J")*5+($N22:$T22="E")*4+($N22:$T22="P")*6+($N22:$T22="R")*6)</f>
        <v/>
      </c>
      <c r="BG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H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I22" s="110">
        <f>SUMPRODUCT(($AI22:$AL22="M")*6+($AI22:$AL22="T")*6+($AI22:$AL22="D")*12+($AI22:$AL22="N")*12+($AI22:$AL22="NT")*6+($AI22:$AL22="C")*10+($AI22:$AL22="A")*8+($AI22:$AL22="J")*5+($AI22:$AL22="E")*4+($AI22:$AL22="P")*6+($AI22:$AL22="R")*6)+SUMPRODUCT(($AN22:$AP22="M")*6+($AN22:$AP22="T")*6+($AN22:$AP22="D")*12+($AN22:$AP22="N")*12+($AN22:$AP22="NT")*6+($AN22:$AP22="C")*10+($AN22:$AP22="A")*8+($AN22:$AP22="J")*5+($AN22:$AP22="E")*4+($AN22:$AP22="P")*6+($AN22:$AP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3">
        <f>IFERROR(INDEX(MAR!AL$8:AL$73,MATCH($A23,MAR!$A$8:$A$73,0))&amp;"","")</f>
        <v/>
      </c>
      <c r="H23" s="123">
        <f>IFERROR(INDEX(MAR!AM$8:AM$73,MATCH($A23,MAR!$A$8:$A$73,0))&amp;"","")</f>
        <v/>
      </c>
      <c r="I23" s="107" t="n"/>
      <c r="J23" s="115" t="inlineStr">
        <is>
          <t>D</t>
        </is>
      </c>
      <c r="K23" s="107" t="n"/>
      <c r="L23" s="107" t="n"/>
      <c r="M23" s="107" t="n"/>
      <c r="N23" s="115" t="inlineStr">
        <is>
          <t>D</t>
        </is>
      </c>
      <c r="O23" s="107" t="n"/>
      <c r="P23" s="107" t="n"/>
      <c r="Q23" s="107" t="n"/>
      <c r="R23" s="107" t="n"/>
      <c r="S23" s="115" t="inlineStr">
        <is>
          <t>D</t>
        </is>
      </c>
      <c r="T23" s="115" t="inlineStr">
        <is>
          <t>D</t>
        </is>
      </c>
      <c r="U23" s="107" t="n"/>
      <c r="V23" s="115" t="inlineStr">
        <is>
          <t>D</t>
        </is>
      </c>
      <c r="W23" s="107" t="n"/>
      <c r="X23" s="115" t="inlineStr">
        <is>
          <t>D</t>
        </is>
      </c>
      <c r="Y23" s="107" t="n"/>
      <c r="Z23" s="115" t="inlineStr">
        <is>
          <t>D</t>
        </is>
      </c>
      <c r="AA23" s="107" t="n"/>
      <c r="AB23" s="115" t="inlineStr">
        <is>
          <t>D</t>
        </is>
      </c>
      <c r="AC23" s="115" t="inlineStr">
        <is>
          <t>D</t>
        </is>
      </c>
      <c r="AD23" s="107" t="n"/>
      <c r="AE23" s="115" t="inlineStr">
        <is>
          <t>D</t>
        </is>
      </c>
      <c r="AF23" s="107" t="n"/>
      <c r="AG23" s="107" t="n"/>
      <c r="AH23" s="107" t="n"/>
      <c r="AI23" s="115" t="inlineStr">
        <is>
          <t>D</t>
        </is>
      </c>
      <c r="AJ23" s="115" t="inlineStr">
        <is>
          <t>D</t>
        </is>
      </c>
      <c r="AK23" s="107" t="n"/>
      <c r="AL23" s="115" t="inlineStr">
        <is>
          <t>D</t>
        </is>
      </c>
      <c r="AM23" s="96" t="n"/>
      <c r="AN23" s="123">
        <f>IFERROR(INDEX(MAI!I$8:I$73,MATCH($A23,MAI!$A$8:$A$73,0))&amp;"","")</f>
        <v/>
      </c>
      <c r="AO23" s="109">
        <f>IFERROR(INDEX(MAI!J$8:J$73,MATCH($A23,MAI!$A$8:$A$73,0))&amp;"","")</f>
        <v/>
      </c>
      <c r="AP23" s="109">
        <f>IFERROR(INDEX(MAI!K$8:K$73,MATCH($A23,MAI!$A$8:$A$73,0))&amp;"","")</f>
        <v/>
      </c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SUMPRODUCT(($G23:$M23="M")*6+($G23:$M23="T")*6+($G23:$M23="D")*12+($G23:$M23="N")*12+($G23:$M23="NT")*6+($G23:$M23="C")*10+($G23:$M23="A")*8+($G23:$M23="J")*5+($G23:$M23="E")*4+($G23:$M23="P")*6+($G23:$M23="R")*6)</f>
        <v/>
      </c>
      <c r="BF23" s="110">
        <f>SUMPRODUCT(($N23:$T23="M")*6+($N23:$T23="T")*6+($N23:$T23="D")*12+($N23:$T23="N")*12+($N23:$T23="NT")*6+($N23:$T23="C")*10+($N23:$T23="A")*8+($N23:$T23="J")*5+($N23:$T23="E")*4+($N23:$T23="P")*6+($N23:$T23="R")*6)</f>
        <v/>
      </c>
      <c r="BG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H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I23" s="110">
        <f>SUMPRODUCT(($AI23:$AL23="M")*6+($AI23:$AL23="T")*6+($AI23:$AL23="D")*12+($AI23:$AL23="N")*12+($AI23:$AL23="NT")*6+($AI23:$AL23="C")*10+($AI23:$AL23="A")*8+($AI23:$AL23="J")*5+($AI23:$AL23="E")*4+($AI23:$AL23="P")*6+($AI23:$AL23="R")*6)+SUMPRODUCT(($AN23:$AP23="M")*6+($AN23:$AP23="T")*6+($AN23:$AP23="D")*12+($AN23:$AP23="N")*12+($AN23:$AP23="NT")*6+($AN23:$AP23="C")*10+($AN23:$AP23="A")*8+($AN23:$AP23="J")*5+($AN23:$AP23="E")*4+($AN23:$AP23="P")*6+($AN23:$AP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3">
        <f>IFERROR(INDEX(MAR!AL$8:AL$73,MATCH($A24,MAR!$A$8:$A$73,0))&amp;"","")</f>
        <v/>
      </c>
      <c r="H24" s="123">
        <f>IFERROR(INDEX(MAR!AM$8:AM$73,MATCH($A24,MAR!$A$8:$A$73,0))&amp;"","")</f>
        <v/>
      </c>
      <c r="I24" s="108" t="inlineStr">
        <is>
          <t>M</t>
        </is>
      </c>
      <c r="J24" s="107" t="n"/>
      <c r="K24" s="117" t="inlineStr">
        <is>
          <t>T</t>
        </is>
      </c>
      <c r="L24" s="116" t="inlineStr">
        <is>
          <t>N</t>
        </is>
      </c>
      <c r="M24" s="107" t="n"/>
      <c r="N24" s="108" t="inlineStr">
        <is>
          <t>M</t>
        </is>
      </c>
      <c r="O24" s="115" t="inlineStr">
        <is>
          <t>D</t>
        </is>
      </c>
      <c r="P24" s="107" t="n"/>
      <c r="Q24" s="117" t="inlineStr">
        <is>
          <t>T</t>
        </is>
      </c>
      <c r="R24" s="107" t="n"/>
      <c r="S24" s="116" t="inlineStr">
        <is>
          <t>N</t>
        </is>
      </c>
      <c r="T24" s="107" t="n"/>
      <c r="U24" s="117" t="inlineStr">
        <is>
          <t>T</t>
        </is>
      </c>
      <c r="V24" s="115" t="inlineStr">
        <is>
          <t>D</t>
        </is>
      </c>
      <c r="W24" s="108" t="inlineStr">
        <is>
          <t>M</t>
        </is>
      </c>
      <c r="X24" s="115" t="inlineStr">
        <is>
          <t>D</t>
        </is>
      </c>
      <c r="Y24" s="107" t="n"/>
      <c r="Z24" s="107" t="n"/>
      <c r="AA24" s="107" t="n"/>
      <c r="AB24" s="107" t="n"/>
      <c r="AC24" s="107" t="n"/>
      <c r="AD24" s="107" t="n"/>
      <c r="AE24" s="115" t="inlineStr">
        <is>
          <t>D</t>
        </is>
      </c>
      <c r="AF24" s="115" t="inlineStr">
        <is>
          <t>D</t>
        </is>
      </c>
      <c r="AG24" s="115" t="inlineStr">
        <is>
          <t>D</t>
        </is>
      </c>
      <c r="AH24" s="107" t="n"/>
      <c r="AI24" s="107" t="n"/>
      <c r="AJ24" s="115" t="inlineStr">
        <is>
          <t>D</t>
        </is>
      </c>
      <c r="AK24" s="107" t="n"/>
      <c r="AL24" s="115" t="inlineStr">
        <is>
          <t>D</t>
        </is>
      </c>
      <c r="AM24" s="96" t="n"/>
      <c r="AN24" s="123">
        <f>IFERROR(INDEX(MAI!I$8:I$73,MATCH($A24,MAI!$A$8:$A$73,0))&amp;"","")</f>
        <v/>
      </c>
      <c r="AO24" s="109">
        <f>IFERROR(INDEX(MAI!J$8:J$73,MATCH($A24,MAI!$A$8:$A$73,0))&amp;"","")</f>
        <v/>
      </c>
      <c r="AP24" s="109">
        <f>IFERROR(INDEX(MAI!K$8:K$73,MATCH($A24,MAI!$A$8:$A$73,0))&amp;"","")</f>
        <v/>
      </c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SUMPRODUCT(($G24:$M24="M")*6+($G24:$M24="T")*6+($G24:$M24="D")*12+($G24:$M24="N")*12+($G24:$M24="NT")*6+($G24:$M24="C")*10+($G24:$M24="A")*8+($G24:$M24="J")*5+($G24:$M24="E")*4+($G24:$M24="P")*6+($G24:$M24="R")*6)</f>
        <v/>
      </c>
      <c r="BF24" s="110">
        <f>SUMPRODUCT(($N24:$T24="M")*6+($N24:$T24="T")*6+($N24:$T24="D")*12+($N24:$T24="N")*12+($N24:$T24="NT")*6+($N24:$T24="C")*10+($N24:$T24="A")*8+($N24:$T24="J")*5+($N24:$T24="E")*4+($N24:$T24="P")*6+($N24:$T24="R")*6)</f>
        <v/>
      </c>
      <c r="BG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H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I24" s="110">
        <f>SUMPRODUCT(($AI24:$AL24="M")*6+($AI24:$AL24="T")*6+($AI24:$AL24="D")*12+($AI24:$AL24="N")*12+($AI24:$AL24="NT")*6+($AI24:$AL24="C")*10+($AI24:$AL24="A")*8+($AI24:$AL24="J")*5+($AI24:$AL24="E")*4+($AI24:$AL24="P")*6+($AI24:$AL24="R")*6)+SUMPRODUCT(($AN24:$AP24="M")*6+($AN24:$AP24="T")*6+($AN24:$AP24="D")*12+($AN24:$AP24="N")*12+($AN24:$AP24="NT")*6+($AN24:$AP24="C")*10+($AN24:$AP24="A")*8+($AN24:$AP24="J")*5+($AN24:$AP24="E")*4+($AN24:$AP24="P")*6+($AN24:$AP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3">
        <f>IFERROR(INDEX(MAR!AL$8:AL$73,MATCH($A25,MAR!$A$8:$A$73,0))&amp;"","")</f>
        <v/>
      </c>
      <c r="H25" s="123">
        <f>IFERROR(INDEX(MAR!AM$8:AM$73,MATCH($A25,MAR!$A$8:$A$73,0))&amp;"","")</f>
        <v/>
      </c>
      <c r="I25" s="116" t="inlineStr">
        <is>
          <t>N</t>
        </is>
      </c>
      <c r="J25" s="107" t="n"/>
      <c r="K25" s="107" t="n"/>
      <c r="L25" s="107" t="n"/>
      <c r="M25" s="107" t="n"/>
      <c r="N25" s="107" t="n"/>
      <c r="O25" s="116" t="inlineStr">
        <is>
          <t>N</t>
        </is>
      </c>
      <c r="P25" s="116" t="inlineStr">
        <is>
          <t>N</t>
        </is>
      </c>
      <c r="Q25" s="107" t="n"/>
      <c r="R25" s="107" t="n"/>
      <c r="S25" s="107" t="n"/>
      <c r="T25" s="116" t="inlineStr">
        <is>
          <t>N</t>
        </is>
      </c>
      <c r="U25" s="107" t="n"/>
      <c r="V25" s="116" t="inlineStr">
        <is>
          <t>N</t>
        </is>
      </c>
      <c r="W25" s="116" t="inlineStr">
        <is>
          <t>N</t>
        </is>
      </c>
      <c r="X25" s="107" t="n"/>
      <c r="Y25" s="107" t="n"/>
      <c r="Z25" s="107" t="n"/>
      <c r="AA25" s="116" t="inlineStr">
        <is>
          <t>N</t>
        </is>
      </c>
      <c r="AB25" s="116" t="inlineStr">
        <is>
          <t>N</t>
        </is>
      </c>
      <c r="AC25" s="116" t="inlineStr">
        <is>
          <t>N</t>
        </is>
      </c>
      <c r="AD25" s="107" t="n"/>
      <c r="AE25" s="107" t="n"/>
      <c r="AF25" s="107" t="n"/>
      <c r="AG25" s="107" t="n"/>
      <c r="AH25" s="116" t="inlineStr">
        <is>
          <t>N</t>
        </is>
      </c>
      <c r="AI25" s="116" t="inlineStr">
        <is>
          <t>N</t>
        </is>
      </c>
      <c r="AJ25" s="116" t="inlineStr">
        <is>
          <t>N</t>
        </is>
      </c>
      <c r="AK25" s="116" t="inlineStr">
        <is>
          <t>N</t>
        </is>
      </c>
      <c r="AL25" s="107" t="n"/>
      <c r="AM25" s="96" t="n"/>
      <c r="AN25" s="123">
        <f>IFERROR(INDEX(MAI!I$8:I$73,MATCH($A25,MAI!$A$8:$A$73,0))&amp;"","")</f>
        <v/>
      </c>
      <c r="AO25" s="109">
        <f>IFERROR(INDEX(MAI!J$8:J$73,MATCH($A25,MAI!$A$8:$A$73,0))&amp;"","")</f>
        <v/>
      </c>
      <c r="AP25" s="109">
        <f>IFERROR(INDEX(MAI!K$8:K$73,MATCH($A25,MAI!$A$8:$A$73,0))&amp;"","")</f>
        <v/>
      </c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SUMPRODUCT(($G25:$M25="M")*6+($G25:$M25="T")*6+($G25:$M25="D")*12+($G25:$M25="N")*12+($G25:$M25="NT")*6+($G25:$M25="C")*10+($G25:$M25="A")*8+($G25:$M25="J")*5+($G25:$M25="E")*4+($G25:$M25="P")*6+($G25:$M25="R")*6)</f>
        <v/>
      </c>
      <c r="BF25" s="110">
        <f>SUMPRODUCT(($N25:$T25="M")*6+($N25:$T25="T")*6+($N25:$T25="D")*12+($N25:$T25="N")*12+($N25:$T25="NT")*6+($N25:$T25="C")*10+($N25:$T25="A")*8+($N25:$T25="J")*5+($N25:$T25="E")*4+($N25:$T25="P")*6+($N25:$T25="R")*6)</f>
        <v/>
      </c>
      <c r="BG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H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I25" s="110">
        <f>SUMPRODUCT(($AI25:$AL25="M")*6+($AI25:$AL25="T")*6+($AI25:$AL25="D")*12+($AI25:$AL25="N")*12+($AI25:$AL25="NT")*6+($AI25:$AL25="C")*10+($AI25:$AL25="A")*8+($AI25:$AL25="J")*5+($AI25:$AL25="E")*4+($AI25:$AL25="P")*6+($AI25:$AL25="R")*6)+SUMPRODUCT(($AN25:$AP25="M")*6+($AN25:$AP25="T")*6+($AN25:$AP25="D")*12+($AN25:$AP25="N")*12+($AN25:$AP25="NT")*6+($AN25:$AP25="C")*10+($AN25:$AP25="A")*8+($AN25:$AP25="J")*5+($AN25:$AP25="E")*4+($AN25:$AP25="P")*6+($AN25:$AP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3">
        <f>IFERROR(INDEX(MAR!AL$8:AL$73,MATCH($A26,MAR!$A$8:$A$73,0))&amp;"","")</f>
        <v/>
      </c>
      <c r="H26" s="123">
        <f>IFERROR(INDEX(MAR!AM$8:AM$73,MATCH($A26,MAR!$A$8:$A$73,0))&amp;"","")</f>
        <v/>
      </c>
      <c r="I26" s="107" t="n"/>
      <c r="J26" s="117" t="inlineStr">
        <is>
          <t>T</t>
        </is>
      </c>
      <c r="K26" s="117" t="inlineStr">
        <is>
          <t>T</t>
        </is>
      </c>
      <c r="L26" s="107" t="n"/>
      <c r="M26" s="116" t="inlineStr">
        <is>
          <t>N</t>
        </is>
      </c>
      <c r="N26" s="108" t="inlineStr">
        <is>
          <t>M</t>
        </is>
      </c>
      <c r="O26" s="116" t="inlineStr">
        <is>
          <t>N</t>
        </is>
      </c>
      <c r="P26" s="107" t="n"/>
      <c r="Q26" s="117" t="inlineStr">
        <is>
          <t>T</t>
        </is>
      </c>
      <c r="R26" s="116" t="inlineStr">
        <is>
          <t>N</t>
        </is>
      </c>
      <c r="S26" s="107" t="n"/>
      <c r="T26" s="107" t="n"/>
      <c r="U26" s="117" t="inlineStr">
        <is>
          <t>T</t>
        </is>
      </c>
      <c r="V26" s="116" t="inlineStr">
        <is>
          <t>N</t>
        </is>
      </c>
      <c r="W26" s="107" t="n"/>
      <c r="X26" s="107" t="n"/>
      <c r="Y26" s="117" t="inlineStr">
        <is>
          <t>T</t>
        </is>
      </c>
      <c r="Z26" s="107" t="n"/>
      <c r="AA26" s="116" t="inlineStr">
        <is>
          <t>N</t>
        </is>
      </c>
      <c r="AB26" s="117" t="inlineStr">
        <is>
          <t>T</t>
        </is>
      </c>
      <c r="AC26" s="107" t="n"/>
      <c r="AD26" s="107" t="n"/>
      <c r="AE26" s="117" t="inlineStr">
        <is>
          <t>T</t>
        </is>
      </c>
      <c r="AF26" s="115" t="inlineStr">
        <is>
          <t>D</t>
        </is>
      </c>
      <c r="AG26" s="107" t="n"/>
      <c r="AH26" s="116" t="inlineStr">
        <is>
          <t>N</t>
        </is>
      </c>
      <c r="AI26" s="108" t="inlineStr">
        <is>
          <t>M</t>
        </is>
      </c>
      <c r="AJ26" s="107" t="n"/>
      <c r="AK26" s="107" t="n"/>
      <c r="AL26" s="116" t="inlineStr">
        <is>
          <t>N</t>
        </is>
      </c>
      <c r="AM26" s="96" t="n"/>
      <c r="AN26" s="123">
        <f>IFERROR(INDEX(MAI!I$8:I$73,MATCH($A26,MAI!$A$8:$A$73,0))&amp;"","")</f>
        <v/>
      </c>
      <c r="AO26" s="109">
        <f>IFERROR(INDEX(MAI!J$8:J$73,MATCH($A26,MAI!$A$8:$A$73,0))&amp;"","")</f>
        <v/>
      </c>
      <c r="AP26" s="109">
        <f>IFERROR(INDEX(MAI!K$8:K$73,MATCH($A26,MAI!$A$8:$A$73,0))&amp;"","")</f>
        <v/>
      </c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SUMPRODUCT(($G26:$M26="M")*6+($G26:$M26="T")*6+($G26:$M26="D")*12+($G26:$M26="N")*12+($G26:$M26="NT")*6+($G26:$M26="C")*10+($G26:$M26="A")*8+($G26:$M26="J")*5+($G26:$M26="E")*4+($G26:$M26="P")*6+($G26:$M26="R")*6)</f>
        <v/>
      </c>
      <c r="BF26" s="110">
        <f>SUMPRODUCT(($N26:$T26="M")*6+($N26:$T26="T")*6+($N26:$T26="D")*12+($N26:$T26="N")*12+($N26:$T26="NT")*6+($N26:$T26="C")*10+($N26:$T26="A")*8+($N26:$T26="J")*5+($N26:$T26="E")*4+($N26:$T26="P")*6+($N26:$T26="R")*6)</f>
        <v/>
      </c>
      <c r="BG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H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I26" s="110">
        <f>SUMPRODUCT(($AI26:$AL26="M")*6+($AI26:$AL26="T")*6+($AI26:$AL26="D")*12+($AI26:$AL26="N")*12+($AI26:$AL26="NT")*6+($AI26:$AL26="C")*10+($AI26:$AL26="A")*8+($AI26:$AL26="J")*5+($AI26:$AL26="E")*4+($AI26:$AL26="P")*6+($AI26:$AL26="R")*6)+SUMPRODUCT(($AN26:$AP26="M")*6+($AN26:$AP26="T")*6+($AN26:$AP26="D")*12+($AN26:$AP26="N")*12+($AN26:$AP26="NT")*6+($AN26:$AP26="C")*10+($AN26:$AP26="A")*8+($AN26:$AP26="J")*5+($AN26:$AP26="E")*4+($AN26:$AP26="P")*6+($AN26:$AP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3">
        <f>IFERROR(INDEX(MAR!AL$8:AL$73,MATCH($A27,MAR!$A$8:$A$73,0))&amp;"","")</f>
        <v/>
      </c>
      <c r="H27" s="123">
        <f>IFERROR(INDEX(MAR!AM$8:AM$73,MATCH($A27,MAR!$A$8:$A$73,0))&amp;"","")</f>
        <v/>
      </c>
      <c r="I27" s="107" t="n"/>
      <c r="J27" s="116" t="inlineStr">
        <is>
          <t>N</t>
        </is>
      </c>
      <c r="K27" s="116" t="inlineStr">
        <is>
          <t>N</t>
        </is>
      </c>
      <c r="L27" s="107" t="n"/>
      <c r="M27" s="116" t="inlineStr">
        <is>
          <t>N</t>
        </is>
      </c>
      <c r="N27" s="108" t="inlineStr">
        <is>
          <t>M</t>
        </is>
      </c>
      <c r="O27" s="116" t="inlineStr">
        <is>
          <t>N</t>
        </is>
      </c>
      <c r="P27" s="107" t="n"/>
      <c r="Q27" s="107" t="n"/>
      <c r="R27" s="107" t="n"/>
      <c r="S27" s="107" t="n"/>
      <c r="T27" s="116" t="inlineStr">
        <is>
          <t>N</t>
        </is>
      </c>
      <c r="U27" s="108" t="inlineStr">
        <is>
          <t>M</t>
        </is>
      </c>
      <c r="V27" s="116" t="inlineStr">
        <is>
          <t>N</t>
        </is>
      </c>
      <c r="W27" s="107" t="n"/>
      <c r="X27" s="116" t="inlineStr">
        <is>
          <t>N</t>
        </is>
      </c>
      <c r="Y27" s="107" t="n"/>
      <c r="Z27" s="107" t="n"/>
      <c r="AA27" s="107" t="n"/>
      <c r="AB27" s="116" t="inlineStr">
        <is>
          <t>N</t>
        </is>
      </c>
      <c r="AC27" s="107" t="n"/>
      <c r="AD27" s="107" t="n"/>
      <c r="AE27" s="116" t="inlineStr">
        <is>
          <t>N</t>
        </is>
      </c>
      <c r="AF27" s="107" t="n"/>
      <c r="AG27" s="116" t="inlineStr">
        <is>
          <t>N</t>
        </is>
      </c>
      <c r="AH27" s="107" t="n"/>
      <c r="AI27" s="107" t="n"/>
      <c r="AJ27" s="107" t="n"/>
      <c r="AK27" s="107" t="n"/>
      <c r="AL27" s="116" t="inlineStr">
        <is>
          <t>N</t>
        </is>
      </c>
      <c r="AM27" s="96" t="n"/>
      <c r="AN27" s="123">
        <f>IFERROR(INDEX(MAI!I$8:I$73,MATCH($A27,MAI!$A$8:$A$73,0))&amp;"","")</f>
        <v/>
      </c>
      <c r="AO27" s="109">
        <f>IFERROR(INDEX(MAI!J$8:J$73,MATCH($A27,MAI!$A$8:$A$73,0))&amp;"","")</f>
        <v/>
      </c>
      <c r="AP27" s="109">
        <f>IFERROR(INDEX(MAI!K$8:K$73,MATCH($A27,MAI!$A$8:$A$73,0))&amp;"","")</f>
        <v/>
      </c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SUMPRODUCT(($G27:$M27="M")*6+($G27:$M27="T")*6+($G27:$M27="D")*12+($G27:$M27="N")*12+($G27:$M27="NT")*6+($G27:$M27="C")*10+($G27:$M27="A")*8+($G27:$M27="J")*5+($G27:$M27="E")*4+($G27:$M27="P")*6+($G27:$M27="R")*6)</f>
        <v/>
      </c>
      <c r="BF27" s="110">
        <f>SUMPRODUCT(($N27:$T27="M")*6+($N27:$T27="T")*6+($N27:$T27="D")*12+($N27:$T27="N")*12+($N27:$T27="NT")*6+($N27:$T27="C")*10+($N27:$T27="A")*8+($N27:$T27="J")*5+($N27:$T27="E")*4+($N27:$T27="P")*6+($N27:$T27="R")*6)</f>
        <v/>
      </c>
      <c r="BG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H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I27" s="110">
        <f>SUMPRODUCT(($AI27:$AL27="M")*6+($AI27:$AL27="T")*6+($AI27:$AL27="D")*12+($AI27:$AL27="N")*12+($AI27:$AL27="NT")*6+($AI27:$AL27="C")*10+($AI27:$AL27="A")*8+($AI27:$AL27="J")*5+($AI27:$AL27="E")*4+($AI27:$AL27="P")*6+($AI27:$AL27="R")*6)+SUMPRODUCT(($AN27:$AP27="M")*6+($AN27:$AP27="T")*6+($AN27:$AP27="D")*12+($AN27:$AP27="N")*12+($AN27:$AP27="NT")*6+($AN27:$AP27="C")*10+($AN27:$AP27="A")*8+($AN27:$AP27="J")*5+($AN27:$AP27="E")*4+($AN27:$AP27="P")*6+($AN27:$AP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3">
        <f>IFERROR(INDEX(MAR!AL$8:AL$73,MATCH($A28,MAR!$A$8:$A$73,0))&amp;"","")</f>
        <v/>
      </c>
      <c r="H28" s="123">
        <f>IFERROR(INDEX(MAR!AM$8:AM$73,MATCH($A28,MAR!$A$8:$A$73,0))&amp;"","")</f>
        <v/>
      </c>
      <c r="I28" s="107" t="n"/>
      <c r="J28" s="116" t="inlineStr">
        <is>
          <t>N</t>
        </is>
      </c>
      <c r="K28" s="117" t="inlineStr">
        <is>
          <t>T</t>
        </is>
      </c>
      <c r="L28" s="116" t="inlineStr">
        <is>
          <t>N</t>
        </is>
      </c>
      <c r="M28" s="107" t="n"/>
      <c r="N28" s="115" t="inlineStr">
        <is>
          <t>D</t>
        </is>
      </c>
      <c r="O28" s="107" t="n"/>
      <c r="P28" s="108" t="inlineStr">
        <is>
          <t>M</t>
        </is>
      </c>
      <c r="Q28" s="115" t="inlineStr">
        <is>
          <t>D</t>
        </is>
      </c>
      <c r="R28" s="107" t="n"/>
      <c r="S28" s="107" t="n"/>
      <c r="T28" s="107" t="n"/>
      <c r="U28" s="107" t="n"/>
      <c r="V28" s="117" t="inlineStr">
        <is>
          <t>T</t>
        </is>
      </c>
      <c r="W28" s="116" t="inlineStr">
        <is>
          <t>N</t>
        </is>
      </c>
      <c r="X28" s="107" t="n"/>
      <c r="Y28" s="115" t="inlineStr">
        <is>
          <t>D</t>
        </is>
      </c>
      <c r="Z28" s="107" t="n"/>
      <c r="AA28" s="107" t="n"/>
      <c r="AB28" s="107" t="n"/>
      <c r="AC28" s="107" t="n"/>
      <c r="AD28" s="107" t="n"/>
      <c r="AE28" s="107" t="n"/>
      <c r="AF28" s="115" t="inlineStr">
        <is>
          <t>D</t>
        </is>
      </c>
      <c r="AG28" s="117" t="inlineStr">
        <is>
          <t>T</t>
        </is>
      </c>
      <c r="AH28" s="115" t="inlineStr">
        <is>
          <t>D</t>
        </is>
      </c>
      <c r="AI28" s="107" t="n"/>
      <c r="AJ28" s="107" t="n"/>
      <c r="AK28" s="117" t="inlineStr">
        <is>
          <t>T</t>
        </is>
      </c>
      <c r="AL28" s="117" t="inlineStr">
        <is>
          <t>T</t>
        </is>
      </c>
      <c r="AM28" s="96" t="n"/>
      <c r="AN28" s="123">
        <f>IFERROR(INDEX(MAI!I$8:I$73,MATCH($A28,MAI!$A$8:$A$73,0))&amp;"","")</f>
        <v/>
      </c>
      <c r="AO28" s="109">
        <f>IFERROR(INDEX(MAI!J$8:J$73,MATCH($A28,MAI!$A$8:$A$73,0))&amp;"","")</f>
        <v/>
      </c>
      <c r="AP28" s="109">
        <f>IFERROR(INDEX(MAI!K$8:K$73,MATCH($A28,MAI!$A$8:$A$73,0))&amp;"","")</f>
        <v/>
      </c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SUMPRODUCT(($G28:$M28="M")*6+($G28:$M28="T")*6+($G28:$M28="D")*12+($G28:$M28="N")*12+($G28:$M28="NT")*6+($G28:$M28="C")*10+($G28:$M28="A")*8+($G28:$M28="J")*5+($G28:$M28="E")*4+($G28:$M28="P")*6+($G28:$M28="R")*6)</f>
        <v/>
      </c>
      <c r="BF28" s="110">
        <f>SUMPRODUCT(($N28:$T28="M")*6+($N28:$T28="T")*6+($N28:$T28="D")*12+($N28:$T28="N")*12+($N28:$T28="NT")*6+($N28:$T28="C")*10+($N28:$T28="A")*8+($N28:$T28="J")*5+($N28:$T28="E")*4+($N28:$T28="P")*6+($N28:$T28="R")*6)</f>
        <v/>
      </c>
      <c r="BG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H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I28" s="110">
        <f>SUMPRODUCT(($AI28:$AL28="M")*6+($AI28:$AL28="T")*6+($AI28:$AL28="D")*12+($AI28:$AL28="N")*12+($AI28:$AL28="NT")*6+($AI28:$AL28="C")*10+($AI28:$AL28="A")*8+($AI28:$AL28="J")*5+($AI28:$AL28="E")*4+($AI28:$AL28="P")*6+($AI28:$AL28="R")*6)+SUMPRODUCT(($AN28:$AP28="M")*6+($AN28:$AP28="T")*6+($AN28:$AP28="D")*12+($AN28:$AP28="N")*12+($AN28:$AP28="NT")*6+($AN28:$AP28="C")*10+($AN28:$AP28="A")*8+($AN28:$AP28="J")*5+($AN28:$AP28="E")*4+($AN28:$AP28="P")*6+($AN28:$AP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3">
        <f>IFERROR(INDEX(MAR!AL$8:AL$73,MATCH($A29,MAR!$A$8:$A$73,0))&amp;"","")</f>
        <v/>
      </c>
      <c r="H29" s="123">
        <f>IFERROR(INDEX(MAR!AM$8:AM$73,MATCH($A29,MAR!$A$8:$A$73,0))&amp;"","")</f>
        <v/>
      </c>
      <c r="I29" s="108" t="inlineStr">
        <is>
          <t>M</t>
        </is>
      </c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16" t="inlineStr">
        <is>
          <t>N</t>
        </is>
      </c>
      <c r="O29" s="107" t="n"/>
      <c r="P29" s="107" t="n"/>
      <c r="Q29" s="107" t="n"/>
      <c r="R29" s="107" t="n"/>
      <c r="S29" s="108" t="inlineStr">
        <is>
          <t>M</t>
        </is>
      </c>
      <c r="T29" s="116" t="inlineStr">
        <is>
          <t>N</t>
        </is>
      </c>
      <c r="U29" s="116" t="inlineStr">
        <is>
          <t>N</t>
        </is>
      </c>
      <c r="V29" s="107" t="n"/>
      <c r="W29" s="108" t="inlineStr">
        <is>
          <t>M</t>
        </is>
      </c>
      <c r="X29" s="108" t="inlineStr">
        <is>
          <t>M</t>
        </is>
      </c>
      <c r="Y29" s="108" t="inlineStr">
        <is>
          <t>M</t>
        </is>
      </c>
      <c r="Z29" s="107" t="n"/>
      <c r="AA29" s="107" t="n"/>
      <c r="AB29" s="116" t="inlineStr">
        <is>
          <t>N</t>
        </is>
      </c>
      <c r="AC29" s="107" t="n"/>
      <c r="AD29" s="108" t="inlineStr">
        <is>
          <t>M</t>
        </is>
      </c>
      <c r="AE29" s="107" t="n"/>
      <c r="AF29" s="107" t="n"/>
      <c r="AG29" s="108" t="inlineStr">
        <is>
          <t>M</t>
        </is>
      </c>
      <c r="AH29" s="108" t="inlineStr">
        <is>
          <t>M</t>
        </is>
      </c>
      <c r="AI29" s="116" t="inlineStr">
        <is>
          <t>N</t>
        </is>
      </c>
      <c r="AJ29" s="107" t="n"/>
      <c r="AK29" s="107" t="n"/>
      <c r="AL29" s="108" t="inlineStr">
        <is>
          <t>M</t>
        </is>
      </c>
      <c r="AM29" s="96" t="n"/>
      <c r="AN29" s="123">
        <f>IFERROR(INDEX(MAI!I$8:I$73,MATCH($A29,MAI!$A$8:$A$73,0))&amp;"","")</f>
        <v/>
      </c>
      <c r="AO29" s="109">
        <f>IFERROR(INDEX(MAI!J$8:J$73,MATCH($A29,MAI!$A$8:$A$73,0))&amp;"","")</f>
        <v/>
      </c>
      <c r="AP29" s="109">
        <f>IFERROR(INDEX(MAI!K$8:K$73,MATCH($A29,MAI!$A$8:$A$73,0))&amp;"","")</f>
        <v/>
      </c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SUMPRODUCT(($G29:$M29="M")*6+($G29:$M29="T")*6+($G29:$M29="D")*12+($G29:$M29="N")*12+($G29:$M29="NT")*6+($G29:$M29="C")*10+($G29:$M29="A")*8+($G29:$M29="J")*5+($G29:$M29="E")*4+($G29:$M29="P")*6+($G29:$M29="R")*6)</f>
        <v/>
      </c>
      <c r="BF29" s="110">
        <f>SUMPRODUCT(($N29:$T29="M")*6+($N29:$T29="T")*6+($N29:$T29="D")*12+($N29:$T29="N")*12+($N29:$T29="NT")*6+($N29:$T29="C")*10+($N29:$T29="A")*8+($N29:$T29="J")*5+($N29:$T29="E")*4+($N29:$T29="P")*6+($N29:$T29="R")*6)</f>
        <v/>
      </c>
      <c r="BG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H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I29" s="110">
        <f>SUMPRODUCT(($AI29:$AL29="M")*6+($AI29:$AL29="T")*6+($AI29:$AL29="D")*12+($AI29:$AL29="N")*12+($AI29:$AL29="NT")*6+($AI29:$AL29="C")*10+($AI29:$AL29="A")*8+($AI29:$AL29="J")*5+($AI29:$AL29="E")*4+($AI29:$AL29="P")*6+($AI29:$AL29="R")*6)+SUMPRODUCT(($AN29:$AP29="M")*6+($AN29:$AP29="T")*6+($AN29:$AP29="D")*12+($AN29:$AP29="N")*12+($AN29:$AP29="NT")*6+($AN29:$AP29="C")*10+($AN29:$AP29="A")*8+($AN29:$AP29="J")*5+($AN29:$AP29="E")*4+($AN29:$AP29="P")*6+($AN29:$AP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3">
        <f>IFERROR(INDEX(MAR!AL$8:AL$73,MATCH($A30,MAR!$A$8:$A$73,0))&amp;"","")</f>
        <v/>
      </c>
      <c r="H30" s="123">
        <f>IFERROR(INDEX(MAR!AM$8:AM$73,MATCH($A30,MAR!$A$8:$A$73,0))&amp;"","")</f>
        <v/>
      </c>
      <c r="I30" s="107" t="n"/>
      <c r="J30" s="107" t="n"/>
      <c r="K30" s="116" t="inlineStr">
        <is>
          <t>N</t>
        </is>
      </c>
      <c r="L30" s="107" t="n"/>
      <c r="M30" s="116" t="inlineStr">
        <is>
          <t>N</t>
        </is>
      </c>
      <c r="N30" s="107" t="n"/>
      <c r="O30" s="116" t="inlineStr">
        <is>
          <t>N</t>
        </is>
      </c>
      <c r="P30" s="117" t="inlineStr">
        <is>
          <t>T</t>
        </is>
      </c>
      <c r="Q30" s="107" t="n"/>
      <c r="R30" s="116" t="inlineStr">
        <is>
          <t>N</t>
        </is>
      </c>
      <c r="S30" s="107" t="n"/>
      <c r="T30" s="107" t="n"/>
      <c r="U30" s="107" t="n"/>
      <c r="V30" s="116" t="inlineStr">
        <is>
          <t>N</t>
        </is>
      </c>
      <c r="W30" s="117" t="inlineStr">
        <is>
          <t>T</t>
        </is>
      </c>
      <c r="X30" s="107" t="n"/>
      <c r="Y30" s="107" t="n"/>
      <c r="Z30" s="107" t="n"/>
      <c r="AA30" s="116" t="inlineStr">
        <is>
          <t>N</t>
        </is>
      </c>
      <c r="AB30" s="116" t="inlineStr">
        <is>
          <t>N</t>
        </is>
      </c>
      <c r="AC30" s="107" t="n"/>
      <c r="AD30" s="117" t="inlineStr">
        <is>
          <t>T</t>
        </is>
      </c>
      <c r="AE30" s="107" t="n"/>
      <c r="AF30" s="107" t="n"/>
      <c r="AG30" s="116" t="inlineStr">
        <is>
          <t>N</t>
        </is>
      </c>
      <c r="AH30" s="107" t="n"/>
      <c r="AI30" s="107" t="n"/>
      <c r="AJ30" s="116" t="inlineStr">
        <is>
          <t>N</t>
        </is>
      </c>
      <c r="AK30" s="117" t="inlineStr">
        <is>
          <t>T</t>
        </is>
      </c>
      <c r="AL30" s="107" t="n"/>
      <c r="AM30" s="96" t="n"/>
      <c r="AN30" s="123">
        <f>IFERROR(INDEX(MAI!I$8:I$73,MATCH($A30,MAI!$A$8:$A$73,0))&amp;"","")</f>
        <v/>
      </c>
      <c r="AO30" s="109">
        <f>IFERROR(INDEX(MAI!J$8:J$73,MATCH($A30,MAI!$A$8:$A$73,0))&amp;"","")</f>
        <v/>
      </c>
      <c r="AP30" s="109">
        <f>IFERROR(INDEX(MAI!K$8:K$73,MATCH($A30,MAI!$A$8:$A$73,0))&amp;"","")</f>
        <v/>
      </c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SUMPRODUCT(($G30:$M30="M")*6+($G30:$M30="T")*6+($G30:$M30="D")*12+($G30:$M30="N")*12+($G30:$M30="NT")*6+($G30:$M30="C")*10+($G30:$M30="A")*8+($G30:$M30="J")*5+($G30:$M30="E")*4+($G30:$M30="P")*6+($G30:$M30="R")*6)</f>
        <v/>
      </c>
      <c r="BF30" s="110">
        <f>SUMPRODUCT(($N30:$T30="M")*6+($N30:$T30="T")*6+($N30:$T30="D")*12+($N30:$T30="N")*12+($N30:$T30="NT")*6+($N30:$T30="C")*10+($N30:$T30="A")*8+($N30:$T30="J")*5+($N30:$T30="E")*4+($N30:$T30="P")*6+($N30:$T30="R")*6)</f>
        <v/>
      </c>
      <c r="BG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H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I30" s="110">
        <f>SUMPRODUCT(($AI30:$AL30="M")*6+($AI30:$AL30="T")*6+($AI30:$AL30="D")*12+($AI30:$AL30="N")*12+($AI30:$AL30="NT")*6+($AI30:$AL30="C")*10+($AI30:$AL30="A")*8+($AI30:$AL30="J")*5+($AI30:$AL30="E")*4+($AI30:$AL30="P")*6+($AI30:$AL30="R")*6)+SUMPRODUCT(($AN30:$AP30="M")*6+($AN30:$AP30="T")*6+($AN30:$AP30="D")*12+($AN30:$AP30="N")*12+($AN30:$AP30="NT")*6+($AN30:$AP30="C")*10+($AN30:$AP30="A")*8+($AN30:$AP30="J")*5+($AN30:$AP30="E")*4+($AN30:$AP30="P")*6+($AN30:$AP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3">
        <f>IFERROR(INDEX(MAR!AL$8:AL$73,MATCH($A31,MAR!$A$8:$A$73,0))&amp;"","")</f>
        <v/>
      </c>
      <c r="H31" s="123">
        <f>IFERROR(INDEX(MAR!AM$8:AM$73,MATCH($A31,MAR!$A$8:$A$73,0))&amp;"","")</f>
        <v/>
      </c>
      <c r="I31" s="117" t="inlineStr">
        <is>
          <t>T</t>
        </is>
      </c>
      <c r="J31" s="107" t="n"/>
      <c r="K31" s="108" t="inlineStr">
        <is>
          <t>M</t>
        </is>
      </c>
      <c r="L31" s="116" t="inlineStr">
        <is>
          <t>N</t>
        </is>
      </c>
      <c r="M31" s="107" t="n"/>
      <c r="N31" s="115" t="inlineStr">
        <is>
          <t>D</t>
        </is>
      </c>
      <c r="O31" s="116" t="inlineStr">
        <is>
          <t>N</t>
        </is>
      </c>
      <c r="P31" s="117" t="inlineStr">
        <is>
          <t>T</t>
        </is>
      </c>
      <c r="Q31" s="117" t="inlineStr">
        <is>
          <t>T</t>
        </is>
      </c>
      <c r="R31" s="107" t="n"/>
      <c r="S31" s="107" t="n"/>
      <c r="T31" s="107" t="n"/>
      <c r="U31" s="107" t="n"/>
      <c r="V31" s="116" t="inlineStr">
        <is>
          <t>N</t>
        </is>
      </c>
      <c r="W31" s="107" t="n"/>
      <c r="X31" s="116" t="inlineStr">
        <is>
          <t>N</t>
        </is>
      </c>
      <c r="Y31" s="116" t="inlineStr">
        <is>
          <t>N</t>
        </is>
      </c>
      <c r="Z31" s="107" t="n"/>
      <c r="AA31" s="107" t="n"/>
      <c r="AB31" s="107" t="n"/>
      <c r="AC31" s="107" t="n"/>
      <c r="AD31" s="115" t="inlineStr">
        <is>
          <t>D</t>
        </is>
      </c>
      <c r="AE31" s="107" t="n"/>
      <c r="AF31" s="108" t="inlineStr">
        <is>
          <t>M</t>
        </is>
      </c>
      <c r="AG31" s="115" t="inlineStr">
        <is>
          <t>D</t>
        </is>
      </c>
      <c r="AH31" s="116" t="inlineStr">
        <is>
          <t>N</t>
        </is>
      </c>
      <c r="AI31" s="117" t="inlineStr">
        <is>
          <t>T</t>
        </is>
      </c>
      <c r="AJ31" s="116" t="inlineStr">
        <is>
          <t>N</t>
        </is>
      </c>
      <c r="AK31" s="107" t="n"/>
      <c r="AL31" s="116" t="inlineStr">
        <is>
          <t>N</t>
        </is>
      </c>
      <c r="AM31" s="96" t="n"/>
      <c r="AN31" s="123">
        <f>IFERROR(INDEX(MAI!I$8:I$73,MATCH($A31,MAI!$A$8:$A$73,0))&amp;"","")</f>
        <v/>
      </c>
      <c r="AO31" s="109">
        <f>IFERROR(INDEX(MAI!J$8:J$73,MATCH($A31,MAI!$A$8:$A$73,0))&amp;"","")</f>
        <v/>
      </c>
      <c r="AP31" s="109">
        <f>IFERROR(INDEX(MAI!K$8:K$73,MATCH($A31,MAI!$A$8:$A$73,0))&amp;"","")</f>
        <v/>
      </c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SUMPRODUCT(($G31:$M31="M")*6+($G31:$M31="T")*6+($G31:$M31="D")*12+($G31:$M31="N")*12+($G31:$M31="NT")*6+($G31:$M31="C")*10+($G31:$M31="A")*8+($G31:$M31="J")*5+($G31:$M31="E")*4+($G31:$M31="P")*6+($G31:$M31="R")*6)</f>
        <v/>
      </c>
      <c r="BF31" s="110">
        <f>SUMPRODUCT(($N31:$T31="M")*6+($N31:$T31="T")*6+($N31:$T31="D")*12+($N31:$T31="N")*12+($N31:$T31="NT")*6+($N31:$T31="C")*10+($N31:$T31="A")*8+($N31:$T31="J")*5+($N31:$T31="E")*4+($N31:$T31="P")*6+($N31:$T31="R")*6)</f>
        <v/>
      </c>
      <c r="BG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H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I31" s="110">
        <f>SUMPRODUCT(($AI31:$AL31="M")*6+($AI31:$AL31="T")*6+($AI31:$AL31="D")*12+($AI31:$AL31="N")*12+($AI31:$AL31="NT")*6+($AI31:$AL31="C")*10+($AI31:$AL31="A")*8+($AI31:$AL31="J")*5+($AI31:$AL31="E")*4+($AI31:$AL31="P")*6+($AI31:$AL31="R")*6)+SUMPRODUCT(($AN31:$AP31="M")*6+($AN31:$AP31="T")*6+($AN31:$AP31="D")*12+($AN31:$AP31="N")*12+($AN31:$AP31="NT")*6+($AN31:$AP31="C")*10+($AN31:$AP31="A")*8+($AN31:$AP31="J")*5+($AN31:$AP31="E")*4+($AN31:$AP31="P")*6+($AN31:$AP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3">
        <f>IFERROR(INDEX(MAR!AL$8:AL$73,MATCH($A32,MAR!$A$8:$A$73,0))&amp;"","")</f>
        <v/>
      </c>
      <c r="H32" s="123">
        <f>IFERROR(INDEX(MAR!AM$8:AM$73,MATCH($A32,MAR!$A$8:$A$73,0))&amp;"","")</f>
        <v/>
      </c>
      <c r="I32" s="107" t="n"/>
      <c r="J32" s="115" t="inlineStr">
        <is>
          <t>D</t>
        </is>
      </c>
      <c r="K32" s="108" t="inlineStr">
        <is>
          <t>M</t>
        </is>
      </c>
      <c r="L32" s="107" t="n"/>
      <c r="M32" s="108" t="inlineStr">
        <is>
          <t>M</t>
        </is>
      </c>
      <c r="N32" s="117" t="inlineStr">
        <is>
          <t>T</t>
        </is>
      </c>
      <c r="O32" s="107" t="n"/>
      <c r="P32" s="107" t="n"/>
      <c r="Q32" s="107" t="n"/>
      <c r="R32" s="115" t="inlineStr">
        <is>
          <t>D</t>
        </is>
      </c>
      <c r="S32" s="107" t="n"/>
      <c r="T32" s="115" t="inlineStr">
        <is>
          <t>D</t>
        </is>
      </c>
      <c r="U32" s="115" t="inlineStr">
        <is>
          <t>D</t>
        </is>
      </c>
      <c r="V32" s="115" t="inlineStr">
        <is>
          <t>D</t>
        </is>
      </c>
      <c r="W32" s="107" t="n"/>
      <c r="X32" s="108" t="inlineStr">
        <is>
          <t>M</t>
        </is>
      </c>
      <c r="Y32" s="107" t="n"/>
      <c r="Z32" s="107" t="n"/>
      <c r="AA32" s="107" t="n"/>
      <c r="AB32" s="115" t="inlineStr">
        <is>
          <t>D</t>
        </is>
      </c>
      <c r="AC32" s="107" t="n"/>
      <c r="AD32" s="107" t="n"/>
      <c r="AE32" s="117" t="inlineStr">
        <is>
          <t>T</t>
        </is>
      </c>
      <c r="AF32" s="107" t="n"/>
      <c r="AG32" s="107" t="n"/>
      <c r="AH32" s="115" t="inlineStr">
        <is>
          <t>D</t>
        </is>
      </c>
      <c r="AI32" s="117" t="inlineStr">
        <is>
          <t>T</t>
        </is>
      </c>
      <c r="AJ32" s="107" t="n"/>
      <c r="AK32" s="107" t="n"/>
      <c r="AL32" s="107" t="n"/>
      <c r="AM32" s="96" t="n"/>
      <c r="AN32" s="123">
        <f>IFERROR(INDEX(MAI!I$8:I$73,MATCH($A32,MAI!$A$8:$A$73,0))&amp;"","")</f>
        <v/>
      </c>
      <c r="AO32" s="109">
        <f>IFERROR(INDEX(MAI!J$8:J$73,MATCH($A32,MAI!$A$8:$A$73,0))&amp;"","")</f>
        <v/>
      </c>
      <c r="AP32" s="109">
        <f>IFERROR(INDEX(MAI!K$8:K$73,MATCH($A32,MAI!$A$8:$A$73,0))&amp;"","")</f>
        <v/>
      </c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SUMPRODUCT(($G32:$M32="M")*6+($G32:$M32="T")*6+($G32:$M32="D")*12+($G32:$M32="N")*12+($G32:$M32="NT")*6+($G32:$M32="C")*10+($G32:$M32="A")*8+($G32:$M32="J")*5+($G32:$M32="E")*4+($G32:$M32="P")*6+($G32:$M32="R")*6)</f>
        <v/>
      </c>
      <c r="BF32" s="110">
        <f>SUMPRODUCT(($N32:$T32="M")*6+($N32:$T32="T")*6+($N32:$T32="D")*12+($N32:$T32="N")*12+($N32:$T32="NT")*6+($N32:$T32="C")*10+($N32:$T32="A")*8+($N32:$T32="J")*5+($N32:$T32="E")*4+($N32:$T32="P")*6+($N32:$T32="R")*6)</f>
        <v/>
      </c>
      <c r="BG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H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I32" s="110">
        <f>SUMPRODUCT(($AI32:$AL32="M")*6+($AI32:$AL32="T")*6+($AI32:$AL32="D")*12+($AI32:$AL32="N")*12+($AI32:$AL32="NT")*6+($AI32:$AL32="C")*10+($AI32:$AL32="A")*8+($AI32:$AL32="J")*5+($AI32:$AL32="E")*4+($AI32:$AL32="P")*6+($AI32:$AL32="R")*6)+SUMPRODUCT(($AN32:$AP32="M")*6+($AN32:$AP32="T")*6+($AN32:$AP32="D")*12+($AN32:$AP32="N")*12+($AN32:$AP32="NT")*6+($AN32:$AP32="C")*10+($AN32:$AP32="A")*8+($AN32:$AP32="J")*5+($AN32:$AP32="E")*4+($AN32:$AP32="P")*6+($AN32:$AP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3">
        <f>IFERROR(INDEX(MAR!AL$8:AL$73,MATCH($A33,MAR!$A$8:$A$73,0))&amp;"","")</f>
        <v/>
      </c>
      <c r="H33" s="123">
        <f>IFERROR(INDEX(MAR!AM$8:AM$73,MATCH($A33,MAR!$A$8:$A$73,0))&amp;"","")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3">
        <f>IFERROR(INDEX(MAI!I$8:I$73,MATCH($A33,MAI!$A$8:$A$73,0))&amp;"","")</f>
        <v/>
      </c>
      <c r="AO33" s="109">
        <f>IFERROR(INDEX(MAI!J$8:J$73,MATCH($A33,MAI!$A$8:$A$73,0))&amp;"","")</f>
        <v/>
      </c>
      <c r="AP33" s="109">
        <f>IFERROR(INDEX(MAI!K$8:K$73,MATCH($A33,MAI!$A$8:$A$73,0))&amp;"","")</f>
        <v/>
      </c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SUMPRODUCT(($G33:$M33="M")*6+($G33:$M33="T")*6+($G33:$M33="D")*12+($G33:$M33="N")*12+($G33:$M33="NT")*6+($G33:$M33="C")*10+($G33:$M33="A")*8+($G33:$M33="J")*5+($G33:$M33="E")*4+($G33:$M33="P")*6+($G33:$M33="R")*6)</f>
        <v/>
      </c>
      <c r="BF33" s="110">
        <f>SUMPRODUCT(($N33:$T33="M")*6+($N33:$T33="T")*6+($N33:$T33="D")*12+($N33:$T33="N")*12+($N33:$T33="NT")*6+($N33:$T33="C")*10+($N33:$T33="A")*8+($N33:$T33="J")*5+($N33:$T33="E")*4+($N33:$T33="P")*6+($N33:$T33="R")*6)</f>
        <v/>
      </c>
      <c r="BG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H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I33" s="110">
        <f>SUMPRODUCT(($AI33:$AL33="M")*6+($AI33:$AL33="T")*6+($AI33:$AL33="D")*12+($AI33:$AL33="N")*12+($AI33:$AL33="NT")*6+($AI33:$AL33="C")*10+($AI33:$AL33="A")*8+($AI33:$AL33="J")*5+($AI33:$AL33="E")*4+($AI33:$AL33="P")*6+($AI33:$AL33="R")*6)+SUMPRODUCT(($AN33:$AP33="M")*6+($AN33:$AP33="T")*6+($AN33:$AP33="D")*12+($AN33:$AP33="N")*12+($AN33:$AP33="NT")*6+($AN33:$AP33="C")*10+($AN33:$AP33="A")*8+($AN33:$AP33="J")*5+($AN33:$AP33="E")*4+($AN33:$AP33="P")*6+($AN33:$AP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3">
        <f>IFERROR(INDEX(MAR!AL$8:AL$73,MATCH($A34,MAR!$A$8:$A$73,0))&amp;"","")</f>
        <v/>
      </c>
      <c r="H34" s="123">
        <f>IFERROR(INDEX(MAR!AM$8:AM$73,MATCH($A34,MAR!$A$8:$A$73,0))&amp;"","")</f>
        <v/>
      </c>
      <c r="I34" s="115" t="inlineStr">
        <is>
          <t>D</t>
        </is>
      </c>
      <c r="J34" s="108" t="inlineStr">
        <is>
          <t>M</t>
        </is>
      </c>
      <c r="K34" s="107" t="n"/>
      <c r="L34" s="107" t="n"/>
      <c r="M34" s="107" t="n"/>
      <c r="N34" s="107" t="n"/>
      <c r="O34" s="115" t="inlineStr">
        <is>
          <t>D</t>
        </is>
      </c>
      <c r="P34" s="107" t="n"/>
      <c r="Q34" s="107" t="n"/>
      <c r="R34" s="107" t="n"/>
      <c r="S34" s="115" t="inlineStr">
        <is>
          <t>D</t>
        </is>
      </c>
      <c r="T34" s="108" t="inlineStr">
        <is>
          <t>M</t>
        </is>
      </c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15" t="inlineStr">
        <is>
          <t>D</t>
        </is>
      </c>
      <c r="AK34" s="116" t="inlineStr">
        <is>
          <t>N</t>
        </is>
      </c>
      <c r="AL34" s="107" t="n"/>
      <c r="AM34" s="96" t="n"/>
      <c r="AN34" s="123">
        <f>IFERROR(INDEX(MAI!I$8:I$73,MATCH($A34,MAI!$A$8:$A$73,0))&amp;"","")</f>
        <v/>
      </c>
      <c r="AO34" s="109">
        <f>IFERROR(INDEX(MAI!J$8:J$73,MATCH($A34,MAI!$A$8:$A$73,0))&amp;"","")</f>
        <v/>
      </c>
      <c r="AP34" s="109">
        <f>IFERROR(INDEX(MAI!K$8:K$73,MATCH($A34,MAI!$A$8:$A$73,0))&amp;"","")</f>
        <v/>
      </c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SUMPRODUCT(($G34:$M34="M")*6+($G34:$M34="T")*6+($G34:$M34="D")*12+($G34:$M34="N")*12+($G34:$M34="NT")*6+($G34:$M34="C")*10+($G34:$M34="A")*8+($G34:$M34="J")*5+($G34:$M34="E")*4+($G34:$M34="P")*6+($G34:$M34="R")*6)</f>
        <v/>
      </c>
      <c r="BF34" s="110">
        <f>SUMPRODUCT(($N34:$T34="M")*6+($N34:$T34="T")*6+($N34:$T34="D")*12+($N34:$T34="N")*12+($N34:$T34="NT")*6+($N34:$T34="C")*10+($N34:$T34="A")*8+($N34:$T34="J")*5+($N34:$T34="E")*4+($N34:$T34="P")*6+($N34:$T34="R")*6)</f>
        <v/>
      </c>
      <c r="BG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H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I34" s="110">
        <f>SUMPRODUCT(($AI34:$AL34="M")*6+($AI34:$AL34="T")*6+($AI34:$AL34="D")*12+($AI34:$AL34="N")*12+($AI34:$AL34="NT")*6+($AI34:$AL34="C")*10+($AI34:$AL34="A")*8+($AI34:$AL34="J")*5+($AI34:$AL34="E")*4+($AI34:$AL34="P")*6+($AI34:$AL34="R")*6)+SUMPRODUCT(($AN34:$AP34="M")*6+($AN34:$AP34="T")*6+($AN34:$AP34="D")*12+($AN34:$AP34="N")*12+($AN34:$AP34="NT")*6+($AN34:$AP34="C")*10+($AN34:$AP34="A")*8+($AN34:$AP34="J")*5+($AN34:$AP34="E")*4+($AN34:$AP34="P")*6+($AN34:$AP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3">
        <f>IFERROR(INDEX(MAR!AL$8:AL$73,MATCH($A35,MAR!$A$8:$A$73,0))&amp;"","")</f>
        <v/>
      </c>
      <c r="H35" s="123">
        <f>IFERROR(INDEX(MAR!AM$8:AM$73,MATCH($A35,MAR!$A$8:$A$73,0))&amp;"","")</f>
        <v/>
      </c>
      <c r="I35" s="107" t="n"/>
      <c r="J35" s="116" t="inlineStr">
        <is>
          <t>N</t>
        </is>
      </c>
      <c r="K35" s="107" t="n"/>
      <c r="L35" s="116" t="inlineStr">
        <is>
          <t>N</t>
        </is>
      </c>
      <c r="M35" s="107" t="n"/>
      <c r="N35" s="116" t="inlineStr">
        <is>
          <t>N</t>
        </is>
      </c>
      <c r="O35" s="117" t="inlineStr">
        <is>
          <t>T</t>
        </is>
      </c>
      <c r="P35" s="116" t="inlineStr">
        <is>
          <t>N</t>
        </is>
      </c>
      <c r="Q35" s="107" t="n"/>
      <c r="R35" s="107" t="n"/>
      <c r="S35" s="107" t="n"/>
      <c r="T35" s="107" t="n"/>
      <c r="U35" s="117" t="inlineStr">
        <is>
          <t>T</t>
        </is>
      </c>
      <c r="V35" s="115" t="inlineStr">
        <is>
          <t>D</t>
        </is>
      </c>
      <c r="W35" s="107" t="n"/>
      <c r="X35" s="107" t="n"/>
      <c r="Y35" s="116" t="inlineStr">
        <is>
          <t>N</t>
        </is>
      </c>
      <c r="Z35" s="107" t="n"/>
      <c r="AA35" s="107" t="n"/>
      <c r="AB35" s="107" t="n"/>
      <c r="AC35" s="107" t="n"/>
      <c r="AD35" s="108" t="inlineStr">
        <is>
          <t>M</t>
        </is>
      </c>
      <c r="AE35" s="117" t="inlineStr">
        <is>
          <t>T</t>
        </is>
      </c>
      <c r="AF35" s="107" t="n"/>
      <c r="AG35" s="117" t="inlineStr">
        <is>
          <t>T</t>
        </is>
      </c>
      <c r="AH35" s="116" t="inlineStr">
        <is>
          <t>N</t>
        </is>
      </c>
      <c r="AI35" s="116" t="inlineStr">
        <is>
          <t>N</t>
        </is>
      </c>
      <c r="AJ35" s="107" t="n"/>
      <c r="AK35" s="117" t="inlineStr">
        <is>
          <t>T</t>
        </is>
      </c>
      <c r="AL35" s="117" t="inlineStr">
        <is>
          <t>T</t>
        </is>
      </c>
      <c r="AM35" s="96" t="n"/>
      <c r="AN35" s="123">
        <f>IFERROR(INDEX(MAI!I$8:I$73,MATCH($A35,MAI!$A$8:$A$73,0))&amp;"","")</f>
        <v/>
      </c>
      <c r="AO35" s="109">
        <f>IFERROR(INDEX(MAI!J$8:J$73,MATCH($A35,MAI!$A$8:$A$73,0))&amp;"","")</f>
        <v/>
      </c>
      <c r="AP35" s="109">
        <f>IFERROR(INDEX(MAI!K$8:K$73,MATCH($A35,MAI!$A$8:$A$73,0))&amp;"","")</f>
        <v/>
      </c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SUMPRODUCT(($G35:$M35="M")*6+($G35:$M35="T")*6+($G35:$M35="D")*12+($G35:$M35="N")*12+($G35:$M35="NT")*6+($G35:$M35="C")*10+($G35:$M35="A")*8+($G35:$M35="J")*5+($G35:$M35="E")*4+($G35:$M35="P")*6+($G35:$M35="R")*6)</f>
        <v/>
      </c>
      <c r="BF35" s="110">
        <f>SUMPRODUCT(($N35:$T35="M")*6+($N35:$T35="T")*6+($N35:$T35="D")*12+($N35:$T35="N")*12+($N35:$T35="NT")*6+($N35:$T35="C")*10+($N35:$T35="A")*8+($N35:$T35="J")*5+($N35:$T35="E")*4+($N35:$T35="P")*6+($N35:$T35="R")*6)</f>
        <v/>
      </c>
      <c r="BG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H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I35" s="110">
        <f>SUMPRODUCT(($AI35:$AL35="M")*6+($AI35:$AL35="T")*6+($AI35:$AL35="D")*12+($AI35:$AL35="N")*12+($AI35:$AL35="NT")*6+($AI35:$AL35="C")*10+($AI35:$AL35="A")*8+($AI35:$AL35="J")*5+($AI35:$AL35="E")*4+($AI35:$AL35="P")*6+($AI35:$AL35="R")*6)+SUMPRODUCT(($AN35:$AP35="M")*6+($AN35:$AP35="T")*6+($AN35:$AP35="D")*12+($AN35:$AP35="N")*12+($AN35:$AP35="NT")*6+($AN35:$AP35="C")*10+($AN35:$AP35="A")*8+($AN35:$AP35="J")*5+($AN35:$AP35="E")*4+($AN35:$AP35="P")*6+($AN35:$AP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3">
        <f>IFERROR(INDEX(MAR!AL$8:AL$73,MATCH($A36,MAR!$A$8:$A$73,0))&amp;"","")</f>
        <v/>
      </c>
      <c r="H36" s="123">
        <f>IFERROR(INDEX(MAR!AM$8:AM$73,MATCH($A36,MAR!$A$8:$A$73,0))&amp;"","")</f>
        <v/>
      </c>
      <c r="I36" s="107" t="n"/>
      <c r="J36" s="107" t="n"/>
      <c r="K36" s="115" t="inlineStr">
        <is>
          <t>D</t>
        </is>
      </c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17" t="inlineStr">
        <is>
          <t>T</t>
        </is>
      </c>
      <c r="Y36" s="108" t="inlineStr">
        <is>
          <t>M</t>
        </is>
      </c>
      <c r="Z36" s="115" t="inlineStr">
        <is>
          <t>D</t>
        </is>
      </c>
      <c r="AA36" s="107" t="n"/>
      <c r="AB36" s="115" t="inlineStr">
        <is>
          <t>D</t>
        </is>
      </c>
      <c r="AC36" s="116" t="inlineStr">
        <is>
          <t>N</t>
        </is>
      </c>
      <c r="AD36" s="117" t="inlineStr">
        <is>
          <t>T</t>
        </is>
      </c>
      <c r="AE36" s="107" t="n"/>
      <c r="AF36" s="107" t="n"/>
      <c r="AG36" s="107" t="n"/>
      <c r="AH36" s="107" t="n"/>
      <c r="AI36" s="107" t="n"/>
      <c r="AJ36" s="107" t="n"/>
      <c r="AK36" s="107" t="n"/>
      <c r="AL36" s="117" t="inlineStr">
        <is>
          <t>T</t>
        </is>
      </c>
      <c r="AM36" s="96" t="n"/>
      <c r="AN36" s="123">
        <f>IFERROR(INDEX(MAI!I$8:I$73,MATCH($A36,MAI!$A$8:$A$73,0))&amp;"","")</f>
        <v/>
      </c>
      <c r="AO36" s="109">
        <f>IFERROR(INDEX(MAI!J$8:J$73,MATCH($A36,MAI!$A$8:$A$73,0))&amp;"","")</f>
        <v/>
      </c>
      <c r="AP36" s="109">
        <f>IFERROR(INDEX(MAI!K$8:K$73,MATCH($A36,MAI!$A$8:$A$73,0))&amp;"","")</f>
        <v/>
      </c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SUMPRODUCT(($G36:$M36="M")*6+($G36:$M36="T")*6+($G36:$M36="D")*12+($G36:$M36="N")*12+($G36:$M36="NT")*6+($G36:$M36="C")*10+($G36:$M36="A")*8+($G36:$M36="J")*5+($G36:$M36="E")*4+($G36:$M36="P")*6+($G36:$M36="R")*6)</f>
        <v/>
      </c>
      <c r="BF36" s="110">
        <f>SUMPRODUCT(($N36:$T36="M")*6+($N36:$T36="T")*6+($N36:$T36="D")*12+($N36:$T36="N")*12+($N36:$T36="NT")*6+($N36:$T36="C")*10+($N36:$T36="A")*8+($N36:$T36="J")*5+($N36:$T36="E")*4+($N36:$T36="P")*6+($N36:$T36="R")*6)</f>
        <v/>
      </c>
      <c r="BG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H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I36" s="110">
        <f>SUMPRODUCT(($AI36:$AL36="M")*6+($AI36:$AL36="T")*6+($AI36:$AL36="D")*12+($AI36:$AL36="N")*12+($AI36:$AL36="NT")*6+($AI36:$AL36="C")*10+($AI36:$AL36="A")*8+($AI36:$AL36="J")*5+($AI36:$AL36="E")*4+($AI36:$AL36="P")*6+($AI36:$AL36="R")*6)+SUMPRODUCT(($AN36:$AP36="M")*6+($AN36:$AP36="T")*6+($AN36:$AP36="D")*12+($AN36:$AP36="N")*12+($AN36:$AP36="NT")*6+($AN36:$AP36="C")*10+($AN36:$AP36="A")*8+($AN36:$AP36="J")*5+($AN36:$AP36="E")*4+($AN36:$AP36="P")*6+($AN36:$AP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3">
        <f>IFERROR(INDEX(MAR!AL$8:AL$73,MATCH($A37,MAR!$A$8:$A$73,0))&amp;"","")</f>
        <v/>
      </c>
      <c r="H37" s="123">
        <f>IFERROR(INDEX(MAR!AM$8:AM$73,MATCH($A37,MAR!$A$8:$A$73,0))&amp;"","")</f>
        <v/>
      </c>
      <c r="I37" s="116" t="inlineStr">
        <is>
          <t>N</t>
        </is>
      </c>
      <c r="J37" s="107" t="n"/>
      <c r="K37" s="117" t="inlineStr">
        <is>
          <t>T</t>
        </is>
      </c>
      <c r="L37" s="107" t="n"/>
      <c r="M37" s="115" t="inlineStr">
        <is>
          <t>D</t>
        </is>
      </c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8" t="inlineStr">
        <is>
          <t>M</t>
        </is>
      </c>
      <c r="AF37" s="115" t="inlineStr">
        <is>
          <t>D</t>
        </is>
      </c>
      <c r="AG37" s="108" t="inlineStr">
        <is>
          <t>M</t>
        </is>
      </c>
      <c r="AH37" s="107" t="n"/>
      <c r="AI37" s="108" t="inlineStr">
        <is>
          <t>M</t>
        </is>
      </c>
      <c r="AJ37" s="115" t="inlineStr">
        <is>
          <t>D</t>
        </is>
      </c>
      <c r="AK37" s="115" t="inlineStr">
        <is>
          <t>D</t>
        </is>
      </c>
      <c r="AL37" s="107" t="n"/>
      <c r="AM37" s="96" t="n"/>
      <c r="AN37" s="123">
        <f>IFERROR(INDEX(MAI!I$8:I$73,MATCH($A37,MAI!$A$8:$A$73,0))&amp;"","")</f>
        <v/>
      </c>
      <c r="AO37" s="109">
        <f>IFERROR(INDEX(MAI!J$8:J$73,MATCH($A37,MAI!$A$8:$A$73,0))&amp;"","")</f>
        <v/>
      </c>
      <c r="AP37" s="109">
        <f>IFERROR(INDEX(MAI!K$8:K$73,MATCH($A37,MAI!$A$8:$A$73,0))&amp;"","")</f>
        <v/>
      </c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SUMPRODUCT(($G37:$M37="M")*6+($G37:$M37="T")*6+($G37:$M37="D")*12+($G37:$M37="N")*12+($G37:$M37="NT")*6+($G37:$M37="C")*10+($G37:$M37="A")*8+($G37:$M37="J")*5+($G37:$M37="E")*4+($G37:$M37="P")*6+($G37:$M37="R")*6)</f>
        <v/>
      </c>
      <c r="BF37" s="110">
        <f>SUMPRODUCT(($N37:$T37="M")*6+($N37:$T37="T")*6+($N37:$T37="D")*12+($N37:$T37="N")*12+($N37:$T37="NT")*6+($N37:$T37="C")*10+($N37:$T37="A")*8+($N37:$T37="J")*5+($N37:$T37="E")*4+($N37:$T37="P")*6+($N37:$T37="R")*6)</f>
        <v/>
      </c>
      <c r="BG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H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I37" s="110">
        <f>SUMPRODUCT(($AI37:$AL37="M")*6+($AI37:$AL37="T")*6+($AI37:$AL37="D")*12+($AI37:$AL37="N")*12+($AI37:$AL37="NT")*6+($AI37:$AL37="C")*10+($AI37:$AL37="A")*8+($AI37:$AL37="J")*5+($AI37:$AL37="E")*4+($AI37:$AL37="P")*6+($AI37:$AL37="R")*6)+SUMPRODUCT(($AN37:$AP37="M")*6+($AN37:$AP37="T")*6+($AN37:$AP37="D")*12+($AN37:$AP37="N")*12+($AN37:$AP37="NT")*6+($AN37:$AP37="C")*10+($AN37:$AP37="A")*8+($AN37:$AP37="J")*5+($AN37:$AP37="E")*4+($AN37:$AP37="P")*6+($AN37:$AP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3">
        <f>IFERROR(INDEX(MAR!AL$8:AL$73,MATCH($A38,MAR!$A$8:$A$73,0))&amp;"","")</f>
        <v/>
      </c>
      <c r="H38" s="123">
        <f>IFERROR(INDEX(MAR!AM$8:AM$73,MATCH($A38,MAR!$A$8:$A$73,0))&amp;"","")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23">
        <f>IFERROR(INDEX(MAI!I$8:I$73,MATCH($A38,MAI!$A$8:$A$73,0))&amp;"","")</f>
        <v/>
      </c>
      <c r="AO38" s="109">
        <f>IFERROR(INDEX(MAI!J$8:J$73,MATCH($A38,MAI!$A$8:$A$73,0))&amp;"","")</f>
        <v/>
      </c>
      <c r="AP38" s="109">
        <f>IFERROR(INDEX(MAI!K$8:K$73,MATCH($A38,MAI!$A$8:$A$73,0))&amp;"","")</f>
        <v/>
      </c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SUMPRODUCT(($G38:$M38="M")*6+($G38:$M38="T")*6+($G38:$M38="D")*12+($G38:$M38="N")*12+($G38:$M38="NT")*6+($G38:$M38="C")*10+($G38:$M38="A")*8+($G38:$M38="J")*5+($G38:$M38="E")*4+($G38:$M38="P")*6+($G38:$M38="R")*6)</f>
        <v/>
      </c>
      <c r="BF38" s="110">
        <f>SUMPRODUCT(($N38:$T38="M")*6+($N38:$T38="T")*6+($N38:$T38="D")*12+($N38:$T38="N")*12+($N38:$T38="NT")*6+($N38:$T38="C")*10+($N38:$T38="A")*8+($N38:$T38="J")*5+($N38:$T38="E")*4+($N38:$T38="P")*6+($N38:$T38="R")*6)</f>
        <v/>
      </c>
      <c r="BG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H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I38" s="110">
        <f>SUMPRODUCT(($AI38:$AL38="M")*6+($AI38:$AL38="T")*6+($AI38:$AL38="D")*12+($AI38:$AL38="N")*12+($AI38:$AL38="NT")*6+($AI38:$AL38="C")*10+($AI38:$AL38="A")*8+($AI38:$AL38="J")*5+($AI38:$AL38="E")*4+($AI38:$AL38="P")*6+($AI38:$AL38="R")*6)+SUMPRODUCT(($AN38:$AP38="M")*6+($AN38:$AP38="T")*6+($AN38:$AP38="D")*12+($AN38:$AP38="N")*12+($AN38:$AP38="NT")*6+($AN38:$AP38="C")*10+($AN38:$AP38="A")*8+($AN38:$AP38="J")*5+($AN38:$AP38="E")*4+($AN38:$AP38="P")*6+($AN38:$AP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3">
        <f>IFERROR(INDEX(MAR!AL$8:AL$73,MATCH($A39,MAR!$A$8:$A$73,0))&amp;"","")</f>
        <v/>
      </c>
      <c r="H39" s="123">
        <f>IFERROR(INDEX(MAR!AM$8:AM$73,MATCH($A39,MAR!$A$8:$A$73,0))&amp;"","")</f>
        <v/>
      </c>
      <c r="I39" s="115" t="inlineStr">
        <is>
          <t>D</t>
        </is>
      </c>
      <c r="J39" s="107" t="n"/>
      <c r="K39" s="107" t="n"/>
      <c r="L39" s="107" t="n"/>
      <c r="M39" s="107" t="n"/>
      <c r="N39" s="107" t="n"/>
      <c r="O39" s="107" t="n"/>
      <c r="P39" s="115" t="inlineStr">
        <is>
          <t>D</t>
        </is>
      </c>
      <c r="Q39" s="107" t="n"/>
      <c r="R39" s="116" t="inlineStr">
        <is>
          <t>N</t>
        </is>
      </c>
      <c r="S39" s="107" t="n"/>
      <c r="T39" s="107" t="n"/>
      <c r="U39" s="107" t="n"/>
      <c r="V39" s="107" t="n"/>
      <c r="W39" s="115" t="inlineStr">
        <is>
          <t>D</t>
        </is>
      </c>
      <c r="X39" s="107" t="n"/>
      <c r="Y39" s="107" t="n"/>
      <c r="Z39" s="116" t="inlineStr">
        <is>
          <t>N</t>
        </is>
      </c>
      <c r="AA39" s="107" t="n"/>
      <c r="AB39" s="107" t="n"/>
      <c r="AC39" s="108" t="inlineStr">
        <is>
          <t>M</t>
        </is>
      </c>
      <c r="AD39" s="108" t="inlineStr">
        <is>
          <t>M</t>
        </is>
      </c>
      <c r="AE39" s="107" t="n"/>
      <c r="AF39" s="107" t="n"/>
      <c r="AG39" s="116" t="inlineStr">
        <is>
          <t>N</t>
        </is>
      </c>
      <c r="AH39" s="107" t="n"/>
      <c r="AI39" s="117" t="inlineStr">
        <is>
          <t>T</t>
        </is>
      </c>
      <c r="AJ39" s="117" t="inlineStr">
        <is>
          <t>T</t>
        </is>
      </c>
      <c r="AK39" s="107" t="n"/>
      <c r="AL39" s="107" t="n"/>
      <c r="AM39" s="96" t="n"/>
      <c r="AN39" s="123">
        <f>IFERROR(INDEX(MAI!I$8:I$73,MATCH($A39,MAI!$A$8:$A$73,0))&amp;"","")</f>
        <v/>
      </c>
      <c r="AO39" s="109">
        <f>IFERROR(INDEX(MAI!J$8:J$73,MATCH($A39,MAI!$A$8:$A$73,0))&amp;"","")</f>
        <v/>
      </c>
      <c r="AP39" s="109">
        <f>IFERROR(INDEX(MAI!K$8:K$73,MATCH($A39,MAI!$A$8:$A$73,0))&amp;"","")</f>
        <v/>
      </c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SUMPRODUCT(($G39:$M39="M")*6+($G39:$M39="T")*6+($G39:$M39="D")*12+($G39:$M39="N")*12+($G39:$M39="NT")*6+($G39:$M39="C")*10+($G39:$M39="A")*8+($G39:$M39="J")*5+($G39:$M39="E")*4+($G39:$M39="P")*6+($G39:$M39="R")*6)</f>
        <v/>
      </c>
      <c r="BF39" s="110">
        <f>SUMPRODUCT(($N39:$T39="M")*6+($N39:$T39="T")*6+($N39:$T39="D")*12+($N39:$T39="N")*12+($N39:$T39="NT")*6+($N39:$T39="C")*10+($N39:$T39="A")*8+($N39:$T39="J")*5+($N39:$T39="E")*4+($N39:$T39="P")*6+($N39:$T39="R")*6)</f>
        <v/>
      </c>
      <c r="BG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H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I39" s="110">
        <f>SUMPRODUCT(($AI39:$AL39="M")*6+($AI39:$AL39="T")*6+($AI39:$AL39="D")*12+($AI39:$AL39="N")*12+($AI39:$AL39="NT")*6+($AI39:$AL39="C")*10+($AI39:$AL39="A")*8+($AI39:$AL39="J")*5+($AI39:$AL39="E")*4+($AI39:$AL39="P")*6+($AI39:$AL39="R")*6)+SUMPRODUCT(($AN39:$AP39="M")*6+($AN39:$AP39="T")*6+($AN39:$AP39="D")*12+($AN39:$AP39="N")*12+($AN39:$AP39="NT")*6+($AN39:$AP39="C")*10+($AN39:$AP39="A")*8+($AN39:$AP39="J")*5+($AN39:$AP39="E")*4+($AN39:$AP39="P")*6+($AN39:$AP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3">
        <f>IFERROR(INDEX(MAR!AL$8:AL$73,MATCH($A40,MAR!$A$8:$A$73,0))&amp;"","")</f>
        <v/>
      </c>
      <c r="H40" s="123">
        <f>IFERROR(INDEX(MAR!AM$8:AM$73,MATCH($A40,MAR!$A$8:$A$73,0))&amp;"","")</f>
        <v/>
      </c>
      <c r="I40" s="108" t="inlineStr">
        <is>
          <t>M</t>
        </is>
      </c>
      <c r="J40" s="117" t="inlineStr">
        <is>
          <t>T</t>
        </is>
      </c>
      <c r="K40" s="108" t="inlineStr">
        <is>
          <t>M</t>
        </is>
      </c>
      <c r="L40" s="108" t="inlineStr">
        <is>
          <t>M</t>
        </is>
      </c>
      <c r="M40" s="107" t="n"/>
      <c r="N40" s="108" t="inlineStr">
        <is>
          <t>M</t>
        </is>
      </c>
      <c r="O40" s="108" t="inlineStr">
        <is>
          <t>M</t>
        </is>
      </c>
      <c r="P40" s="108" t="inlineStr">
        <is>
          <t>M</t>
        </is>
      </c>
      <c r="Q40" s="117" t="inlineStr">
        <is>
          <t>T</t>
        </is>
      </c>
      <c r="R40" s="108" t="inlineStr">
        <is>
          <t>M</t>
        </is>
      </c>
      <c r="S40" s="108" t="inlineStr">
        <is>
          <t>M</t>
        </is>
      </c>
      <c r="T40" s="107" t="n"/>
      <c r="U40" s="108" t="inlineStr">
        <is>
          <t>M</t>
        </is>
      </c>
      <c r="V40" s="108" t="inlineStr">
        <is>
          <t>M</t>
        </is>
      </c>
      <c r="W40" s="108" t="inlineStr">
        <is>
          <t>M</t>
        </is>
      </c>
      <c r="X40" s="117" t="inlineStr">
        <is>
          <t>T</t>
        </is>
      </c>
      <c r="Y40" s="115" t="inlineStr">
        <is>
          <t>D</t>
        </is>
      </c>
      <c r="Z40" s="107" t="n"/>
      <c r="AA40" s="107" t="n"/>
      <c r="AB40" s="108" t="inlineStr">
        <is>
          <t>M</t>
        </is>
      </c>
      <c r="AC40" s="115" t="inlineStr">
        <is>
          <t>D</t>
        </is>
      </c>
      <c r="AD40" s="108" t="inlineStr">
        <is>
          <t>M</t>
        </is>
      </c>
      <c r="AE40" s="107" t="n"/>
      <c r="AF40" s="108" t="inlineStr">
        <is>
          <t>M</t>
        </is>
      </c>
      <c r="AG40" s="108" t="inlineStr">
        <is>
          <t>M</t>
        </is>
      </c>
      <c r="AH40" s="107" t="n"/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7" t="n"/>
      <c r="AM40" s="96" t="n"/>
      <c r="AN40" s="123">
        <f>IFERROR(INDEX(MAI!I$8:I$73,MATCH($A40,MAI!$A$8:$A$73,0))&amp;"","")</f>
        <v/>
      </c>
      <c r="AO40" s="109">
        <f>IFERROR(INDEX(MAI!J$8:J$73,MATCH($A40,MAI!$A$8:$A$73,0))&amp;"","")</f>
        <v/>
      </c>
      <c r="AP40" s="109">
        <f>IFERROR(INDEX(MAI!K$8:K$73,MATCH($A40,MAI!$A$8:$A$73,0))&amp;"","")</f>
        <v/>
      </c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SUMPRODUCT(($G40:$M40="M")*6+($G40:$M40="T")*6+($G40:$M40="D")*12+($G40:$M40="N")*12+($G40:$M40="NT")*6+($G40:$M40="C")*10+($G40:$M40="A")*8+($G40:$M40="J")*5+($G40:$M40="E")*4+($G40:$M40="P")*6+($G40:$M40="R")*6)</f>
        <v/>
      </c>
      <c r="BF40" s="110">
        <f>SUMPRODUCT(($N40:$T40="M")*6+($N40:$T40="T")*6+($N40:$T40="D")*12+($N40:$T40="N")*12+($N40:$T40="NT")*6+($N40:$T40="C")*10+($N40:$T40="A")*8+($N40:$T40="J")*5+($N40:$T40="E")*4+($N40:$T40="P")*6+($N40:$T40="R")*6)</f>
        <v/>
      </c>
      <c r="BG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H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I40" s="110">
        <f>SUMPRODUCT(($AI40:$AL40="M")*6+($AI40:$AL40="T")*6+($AI40:$AL40="D")*12+($AI40:$AL40="N")*12+($AI40:$AL40="NT")*6+($AI40:$AL40="C")*10+($AI40:$AL40="A")*8+($AI40:$AL40="J")*5+($AI40:$AL40="E")*4+($AI40:$AL40="P")*6+($AI40:$AL40="R")*6)+SUMPRODUCT(($AN40:$AP40="M")*6+($AN40:$AP40="T")*6+($AN40:$AP40="D")*12+($AN40:$AP40="N")*12+($AN40:$AP40="NT")*6+($AN40:$AP40="C")*10+($AN40:$AP40="A")*8+($AN40:$AP40="J")*5+($AN40:$AP40="E")*4+($AN40:$AP40="P")*6+($AN40:$AP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3">
        <f>IFERROR(INDEX(MAR!AL$8:AL$73,MATCH($A41,MAR!$A$8:$A$73,0))&amp;"","")</f>
        <v/>
      </c>
      <c r="H41" s="123">
        <f>IFERROR(INDEX(MAR!AM$8:AM$73,MATCH($A41,MAR!$A$8:$A$73,0))&amp;"","")</f>
        <v/>
      </c>
      <c r="I41" s="107" t="n"/>
      <c r="J41" s="107" t="n"/>
      <c r="K41" s="107" t="n"/>
      <c r="L41" s="107" t="n"/>
      <c r="M41" s="107" t="n"/>
      <c r="N41" s="117" t="inlineStr">
        <is>
          <t>T</t>
        </is>
      </c>
      <c r="O41" s="117" t="inlineStr">
        <is>
          <t>T</t>
        </is>
      </c>
      <c r="P41" s="107" t="n"/>
      <c r="Q41" s="107" t="n"/>
      <c r="R41" s="115" t="inlineStr">
        <is>
          <t>D</t>
        </is>
      </c>
      <c r="S41" s="107" t="n"/>
      <c r="T41" s="107" t="n"/>
      <c r="U41" s="107" t="n"/>
      <c r="V41" s="107" t="n"/>
      <c r="W41" s="107" t="n"/>
      <c r="X41" s="107" t="n"/>
      <c r="Y41" s="116" t="inlineStr">
        <is>
          <t>N</t>
        </is>
      </c>
      <c r="Z41" s="107" t="n"/>
      <c r="AA41" s="115" t="inlineStr">
        <is>
          <t>D</t>
        </is>
      </c>
      <c r="AB41" s="107" t="n"/>
      <c r="AC41" s="115" t="inlineStr">
        <is>
          <t>D</t>
        </is>
      </c>
      <c r="AD41" s="107" t="n"/>
      <c r="AE41" s="107" t="n"/>
      <c r="AF41" s="107" t="n"/>
      <c r="AG41" s="107" t="n"/>
      <c r="AH41" s="115" t="inlineStr">
        <is>
          <t>D</t>
        </is>
      </c>
      <c r="AI41" s="115" t="inlineStr">
        <is>
          <t>D</t>
        </is>
      </c>
      <c r="AJ41" s="116" t="inlineStr">
        <is>
          <t>N</t>
        </is>
      </c>
      <c r="AK41" s="107" t="n"/>
      <c r="AL41" s="107" t="n"/>
      <c r="AM41" s="96" t="n"/>
      <c r="AN41" s="123">
        <f>IFERROR(INDEX(MAI!I$8:I$73,MATCH($A41,MAI!$A$8:$A$73,0))&amp;"","")</f>
        <v/>
      </c>
      <c r="AO41" s="109">
        <f>IFERROR(INDEX(MAI!J$8:J$73,MATCH($A41,MAI!$A$8:$A$73,0))&amp;"","")</f>
        <v/>
      </c>
      <c r="AP41" s="109">
        <f>IFERROR(INDEX(MAI!K$8:K$73,MATCH($A41,MAI!$A$8:$A$73,0))&amp;"","")</f>
        <v/>
      </c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SUMPRODUCT(($G41:$M41="M")*6+($G41:$M41="T")*6+($G41:$M41="D")*12+($G41:$M41="N")*12+($G41:$M41="NT")*6+($G41:$M41="C")*10+($G41:$M41="A")*8+($G41:$M41="J")*5+($G41:$M41="E")*4+($G41:$M41="P")*6+($G41:$M41="R")*6)</f>
        <v/>
      </c>
      <c r="BF41" s="110">
        <f>SUMPRODUCT(($N41:$T41="M")*6+($N41:$T41="T")*6+($N41:$T41="D")*12+($N41:$T41="N")*12+($N41:$T41="NT")*6+($N41:$T41="C")*10+($N41:$T41="A")*8+($N41:$T41="J")*5+($N41:$T41="E")*4+($N41:$T41="P")*6+($N41:$T41="R")*6)</f>
        <v/>
      </c>
      <c r="BG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H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I41" s="110">
        <f>SUMPRODUCT(($AI41:$AL41="M")*6+($AI41:$AL41="T")*6+($AI41:$AL41="D")*12+($AI41:$AL41="N")*12+($AI41:$AL41="NT")*6+($AI41:$AL41="C")*10+($AI41:$AL41="A")*8+($AI41:$AL41="J")*5+($AI41:$AL41="E")*4+($AI41:$AL41="P")*6+($AI41:$AL41="R")*6)+SUMPRODUCT(($AN41:$AP41="M")*6+($AN41:$AP41="T")*6+($AN41:$AP41="D")*12+($AN41:$AP41="N")*12+($AN41:$AP41="NT")*6+($AN41:$AP41="C")*10+($AN41:$AP41="A")*8+($AN41:$AP41="J")*5+($AN41:$AP41="E")*4+($AN41:$AP41="P")*6+($AN41:$AP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3">
        <f>IFERROR(INDEX(MAR!AL$8:AL$73,MATCH($A42,MAR!$A$8:$A$73,0))&amp;"","")</f>
        <v/>
      </c>
      <c r="H42" s="123">
        <f>IFERROR(INDEX(MAR!AM$8:AM$73,MATCH($A42,MAR!$A$8:$A$73,0))&amp;"","")</f>
        <v/>
      </c>
      <c r="I42" s="117" t="inlineStr">
        <is>
          <t>T</t>
        </is>
      </c>
      <c r="J42" s="117" t="inlineStr">
        <is>
          <t>T</t>
        </is>
      </c>
      <c r="K42" s="107" t="n"/>
      <c r="L42" s="117" t="inlineStr">
        <is>
          <t>T</t>
        </is>
      </c>
      <c r="M42" s="117" t="inlineStr">
        <is>
          <t>T</t>
        </is>
      </c>
      <c r="N42" s="107" t="n"/>
      <c r="O42" s="107" t="n"/>
      <c r="P42" s="117" t="inlineStr">
        <is>
          <t>T</t>
        </is>
      </c>
      <c r="Q42" s="117" t="inlineStr">
        <is>
          <t>T</t>
        </is>
      </c>
      <c r="R42" s="107" t="n"/>
      <c r="S42" s="116" t="inlineStr">
        <is>
          <t>N</t>
        </is>
      </c>
      <c r="T42" s="107" t="n"/>
      <c r="U42" s="107" t="n"/>
      <c r="V42" s="115" t="inlineStr">
        <is>
          <t>D</t>
        </is>
      </c>
      <c r="W42" s="107" t="n"/>
      <c r="X42" s="115" t="inlineStr">
        <is>
          <t>D</t>
        </is>
      </c>
      <c r="Y42" s="107" t="n"/>
      <c r="Z42" s="107" t="n"/>
      <c r="AA42" s="107" t="n"/>
      <c r="AB42" s="107" t="n"/>
      <c r="AC42" s="117" t="inlineStr">
        <is>
          <t>T</t>
        </is>
      </c>
      <c r="AD42" s="117" t="inlineStr">
        <is>
          <t>T</t>
        </is>
      </c>
      <c r="AE42" s="115" t="inlineStr">
        <is>
          <t>D</t>
        </is>
      </c>
      <c r="AF42" s="107" t="n"/>
      <c r="AG42" s="107" t="n"/>
      <c r="AH42" s="107" t="n"/>
      <c r="AI42" s="117" t="inlineStr">
        <is>
          <t>T</t>
        </is>
      </c>
      <c r="AJ42" s="108" t="inlineStr">
        <is>
          <t>M</t>
        </is>
      </c>
      <c r="AK42" s="107" t="n"/>
      <c r="AL42" s="107" t="n"/>
      <c r="AM42" s="96" t="n"/>
      <c r="AN42" s="123">
        <f>IFERROR(INDEX(MAI!I$8:I$73,MATCH($A42,MAI!$A$8:$A$73,0))&amp;"","")</f>
        <v/>
      </c>
      <c r="AO42" s="109">
        <f>IFERROR(INDEX(MAI!J$8:J$73,MATCH($A42,MAI!$A$8:$A$73,0))&amp;"","")</f>
        <v/>
      </c>
      <c r="AP42" s="109">
        <f>IFERROR(INDEX(MAI!K$8:K$73,MATCH($A42,MAI!$A$8:$A$73,0))&amp;"","")</f>
        <v/>
      </c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SUMPRODUCT(($G42:$M42="M")*6+($G42:$M42="T")*6+($G42:$M42="D")*12+($G42:$M42="N")*12+($G42:$M42="NT")*6+($G42:$M42="C")*10+($G42:$M42="A")*8+($G42:$M42="J")*5+($G42:$M42="E")*4+($G42:$M42="P")*6+($G42:$M42="R")*6)</f>
        <v/>
      </c>
      <c r="BF42" s="110">
        <f>SUMPRODUCT(($N42:$T42="M")*6+($N42:$T42="T")*6+($N42:$T42="D")*12+($N42:$T42="N")*12+($N42:$T42="NT")*6+($N42:$T42="C")*10+($N42:$T42="A")*8+($N42:$T42="J")*5+($N42:$T42="E")*4+($N42:$T42="P")*6+($N42:$T42="R")*6)</f>
        <v/>
      </c>
      <c r="BG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H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I42" s="110">
        <f>SUMPRODUCT(($AI42:$AL42="M")*6+($AI42:$AL42="T")*6+($AI42:$AL42="D")*12+($AI42:$AL42="N")*12+($AI42:$AL42="NT")*6+($AI42:$AL42="C")*10+($AI42:$AL42="A")*8+($AI42:$AL42="J")*5+($AI42:$AL42="E")*4+($AI42:$AL42="P")*6+($AI42:$AL42="R")*6)+SUMPRODUCT(($AN42:$AP42="M")*6+($AN42:$AP42="T")*6+($AN42:$AP42="D")*12+($AN42:$AP42="N")*12+($AN42:$AP42="NT")*6+($AN42:$AP42="C")*10+($AN42:$AP42="A")*8+($AN42:$AP42="J")*5+($AN42:$AP42="E")*4+($AN42:$AP42="P")*6+($AN42:$AP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3">
        <f>IFERROR(INDEX(MAR!AL$8:AL$73,MATCH($A43,MAR!$A$8:$A$73,0))&amp;"","")</f>
        <v/>
      </c>
      <c r="H43" s="123">
        <f>IFERROR(INDEX(MAR!AM$8:AM$73,MATCH($A43,MAR!$A$8:$A$73,0))&amp;"","")</f>
        <v/>
      </c>
      <c r="I43" s="107" t="n"/>
      <c r="J43" s="107" t="n"/>
      <c r="K43" s="116" t="inlineStr">
        <is>
          <t>N</t>
        </is>
      </c>
      <c r="L43" s="107" t="n"/>
      <c r="M43" s="116" t="inlineStr">
        <is>
          <t>N</t>
        </is>
      </c>
      <c r="N43" s="107" t="n"/>
      <c r="O43" s="116" t="inlineStr">
        <is>
          <t>N</t>
        </is>
      </c>
      <c r="P43" s="107" t="n"/>
      <c r="Q43" s="116" t="inlineStr">
        <is>
          <t>N</t>
        </is>
      </c>
      <c r="R43" s="107" t="n"/>
      <c r="S43" s="107" t="n"/>
      <c r="T43" s="107" t="n"/>
      <c r="U43" s="107" t="n"/>
      <c r="V43" s="116" t="inlineStr">
        <is>
          <t>N</t>
        </is>
      </c>
      <c r="W43" s="107" t="n"/>
      <c r="X43" s="107" t="n"/>
      <c r="Y43" s="107" t="n"/>
      <c r="Z43" s="116" t="inlineStr">
        <is>
          <t>N</t>
        </is>
      </c>
      <c r="AA43" s="107" t="n"/>
      <c r="AB43" s="116" t="inlineStr">
        <is>
          <t>N</t>
        </is>
      </c>
      <c r="AC43" s="107" t="n"/>
      <c r="AD43" s="107" t="n"/>
      <c r="AE43" s="116" t="inlineStr">
        <is>
          <t>N</t>
        </is>
      </c>
      <c r="AF43" s="107" t="n"/>
      <c r="AG43" s="107" t="n"/>
      <c r="AH43" s="107" t="n"/>
      <c r="AI43" s="116" t="inlineStr">
        <is>
          <t>N</t>
        </is>
      </c>
      <c r="AJ43" s="107" t="n"/>
      <c r="AK43" s="107" t="n"/>
      <c r="AL43" s="107" t="n"/>
      <c r="AM43" s="96" t="n"/>
      <c r="AN43" s="123">
        <f>IFERROR(INDEX(MAI!I$8:I$73,MATCH($A43,MAI!$A$8:$A$73,0))&amp;"","")</f>
        <v/>
      </c>
      <c r="AO43" s="109">
        <f>IFERROR(INDEX(MAI!J$8:J$73,MATCH($A43,MAI!$A$8:$A$73,0))&amp;"","")</f>
        <v/>
      </c>
      <c r="AP43" s="109">
        <f>IFERROR(INDEX(MAI!K$8:K$73,MATCH($A43,MAI!$A$8:$A$73,0))&amp;"","")</f>
        <v/>
      </c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SUMPRODUCT(($G43:$M43="M")*6+($G43:$M43="T")*6+($G43:$M43="D")*12+($G43:$M43="N")*12+($G43:$M43="NT")*6+($G43:$M43="C")*10+($G43:$M43="A")*8+($G43:$M43="J")*5+($G43:$M43="E")*4+($G43:$M43="P")*6+($G43:$M43="R")*6)</f>
        <v/>
      </c>
      <c r="BF43" s="110">
        <f>SUMPRODUCT(($N43:$T43="M")*6+($N43:$T43="T")*6+($N43:$T43="D")*12+($N43:$T43="N")*12+($N43:$T43="NT")*6+($N43:$T43="C")*10+($N43:$T43="A")*8+($N43:$T43="J")*5+($N43:$T43="E")*4+($N43:$T43="P")*6+($N43:$T43="R")*6)</f>
        <v/>
      </c>
      <c r="BG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H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I43" s="110">
        <f>SUMPRODUCT(($AI43:$AL43="M")*6+($AI43:$AL43="T")*6+($AI43:$AL43="D")*12+($AI43:$AL43="N")*12+($AI43:$AL43="NT")*6+($AI43:$AL43="C")*10+($AI43:$AL43="A")*8+($AI43:$AL43="J")*5+($AI43:$AL43="E")*4+($AI43:$AL43="P")*6+($AI43:$AL43="R")*6)+SUMPRODUCT(($AN43:$AP43="M")*6+($AN43:$AP43="T")*6+($AN43:$AP43="D")*12+($AN43:$AP43="N")*12+($AN43:$AP43="NT")*6+($AN43:$AP43="C")*10+($AN43:$AP43="A")*8+($AN43:$AP43="J")*5+($AN43:$AP43="E")*4+($AN43:$AP43="P")*6+($AN43:$AP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3">
        <f>IFERROR(INDEX(MAR!AL$8:AL$73,MATCH($A44,MAR!$A$8:$A$73,0))&amp;"","")</f>
        <v/>
      </c>
      <c r="H44" s="123">
        <f>IFERROR(INDEX(MAR!AM$8:AM$73,MATCH($A44,MAR!$A$8:$A$73,0))&amp;"","")</f>
        <v/>
      </c>
      <c r="I44" s="107" t="n"/>
      <c r="J44" s="107" t="n"/>
      <c r="K44" s="108" t="inlineStr">
        <is>
          <t>M</t>
        </is>
      </c>
      <c r="L44" s="115" t="inlineStr">
        <is>
          <t>D</t>
        </is>
      </c>
      <c r="M44" s="107" t="n"/>
      <c r="N44" s="107" t="n"/>
      <c r="O44" s="115" t="inlineStr">
        <is>
          <t>D</t>
        </is>
      </c>
      <c r="P44" s="115" t="inlineStr">
        <is>
          <t>D</t>
        </is>
      </c>
      <c r="Q44" s="107" t="n"/>
      <c r="R44" s="107" t="n"/>
      <c r="S44" s="107" t="n"/>
      <c r="T44" s="107" t="n"/>
      <c r="U44" s="107" t="n"/>
      <c r="V44" s="115" t="inlineStr">
        <is>
          <t>D</t>
        </is>
      </c>
      <c r="W44" s="107" t="n"/>
      <c r="X44" s="107" t="n"/>
      <c r="Y44" s="107" t="n"/>
      <c r="Z44" s="107" t="n"/>
      <c r="AA44" s="115" t="inlineStr">
        <is>
          <t>D</t>
        </is>
      </c>
      <c r="AB44" s="107" t="n"/>
      <c r="AC44" s="115" t="inlineStr">
        <is>
          <t>D</t>
        </is>
      </c>
      <c r="AD44" s="115" t="inlineStr">
        <is>
          <t>D</t>
        </is>
      </c>
      <c r="AE44" s="107" t="n"/>
      <c r="AF44" s="107" t="n"/>
      <c r="AG44" s="107" t="n"/>
      <c r="AH44" s="107" t="n"/>
      <c r="AI44" s="107" t="n"/>
      <c r="AJ44" s="115" t="inlineStr">
        <is>
          <t>D</t>
        </is>
      </c>
      <c r="AK44" s="115" t="inlineStr">
        <is>
          <t>D</t>
        </is>
      </c>
      <c r="AL44" s="107" t="n"/>
      <c r="AM44" s="96" t="n"/>
      <c r="AN44" s="123">
        <f>IFERROR(INDEX(MAI!I$8:I$73,MATCH($A44,MAI!$A$8:$A$73,0))&amp;"","")</f>
        <v/>
      </c>
      <c r="AO44" s="109">
        <f>IFERROR(INDEX(MAI!J$8:J$73,MATCH($A44,MAI!$A$8:$A$73,0))&amp;"","")</f>
        <v/>
      </c>
      <c r="AP44" s="109">
        <f>IFERROR(INDEX(MAI!K$8:K$73,MATCH($A44,MAI!$A$8:$A$73,0))&amp;"","")</f>
        <v/>
      </c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SUMPRODUCT(($G44:$M44="M")*6+($G44:$M44="T")*6+($G44:$M44="D")*12+($G44:$M44="N")*12+($G44:$M44="NT")*6+($G44:$M44="C")*10+($G44:$M44="A")*8+($G44:$M44="J")*5+($G44:$M44="E")*4+($G44:$M44="P")*6+($G44:$M44="R")*6)</f>
        <v/>
      </c>
      <c r="BF44" s="110">
        <f>SUMPRODUCT(($N44:$T44="M")*6+($N44:$T44="T")*6+($N44:$T44="D")*12+($N44:$T44="N")*12+($N44:$T44="NT")*6+($N44:$T44="C")*10+($N44:$T44="A")*8+($N44:$T44="J")*5+($N44:$T44="E")*4+($N44:$T44="P")*6+($N44:$T44="R")*6)</f>
        <v/>
      </c>
      <c r="BG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H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I44" s="110">
        <f>SUMPRODUCT(($AI44:$AL44="M")*6+($AI44:$AL44="T")*6+($AI44:$AL44="D")*12+($AI44:$AL44="N")*12+($AI44:$AL44="NT")*6+($AI44:$AL44="C")*10+($AI44:$AL44="A")*8+($AI44:$AL44="J")*5+($AI44:$AL44="E")*4+($AI44:$AL44="P")*6+($AI44:$AL44="R")*6)+SUMPRODUCT(($AN44:$AP44="M")*6+($AN44:$AP44="T")*6+($AN44:$AP44="D")*12+($AN44:$AP44="N")*12+($AN44:$AP44="NT")*6+($AN44:$AP44="C")*10+($AN44:$AP44="A")*8+($AN44:$AP44="J")*5+($AN44:$AP44="E")*4+($AN44:$AP44="P")*6+($AN44:$AP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3">
        <f>IFERROR(INDEX(MAR!AL$8:AL$73,MATCH($A45,MAR!$A$8:$A$73,0))&amp;"","")</f>
        <v/>
      </c>
      <c r="H45" s="123">
        <f>IFERROR(INDEX(MAR!AM$8:AM$73,MATCH($A45,MAR!$A$8:$A$73,0))&amp;"","")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7" t="n"/>
      <c r="V45" s="108" t="inlineStr">
        <is>
          <t>M</t>
        </is>
      </c>
      <c r="W45" s="107" t="n"/>
      <c r="X45" s="108" t="inlineStr">
        <is>
          <t>M</t>
        </is>
      </c>
      <c r="Y45" s="107" t="n"/>
      <c r="Z45" s="116" t="inlineStr">
        <is>
          <t>N</t>
        </is>
      </c>
      <c r="AA45" s="107" t="n"/>
      <c r="AB45" s="108" t="inlineStr">
        <is>
          <t>M</t>
        </is>
      </c>
      <c r="AC45" s="107" t="n"/>
      <c r="AD45" s="107" t="n"/>
      <c r="AE45" s="108" t="inlineStr">
        <is>
          <t>M</t>
        </is>
      </c>
      <c r="AF45" s="116" t="inlineStr">
        <is>
          <t>N</t>
        </is>
      </c>
      <c r="AG45" s="107" t="n"/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8" t="inlineStr">
        <is>
          <t>M</t>
        </is>
      </c>
      <c r="AM45" s="96" t="n"/>
      <c r="AN45" s="123">
        <f>IFERROR(INDEX(MAI!I$8:I$73,MATCH($A45,MAI!$A$8:$A$73,0))&amp;"","")</f>
        <v/>
      </c>
      <c r="AO45" s="109">
        <f>IFERROR(INDEX(MAI!J$8:J$73,MATCH($A45,MAI!$A$8:$A$73,0))&amp;"","")</f>
        <v/>
      </c>
      <c r="AP45" s="109">
        <f>IFERROR(INDEX(MAI!K$8:K$73,MATCH($A45,MAI!$A$8:$A$73,0))&amp;"","")</f>
        <v/>
      </c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SUMPRODUCT(($G45:$M45="M")*6+($G45:$M45="T")*6+($G45:$M45="D")*12+($G45:$M45="N")*12+($G45:$M45="NT")*6+($G45:$M45="C")*10+($G45:$M45="A")*8+($G45:$M45="J")*5+($G45:$M45="E")*4+($G45:$M45="P")*6+($G45:$M45="R")*6)</f>
        <v/>
      </c>
      <c r="BF45" s="110">
        <f>SUMPRODUCT(($N45:$T45="M")*6+($N45:$T45="T")*6+($N45:$T45="D")*12+($N45:$T45="N")*12+($N45:$T45="NT")*6+($N45:$T45="C")*10+($N45:$T45="A")*8+($N45:$T45="J")*5+($N45:$T45="E")*4+($N45:$T45="P")*6+($N45:$T45="R")*6)</f>
        <v/>
      </c>
      <c r="BG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H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I45" s="110">
        <f>SUMPRODUCT(($AI45:$AL45="M")*6+($AI45:$AL45="T")*6+($AI45:$AL45="D")*12+($AI45:$AL45="N")*12+($AI45:$AL45="NT")*6+($AI45:$AL45="C")*10+($AI45:$AL45="A")*8+($AI45:$AL45="J")*5+($AI45:$AL45="E")*4+($AI45:$AL45="P")*6+($AI45:$AL45="R")*6)+SUMPRODUCT(($AN45:$AP45="M")*6+($AN45:$AP45="T")*6+($AN45:$AP45="D")*12+($AN45:$AP45="N")*12+($AN45:$AP45="NT")*6+($AN45:$AP45="C")*10+($AN45:$AP45="A")*8+($AN45:$AP45="J")*5+($AN45:$AP45="E")*4+($AN45:$AP45="P")*6+($AN45:$AP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3">
        <f>IFERROR(INDEX(MAR!AL$8:AL$73,MATCH($A46,MAR!$A$8:$A$73,0))&amp;"","")</f>
        <v/>
      </c>
      <c r="H46" s="123">
        <f>IFERROR(INDEX(MAR!AM$8:AM$73,MATCH($A46,MAR!$A$8:$A$73,0))&amp;"","")</f>
        <v/>
      </c>
      <c r="I46" s="115" t="inlineStr">
        <is>
          <t>D</t>
        </is>
      </c>
      <c r="J46" s="107" t="n"/>
      <c r="K46" s="116" t="inlineStr">
        <is>
          <t>N</t>
        </is>
      </c>
      <c r="L46" s="107" t="n"/>
      <c r="M46" s="107" t="n"/>
      <c r="N46" s="116" t="inlineStr">
        <is>
          <t>N</t>
        </is>
      </c>
      <c r="O46" s="107" t="n"/>
      <c r="P46" s="115" t="inlineStr">
        <is>
          <t>D</t>
        </is>
      </c>
      <c r="Q46" s="107" t="n"/>
      <c r="R46" s="107" t="n"/>
      <c r="S46" s="107" t="n"/>
      <c r="T46" s="107" t="n"/>
      <c r="U46" s="107" t="n"/>
      <c r="V46" s="107" t="n"/>
      <c r="W46" s="108" t="inlineStr">
        <is>
          <t>M</t>
        </is>
      </c>
      <c r="X46" s="107" t="n"/>
      <c r="Y46" s="107" t="n"/>
      <c r="Z46" s="116" t="inlineStr">
        <is>
          <t>N</t>
        </is>
      </c>
      <c r="AA46" s="117" t="inlineStr">
        <is>
          <t>T</t>
        </is>
      </c>
      <c r="AB46" s="107" t="n"/>
      <c r="AC46" s="107" t="n"/>
      <c r="AD46" s="115" t="inlineStr">
        <is>
          <t>D</t>
        </is>
      </c>
      <c r="AE46" s="107" t="n"/>
      <c r="AF46" s="116" t="inlineStr">
        <is>
          <t>N</t>
        </is>
      </c>
      <c r="AG46" s="107" t="n"/>
      <c r="AH46" s="107" t="n"/>
      <c r="AI46" s="107" t="n"/>
      <c r="AJ46" s="107" t="n"/>
      <c r="AK46" s="115" t="inlineStr">
        <is>
          <t>D</t>
        </is>
      </c>
      <c r="AL46" s="107" t="n"/>
      <c r="AM46" s="96" t="n"/>
      <c r="AN46" s="123">
        <f>IFERROR(INDEX(MAI!I$8:I$73,MATCH($A46,MAI!$A$8:$A$73,0))&amp;"","")</f>
        <v/>
      </c>
      <c r="AO46" s="109">
        <f>IFERROR(INDEX(MAI!J$8:J$73,MATCH($A46,MAI!$A$8:$A$73,0))&amp;"","")</f>
        <v/>
      </c>
      <c r="AP46" s="109">
        <f>IFERROR(INDEX(MAI!K$8:K$73,MATCH($A46,MAI!$A$8:$A$73,0))&amp;"","")</f>
        <v/>
      </c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SUMPRODUCT(($G46:$M46="M")*6+($G46:$M46="T")*6+($G46:$M46="D")*12+($G46:$M46="N")*12+($G46:$M46="NT")*6+($G46:$M46="C")*10+($G46:$M46="A")*8+($G46:$M46="J")*5+($G46:$M46="E")*4+($G46:$M46="P")*6+($G46:$M46="R")*6)</f>
        <v/>
      </c>
      <c r="BF46" s="110">
        <f>SUMPRODUCT(($N46:$T46="M")*6+($N46:$T46="T")*6+($N46:$T46="D")*12+($N46:$T46="N")*12+($N46:$T46="NT")*6+($N46:$T46="C")*10+($N46:$T46="A")*8+($N46:$T46="J")*5+($N46:$T46="E")*4+($N46:$T46="P")*6+($N46:$T46="R")*6)</f>
        <v/>
      </c>
      <c r="BG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H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I46" s="110">
        <f>SUMPRODUCT(($AI46:$AL46="M")*6+($AI46:$AL46="T")*6+($AI46:$AL46="D")*12+($AI46:$AL46="N")*12+($AI46:$AL46="NT")*6+($AI46:$AL46="C")*10+($AI46:$AL46="A")*8+($AI46:$AL46="J")*5+($AI46:$AL46="E")*4+($AI46:$AL46="P")*6+($AI46:$AL46="R")*6)+SUMPRODUCT(($AN46:$AP46="M")*6+($AN46:$AP46="T")*6+($AN46:$AP46="D")*12+($AN46:$AP46="N")*12+($AN46:$AP46="NT")*6+($AN46:$AP46="C")*10+($AN46:$AP46="A")*8+($AN46:$AP46="J")*5+($AN46:$AP46="E")*4+($AN46:$AP46="P")*6+($AN46:$AP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3">
        <f>IFERROR(INDEX(MAR!AL$8:AL$73,MATCH($A47,MAR!$A$8:$A$73,0))&amp;"","")</f>
        <v/>
      </c>
      <c r="H47" s="123">
        <f>IFERROR(INDEX(MAR!AM$8:AM$73,MATCH($A47,MAR!$A$8:$A$73,0))&amp;"","")</f>
        <v/>
      </c>
      <c r="I47" s="107" t="n"/>
      <c r="J47" s="107" t="n"/>
      <c r="K47" s="107" t="n"/>
      <c r="L47" s="107" t="n"/>
      <c r="M47" s="107" t="n"/>
      <c r="N47" s="107" t="n"/>
      <c r="O47" s="116" t="inlineStr">
        <is>
          <t>N</t>
        </is>
      </c>
      <c r="P47" s="107" t="n"/>
      <c r="Q47" s="107" t="n"/>
      <c r="R47" s="116" t="inlineStr">
        <is>
          <t>N</t>
        </is>
      </c>
      <c r="S47" s="107" t="n"/>
      <c r="T47" s="107" t="n"/>
      <c r="U47" s="107" t="n"/>
      <c r="V47" s="107" t="n"/>
      <c r="W47" s="107" t="n"/>
      <c r="X47" s="107" t="n"/>
      <c r="Y47" s="107" t="n"/>
      <c r="Z47" s="115" t="inlineStr">
        <is>
          <t>D</t>
        </is>
      </c>
      <c r="AA47" s="115" t="inlineStr">
        <is>
          <t>D</t>
        </is>
      </c>
      <c r="AB47" s="107" t="n"/>
      <c r="AC47" s="116" t="inlineStr">
        <is>
          <t>N</t>
        </is>
      </c>
      <c r="AD47" s="107" t="n"/>
      <c r="AE47" s="115" t="inlineStr">
        <is>
          <t>D</t>
        </is>
      </c>
      <c r="AF47" s="107" t="n"/>
      <c r="AG47" s="107" t="n"/>
      <c r="AH47" s="107" t="n"/>
      <c r="AI47" s="107" t="n"/>
      <c r="AJ47" s="116" t="inlineStr">
        <is>
          <t>N</t>
        </is>
      </c>
      <c r="AK47" s="107" t="n"/>
      <c r="AL47" s="107" t="n"/>
      <c r="AM47" s="96" t="n"/>
      <c r="AN47" s="123">
        <f>IFERROR(INDEX(MAI!I$8:I$73,MATCH($A47,MAI!$A$8:$A$73,0))&amp;"","")</f>
        <v/>
      </c>
      <c r="AO47" s="109">
        <f>IFERROR(INDEX(MAI!J$8:J$73,MATCH($A47,MAI!$A$8:$A$73,0))&amp;"","")</f>
        <v/>
      </c>
      <c r="AP47" s="109">
        <f>IFERROR(INDEX(MAI!K$8:K$73,MATCH($A47,MAI!$A$8:$A$73,0))&amp;"","")</f>
        <v/>
      </c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SUMPRODUCT(($G47:$M47="M")*6+($G47:$M47="T")*6+($G47:$M47="D")*12+($G47:$M47="N")*12+($G47:$M47="NT")*6+($G47:$M47="C")*10+($G47:$M47="A")*8+($G47:$M47="J")*5+($G47:$M47="E")*4+($G47:$M47="P")*6+($G47:$M47="R")*6)</f>
        <v/>
      </c>
      <c r="BF47" s="110">
        <f>SUMPRODUCT(($N47:$T47="M")*6+($N47:$T47="T")*6+($N47:$T47="D")*12+($N47:$T47="N")*12+($N47:$T47="NT")*6+($N47:$T47="C")*10+($N47:$T47="A")*8+($N47:$T47="J")*5+($N47:$T47="E")*4+($N47:$T47="P")*6+($N47:$T47="R")*6)</f>
        <v/>
      </c>
      <c r="BG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H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I47" s="110">
        <f>SUMPRODUCT(($AI47:$AL47="M")*6+($AI47:$AL47="T")*6+($AI47:$AL47="D")*12+($AI47:$AL47="N")*12+($AI47:$AL47="NT")*6+($AI47:$AL47="C")*10+($AI47:$AL47="A")*8+($AI47:$AL47="J")*5+($AI47:$AL47="E")*4+($AI47:$AL47="P")*6+($AI47:$AL47="R")*6)+SUMPRODUCT(($AN47:$AP47="M")*6+($AN47:$AP47="T")*6+($AN47:$AP47="D")*12+($AN47:$AP47="N")*12+($AN47:$AP47="NT")*6+($AN47:$AP47="C")*10+($AN47:$AP47="A")*8+($AN47:$AP47="J")*5+($AN47:$AP47="E")*4+($AN47:$AP47="P")*6+($AN47:$AP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3">
        <f>IFERROR(INDEX(MAR!AL$8:AL$73,MATCH($A48,MAR!$A$8:$A$73,0))&amp;"","")</f>
        <v/>
      </c>
      <c r="H48" s="123">
        <f>IFERROR(INDEX(MAR!AM$8:AM$73,MATCH($A48,MAR!$A$8:$A$73,0))&amp;"","")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3">
        <f>IFERROR(INDEX(MAI!I$8:I$73,MATCH($A48,MAI!$A$8:$A$73,0))&amp;"","")</f>
        <v/>
      </c>
      <c r="AO48" s="109">
        <f>IFERROR(INDEX(MAI!J$8:J$73,MATCH($A48,MAI!$A$8:$A$73,0))&amp;"","")</f>
        <v/>
      </c>
      <c r="AP48" s="109">
        <f>IFERROR(INDEX(MAI!K$8:K$73,MATCH($A48,MAI!$A$8:$A$73,0))&amp;"","")</f>
        <v/>
      </c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SUMPRODUCT(($G48:$M48="M")*6+($G48:$M48="T")*6+($G48:$M48="D")*12+($G48:$M48="N")*12+($G48:$M48="NT")*6+($G48:$M48="C")*10+($G48:$M48="A")*8+($G48:$M48="J")*5+($G48:$M48="E")*4+($G48:$M48="P")*6+($G48:$M48="R")*6)</f>
        <v/>
      </c>
      <c r="BF48" s="110">
        <f>SUMPRODUCT(($N48:$T48="M")*6+($N48:$T48="T")*6+($N48:$T48="D")*12+($N48:$T48="N")*12+($N48:$T48="NT")*6+($N48:$T48="C")*10+($N48:$T48="A")*8+($N48:$T48="J")*5+($N48:$T48="E")*4+($N48:$T48="P")*6+($N48:$T48="R")*6)</f>
        <v/>
      </c>
      <c r="BG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H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I48" s="110">
        <f>SUMPRODUCT(($AI48:$AL48="M")*6+($AI48:$AL48="T")*6+($AI48:$AL48="D")*12+($AI48:$AL48="N")*12+($AI48:$AL48="NT")*6+($AI48:$AL48="C")*10+($AI48:$AL48="A")*8+($AI48:$AL48="J")*5+($AI48:$AL48="E")*4+($AI48:$AL48="P")*6+($AI48:$AL48="R")*6)+SUMPRODUCT(($AN48:$AP48="M")*6+($AN48:$AP48="T")*6+($AN48:$AP48="D")*12+($AN48:$AP48="N")*12+($AN48:$AP48="NT")*6+($AN48:$AP48="C")*10+($AN48:$AP48="A")*8+($AN48:$AP48="J")*5+($AN48:$AP48="E")*4+($AN48:$AP48="P")*6+($AN48:$AP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3">
        <f>IFERROR(INDEX(MAR!AL$8:AL$73,MATCH($A49,MAR!$A$8:$A$73,0))&amp;"","")</f>
        <v/>
      </c>
      <c r="H49" s="123">
        <f>IFERROR(INDEX(MAR!AM$8:AM$73,MATCH($A49,MAR!$A$8:$A$73,0))&amp;"","")</f>
        <v/>
      </c>
      <c r="I49" s="107" t="n"/>
      <c r="J49" s="107" t="n"/>
      <c r="K49" s="117" t="inlineStr">
        <is>
          <t>T</t>
        </is>
      </c>
      <c r="L49" s="115" t="inlineStr">
        <is>
          <t>D</t>
        </is>
      </c>
      <c r="M49" s="115" t="inlineStr">
        <is>
          <t>D</t>
        </is>
      </c>
      <c r="N49" s="115" t="inlineStr">
        <is>
          <t>D</t>
        </is>
      </c>
      <c r="O49" s="107" t="n"/>
      <c r="P49" s="115" t="inlineStr">
        <is>
          <t>D</t>
        </is>
      </c>
      <c r="Q49" s="107" t="n"/>
      <c r="R49" s="107" t="n"/>
      <c r="S49" s="117" t="inlineStr">
        <is>
          <t>T</t>
        </is>
      </c>
      <c r="T49" s="107" t="n"/>
      <c r="U49" s="115" t="inlineStr">
        <is>
          <t>D</t>
        </is>
      </c>
      <c r="V49" s="107" t="n"/>
      <c r="W49" s="115" t="inlineStr">
        <is>
          <t>D</t>
        </is>
      </c>
      <c r="X49" s="108" t="inlineStr">
        <is>
          <t>M</t>
        </is>
      </c>
      <c r="Y49" s="107" t="n"/>
      <c r="Z49" s="107" t="n"/>
      <c r="AA49" s="107" t="n"/>
      <c r="AB49" s="117" t="inlineStr">
        <is>
          <t>T</t>
        </is>
      </c>
      <c r="AC49" s="107" t="n"/>
      <c r="AD49" s="115" t="inlineStr">
        <is>
          <t>D</t>
        </is>
      </c>
      <c r="AE49" s="107" t="n"/>
      <c r="AF49" s="116" t="inlineStr">
        <is>
          <t>N</t>
        </is>
      </c>
      <c r="AG49" s="107" t="n"/>
      <c r="AH49" s="107" t="n"/>
      <c r="AI49" s="115" t="inlineStr">
        <is>
          <t>D</t>
        </is>
      </c>
      <c r="AJ49" s="107" t="n"/>
      <c r="AK49" s="115" t="inlineStr">
        <is>
          <t>D</t>
        </is>
      </c>
      <c r="AL49" s="108" t="inlineStr">
        <is>
          <t>M</t>
        </is>
      </c>
      <c r="AM49" s="96" t="n"/>
      <c r="AN49" s="123">
        <f>IFERROR(INDEX(MAI!I$8:I$73,MATCH($A49,MAI!$A$8:$A$73,0))&amp;"","")</f>
        <v/>
      </c>
      <c r="AO49" s="109">
        <f>IFERROR(INDEX(MAI!J$8:J$73,MATCH($A49,MAI!$A$8:$A$73,0))&amp;"","")</f>
        <v/>
      </c>
      <c r="AP49" s="109">
        <f>IFERROR(INDEX(MAI!K$8:K$73,MATCH($A49,MAI!$A$8:$A$73,0))&amp;"","")</f>
        <v/>
      </c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SUMPRODUCT(($G49:$M49="M")*6+($G49:$M49="T")*6+($G49:$M49="D")*12+($G49:$M49="N")*12+($G49:$M49="NT")*6+($G49:$M49="C")*10+($G49:$M49="A")*8+($G49:$M49="J")*5+($G49:$M49="E")*4+($G49:$M49="P")*6+($G49:$M49="R")*6)</f>
        <v/>
      </c>
      <c r="BF49" s="110">
        <f>SUMPRODUCT(($N49:$T49="M")*6+($N49:$T49="T")*6+($N49:$T49="D")*12+($N49:$T49="N")*12+($N49:$T49="NT")*6+($N49:$T49="C")*10+($N49:$T49="A")*8+($N49:$T49="J")*5+($N49:$T49="E")*4+($N49:$T49="P")*6+($N49:$T49="R")*6)</f>
        <v/>
      </c>
      <c r="BG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H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I49" s="110">
        <f>SUMPRODUCT(($AI49:$AL49="M")*6+($AI49:$AL49="T")*6+($AI49:$AL49="D")*12+($AI49:$AL49="N")*12+($AI49:$AL49="NT")*6+($AI49:$AL49="C")*10+($AI49:$AL49="A")*8+($AI49:$AL49="J")*5+($AI49:$AL49="E")*4+($AI49:$AL49="P")*6+($AI49:$AL49="R")*6)+SUMPRODUCT(($AN49:$AP49="M")*6+($AN49:$AP49="T")*6+($AN49:$AP49="D")*12+($AN49:$AP49="N")*12+($AN49:$AP49="NT")*6+($AN49:$AP49="C")*10+($AN49:$AP49="A")*8+($AN49:$AP49="J")*5+($AN49:$AP49="E")*4+($AN49:$AP49="P")*6+($AN49:$AP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3">
        <f>IFERROR(INDEX(MAR!AL$8:AL$73,MATCH($A50,MAR!$A$8:$A$73,0))&amp;"","")</f>
        <v/>
      </c>
      <c r="H50" s="123">
        <f>IFERROR(INDEX(MAR!AM$8:AM$73,MATCH($A50,MAR!$A$8:$A$73,0))&amp;"","")</f>
        <v/>
      </c>
      <c r="I50" s="107" t="n"/>
      <c r="J50" s="107" t="n"/>
      <c r="K50" s="107" t="n"/>
      <c r="L50" s="107" t="n"/>
      <c r="M50" s="107" t="n"/>
      <c r="N50" s="107" t="n"/>
      <c r="O50" s="117" t="inlineStr">
        <is>
          <t>T</t>
        </is>
      </c>
      <c r="P50" s="107" t="n"/>
      <c r="Q50" s="107" t="n"/>
      <c r="R50" s="115" t="inlineStr">
        <is>
          <t>D</t>
        </is>
      </c>
      <c r="S50" s="117" t="inlineStr">
        <is>
          <t>T</t>
        </is>
      </c>
      <c r="T50" s="107" t="n"/>
      <c r="U50" s="107" t="n"/>
      <c r="V50" s="108" t="inlineStr">
        <is>
          <t>M</t>
        </is>
      </c>
      <c r="W50" s="107" t="n"/>
      <c r="X50" s="107" t="n"/>
      <c r="Y50" s="116" t="inlineStr">
        <is>
          <t>N</t>
        </is>
      </c>
      <c r="Z50" s="107" t="n"/>
      <c r="AA50" s="108" t="inlineStr">
        <is>
          <t>M</t>
        </is>
      </c>
      <c r="AB50" s="107" t="n"/>
      <c r="AC50" s="115" t="inlineStr">
        <is>
          <t>D</t>
        </is>
      </c>
      <c r="AD50" s="107" t="n"/>
      <c r="AE50" s="107" t="n"/>
      <c r="AF50" s="117" t="inlineStr">
        <is>
          <t>T</t>
        </is>
      </c>
      <c r="AG50" s="107" t="n"/>
      <c r="AH50" s="108" t="inlineStr">
        <is>
          <t>M</t>
        </is>
      </c>
      <c r="AI50" s="107" t="n"/>
      <c r="AJ50" s="115" t="inlineStr">
        <is>
          <t>D</t>
        </is>
      </c>
      <c r="AK50" s="107" t="n"/>
      <c r="AL50" s="107" t="n"/>
      <c r="AM50" s="96" t="n"/>
      <c r="AN50" s="123">
        <f>IFERROR(INDEX(MAI!I$8:I$73,MATCH($A50,MAI!$A$8:$A$73,0))&amp;"","")</f>
        <v/>
      </c>
      <c r="AO50" s="109">
        <f>IFERROR(INDEX(MAI!J$8:J$73,MATCH($A50,MAI!$A$8:$A$73,0))&amp;"","")</f>
        <v/>
      </c>
      <c r="AP50" s="109">
        <f>IFERROR(INDEX(MAI!K$8:K$73,MATCH($A50,MAI!$A$8:$A$73,0))&amp;"","")</f>
        <v/>
      </c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SUMPRODUCT(($G50:$M50="M")*6+($G50:$M50="T")*6+($G50:$M50="D")*12+($G50:$M50="N")*12+($G50:$M50="NT")*6+($G50:$M50="C")*10+($G50:$M50="A")*8+($G50:$M50="J")*5+($G50:$M50="E")*4+($G50:$M50="P")*6+($G50:$M50="R")*6)</f>
        <v/>
      </c>
      <c r="BF50" s="110">
        <f>SUMPRODUCT(($N50:$T50="M")*6+($N50:$T50="T")*6+($N50:$T50="D")*12+($N50:$T50="N")*12+($N50:$T50="NT")*6+($N50:$T50="C")*10+($N50:$T50="A")*8+($N50:$T50="J")*5+($N50:$T50="E")*4+($N50:$T50="P")*6+($N50:$T50="R")*6)</f>
        <v/>
      </c>
      <c r="BG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H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I50" s="110">
        <f>SUMPRODUCT(($AI50:$AL50="M")*6+($AI50:$AL50="T")*6+($AI50:$AL50="D")*12+($AI50:$AL50="N")*12+($AI50:$AL50="NT")*6+($AI50:$AL50="C")*10+($AI50:$AL50="A")*8+($AI50:$AL50="J")*5+($AI50:$AL50="E")*4+($AI50:$AL50="P")*6+($AI50:$AL50="R")*6)+SUMPRODUCT(($AN50:$AP50="M")*6+($AN50:$AP50="T")*6+($AN50:$AP50="D")*12+($AN50:$AP50="N")*12+($AN50:$AP50="NT")*6+($AN50:$AP50="C")*10+($AN50:$AP50="A")*8+($AN50:$AP50="J")*5+($AN50:$AP50="E")*4+($AN50:$AP50="P")*6+($AN50:$AP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3">
        <f>IFERROR(INDEX(MAR!AL$8:AL$73,MATCH($A51,MAR!$A$8:$A$73,0))&amp;"","")</f>
        <v/>
      </c>
      <c r="H51" s="123">
        <f>IFERROR(INDEX(MAR!AM$8:AM$73,MATCH($A51,MAR!$A$8:$A$73,0))&amp;"","")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3">
        <f>IFERROR(INDEX(MAI!I$8:I$73,MATCH($A51,MAI!$A$8:$A$73,0))&amp;"","")</f>
        <v/>
      </c>
      <c r="AO51" s="109">
        <f>IFERROR(INDEX(MAI!J$8:J$73,MATCH($A51,MAI!$A$8:$A$73,0))&amp;"","")</f>
        <v/>
      </c>
      <c r="AP51" s="109">
        <f>IFERROR(INDEX(MAI!K$8:K$73,MATCH($A51,MAI!$A$8:$A$73,0))&amp;"","")</f>
        <v/>
      </c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SUMPRODUCT(($G51:$M51="M")*6+($G51:$M51="T")*6+($G51:$M51="D")*12+($G51:$M51="N")*12+($G51:$M51="NT")*6+($G51:$M51="C")*10+($G51:$M51="A")*8+($G51:$M51="J")*5+($G51:$M51="E")*4+($G51:$M51="P")*6+($G51:$M51="R")*6)</f>
        <v/>
      </c>
      <c r="BF51" s="110">
        <f>SUMPRODUCT(($N51:$T51="M")*6+($N51:$T51="T")*6+($N51:$T51="D")*12+($N51:$T51="N")*12+($N51:$T51="NT")*6+($N51:$T51="C")*10+($N51:$T51="A")*8+($N51:$T51="J")*5+($N51:$T51="E")*4+($N51:$T51="P")*6+($N51:$T51="R")*6)</f>
        <v/>
      </c>
      <c r="BG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H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I51" s="110">
        <f>SUMPRODUCT(($AI51:$AL51="M")*6+($AI51:$AL51="T")*6+($AI51:$AL51="D")*12+($AI51:$AL51="N")*12+($AI51:$AL51="NT")*6+($AI51:$AL51="C")*10+($AI51:$AL51="A")*8+($AI51:$AL51="J")*5+($AI51:$AL51="E")*4+($AI51:$AL51="P")*6+($AI51:$AL51="R")*6)+SUMPRODUCT(($AN51:$AP51="M")*6+($AN51:$AP51="T")*6+($AN51:$AP51="D")*12+($AN51:$AP51="N")*12+($AN51:$AP51="NT")*6+($AN51:$AP51="C")*10+($AN51:$AP51="A")*8+($AN51:$AP51="J")*5+($AN51:$AP51="E")*4+($AN51:$AP51="P")*6+($AN51:$AP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3">
        <f>IFERROR(INDEX(MAR!AL$8:AL$73,MATCH($A52,MAR!$A$8:$A$73,0))&amp;"","")</f>
        <v/>
      </c>
      <c r="H52" s="123">
        <f>IFERROR(INDEX(MAR!AM$8:AM$73,MATCH($A52,MAR!$A$8:$A$73,0))&amp;"","")</f>
        <v/>
      </c>
      <c r="I52" s="107" t="n"/>
      <c r="J52" s="116" t="inlineStr">
        <is>
          <t>N</t>
        </is>
      </c>
      <c r="K52" s="107" t="n"/>
      <c r="L52" s="107" t="n"/>
      <c r="M52" s="107" t="n"/>
      <c r="N52" s="116" t="inlineStr">
        <is>
          <t>N</t>
        </is>
      </c>
      <c r="O52" s="107" t="n"/>
      <c r="P52" s="107" t="n"/>
      <c r="Q52" s="107" t="n"/>
      <c r="R52" s="107" t="n"/>
      <c r="S52" s="116" t="inlineStr">
        <is>
          <t>N</t>
        </is>
      </c>
      <c r="T52" s="107" t="n"/>
      <c r="U52" s="116" t="inlineStr">
        <is>
          <t>N</t>
        </is>
      </c>
      <c r="V52" s="107" t="n"/>
      <c r="W52" s="107" t="n"/>
      <c r="X52" s="116" t="inlineStr">
        <is>
          <t>N</t>
        </is>
      </c>
      <c r="Y52" s="107" t="n"/>
      <c r="Z52" s="107" t="n"/>
      <c r="AA52" s="107" t="n"/>
      <c r="AB52" s="107" t="n"/>
      <c r="AC52" s="116" t="inlineStr">
        <is>
          <t>N</t>
        </is>
      </c>
      <c r="AD52" s="107" t="n"/>
      <c r="AE52" s="107" t="n"/>
      <c r="AF52" s="107" t="n"/>
      <c r="AG52" s="116" t="inlineStr">
        <is>
          <t>N</t>
        </is>
      </c>
      <c r="AH52" s="107" t="n"/>
      <c r="AI52" s="116" t="inlineStr">
        <is>
          <t>N</t>
        </is>
      </c>
      <c r="AJ52" s="107" t="n"/>
      <c r="AK52" s="107" t="n"/>
      <c r="AL52" s="107" t="n"/>
      <c r="AM52" s="96" t="n"/>
      <c r="AN52" s="123">
        <f>IFERROR(INDEX(MAI!I$8:I$73,MATCH($A52,MAI!$A$8:$A$73,0))&amp;"","")</f>
        <v/>
      </c>
      <c r="AO52" s="109">
        <f>IFERROR(INDEX(MAI!J$8:J$73,MATCH($A52,MAI!$A$8:$A$73,0))&amp;"","")</f>
        <v/>
      </c>
      <c r="AP52" s="109">
        <f>IFERROR(INDEX(MAI!K$8:K$73,MATCH($A52,MAI!$A$8:$A$73,0))&amp;"","")</f>
        <v/>
      </c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SUMPRODUCT(($G52:$M52="M")*6+($G52:$M52="T")*6+($G52:$M52="D")*12+($G52:$M52="N")*12+($G52:$M52="NT")*6+($G52:$M52="C")*10+($G52:$M52="A")*8+($G52:$M52="J")*5+($G52:$M52="E")*4+($G52:$M52="P")*6+($G52:$M52="R")*6)</f>
        <v/>
      </c>
      <c r="BF52" s="110">
        <f>SUMPRODUCT(($N52:$T52="M")*6+($N52:$T52="T")*6+($N52:$T52="D")*12+($N52:$T52="N")*12+($N52:$T52="NT")*6+($N52:$T52="C")*10+($N52:$T52="A")*8+($N52:$T52="J")*5+($N52:$T52="E")*4+($N52:$T52="P")*6+($N52:$T52="R")*6)</f>
        <v/>
      </c>
      <c r="BG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H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I52" s="110">
        <f>SUMPRODUCT(($AI52:$AL52="M")*6+($AI52:$AL52="T")*6+($AI52:$AL52="D")*12+($AI52:$AL52="N")*12+($AI52:$AL52="NT")*6+($AI52:$AL52="C")*10+($AI52:$AL52="A")*8+($AI52:$AL52="J")*5+($AI52:$AL52="E")*4+($AI52:$AL52="P")*6+($AI52:$AL52="R")*6)+SUMPRODUCT(($AN52:$AP52="M")*6+($AN52:$AP52="T")*6+($AN52:$AP52="D")*12+($AN52:$AP52="N")*12+($AN52:$AP52="NT")*6+($AN52:$AP52="C")*10+($AN52:$AP52="A")*8+($AN52:$AP52="J")*5+($AN52:$AP52="E")*4+($AN52:$AP52="P")*6+($AN52:$AP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3">
        <f>IFERROR(INDEX(MAR!AL$8:AL$73,MATCH($A53,MAR!$A$8:$A$73,0))&amp;"","")</f>
        <v/>
      </c>
      <c r="H53" s="123">
        <f>IFERROR(INDEX(MAR!AM$8:AM$73,MATCH($A53,MAR!$A$8:$A$73,0))&amp;"","")</f>
        <v/>
      </c>
      <c r="I53" s="107" t="n"/>
      <c r="J53" s="107" t="n"/>
      <c r="K53" s="115" t="inlineStr">
        <is>
          <t>D</t>
        </is>
      </c>
      <c r="L53" s="107" t="n"/>
      <c r="M53" s="107" t="n"/>
      <c r="N53" s="108" t="inlineStr">
        <is>
          <t>M</t>
        </is>
      </c>
      <c r="O53" s="108" t="inlineStr">
        <is>
          <t>M</t>
        </is>
      </c>
      <c r="P53" s="107" t="n"/>
      <c r="Q53" s="107" t="n"/>
      <c r="R53" s="107" t="n"/>
      <c r="S53" s="116" t="inlineStr">
        <is>
          <t>N</t>
        </is>
      </c>
      <c r="T53" s="107" t="n"/>
      <c r="U53" s="108" t="inlineStr">
        <is>
          <t>M</t>
        </is>
      </c>
      <c r="V53" s="116" t="inlineStr">
        <is>
          <t>N</t>
        </is>
      </c>
      <c r="W53" s="107" t="n"/>
      <c r="X53" s="117" t="inlineStr">
        <is>
          <t>T</t>
        </is>
      </c>
      <c r="Y53" s="107" t="n"/>
      <c r="Z53" s="107" t="n"/>
      <c r="AA53" s="107" t="n"/>
      <c r="AB53" s="107" t="n"/>
      <c r="AC53" s="107" t="n"/>
      <c r="AD53" s="116" t="inlineStr">
        <is>
          <t>N</t>
        </is>
      </c>
      <c r="AE53" s="107" t="n"/>
      <c r="AF53" s="107" t="n"/>
      <c r="AG53" s="116" t="inlineStr">
        <is>
          <t>N</t>
        </is>
      </c>
      <c r="AH53" s="107" t="n"/>
      <c r="AI53" s="108" t="inlineStr">
        <is>
          <t>M</t>
        </is>
      </c>
      <c r="AJ53" s="108" t="inlineStr">
        <is>
          <t>M</t>
        </is>
      </c>
      <c r="AK53" s="107" t="n"/>
      <c r="AL53" s="107" t="n"/>
      <c r="AM53" s="96" t="n"/>
      <c r="AN53" s="123">
        <f>IFERROR(INDEX(MAI!I$8:I$73,MATCH($A53,MAI!$A$8:$A$73,0))&amp;"","")</f>
        <v/>
      </c>
      <c r="AO53" s="109">
        <f>IFERROR(INDEX(MAI!J$8:J$73,MATCH($A53,MAI!$A$8:$A$73,0))&amp;"","")</f>
        <v/>
      </c>
      <c r="AP53" s="109">
        <f>IFERROR(INDEX(MAI!K$8:K$73,MATCH($A53,MAI!$A$8:$A$73,0))&amp;"","")</f>
        <v/>
      </c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SUMPRODUCT(($G53:$M53="M")*6+($G53:$M53="T")*6+($G53:$M53="D")*12+($G53:$M53="N")*12+($G53:$M53="NT")*6+($G53:$M53="C")*10+($G53:$M53="A")*8+($G53:$M53="J")*5+($G53:$M53="E")*4+($G53:$M53="P")*6+($G53:$M53="R")*6)</f>
        <v/>
      </c>
      <c r="BF53" s="110">
        <f>SUMPRODUCT(($N53:$T53="M")*6+($N53:$T53="T")*6+($N53:$T53="D")*12+($N53:$T53="N")*12+($N53:$T53="NT")*6+($N53:$T53="C")*10+($N53:$T53="A")*8+($N53:$T53="J")*5+($N53:$T53="E")*4+($N53:$T53="P")*6+($N53:$T53="R")*6)</f>
        <v/>
      </c>
      <c r="BG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H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I53" s="110">
        <f>SUMPRODUCT(($AI53:$AL53="M")*6+($AI53:$AL53="T")*6+($AI53:$AL53="D")*12+($AI53:$AL53="N")*12+($AI53:$AL53="NT")*6+($AI53:$AL53="C")*10+($AI53:$AL53="A")*8+($AI53:$AL53="J")*5+($AI53:$AL53="E")*4+($AI53:$AL53="P")*6+($AI53:$AL53="R")*6)+SUMPRODUCT(($AN53:$AP53="M")*6+($AN53:$AP53="T")*6+($AN53:$AP53="D")*12+($AN53:$AP53="N")*12+($AN53:$AP53="NT")*6+($AN53:$AP53="C")*10+($AN53:$AP53="A")*8+($AN53:$AP53="J")*5+($AN53:$AP53="E")*4+($AN53:$AP53="P")*6+($AN53:$AP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3">
        <f>IFERROR(INDEX(MAR!AL$8:AL$73,MATCH($A54,MAR!$A$8:$A$73,0))&amp;"","")</f>
        <v/>
      </c>
      <c r="H54" s="123">
        <f>IFERROR(INDEX(MAR!AM$8:AM$73,MATCH($A54,MAR!$A$8:$A$73,0))&amp;"","")</f>
        <v/>
      </c>
      <c r="I54" s="107" t="n"/>
      <c r="J54" s="107" t="n"/>
      <c r="K54" s="116" t="inlineStr">
        <is>
          <t>N</t>
        </is>
      </c>
      <c r="L54" s="116" t="inlineStr">
        <is>
          <t>N</t>
        </is>
      </c>
      <c r="M54" s="107" t="n"/>
      <c r="N54" s="107" t="n"/>
      <c r="O54" s="107" t="n"/>
      <c r="P54" s="107" t="n"/>
      <c r="Q54" s="116" t="inlineStr">
        <is>
          <t>N</t>
        </is>
      </c>
      <c r="R54" s="107" t="n"/>
      <c r="S54" s="116" t="inlineStr">
        <is>
          <t>N</t>
        </is>
      </c>
      <c r="T54" s="107" t="n"/>
      <c r="U54" s="107" t="n"/>
      <c r="V54" s="107" t="n"/>
      <c r="W54" s="107" t="n"/>
      <c r="X54" s="116" t="inlineStr">
        <is>
          <t>N</t>
        </is>
      </c>
      <c r="Y54" s="107" t="n"/>
      <c r="Z54" s="107" t="n"/>
      <c r="AA54" s="116" t="inlineStr">
        <is>
          <t>N</t>
        </is>
      </c>
      <c r="AB54" s="117" t="inlineStr">
        <is>
          <t>T</t>
        </is>
      </c>
      <c r="AC54" s="107" t="n"/>
      <c r="AD54" s="107" t="n"/>
      <c r="AE54" s="116" t="inlineStr">
        <is>
          <t>N</t>
        </is>
      </c>
      <c r="AF54" s="107" t="n"/>
      <c r="AG54" s="107" t="n"/>
      <c r="AH54" s="107" t="n"/>
      <c r="AI54" s="107" t="n"/>
      <c r="AJ54" s="107" t="n"/>
      <c r="AK54" s="107" t="n"/>
      <c r="AL54" s="116" t="inlineStr">
        <is>
          <t>N</t>
        </is>
      </c>
      <c r="AM54" s="96" t="n"/>
      <c r="AN54" s="123">
        <f>IFERROR(INDEX(MAI!I$8:I$73,MATCH($A54,MAI!$A$8:$A$73,0))&amp;"","")</f>
        <v/>
      </c>
      <c r="AO54" s="109">
        <f>IFERROR(INDEX(MAI!J$8:J$73,MATCH($A54,MAI!$A$8:$A$73,0))&amp;"","")</f>
        <v/>
      </c>
      <c r="AP54" s="109">
        <f>IFERROR(INDEX(MAI!K$8:K$73,MATCH($A54,MAI!$A$8:$A$73,0))&amp;"","")</f>
        <v/>
      </c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SUMPRODUCT(($G54:$M54="M")*6+($G54:$M54="T")*6+($G54:$M54="D")*12+($G54:$M54="N")*12+($G54:$M54="NT")*6+($G54:$M54="C")*10+($G54:$M54="A")*8+($G54:$M54="J")*5+($G54:$M54="E")*4+($G54:$M54="P")*6+($G54:$M54="R")*6)</f>
        <v/>
      </c>
      <c r="BF54" s="110">
        <f>SUMPRODUCT(($N54:$T54="M")*6+($N54:$T54="T")*6+($N54:$T54="D")*12+($N54:$T54="N")*12+($N54:$T54="NT")*6+($N54:$T54="C")*10+($N54:$T54="A")*8+($N54:$T54="J")*5+($N54:$T54="E")*4+($N54:$T54="P")*6+($N54:$T54="R")*6)</f>
        <v/>
      </c>
      <c r="BG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H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I54" s="110">
        <f>SUMPRODUCT(($AI54:$AL54="M")*6+($AI54:$AL54="T")*6+($AI54:$AL54="D")*12+($AI54:$AL54="N")*12+($AI54:$AL54="NT")*6+($AI54:$AL54="C")*10+($AI54:$AL54="A")*8+($AI54:$AL54="J")*5+($AI54:$AL54="E")*4+($AI54:$AL54="P")*6+($AI54:$AL54="R")*6)+SUMPRODUCT(($AN54:$AP54="M")*6+($AN54:$AP54="T")*6+($AN54:$AP54="D")*12+($AN54:$AP54="N")*12+($AN54:$AP54="NT")*6+($AN54:$AP54="C")*10+($AN54:$AP54="A")*8+($AN54:$AP54="J")*5+($AN54:$AP54="E")*4+($AN54:$AP54="P")*6+($AN54:$AP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3">
        <f>IFERROR(INDEX(MAR!AL$8:AL$73,MATCH($A55,MAR!$A$8:$A$73,0))&amp;"","")</f>
        <v/>
      </c>
      <c r="H55" s="123">
        <f>IFERROR(INDEX(MAR!AM$8:AM$73,MATCH($A55,MAR!$A$8:$A$73,0))&amp;"","")</f>
        <v/>
      </c>
      <c r="I55" s="107" t="n"/>
      <c r="J55" s="107" t="n"/>
      <c r="K55" s="108" t="inlineStr">
        <is>
          <t>M</t>
        </is>
      </c>
      <c r="L55" s="108" t="inlineStr">
        <is>
          <t>M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7" t="n"/>
      <c r="S55" s="108" t="inlineStr">
        <is>
          <t>M</t>
        </is>
      </c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16" t="inlineStr">
        <is>
          <t>N</t>
        </is>
      </c>
      <c r="Z55" s="107" t="n"/>
      <c r="AA55" s="107" t="n"/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7" t="n"/>
      <c r="AF55" s="107" t="n"/>
      <c r="AG55" s="107" t="n"/>
      <c r="AH55" s="107" t="n"/>
      <c r="AI55" s="108" t="inlineStr">
        <is>
          <t>M</t>
        </is>
      </c>
      <c r="AJ55" s="107" t="n"/>
      <c r="AK55" s="108" t="inlineStr">
        <is>
          <t>M</t>
        </is>
      </c>
      <c r="AL55" s="108" t="inlineStr">
        <is>
          <t>M</t>
        </is>
      </c>
      <c r="AM55" s="96" t="n"/>
      <c r="AN55" s="123">
        <f>IFERROR(INDEX(MAI!I$8:I$73,MATCH($A55,MAI!$A$8:$A$73,0))&amp;"","")</f>
        <v/>
      </c>
      <c r="AO55" s="109">
        <f>IFERROR(INDEX(MAI!J$8:J$73,MATCH($A55,MAI!$A$8:$A$73,0))&amp;"","")</f>
        <v/>
      </c>
      <c r="AP55" s="109">
        <f>IFERROR(INDEX(MAI!K$8:K$73,MATCH($A55,MAI!$A$8:$A$73,0))&amp;"","")</f>
        <v/>
      </c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SUMPRODUCT(($G55:$M55="M")*6+($G55:$M55="T")*6+($G55:$M55="D")*12+($G55:$M55="N")*12+($G55:$M55="NT")*6+($G55:$M55="C")*10+($G55:$M55="A")*8+($G55:$M55="J")*5+($G55:$M55="E")*4+($G55:$M55="P")*6+($G55:$M55="R")*6)</f>
        <v/>
      </c>
      <c r="BF55" s="110">
        <f>SUMPRODUCT(($N55:$T55="M")*6+($N55:$T55="T")*6+($N55:$T55="D")*12+($N55:$T55="N")*12+($N55:$T55="NT")*6+($N55:$T55="C")*10+($N55:$T55="A")*8+($N55:$T55="J")*5+($N55:$T55="E")*4+($N55:$T55="P")*6+($N55:$T55="R")*6)</f>
        <v/>
      </c>
      <c r="BG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H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I55" s="110">
        <f>SUMPRODUCT(($AI55:$AL55="M")*6+($AI55:$AL55="T")*6+($AI55:$AL55="D")*12+($AI55:$AL55="N")*12+($AI55:$AL55="NT")*6+($AI55:$AL55="C")*10+($AI55:$AL55="A")*8+($AI55:$AL55="J")*5+($AI55:$AL55="E")*4+($AI55:$AL55="P")*6+($AI55:$AL55="R")*6)+SUMPRODUCT(($AN55:$AP55="M")*6+($AN55:$AP55="T")*6+($AN55:$AP55="D")*12+($AN55:$AP55="N")*12+($AN55:$AP55="NT")*6+($AN55:$AP55="C")*10+($AN55:$AP55="A")*8+($AN55:$AP55="J")*5+($AN55:$AP55="E")*4+($AN55:$AP55="P")*6+($AN55:$AP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3">
        <f>IFERROR(INDEX(MAR!AL$8:AL$73,MATCH($A56,MAR!$A$8:$A$73,0))&amp;"","")</f>
        <v/>
      </c>
      <c r="H56" s="123">
        <f>IFERROR(INDEX(MAR!AM$8:AM$73,MATCH($A56,MAR!$A$8:$A$73,0))&amp;"","")</f>
        <v/>
      </c>
      <c r="I56" s="107" t="n"/>
      <c r="J56" s="107" t="n"/>
      <c r="K56" s="117" t="inlineStr">
        <is>
          <t>T</t>
        </is>
      </c>
      <c r="L56" s="115" t="inlineStr">
        <is>
          <t>D</t>
        </is>
      </c>
      <c r="M56" s="107" t="n"/>
      <c r="N56" s="107" t="n"/>
      <c r="O56" s="115" t="inlineStr">
        <is>
          <t>D</t>
        </is>
      </c>
      <c r="P56" s="107" t="n"/>
      <c r="Q56" s="115" t="inlineStr">
        <is>
          <t>D</t>
        </is>
      </c>
      <c r="R56" s="107" t="n"/>
      <c r="S56" s="107" t="n"/>
      <c r="T56" s="107" t="n"/>
      <c r="U56" s="107" t="n"/>
      <c r="V56" s="107" t="n"/>
      <c r="W56" s="107" t="n"/>
      <c r="X56" s="117" t="inlineStr">
        <is>
          <t>T</t>
        </is>
      </c>
      <c r="Y56" s="107" t="n"/>
      <c r="Z56" s="115" t="inlineStr">
        <is>
          <t>D</t>
        </is>
      </c>
      <c r="AA56" s="108" t="inlineStr">
        <is>
          <t>M</t>
        </is>
      </c>
      <c r="AB56" s="107" t="n"/>
      <c r="AC56" s="107" t="n"/>
      <c r="AD56" s="107" t="n"/>
      <c r="AE56" s="115" t="inlineStr">
        <is>
          <t>D</t>
        </is>
      </c>
      <c r="AF56" s="116" t="inlineStr">
        <is>
          <t>N</t>
        </is>
      </c>
      <c r="AG56" s="107" t="n"/>
      <c r="AH56" s="107" t="n"/>
      <c r="AI56" s="107" t="n"/>
      <c r="AJ56" s="117" t="inlineStr">
        <is>
          <t>T</t>
        </is>
      </c>
      <c r="AK56" s="107" t="n"/>
      <c r="AL56" s="107" t="n"/>
      <c r="AM56" s="96" t="n"/>
      <c r="AN56" s="123">
        <f>IFERROR(INDEX(MAI!I$8:I$73,MATCH($A56,MAI!$A$8:$A$73,0))&amp;"","")</f>
        <v/>
      </c>
      <c r="AO56" s="109">
        <f>IFERROR(INDEX(MAI!J$8:J$73,MATCH($A56,MAI!$A$8:$A$73,0))&amp;"","")</f>
        <v/>
      </c>
      <c r="AP56" s="109">
        <f>IFERROR(INDEX(MAI!K$8:K$73,MATCH($A56,MAI!$A$8:$A$73,0))&amp;"","")</f>
        <v/>
      </c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SUMPRODUCT(($G56:$M56="M")*6+($G56:$M56="T")*6+($G56:$M56="D")*12+($G56:$M56="N")*12+($G56:$M56="NT")*6+($G56:$M56="C")*10+($G56:$M56="A")*8+($G56:$M56="J")*5+($G56:$M56="E")*4+($G56:$M56="P")*6+($G56:$M56="R")*6)</f>
        <v/>
      </c>
      <c r="BF56" s="110">
        <f>SUMPRODUCT(($N56:$T56="M")*6+($N56:$T56="T")*6+($N56:$T56="D")*12+($N56:$T56="N")*12+($N56:$T56="NT")*6+($N56:$T56="C")*10+($N56:$T56="A")*8+($N56:$T56="J")*5+($N56:$T56="E")*4+($N56:$T56="P")*6+($N56:$T56="R")*6)</f>
        <v/>
      </c>
      <c r="BG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H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I56" s="110">
        <f>SUMPRODUCT(($AI56:$AL56="M")*6+($AI56:$AL56="T")*6+($AI56:$AL56="D")*12+($AI56:$AL56="N")*12+($AI56:$AL56="NT")*6+($AI56:$AL56="C")*10+($AI56:$AL56="A")*8+($AI56:$AL56="J")*5+($AI56:$AL56="E")*4+($AI56:$AL56="P")*6+($AI56:$AL56="R")*6)+SUMPRODUCT(($AN56:$AP56="M")*6+($AN56:$AP56="T")*6+($AN56:$AP56="D")*12+($AN56:$AP56="N")*12+($AN56:$AP56="NT")*6+($AN56:$AP56="C")*10+($AN56:$AP56="A")*8+($AN56:$AP56="J")*5+($AN56:$AP56="E")*4+($AN56:$AP56="P")*6+($AN56:$AP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3">
        <f>IFERROR(INDEX(MAR!AL$8:AL$73,MATCH($A57,MAR!$A$8:$A$73,0))&amp;"","")</f>
        <v/>
      </c>
      <c r="H57" s="123">
        <f>IFERROR(INDEX(MAR!AM$8:AM$73,MATCH($A57,MAR!$A$8:$A$73,0))&amp;"","")</f>
        <v/>
      </c>
      <c r="I57" s="116" t="inlineStr">
        <is>
          <t>N</t>
        </is>
      </c>
      <c r="J57" s="107" t="n"/>
      <c r="K57" s="116" t="inlineStr">
        <is>
          <t>N</t>
        </is>
      </c>
      <c r="L57" s="107" t="n"/>
      <c r="M57" s="107" t="n"/>
      <c r="N57" s="107" t="n"/>
      <c r="O57" s="107" t="n"/>
      <c r="P57" s="107" t="n"/>
      <c r="Q57" s="116" t="inlineStr">
        <is>
          <t>N</t>
        </is>
      </c>
      <c r="R57" s="107" t="n"/>
      <c r="S57" s="108" t="inlineStr">
        <is>
          <t>M</t>
        </is>
      </c>
      <c r="T57" s="117" t="inlineStr">
        <is>
          <t>T</t>
        </is>
      </c>
      <c r="U57" s="116" t="inlineStr">
        <is>
          <t>N</t>
        </is>
      </c>
      <c r="V57" s="107" t="n"/>
      <c r="W57" s="116" t="inlineStr">
        <is>
          <t>N</t>
        </is>
      </c>
      <c r="X57" s="107" t="n"/>
      <c r="Y57" s="107" t="n"/>
      <c r="Z57" s="107" t="n"/>
      <c r="AA57" s="107" t="n"/>
      <c r="AB57" s="116" t="inlineStr">
        <is>
          <t>N</t>
        </is>
      </c>
      <c r="AC57" s="107" t="n"/>
      <c r="AD57" s="107" t="n"/>
      <c r="AE57" s="107" t="n"/>
      <c r="AF57" s="116" t="inlineStr">
        <is>
          <t>N</t>
        </is>
      </c>
      <c r="AG57" s="107" t="n"/>
      <c r="AH57" s="107" t="n"/>
      <c r="AI57" s="107" t="n"/>
      <c r="AJ57" s="116" t="inlineStr">
        <is>
          <t>N</t>
        </is>
      </c>
      <c r="AK57" s="107" t="n"/>
      <c r="AL57" s="116" t="inlineStr">
        <is>
          <t>N</t>
        </is>
      </c>
      <c r="AM57" s="96" t="n"/>
      <c r="AN57" s="123">
        <f>IFERROR(INDEX(MAI!I$8:I$73,MATCH($A57,MAI!$A$8:$A$73,0))&amp;"","")</f>
        <v/>
      </c>
      <c r="AO57" s="109">
        <f>IFERROR(INDEX(MAI!J$8:J$73,MATCH($A57,MAI!$A$8:$A$73,0))&amp;"","")</f>
        <v/>
      </c>
      <c r="AP57" s="109">
        <f>IFERROR(INDEX(MAI!K$8:K$73,MATCH($A57,MAI!$A$8:$A$73,0))&amp;"","")</f>
        <v/>
      </c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SUMPRODUCT(($G57:$M57="M")*6+($G57:$M57="T")*6+($G57:$M57="D")*12+($G57:$M57="N")*12+($G57:$M57="NT")*6+($G57:$M57="C")*10+($G57:$M57="A")*8+($G57:$M57="J")*5+($G57:$M57="E")*4+($G57:$M57="P")*6+($G57:$M57="R")*6)</f>
        <v/>
      </c>
      <c r="BF57" s="110">
        <f>SUMPRODUCT(($N57:$T57="M")*6+($N57:$T57="T")*6+($N57:$T57="D")*12+($N57:$T57="N")*12+($N57:$T57="NT")*6+($N57:$T57="C")*10+($N57:$T57="A")*8+($N57:$T57="J")*5+($N57:$T57="E")*4+($N57:$T57="P")*6+($N57:$T57="R")*6)</f>
        <v/>
      </c>
      <c r="BG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H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I57" s="110">
        <f>SUMPRODUCT(($AI57:$AL57="M")*6+($AI57:$AL57="T")*6+($AI57:$AL57="D")*12+($AI57:$AL57="N")*12+($AI57:$AL57="NT")*6+($AI57:$AL57="C")*10+($AI57:$AL57="A")*8+($AI57:$AL57="J")*5+($AI57:$AL57="E")*4+($AI57:$AL57="P")*6+($AI57:$AL57="R")*6)+SUMPRODUCT(($AN57:$AP57="M")*6+($AN57:$AP57="T")*6+($AN57:$AP57="D")*12+($AN57:$AP57="N")*12+($AN57:$AP57="NT")*6+($AN57:$AP57="C")*10+($AN57:$AP57="A")*8+($AN57:$AP57="J")*5+($AN57:$AP57="E")*4+($AN57:$AP57="P")*6+($AN57:$AP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3">
        <f>IFERROR(INDEX(MAR!AL$8:AL$73,MATCH($A58,MAR!$A$8:$A$73,0))&amp;"","")</f>
        <v/>
      </c>
      <c r="H58" s="123">
        <f>IFERROR(INDEX(MAR!AM$8:AM$73,MATCH($A58,MAR!$A$8:$A$73,0))&amp;"","")</f>
        <v/>
      </c>
      <c r="I58" s="107" t="n"/>
      <c r="J58" s="107" t="n"/>
      <c r="K58" s="107" t="n"/>
      <c r="L58" s="117" t="inlineStr">
        <is>
          <t>T</t>
        </is>
      </c>
      <c r="M58" s="115" t="inlineStr">
        <is>
          <t>D</t>
        </is>
      </c>
      <c r="N58" s="115" t="inlineStr">
        <is>
          <t>D</t>
        </is>
      </c>
      <c r="O58" s="107" t="n"/>
      <c r="P58" s="116" t="inlineStr">
        <is>
          <t>N</t>
        </is>
      </c>
      <c r="Q58" s="107" t="n"/>
      <c r="R58" s="107" t="n"/>
      <c r="S58" s="107" t="n"/>
      <c r="T58" s="107" t="n"/>
      <c r="U58" s="115" t="inlineStr">
        <is>
          <t>D</t>
        </is>
      </c>
      <c r="V58" s="107" t="n"/>
      <c r="W58" s="107" t="n"/>
      <c r="X58" s="107" t="n"/>
      <c r="Y58" s="115" t="inlineStr">
        <is>
          <t>D</t>
        </is>
      </c>
      <c r="Z58" s="107" t="n"/>
      <c r="AA58" s="107" t="n"/>
      <c r="AB58" s="107" t="n"/>
      <c r="AC58" s="107" t="n"/>
      <c r="AD58" s="116" t="inlineStr">
        <is>
          <t>N</t>
        </is>
      </c>
      <c r="AE58" s="107" t="n"/>
      <c r="AF58" s="107" t="n"/>
      <c r="AG58" s="115" t="inlineStr">
        <is>
          <t>D</t>
        </is>
      </c>
      <c r="AH58" s="107" t="n"/>
      <c r="AI58" s="107" t="n"/>
      <c r="AJ58" s="107" t="n"/>
      <c r="AK58" s="116" t="inlineStr">
        <is>
          <t>N</t>
        </is>
      </c>
      <c r="AL58" s="107" t="n"/>
      <c r="AM58" s="96" t="n"/>
      <c r="AN58" s="123">
        <f>IFERROR(INDEX(MAI!I$8:I$73,MATCH($A58,MAI!$A$8:$A$73,0))&amp;"","")</f>
        <v/>
      </c>
      <c r="AO58" s="109">
        <f>IFERROR(INDEX(MAI!J$8:J$73,MATCH($A58,MAI!$A$8:$A$73,0))&amp;"","")</f>
        <v/>
      </c>
      <c r="AP58" s="109">
        <f>IFERROR(INDEX(MAI!K$8:K$73,MATCH($A58,MAI!$A$8:$A$73,0))&amp;"","")</f>
        <v/>
      </c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SUMPRODUCT(($G58:$M58="M")*6+($G58:$M58="T")*6+($G58:$M58="D")*12+($G58:$M58="N")*12+($G58:$M58="NT")*6+($G58:$M58="C")*10+($G58:$M58="A")*8+($G58:$M58="J")*5+($G58:$M58="E")*4+($G58:$M58="P")*6+($G58:$M58="R")*6)</f>
        <v/>
      </c>
      <c r="BF58" s="110">
        <f>SUMPRODUCT(($N58:$T58="M")*6+($N58:$T58="T")*6+($N58:$T58="D")*12+($N58:$T58="N")*12+($N58:$T58="NT")*6+($N58:$T58="C")*10+($N58:$T58="A")*8+($N58:$T58="J")*5+($N58:$T58="E")*4+($N58:$T58="P")*6+($N58:$T58="R")*6)</f>
        <v/>
      </c>
      <c r="BG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H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I58" s="110">
        <f>SUMPRODUCT(($AI58:$AL58="M")*6+($AI58:$AL58="T")*6+($AI58:$AL58="D")*12+($AI58:$AL58="N")*12+($AI58:$AL58="NT")*6+($AI58:$AL58="C")*10+($AI58:$AL58="A")*8+($AI58:$AL58="J")*5+($AI58:$AL58="E")*4+($AI58:$AL58="P")*6+($AI58:$AL58="R")*6)+SUMPRODUCT(($AN58:$AP58="M")*6+($AN58:$AP58="T")*6+($AN58:$AP58="D")*12+($AN58:$AP58="N")*12+($AN58:$AP58="NT")*6+($AN58:$AP58="C")*10+($AN58:$AP58="A")*8+($AN58:$AP58="J")*5+($AN58:$AP58="E")*4+($AN58:$AP58="P")*6+($AN58:$AP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3">
        <f>IFERROR(INDEX(MAR!AL$8:AL$73,MATCH($A59,MAR!$A$8:$A$73,0))&amp;"","")</f>
        <v/>
      </c>
      <c r="H59" s="123">
        <f>IFERROR(INDEX(MAR!AM$8:AM$73,MATCH($A59,MAR!$A$8:$A$73,0))&amp;"","")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23">
        <f>IFERROR(INDEX(MAI!I$8:I$73,MATCH($A59,MAI!$A$8:$A$73,0))&amp;"","")</f>
        <v/>
      </c>
      <c r="AO59" s="109">
        <f>IFERROR(INDEX(MAI!J$8:J$73,MATCH($A59,MAI!$A$8:$A$73,0))&amp;"","")</f>
        <v/>
      </c>
      <c r="AP59" s="109">
        <f>IFERROR(INDEX(MAI!K$8:K$73,MATCH($A59,MAI!$A$8:$A$73,0))&amp;"","")</f>
        <v/>
      </c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SUMPRODUCT(($G59:$M59="M")*6+($G59:$M59="T")*6+($G59:$M59="D")*12+($G59:$M59="N")*12+($G59:$M59="NT")*6+($G59:$M59="C")*10+($G59:$M59="A")*8+($G59:$M59="J")*5+($G59:$M59="E")*4+($G59:$M59="P")*6+($G59:$M59="R")*6)</f>
        <v/>
      </c>
      <c r="BF59" s="110">
        <f>SUMPRODUCT(($N59:$T59="M")*6+($N59:$T59="T")*6+($N59:$T59="D")*12+($N59:$T59="N")*12+($N59:$T59="NT")*6+($N59:$T59="C")*10+($N59:$T59="A")*8+($N59:$T59="J")*5+($N59:$T59="E")*4+($N59:$T59="P")*6+($N59:$T59="R")*6)</f>
        <v/>
      </c>
      <c r="BG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H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I59" s="110">
        <f>SUMPRODUCT(($AI59:$AL59="M")*6+($AI59:$AL59="T")*6+($AI59:$AL59="D")*12+($AI59:$AL59="N")*12+($AI59:$AL59="NT")*6+($AI59:$AL59="C")*10+($AI59:$AL59="A")*8+($AI59:$AL59="J")*5+($AI59:$AL59="E")*4+($AI59:$AL59="P")*6+($AI59:$AL59="R")*6)+SUMPRODUCT(($AN59:$AP59="M")*6+($AN59:$AP59="T")*6+($AN59:$AP59="D")*12+($AN59:$AP59="N")*12+($AN59:$AP59="NT")*6+($AN59:$AP59="C")*10+($AN59:$AP59="A")*8+($AN59:$AP59="J")*5+($AN59:$AP59="E")*4+($AN59:$AP59="P")*6+($AN59:$AP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3">
        <f>IFERROR(INDEX(MAR!AL$8:AL$73,MATCH($A60,MAR!$A$8:$A$73,0))&amp;"","")</f>
        <v/>
      </c>
      <c r="H60" s="123">
        <f>IFERROR(INDEX(MAR!AM$8:AM$73,MATCH($A60,MAR!$A$8:$A$73,0))&amp;"","")</f>
        <v/>
      </c>
      <c r="I60" s="107" t="n"/>
      <c r="J60" s="108" t="inlineStr">
        <is>
          <t>M</t>
        </is>
      </c>
      <c r="K60" s="115" t="inlineStr">
        <is>
          <t>D</t>
        </is>
      </c>
      <c r="L60" s="107" t="n"/>
      <c r="M60" s="107" t="n"/>
      <c r="N60" s="107" t="n"/>
      <c r="O60" s="107" t="n"/>
      <c r="P60" s="107" t="n"/>
      <c r="Q60" s="107" t="n"/>
      <c r="R60" s="116" t="inlineStr">
        <is>
          <t>N</t>
        </is>
      </c>
      <c r="S60" s="107" t="n"/>
      <c r="T60" s="115" t="inlineStr">
        <is>
          <t>D</t>
        </is>
      </c>
      <c r="U60" s="107" t="n"/>
      <c r="V60" s="117" t="inlineStr">
        <is>
          <t>T</t>
        </is>
      </c>
      <c r="W60" s="117" t="inlineStr">
        <is>
          <t>T</t>
        </is>
      </c>
      <c r="X60" s="107" t="n"/>
      <c r="Y60" s="107" t="n"/>
      <c r="Z60" s="107" t="n"/>
      <c r="AA60" s="116" t="inlineStr">
        <is>
          <t>N</t>
        </is>
      </c>
      <c r="AB60" s="107" t="n"/>
      <c r="AC60" s="108" t="inlineStr">
        <is>
          <t>M</t>
        </is>
      </c>
      <c r="AD60" s="117" t="inlineStr">
        <is>
          <t>T</t>
        </is>
      </c>
      <c r="AE60" s="107" t="n"/>
      <c r="AF60" s="107" t="n"/>
      <c r="AG60" s="107" t="n"/>
      <c r="AH60" s="115" t="inlineStr">
        <is>
          <t>D</t>
        </is>
      </c>
      <c r="AI60" s="107" t="n"/>
      <c r="AJ60" s="107" t="n"/>
      <c r="AK60" s="107" t="n"/>
      <c r="AL60" s="107" t="n"/>
      <c r="AM60" s="96" t="n"/>
      <c r="AN60" s="123">
        <f>IFERROR(INDEX(MAI!I$8:I$73,MATCH($A60,MAI!$A$8:$A$73,0))&amp;"","")</f>
        <v/>
      </c>
      <c r="AO60" s="109">
        <f>IFERROR(INDEX(MAI!J$8:J$73,MATCH($A60,MAI!$A$8:$A$73,0))&amp;"","")</f>
        <v/>
      </c>
      <c r="AP60" s="109">
        <f>IFERROR(INDEX(MAI!K$8:K$73,MATCH($A60,MAI!$A$8:$A$73,0))&amp;"","")</f>
        <v/>
      </c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SUMPRODUCT(($G60:$M60="M")*6+($G60:$M60="T")*6+($G60:$M60="D")*12+($G60:$M60="N")*12+($G60:$M60="NT")*6+($G60:$M60="C")*10+($G60:$M60="A")*8+($G60:$M60="J")*5+($G60:$M60="E")*4+($G60:$M60="P")*6+($G60:$M60="R")*6)</f>
        <v/>
      </c>
      <c r="BF60" s="110">
        <f>SUMPRODUCT(($N60:$T60="M")*6+($N60:$T60="T")*6+($N60:$T60="D")*12+($N60:$T60="N")*12+($N60:$T60="NT")*6+($N60:$T60="C")*10+($N60:$T60="A")*8+($N60:$T60="J")*5+($N60:$T60="E")*4+($N60:$T60="P")*6+($N60:$T60="R")*6)</f>
        <v/>
      </c>
      <c r="BG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H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I60" s="110">
        <f>SUMPRODUCT(($AI60:$AL60="M")*6+($AI60:$AL60="T")*6+($AI60:$AL60="D")*12+($AI60:$AL60="N")*12+($AI60:$AL60="NT")*6+($AI60:$AL60="C")*10+($AI60:$AL60="A")*8+($AI60:$AL60="J")*5+($AI60:$AL60="E")*4+($AI60:$AL60="P")*6+($AI60:$AL60="R")*6)+SUMPRODUCT(($AN60:$AP60="M")*6+($AN60:$AP60="T")*6+($AN60:$AP60="D")*12+($AN60:$AP60="N")*12+($AN60:$AP60="NT")*6+($AN60:$AP60="C")*10+($AN60:$AP60="A")*8+($AN60:$AP60="J")*5+($AN60:$AP60="E")*4+($AN60:$AP60="P")*6+($AN60:$AP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3">
        <f>IFERROR(INDEX(MAR!AL$8:AL$73,MATCH($A61,MAR!$A$8:$A$73,0))&amp;"","")</f>
        <v/>
      </c>
      <c r="H61" s="123">
        <f>IFERROR(INDEX(MAR!AM$8:AM$73,MATCH($A61,MAR!$A$8:$A$73,0))&amp;"","")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23">
        <f>IFERROR(INDEX(MAI!I$8:I$73,MATCH($A61,MAI!$A$8:$A$73,0))&amp;"","")</f>
        <v/>
      </c>
      <c r="AO61" s="109">
        <f>IFERROR(INDEX(MAI!J$8:J$73,MATCH($A61,MAI!$A$8:$A$73,0))&amp;"","")</f>
        <v/>
      </c>
      <c r="AP61" s="109">
        <f>IFERROR(INDEX(MAI!K$8:K$73,MATCH($A61,MAI!$A$8:$A$73,0))&amp;"","")</f>
        <v/>
      </c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SUMPRODUCT(($G61:$M61="M")*6+($G61:$M61="T")*6+($G61:$M61="D")*12+($G61:$M61="N")*12+($G61:$M61="NT")*6+($G61:$M61="C")*10+($G61:$M61="A")*8+($G61:$M61="J")*5+($G61:$M61="E")*4+($G61:$M61="P")*6+($G61:$M61="R")*6)</f>
        <v/>
      </c>
      <c r="BF61" s="110">
        <f>SUMPRODUCT(($N61:$T61="M")*6+($N61:$T61="T")*6+($N61:$T61="D")*12+($N61:$T61="N")*12+($N61:$T61="NT")*6+($N61:$T61="C")*10+($N61:$T61="A")*8+($N61:$T61="J")*5+($N61:$T61="E")*4+($N61:$T61="P")*6+($N61:$T61="R")*6)</f>
        <v/>
      </c>
      <c r="BG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H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I61" s="110">
        <f>SUMPRODUCT(($AI61:$AL61="M")*6+($AI61:$AL61="T")*6+($AI61:$AL61="D")*12+($AI61:$AL61="N")*12+($AI61:$AL61="NT")*6+($AI61:$AL61="C")*10+($AI61:$AL61="A")*8+($AI61:$AL61="J")*5+($AI61:$AL61="E")*4+($AI61:$AL61="P")*6+($AI61:$AL61="R")*6)+SUMPRODUCT(($AN61:$AP61="M")*6+($AN61:$AP61="T")*6+($AN61:$AP61="D")*12+($AN61:$AP61="N")*12+($AN61:$AP61="NT")*6+($AN61:$AP61="C")*10+($AN61:$AP61="A")*8+($AN61:$AP61="J")*5+($AN61:$AP61="E")*4+($AN61:$AP61="P")*6+($AN61:$AP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3">
        <f>IFERROR(INDEX(MAR!AL$8:AL$73,MATCH($A62,MAR!$A$8:$A$73,0))&amp;"","")</f>
        <v/>
      </c>
      <c r="H62" s="123">
        <f>IFERROR(INDEX(MAR!AM$8:AM$73,MATCH($A62,MAR!$A$8:$A$73,0))&amp;"","")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17" t="inlineStr">
        <is>
          <t>T</t>
        </is>
      </c>
      <c r="Y62" s="107" t="n"/>
      <c r="Z62" s="115" t="inlineStr">
        <is>
          <t>D</t>
        </is>
      </c>
      <c r="AA62" s="107" t="n"/>
      <c r="AB62" s="115" t="inlineStr">
        <is>
          <t>D</t>
        </is>
      </c>
      <c r="AC62" s="116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15" t="inlineStr">
        <is>
          <t>D</t>
        </is>
      </c>
      <c r="AM62" s="96" t="n"/>
      <c r="AN62" s="123">
        <f>IFERROR(INDEX(MAI!I$8:I$73,MATCH($A62,MAI!$A$8:$A$73,0))&amp;"","")</f>
        <v/>
      </c>
      <c r="AO62" s="109">
        <f>IFERROR(INDEX(MAI!J$8:J$73,MATCH($A62,MAI!$A$8:$A$73,0))&amp;"","")</f>
        <v/>
      </c>
      <c r="AP62" s="109">
        <f>IFERROR(INDEX(MAI!K$8:K$73,MATCH($A62,MAI!$A$8:$A$73,0))&amp;"","")</f>
        <v/>
      </c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SUMPRODUCT(($G62:$M62="M")*6+($G62:$M62="T")*6+($G62:$M62="D")*12+($G62:$M62="N")*12+($G62:$M62="NT")*6+($G62:$M62="C")*10+($G62:$M62="A")*8+($G62:$M62="J")*5+($G62:$M62="E")*4+($G62:$M62="P")*6+($G62:$M62="R")*6)</f>
        <v/>
      </c>
      <c r="BF62" s="110">
        <f>SUMPRODUCT(($N62:$T62="M")*6+($N62:$T62="T")*6+($N62:$T62="D")*12+($N62:$T62="N")*12+($N62:$T62="NT")*6+($N62:$T62="C")*10+($N62:$T62="A")*8+($N62:$T62="J")*5+($N62:$T62="E")*4+($N62:$T62="P")*6+($N62:$T62="R")*6)</f>
        <v/>
      </c>
      <c r="BG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H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I62" s="110">
        <f>SUMPRODUCT(($AI62:$AL62="M")*6+($AI62:$AL62="T")*6+($AI62:$AL62="D")*12+($AI62:$AL62="N")*12+($AI62:$AL62="NT")*6+($AI62:$AL62="C")*10+($AI62:$AL62="A")*8+($AI62:$AL62="J")*5+($AI62:$AL62="E")*4+($AI62:$AL62="P")*6+($AI62:$AL62="R")*6)+SUMPRODUCT(($AN62:$AP62="M")*6+($AN62:$AP62="T")*6+($AN62:$AP62="D")*12+($AN62:$AP62="N")*12+($AN62:$AP62="NT")*6+($AN62:$AP62="C")*10+($AN62:$AP62="A")*8+($AN62:$AP62="J")*5+($AN62:$AP62="E")*4+($AN62:$AP62="P")*6+($AN62:$AP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3">
        <f>IFERROR(INDEX(MAR!AL$8:AL$73,MATCH($A63,MAR!$A$8:$A$73,0))&amp;"","")</f>
        <v/>
      </c>
      <c r="H63" s="123">
        <f>IFERROR(INDEX(MAR!AM$8:AM$73,MATCH($A63,MAR!$A$8:$A$73,0))&amp;"","")</f>
        <v/>
      </c>
      <c r="I63" s="107" t="n"/>
      <c r="J63" s="115" t="inlineStr">
        <is>
          <t>D</t>
        </is>
      </c>
      <c r="K63" s="115" t="inlineStr">
        <is>
          <t>D</t>
        </is>
      </c>
      <c r="L63" s="115" t="inlineStr">
        <is>
          <t>D</t>
        </is>
      </c>
      <c r="M63" s="107" t="n"/>
      <c r="N63" s="107" t="n"/>
      <c r="O63" s="107" t="n"/>
      <c r="P63" s="115" t="inlineStr">
        <is>
          <t>D</t>
        </is>
      </c>
      <c r="Q63" s="115" t="inlineStr">
        <is>
          <t>D</t>
        </is>
      </c>
      <c r="R63" s="107" t="n"/>
      <c r="S63" s="107" t="n"/>
      <c r="T63" s="107" t="n"/>
      <c r="U63" s="107" t="n"/>
      <c r="V63" s="107" t="n"/>
      <c r="W63" s="107" t="n"/>
      <c r="X63" s="115" t="inlineStr">
        <is>
          <t>D</t>
        </is>
      </c>
      <c r="Y63" s="107" t="n"/>
      <c r="Z63" s="115" t="inlineStr">
        <is>
          <t>D</t>
        </is>
      </c>
      <c r="AA63" s="107" t="n"/>
      <c r="AB63" s="107" t="n"/>
      <c r="AC63" s="107" t="n"/>
      <c r="AD63" s="115" t="inlineStr">
        <is>
          <t>D</t>
        </is>
      </c>
      <c r="AE63" s="115" t="inlineStr">
        <is>
          <t>D</t>
        </is>
      </c>
      <c r="AF63" s="107" t="n"/>
      <c r="AG63" s="107" t="n"/>
      <c r="AH63" s="107" t="n"/>
      <c r="AI63" s="107" t="n"/>
      <c r="AJ63" s="107" t="n"/>
      <c r="AK63" s="115" t="inlineStr">
        <is>
          <t>D</t>
        </is>
      </c>
      <c r="AL63" s="107" t="n"/>
      <c r="AM63" s="96" t="n"/>
      <c r="AN63" s="123">
        <f>IFERROR(INDEX(MAI!I$8:I$73,MATCH($A63,MAI!$A$8:$A$73,0))&amp;"","")</f>
        <v/>
      </c>
      <c r="AO63" s="109">
        <f>IFERROR(INDEX(MAI!J$8:J$73,MATCH($A63,MAI!$A$8:$A$73,0))&amp;"","")</f>
        <v/>
      </c>
      <c r="AP63" s="109">
        <f>IFERROR(INDEX(MAI!K$8:K$73,MATCH($A63,MAI!$A$8:$A$73,0))&amp;"","")</f>
        <v/>
      </c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SUMPRODUCT(($G63:$M63="M")*6+($G63:$M63="T")*6+($G63:$M63="D")*12+($G63:$M63="N")*12+($G63:$M63="NT")*6+($G63:$M63="C")*10+($G63:$M63="A")*8+($G63:$M63="J")*5+($G63:$M63="E")*4+($G63:$M63="P")*6+($G63:$M63="R")*6)</f>
        <v/>
      </c>
      <c r="BF63" s="110">
        <f>SUMPRODUCT(($N63:$T63="M")*6+($N63:$T63="T")*6+($N63:$T63="D")*12+($N63:$T63="N")*12+($N63:$T63="NT")*6+($N63:$T63="C")*10+($N63:$T63="A")*8+($N63:$T63="J")*5+($N63:$T63="E")*4+($N63:$T63="P")*6+($N63:$T63="R")*6)</f>
        <v/>
      </c>
      <c r="BG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H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I63" s="110">
        <f>SUMPRODUCT(($AI63:$AL63="M")*6+($AI63:$AL63="T")*6+($AI63:$AL63="D")*12+($AI63:$AL63="N")*12+($AI63:$AL63="NT")*6+($AI63:$AL63="C")*10+($AI63:$AL63="A")*8+($AI63:$AL63="J")*5+($AI63:$AL63="E")*4+($AI63:$AL63="P")*6+($AI63:$AL63="R")*6)+SUMPRODUCT(($AN63:$AP63="M")*6+($AN63:$AP63="T")*6+($AN63:$AP63="D")*12+($AN63:$AP63="N")*12+($AN63:$AP63="NT")*6+($AN63:$AP63="C")*10+($AN63:$AP63="A")*8+($AN63:$AP63="J")*5+($AN63:$AP63="E")*4+($AN63:$AP63="P")*6+($AN63:$AP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3">
        <f>IFERROR(INDEX(MAR!AL$8:AL$73,MATCH($A64,MAR!$A$8:$A$73,0))&amp;"","")</f>
        <v/>
      </c>
      <c r="H64" s="123">
        <f>IFERROR(INDEX(MAR!AM$8:AM$73,MATCH($A64,MAR!$A$8:$A$73,0))&amp;"","")</f>
        <v/>
      </c>
      <c r="I64" s="116" t="inlineStr">
        <is>
          <t>N</t>
        </is>
      </c>
      <c r="J64" s="107" t="n"/>
      <c r="K64" s="107" t="n"/>
      <c r="L64" s="116" t="inlineStr">
        <is>
          <t>N</t>
        </is>
      </c>
      <c r="M64" s="116" t="inlineStr">
        <is>
          <t>N</t>
        </is>
      </c>
      <c r="N64" s="107" t="n"/>
      <c r="O64" s="107" t="n"/>
      <c r="P64" s="116" t="inlineStr">
        <is>
          <t>N</t>
        </is>
      </c>
      <c r="Q64" s="107" t="n"/>
      <c r="R64" s="116" t="inlineStr">
        <is>
          <t>N</t>
        </is>
      </c>
      <c r="S64" s="107" t="n"/>
      <c r="T64" s="107" t="n"/>
      <c r="U64" s="116" t="inlineStr">
        <is>
          <t>N</t>
        </is>
      </c>
      <c r="V64" s="107" t="n"/>
      <c r="W64" s="116" t="inlineStr">
        <is>
          <t>N</t>
        </is>
      </c>
      <c r="X64" s="107" t="n"/>
      <c r="Y64" s="107" t="n"/>
      <c r="Z64" s="107" t="n"/>
      <c r="AA64" s="107" t="n"/>
      <c r="AB64" s="116" t="inlineStr">
        <is>
          <t>N</t>
        </is>
      </c>
      <c r="AC64" s="107" t="n"/>
      <c r="AD64" s="116" t="inlineStr">
        <is>
          <t>N</t>
        </is>
      </c>
      <c r="AE64" s="107" t="n"/>
      <c r="AF64" s="107" t="n"/>
      <c r="AG64" s="107" t="n"/>
      <c r="AH64" s="107" t="n"/>
      <c r="AI64" s="116" t="inlineStr">
        <is>
          <t>N</t>
        </is>
      </c>
      <c r="AJ64" s="107" t="n"/>
      <c r="AK64" s="116" t="inlineStr">
        <is>
          <t>N</t>
        </is>
      </c>
      <c r="AL64" s="107" t="n"/>
      <c r="AM64" s="96" t="n"/>
      <c r="AN64" s="123">
        <f>IFERROR(INDEX(MAI!I$8:I$73,MATCH($A64,MAI!$A$8:$A$73,0))&amp;"","")</f>
        <v/>
      </c>
      <c r="AO64" s="109">
        <f>IFERROR(INDEX(MAI!J$8:J$73,MATCH($A64,MAI!$A$8:$A$73,0))&amp;"","")</f>
        <v/>
      </c>
      <c r="AP64" s="109">
        <f>IFERROR(INDEX(MAI!K$8:K$73,MATCH($A64,MAI!$A$8:$A$73,0))&amp;"","")</f>
        <v/>
      </c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SUMPRODUCT(($G64:$M64="M")*6+($G64:$M64="T")*6+($G64:$M64="D")*12+($G64:$M64="N")*12+($G64:$M64="NT")*6+($G64:$M64="C")*10+($G64:$M64="A")*8+($G64:$M64="J")*5+($G64:$M64="E")*4+($G64:$M64="P")*6+($G64:$M64="R")*6)</f>
        <v/>
      </c>
      <c r="BF64" s="110">
        <f>SUMPRODUCT(($N64:$T64="M")*6+($N64:$T64="T")*6+($N64:$T64="D")*12+($N64:$T64="N")*12+($N64:$T64="NT")*6+($N64:$T64="C")*10+($N64:$T64="A")*8+($N64:$T64="J")*5+($N64:$T64="E")*4+($N64:$T64="P")*6+($N64:$T64="R")*6)</f>
        <v/>
      </c>
      <c r="BG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H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I64" s="110">
        <f>SUMPRODUCT(($AI64:$AL64="M")*6+($AI64:$AL64="T")*6+($AI64:$AL64="D")*12+($AI64:$AL64="N")*12+($AI64:$AL64="NT")*6+($AI64:$AL64="C")*10+($AI64:$AL64="A")*8+($AI64:$AL64="J")*5+($AI64:$AL64="E")*4+($AI64:$AL64="P")*6+($AI64:$AL64="R")*6)+SUMPRODUCT(($AN64:$AP64="M")*6+($AN64:$AP64="T")*6+($AN64:$AP64="D")*12+($AN64:$AP64="N")*12+($AN64:$AP64="NT")*6+($AN64:$AP64="C")*10+($AN64:$AP64="A")*8+($AN64:$AP64="J")*5+($AN64:$AP64="E")*4+($AN64:$AP64="P")*6+($AN64:$AP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3">
        <f>IFERROR(INDEX(MAR!AL$8:AL$73,MATCH($A65,MAR!$A$8:$A$73,0))&amp;"","")</f>
        <v/>
      </c>
      <c r="H65" s="123">
        <f>IFERROR(INDEX(MAR!AM$8:AM$73,MATCH($A65,MAR!$A$8:$A$73,0))&amp;"","")</f>
        <v/>
      </c>
      <c r="I65" s="115" t="inlineStr">
        <is>
          <t>D</t>
        </is>
      </c>
      <c r="J65" s="117" t="inlineStr">
        <is>
          <t>T</t>
        </is>
      </c>
      <c r="K65" s="107" t="n"/>
      <c r="L65" s="107" t="n"/>
      <c r="M65" s="107" t="n"/>
      <c r="N65" s="107" t="n"/>
      <c r="O65" s="107" t="n"/>
      <c r="P65" s="117" t="inlineStr">
        <is>
          <t>T</t>
        </is>
      </c>
      <c r="Q65" s="117" t="inlineStr">
        <is>
          <t>T</t>
        </is>
      </c>
      <c r="R65" s="115" t="inlineStr">
        <is>
          <t>D</t>
        </is>
      </c>
      <c r="S65" s="107" t="n"/>
      <c r="T65" s="107" t="n"/>
      <c r="U65" s="107" t="n"/>
      <c r="V65" s="107" t="n"/>
      <c r="W65" s="107" t="n"/>
      <c r="X65" s="107" t="n"/>
      <c r="Y65" s="115" t="inlineStr">
        <is>
          <t>D</t>
        </is>
      </c>
      <c r="Z65" s="115" t="inlineStr">
        <is>
          <t>D</t>
        </is>
      </c>
      <c r="AA65" s="107" t="n"/>
      <c r="AB65" s="107" t="n"/>
      <c r="AC65" s="107" t="n"/>
      <c r="AD65" s="107" t="n"/>
      <c r="AE65" s="107" t="n"/>
      <c r="AF65" s="115" t="inlineStr">
        <is>
          <t>D</t>
        </is>
      </c>
      <c r="AG65" s="115" t="inlineStr">
        <is>
          <t>D</t>
        </is>
      </c>
      <c r="AH65" s="107" t="n"/>
      <c r="AI65" s="107" t="n"/>
      <c r="AJ65" s="107" t="n"/>
      <c r="AK65" s="115" t="inlineStr">
        <is>
          <t>D</t>
        </is>
      </c>
      <c r="AL65" s="107" t="n"/>
      <c r="AM65" s="96" t="n"/>
      <c r="AN65" s="123">
        <f>IFERROR(INDEX(MAI!I$8:I$73,MATCH($A65,MAI!$A$8:$A$73,0))&amp;"","")</f>
        <v/>
      </c>
      <c r="AO65" s="109">
        <f>IFERROR(INDEX(MAI!J$8:J$73,MATCH($A65,MAI!$A$8:$A$73,0))&amp;"","")</f>
        <v/>
      </c>
      <c r="AP65" s="109">
        <f>IFERROR(INDEX(MAI!K$8:K$73,MATCH($A65,MAI!$A$8:$A$73,0))&amp;"","")</f>
        <v/>
      </c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SUMPRODUCT(($G65:$M65="M")*6+($G65:$M65="T")*6+($G65:$M65="D")*12+($G65:$M65="N")*12+($G65:$M65="NT")*6+($G65:$M65="C")*10+($G65:$M65="A")*8+($G65:$M65="J")*5+($G65:$M65="E")*4+($G65:$M65="P")*6+($G65:$M65="R")*6)</f>
        <v/>
      </c>
      <c r="BF65" s="110">
        <f>SUMPRODUCT(($N65:$T65="M")*6+($N65:$T65="T")*6+($N65:$T65="D")*12+($N65:$T65="N")*12+($N65:$T65="NT")*6+($N65:$T65="C")*10+($N65:$T65="A")*8+($N65:$T65="J")*5+($N65:$T65="E")*4+($N65:$T65="P")*6+($N65:$T65="R")*6)</f>
        <v/>
      </c>
      <c r="BG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H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I65" s="110">
        <f>SUMPRODUCT(($AI65:$AL65="M")*6+($AI65:$AL65="T")*6+($AI65:$AL65="D")*12+($AI65:$AL65="N")*12+($AI65:$AL65="NT")*6+($AI65:$AL65="C")*10+($AI65:$AL65="A")*8+($AI65:$AL65="J")*5+($AI65:$AL65="E")*4+($AI65:$AL65="P")*6+($AI65:$AL65="R")*6)+SUMPRODUCT(($AN65:$AP65="M")*6+($AN65:$AP65="T")*6+($AN65:$AP65="D")*12+($AN65:$AP65="N")*12+($AN65:$AP65="NT")*6+($AN65:$AP65="C")*10+($AN65:$AP65="A")*8+($AN65:$AP65="J")*5+($AN65:$AP65="E")*4+($AN65:$AP65="P")*6+($AN65:$AP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3">
        <f>IFERROR(INDEX(MAR!AL$8:AL$73,MATCH($A66,MAR!$A$8:$A$73,0))&amp;"","")</f>
        <v/>
      </c>
      <c r="H66" s="123">
        <f>IFERROR(INDEX(MAR!AM$8:AM$73,MATCH($A66,MAR!$A$8:$A$73,0))&amp;"","")</f>
        <v/>
      </c>
      <c r="I66" s="107" t="n"/>
      <c r="J66" s="107" t="n"/>
      <c r="K66" s="107" t="n"/>
      <c r="L66" s="117" t="inlineStr">
        <is>
          <t>T</t>
        </is>
      </c>
      <c r="M66" s="116" t="inlineStr">
        <is>
          <t>N</t>
        </is>
      </c>
      <c r="N66" s="116" t="inlineStr">
        <is>
          <t>N</t>
        </is>
      </c>
      <c r="O66" s="107" t="n"/>
      <c r="P66" s="117" t="inlineStr">
        <is>
          <t>T</t>
        </is>
      </c>
      <c r="Q66" s="116" t="inlineStr">
        <is>
          <t>N</t>
        </is>
      </c>
      <c r="R66" s="117" t="inlineStr">
        <is>
          <t>T</t>
        </is>
      </c>
      <c r="S66" s="107" t="n"/>
      <c r="T66" s="107" t="n"/>
      <c r="U66" s="116" t="inlineStr">
        <is>
          <t>N</t>
        </is>
      </c>
      <c r="V66" s="117" t="inlineStr">
        <is>
          <t>T</t>
        </is>
      </c>
      <c r="W66" s="107" t="n"/>
      <c r="X66" s="116" t="inlineStr">
        <is>
          <t>N</t>
        </is>
      </c>
      <c r="Y66" s="117" t="inlineStr">
        <is>
          <t>T</t>
        </is>
      </c>
      <c r="Z66" s="107" t="n"/>
      <c r="AA66" s="107" t="n"/>
      <c r="AB66" s="117" t="inlineStr">
        <is>
          <t>T</t>
        </is>
      </c>
      <c r="AC66" s="115" t="inlineStr">
        <is>
          <t>D</t>
        </is>
      </c>
      <c r="AD66" s="107" t="n"/>
      <c r="AE66" s="116" t="inlineStr">
        <is>
          <t>N</t>
        </is>
      </c>
      <c r="AF66" s="117" t="inlineStr">
        <is>
          <t>T</t>
        </is>
      </c>
      <c r="AG66" s="107" t="n"/>
      <c r="AH66" s="107" t="n"/>
      <c r="AI66" s="107" t="n"/>
      <c r="AJ66" s="107" t="n"/>
      <c r="AK66" s="107" t="n"/>
      <c r="AL66" s="107" t="n"/>
      <c r="AM66" s="96" t="n"/>
      <c r="AN66" s="123">
        <f>IFERROR(INDEX(MAI!I$8:I$73,MATCH($A66,MAI!$A$8:$A$73,0))&amp;"","")</f>
        <v/>
      </c>
      <c r="AO66" s="109">
        <f>IFERROR(INDEX(MAI!J$8:J$73,MATCH($A66,MAI!$A$8:$A$73,0))&amp;"","")</f>
        <v/>
      </c>
      <c r="AP66" s="109">
        <f>IFERROR(INDEX(MAI!K$8:K$73,MATCH($A66,MAI!$A$8:$A$73,0))&amp;"","")</f>
        <v/>
      </c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SUMPRODUCT(($G66:$M66="M")*6+($G66:$M66="T")*6+($G66:$M66="D")*12+($G66:$M66="N")*12+($G66:$M66="NT")*6+($G66:$M66="C")*10+($G66:$M66="A")*8+($G66:$M66="J")*5+($G66:$M66="E")*4+($G66:$M66="P")*6+($G66:$M66="R")*6)</f>
        <v/>
      </c>
      <c r="BF66" s="110">
        <f>SUMPRODUCT(($N66:$T66="M")*6+($N66:$T66="T")*6+($N66:$T66="D")*12+($N66:$T66="N")*12+($N66:$T66="NT")*6+($N66:$T66="C")*10+($N66:$T66="A")*8+($N66:$T66="J")*5+($N66:$T66="E")*4+($N66:$T66="P")*6+($N66:$T66="R")*6)</f>
        <v/>
      </c>
      <c r="BG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H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I66" s="110">
        <f>SUMPRODUCT(($AI66:$AL66="M")*6+($AI66:$AL66="T")*6+($AI66:$AL66="D")*12+($AI66:$AL66="N")*12+($AI66:$AL66="NT")*6+($AI66:$AL66="C")*10+($AI66:$AL66="A")*8+($AI66:$AL66="J")*5+($AI66:$AL66="E")*4+($AI66:$AL66="P")*6+($AI66:$AL66="R")*6)+SUMPRODUCT(($AN66:$AP66="M")*6+($AN66:$AP66="T")*6+($AN66:$AP66="D")*12+($AN66:$AP66="N")*12+($AN66:$AP66="NT")*6+($AN66:$AP66="C")*10+($AN66:$AP66="A")*8+($AN66:$AP66="J")*5+($AN66:$AP66="E")*4+($AN66:$AP66="P")*6+($AN66:$AP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3">
        <f>IFERROR(INDEX(MAR!AL$8:AL$73,MATCH($A67,MAR!$A$8:$A$73,0))&amp;"","")</f>
        <v/>
      </c>
      <c r="H67" s="123">
        <f>IFERROR(INDEX(MAR!AM$8:AM$73,MATCH($A67,MAR!$A$8:$A$73,0))&amp;"","")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8" t="inlineStr">
        <is>
          <t>M</t>
        </is>
      </c>
      <c r="Q67" s="107" t="n"/>
      <c r="R67" s="107" t="n"/>
      <c r="S67" s="116" t="inlineStr">
        <is>
          <t>N</t>
        </is>
      </c>
      <c r="T67" s="108" t="inlineStr">
        <is>
          <t>M</t>
        </is>
      </c>
      <c r="U67" s="108" t="inlineStr">
        <is>
          <t>M</t>
        </is>
      </c>
      <c r="V67" s="107" t="n"/>
      <c r="W67" s="108" t="inlineStr">
        <is>
          <t>M</t>
        </is>
      </c>
      <c r="X67" s="107" t="n"/>
      <c r="Y67" s="116" t="inlineStr">
        <is>
          <t>N</t>
        </is>
      </c>
      <c r="Z67" s="107" t="n"/>
      <c r="AA67" s="116" t="inlineStr">
        <is>
          <t>N</t>
        </is>
      </c>
      <c r="AB67" s="108" t="inlineStr">
        <is>
          <t>M</t>
        </is>
      </c>
      <c r="AC67" s="116" t="inlineStr">
        <is>
          <t>N</t>
        </is>
      </c>
      <c r="AD67" s="108" t="inlineStr">
        <is>
          <t>M</t>
        </is>
      </c>
      <c r="AE67" s="107" t="n"/>
      <c r="AF67" s="107" t="n"/>
      <c r="AG67" s="107" t="n"/>
      <c r="AH67" s="107" t="n"/>
      <c r="AI67" s="108" t="inlineStr">
        <is>
          <t>M</t>
        </is>
      </c>
      <c r="AJ67" s="116" t="inlineStr">
        <is>
          <t>N</t>
        </is>
      </c>
      <c r="AK67" s="108" t="inlineStr">
        <is>
          <t>M</t>
        </is>
      </c>
      <c r="AL67" s="107" t="n"/>
      <c r="AM67" s="96" t="n"/>
      <c r="AN67" s="123">
        <f>IFERROR(INDEX(MAI!I$8:I$73,MATCH($A67,MAI!$A$8:$A$73,0))&amp;"","")</f>
        <v/>
      </c>
      <c r="AO67" s="109">
        <f>IFERROR(INDEX(MAI!J$8:J$73,MATCH($A67,MAI!$A$8:$A$73,0))&amp;"","")</f>
        <v/>
      </c>
      <c r="AP67" s="109">
        <f>IFERROR(INDEX(MAI!K$8:K$73,MATCH($A67,MAI!$A$8:$A$73,0))&amp;"","")</f>
        <v/>
      </c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SUMPRODUCT(($G67:$M67="M")*6+($G67:$M67="T")*6+($G67:$M67="D")*12+($G67:$M67="N")*12+($G67:$M67="NT")*6+($G67:$M67="C")*10+($G67:$M67="A")*8+($G67:$M67="J")*5+($G67:$M67="E")*4+($G67:$M67="P")*6+($G67:$M67="R")*6)</f>
        <v/>
      </c>
      <c r="BF67" s="110">
        <f>SUMPRODUCT(($N67:$T67="M")*6+($N67:$T67="T")*6+($N67:$T67="D")*12+($N67:$T67="N")*12+($N67:$T67="NT")*6+($N67:$T67="C")*10+($N67:$T67="A")*8+($N67:$T67="J")*5+($N67:$T67="E")*4+($N67:$T67="P")*6+($N67:$T67="R")*6)</f>
        <v/>
      </c>
      <c r="BG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H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I67" s="110">
        <f>SUMPRODUCT(($AI67:$AL67="M")*6+($AI67:$AL67="T")*6+($AI67:$AL67="D")*12+($AI67:$AL67="N")*12+($AI67:$AL67="NT")*6+($AI67:$AL67="C")*10+($AI67:$AL67="A")*8+($AI67:$AL67="J")*5+($AI67:$AL67="E")*4+($AI67:$AL67="P")*6+($AI67:$AL67="R")*6)+SUMPRODUCT(($AN67:$AP67="M")*6+($AN67:$AP67="T")*6+($AN67:$AP67="D")*12+($AN67:$AP67="N")*12+($AN67:$AP67="NT")*6+($AN67:$AP67="C")*10+($AN67:$AP67="A")*8+($AN67:$AP67="J")*5+($AN67:$AP67="E")*4+($AN67:$AP67="P")*6+($AN67:$AP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3">
        <f>IFERROR(INDEX(MAR!AL$8:AL$73,MATCH($A68,MAR!$A$8:$A$73,0))&amp;"","")</f>
        <v/>
      </c>
      <c r="H68" s="123">
        <f>IFERROR(INDEX(MAR!AM$8:AM$73,MATCH($A68,MAR!$A$8:$A$73,0))&amp;"","")</f>
        <v/>
      </c>
      <c r="I68" s="107" t="n"/>
      <c r="J68" s="107" t="n"/>
      <c r="K68" s="115" t="inlineStr">
        <is>
          <t>D</t>
        </is>
      </c>
      <c r="L68" s="108" t="inlineStr">
        <is>
          <t>M</t>
        </is>
      </c>
      <c r="M68" s="108" t="inlineStr">
        <is>
          <t>M</t>
        </is>
      </c>
      <c r="N68" s="107" t="n"/>
      <c r="O68" s="107" t="n"/>
      <c r="P68" s="116" t="inlineStr">
        <is>
          <t>N</t>
        </is>
      </c>
      <c r="Q68" s="107" t="n"/>
      <c r="R68" s="115" t="inlineStr">
        <is>
          <t>D</t>
        </is>
      </c>
      <c r="S68" s="107" t="n"/>
      <c r="T68" s="107" t="n"/>
      <c r="U68" s="107" t="n"/>
      <c r="V68" s="107" t="n"/>
      <c r="W68" s="116" t="inlineStr">
        <is>
          <t>N</t>
        </is>
      </c>
      <c r="X68" s="107" t="n"/>
      <c r="Y68" s="116" t="inlineStr">
        <is>
          <t>N</t>
        </is>
      </c>
      <c r="Z68" s="107" t="n"/>
      <c r="AA68" s="107" t="n"/>
      <c r="AB68" s="107" t="n"/>
      <c r="AC68" s="107" t="n"/>
      <c r="AD68" s="116" t="inlineStr">
        <is>
          <t>N</t>
        </is>
      </c>
      <c r="AE68" s="107" t="n"/>
      <c r="AF68" s="107" t="n"/>
      <c r="AG68" s="115" t="inlineStr">
        <is>
          <t>D</t>
        </is>
      </c>
      <c r="AH68" s="107" t="n"/>
      <c r="AI68" s="107" t="n"/>
      <c r="AJ68" s="107" t="n"/>
      <c r="AK68" s="116" t="inlineStr">
        <is>
          <t>N</t>
        </is>
      </c>
      <c r="AL68" s="107" t="n"/>
      <c r="AM68" s="96" t="n"/>
      <c r="AN68" s="123">
        <f>IFERROR(INDEX(MAI!I$8:I$73,MATCH($A68,MAI!$A$8:$A$73,0))&amp;"","")</f>
        <v/>
      </c>
      <c r="AO68" s="109">
        <f>IFERROR(INDEX(MAI!J$8:J$73,MATCH($A68,MAI!$A$8:$A$73,0))&amp;"","")</f>
        <v/>
      </c>
      <c r="AP68" s="109">
        <f>IFERROR(INDEX(MAI!K$8:K$73,MATCH($A68,MAI!$A$8:$A$73,0))&amp;"","")</f>
        <v/>
      </c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SUMPRODUCT(($G68:$M68="M")*6+($G68:$M68="T")*6+($G68:$M68="D")*12+($G68:$M68="N")*12+($G68:$M68="NT")*6+($G68:$M68="C")*10+($G68:$M68="A")*8+($G68:$M68="J")*5+($G68:$M68="E")*4+($G68:$M68="P")*6+($G68:$M68="R")*6)</f>
        <v/>
      </c>
      <c r="BF68" s="110">
        <f>SUMPRODUCT(($N68:$T68="M")*6+($N68:$T68="T")*6+($N68:$T68="D")*12+($N68:$T68="N")*12+($N68:$T68="NT")*6+($N68:$T68="C")*10+($N68:$T68="A")*8+($N68:$T68="J")*5+($N68:$T68="E")*4+($N68:$T68="P")*6+($N68:$T68="R")*6)</f>
        <v/>
      </c>
      <c r="BG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H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I68" s="110">
        <f>SUMPRODUCT(($AI68:$AL68="M")*6+($AI68:$AL68="T")*6+($AI68:$AL68="D")*12+($AI68:$AL68="N")*12+($AI68:$AL68="NT")*6+($AI68:$AL68="C")*10+($AI68:$AL68="A")*8+($AI68:$AL68="J")*5+($AI68:$AL68="E")*4+($AI68:$AL68="P")*6+($AI68:$AL68="R")*6)+SUMPRODUCT(($AN68:$AP68="M")*6+($AN68:$AP68="T")*6+($AN68:$AP68="D")*12+($AN68:$AP68="N")*12+($AN68:$AP68="NT")*6+($AN68:$AP68="C")*10+($AN68:$AP68="A")*8+($AN68:$AP68="J")*5+($AN68:$AP68="E")*4+($AN68:$AP68="P")*6+($AN68:$AP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3">
        <f>IFERROR(INDEX(MAR!AL$8:AL$73,MATCH($A69,MAR!$A$8:$A$73,0))&amp;"","")</f>
        <v/>
      </c>
      <c r="H69" s="123">
        <f>IFERROR(INDEX(MAR!AM$8:AM$73,MATCH($A69,MAR!$A$8:$A$73,0))&amp;"","")</f>
        <v/>
      </c>
      <c r="I69" s="115" t="inlineStr">
        <is>
          <t>D</t>
        </is>
      </c>
      <c r="J69" s="117" t="inlineStr">
        <is>
          <t>T</t>
        </is>
      </c>
      <c r="K69" s="108" t="inlineStr">
        <is>
          <t>M</t>
        </is>
      </c>
      <c r="L69" s="107" t="n"/>
      <c r="M69" s="107" t="n"/>
      <c r="N69" s="117" t="inlineStr">
        <is>
          <t>T</t>
        </is>
      </c>
      <c r="O69" s="107" t="n"/>
      <c r="P69" s="115" t="inlineStr">
        <is>
          <t>D</t>
        </is>
      </c>
      <c r="Q69" s="107" t="n"/>
      <c r="R69" s="107" t="n"/>
      <c r="S69" s="108" t="inlineStr">
        <is>
          <t>M</t>
        </is>
      </c>
      <c r="T69" s="107" t="n"/>
      <c r="U69" s="107" t="n"/>
      <c r="V69" s="107" t="n"/>
      <c r="W69" s="117" t="inlineStr">
        <is>
          <t>T</t>
        </is>
      </c>
      <c r="X69" s="107" t="n"/>
      <c r="Y69" s="115" t="inlineStr">
        <is>
          <t>D</t>
        </is>
      </c>
      <c r="Z69" s="108" t="inlineStr">
        <is>
          <t>M</t>
        </is>
      </c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23">
        <f>IFERROR(INDEX(MAI!I$8:I$73,MATCH($A69,MAI!$A$8:$A$73,0))&amp;"","")</f>
        <v/>
      </c>
      <c r="AO69" s="109">
        <f>IFERROR(INDEX(MAI!J$8:J$73,MATCH($A69,MAI!$A$8:$A$73,0))&amp;"","")</f>
        <v/>
      </c>
      <c r="AP69" s="109">
        <f>IFERROR(INDEX(MAI!K$8:K$73,MATCH($A69,MAI!$A$8:$A$73,0))&amp;"","")</f>
        <v/>
      </c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SUMPRODUCT(($G69:$M69="M")*6+($G69:$M69="T")*6+($G69:$M69="D")*12+($G69:$M69="N")*12+($G69:$M69="NT")*6+($G69:$M69="C")*10+($G69:$M69="A")*8+($G69:$M69="J")*5+($G69:$M69="E")*4+($G69:$M69="P")*6+($G69:$M69="R")*6)</f>
        <v/>
      </c>
      <c r="BF69" s="110">
        <f>SUMPRODUCT(($N69:$T69="M")*6+($N69:$T69="T")*6+($N69:$T69="D")*12+($N69:$T69="N")*12+($N69:$T69="NT")*6+($N69:$T69="C")*10+($N69:$T69="A")*8+($N69:$T69="J")*5+($N69:$T69="E")*4+($N69:$T69="P")*6+($N69:$T69="R")*6)</f>
        <v/>
      </c>
      <c r="BG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H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I69" s="110">
        <f>SUMPRODUCT(($AI69:$AL69="M")*6+($AI69:$AL69="T")*6+($AI69:$AL69="D")*12+($AI69:$AL69="N")*12+($AI69:$AL69="NT")*6+($AI69:$AL69="C")*10+($AI69:$AL69="A")*8+($AI69:$AL69="J")*5+($AI69:$AL69="E")*4+($AI69:$AL69="P")*6+($AI69:$AL69="R")*6)+SUMPRODUCT(($AN69:$AP69="M")*6+($AN69:$AP69="T")*6+($AN69:$AP69="D")*12+($AN69:$AP69="N")*12+($AN69:$AP69="NT")*6+($AN69:$AP69="C")*10+($AN69:$AP69="A")*8+($AN69:$AP69="J")*5+($AN69:$AP69="E")*4+($AN69:$AP69="P")*6+($AN69:$AP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3">
        <f>IFERROR(INDEX(MAR!AL$8:AL$73,MATCH($A70,MAR!$A$8:$A$73,0))&amp;"","")</f>
        <v/>
      </c>
      <c r="H70" s="123">
        <f>IFERROR(INDEX(MAR!AM$8:AM$73,MATCH($A70,MAR!$A$8:$A$73,0))&amp;"","")</f>
        <v/>
      </c>
      <c r="I70" s="107" t="n"/>
      <c r="J70" s="116" t="inlineStr">
        <is>
          <t>N</t>
        </is>
      </c>
      <c r="K70" s="116" t="inlineStr">
        <is>
          <t>N</t>
        </is>
      </c>
      <c r="L70" s="107" t="n"/>
      <c r="M70" s="115" t="inlineStr">
        <is>
          <t>D</t>
        </is>
      </c>
      <c r="N70" s="107" t="n"/>
      <c r="O70" s="116" t="inlineStr">
        <is>
          <t>N</t>
        </is>
      </c>
      <c r="P70" s="107" t="n"/>
      <c r="Q70" s="108" t="inlineStr">
        <is>
          <t>M</t>
        </is>
      </c>
      <c r="R70" s="107" t="n"/>
      <c r="S70" s="107" t="n"/>
      <c r="T70" s="108" t="inlineStr">
        <is>
          <t>M</t>
        </is>
      </c>
      <c r="U70" s="107" t="n"/>
      <c r="V70" s="108" t="inlineStr">
        <is>
          <t>M</t>
        </is>
      </c>
      <c r="W70" s="116" t="inlineStr">
        <is>
          <t>N</t>
        </is>
      </c>
      <c r="X70" s="117" t="inlineStr">
        <is>
          <t>T</t>
        </is>
      </c>
      <c r="Y70" s="107" t="n"/>
      <c r="Z70" s="107" t="n"/>
      <c r="AA70" s="107" t="n"/>
      <c r="AB70" s="107" t="n"/>
      <c r="AC70" s="115" t="inlineStr">
        <is>
          <t>D</t>
        </is>
      </c>
      <c r="AD70" s="107" t="n"/>
      <c r="AE70" s="117" t="inlineStr">
        <is>
          <t>T</t>
        </is>
      </c>
      <c r="AF70" s="107" t="n"/>
      <c r="AG70" s="108" t="inlineStr">
        <is>
          <t>M</t>
        </is>
      </c>
      <c r="AH70" s="107" t="n"/>
      <c r="AI70" s="107" t="n"/>
      <c r="AJ70" s="107" t="n"/>
      <c r="AK70" s="107" t="n"/>
      <c r="AL70" s="116" t="inlineStr">
        <is>
          <t>N</t>
        </is>
      </c>
      <c r="AM70" s="96" t="n"/>
      <c r="AN70" s="123">
        <f>IFERROR(INDEX(MAI!I$8:I$73,MATCH($A70,MAI!$A$8:$A$73,0))&amp;"","")</f>
        <v/>
      </c>
      <c r="AO70" s="109">
        <f>IFERROR(INDEX(MAI!J$8:J$73,MATCH($A70,MAI!$A$8:$A$73,0))&amp;"","")</f>
        <v/>
      </c>
      <c r="AP70" s="109">
        <f>IFERROR(INDEX(MAI!K$8:K$73,MATCH($A70,MAI!$A$8:$A$73,0))&amp;"","")</f>
        <v/>
      </c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SUMPRODUCT(($G70:$M70="M")*6+($G70:$M70="T")*6+($G70:$M70="D")*12+($G70:$M70="N")*12+($G70:$M70="NT")*6+($G70:$M70="C")*10+($G70:$M70="A")*8+($G70:$M70="J")*5+($G70:$M70="E")*4+($G70:$M70="P")*6+($G70:$M70="R")*6)</f>
        <v/>
      </c>
      <c r="BF70" s="110">
        <f>SUMPRODUCT(($N70:$T70="M")*6+($N70:$T70="T")*6+($N70:$T70="D")*12+($N70:$T70="N")*12+($N70:$T70="NT")*6+($N70:$T70="C")*10+($N70:$T70="A")*8+($N70:$T70="J")*5+($N70:$T70="E")*4+($N70:$T70="P")*6+($N70:$T70="R")*6)</f>
        <v/>
      </c>
      <c r="BG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H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I70" s="110">
        <f>SUMPRODUCT(($AI70:$AL70="M")*6+($AI70:$AL70="T")*6+($AI70:$AL70="D")*12+($AI70:$AL70="N")*12+($AI70:$AL70="NT")*6+($AI70:$AL70="C")*10+($AI70:$AL70="A")*8+($AI70:$AL70="J")*5+($AI70:$AL70="E")*4+($AI70:$AL70="P")*6+($AI70:$AL70="R")*6)+SUMPRODUCT(($AN70:$AP70="M")*6+($AN70:$AP70="T")*6+($AN70:$AP70="D")*12+($AN70:$AP70="N")*12+($AN70:$AP70="NT")*6+($AN70:$AP70="C")*10+($AN70:$AP70="A")*8+($AN70:$AP70="J")*5+($AN70:$AP70="E")*4+($AN70:$AP70="P")*6+($AN70:$AP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3">
        <f>IFERROR(INDEX(MAR!AL$8:AL$73,MATCH($A71,MAR!$A$8:$A$73,0))&amp;"","")</f>
        <v/>
      </c>
      <c r="H71" s="123">
        <f>IFERROR(INDEX(MAR!AM$8:AM$73,MATCH($A71,MAR!$A$8:$A$73,0))&amp;"","")</f>
        <v/>
      </c>
      <c r="I71" s="107" t="n"/>
      <c r="J71" s="107" t="n"/>
      <c r="K71" s="107" t="n"/>
      <c r="L71" s="116" t="inlineStr">
        <is>
          <t>N</t>
        </is>
      </c>
      <c r="M71" s="107" t="n"/>
      <c r="N71" s="117" t="inlineStr">
        <is>
          <t>T</t>
        </is>
      </c>
      <c r="O71" s="117" t="inlineStr">
        <is>
          <t>T</t>
        </is>
      </c>
      <c r="P71" s="107" t="n"/>
      <c r="Q71" s="107" t="n"/>
      <c r="R71" s="107" t="n"/>
      <c r="S71" s="115" t="inlineStr">
        <is>
          <t>D</t>
        </is>
      </c>
      <c r="T71" s="107" t="n"/>
      <c r="U71" s="115" t="inlineStr">
        <is>
          <t>D</t>
        </is>
      </c>
      <c r="V71" s="107" t="n"/>
      <c r="W71" s="115" t="inlineStr">
        <is>
          <t>D</t>
        </is>
      </c>
      <c r="X71" s="107" t="n"/>
      <c r="Y71" s="107" t="n"/>
      <c r="Z71" s="107" t="n"/>
      <c r="AA71" s="107" t="n"/>
      <c r="AB71" s="107" t="n"/>
      <c r="AC71" s="117" t="inlineStr">
        <is>
          <t>T</t>
        </is>
      </c>
      <c r="AD71" s="107" t="n"/>
      <c r="AE71" s="117" t="inlineStr">
        <is>
          <t>T</t>
        </is>
      </c>
      <c r="AF71" s="115" t="inlineStr">
        <is>
          <t>D</t>
        </is>
      </c>
      <c r="AG71" s="107" t="n"/>
      <c r="AH71" s="107" t="n"/>
      <c r="AI71" s="115" t="inlineStr">
        <is>
          <t>D</t>
        </is>
      </c>
      <c r="AJ71" s="116" t="inlineStr">
        <is>
          <t>N</t>
        </is>
      </c>
      <c r="AK71" s="107" t="n"/>
      <c r="AL71" s="107" t="n"/>
      <c r="AM71" s="96" t="n"/>
      <c r="AN71" s="123">
        <f>IFERROR(INDEX(MAI!I$8:I$73,MATCH($A71,MAI!$A$8:$A$73,0))&amp;"","")</f>
        <v/>
      </c>
      <c r="AO71" s="109">
        <f>IFERROR(INDEX(MAI!J$8:J$73,MATCH($A71,MAI!$A$8:$A$73,0))&amp;"","")</f>
        <v/>
      </c>
      <c r="AP71" s="109">
        <f>IFERROR(INDEX(MAI!K$8:K$73,MATCH($A71,MAI!$A$8:$A$73,0))&amp;"","")</f>
        <v/>
      </c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SUMPRODUCT(($G71:$M71="M")*6+($G71:$M71="T")*6+($G71:$M71="D")*12+($G71:$M71="N")*12+($G71:$M71="NT")*6+($G71:$M71="C")*10+($G71:$M71="A")*8+($G71:$M71="J")*5+($G71:$M71="E")*4+($G71:$M71="P")*6+($G71:$M71="R")*6)</f>
        <v/>
      </c>
      <c r="BF71" s="110">
        <f>SUMPRODUCT(($N71:$T71="M")*6+($N71:$T71="T")*6+($N71:$T71="D")*12+($N71:$T71="N")*12+($N71:$T71="NT")*6+($N71:$T71="C")*10+($N71:$T71="A")*8+($N71:$T71="J")*5+($N71:$T71="E")*4+($N71:$T71="P")*6+($N71:$T71="R")*6)</f>
        <v/>
      </c>
      <c r="BG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H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I71" s="110">
        <f>SUMPRODUCT(($AI71:$AL71="M")*6+($AI71:$AL71="T")*6+($AI71:$AL71="D")*12+($AI71:$AL71="N")*12+($AI71:$AL71="NT")*6+($AI71:$AL71="C")*10+($AI71:$AL71="A")*8+($AI71:$AL71="J")*5+($AI71:$AL71="E")*4+($AI71:$AL71="P")*6+($AI71:$AL71="R")*6)+SUMPRODUCT(($AN71:$AP71="M")*6+($AN71:$AP71="T")*6+($AN71:$AP71="D")*12+($AN71:$AP71="N")*12+($AN71:$AP71="NT")*6+($AN71:$AP71="C")*10+($AN71:$AP71="A")*8+($AN71:$AP71="J")*5+($AN71:$AP71="E")*4+($AN71:$AP71="P")*6+($AN71:$AP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3">
        <f>IFERROR(INDEX(MAR!AL$8:AL$73,MATCH($A72,MAR!$A$8:$A$73,0))&amp;"","")</f>
        <v/>
      </c>
      <c r="H72" s="123">
        <f>IFERROR(INDEX(MAR!AM$8:AM$73,MATCH($A72,MAR!$A$8:$A$73,0))&amp;"","")</f>
        <v/>
      </c>
      <c r="I72" s="107" t="n"/>
      <c r="J72" s="107" t="n"/>
      <c r="K72" s="107" t="n"/>
      <c r="L72" s="107" t="n"/>
      <c r="M72" s="107" t="n"/>
      <c r="N72" s="107" t="n"/>
      <c r="O72" s="126" t="inlineStr">
        <is>
          <t>t</t>
        </is>
      </c>
      <c r="P72" s="107" t="n"/>
      <c r="Q72" s="107" t="n"/>
      <c r="R72" s="117" t="inlineStr">
        <is>
          <t>T</t>
        </is>
      </c>
      <c r="S72" s="115" t="inlineStr">
        <is>
          <t>D</t>
        </is>
      </c>
      <c r="T72" s="117" t="inlineStr">
        <is>
          <t>T</t>
        </is>
      </c>
      <c r="U72" s="107" t="n"/>
      <c r="V72" s="126" t="inlineStr">
        <is>
          <t>t</t>
        </is>
      </c>
      <c r="W72" s="117" t="inlineStr">
        <is>
          <t>T</t>
        </is>
      </c>
      <c r="X72" s="117" t="inlineStr">
        <is>
          <t>T</t>
        </is>
      </c>
      <c r="Y72" s="115" t="inlineStr">
        <is>
          <t>D</t>
        </is>
      </c>
      <c r="Z72" s="107" t="n"/>
      <c r="AA72" s="107" t="n"/>
      <c r="AB72" s="107" t="n"/>
      <c r="AC72" s="126" t="inlineStr">
        <is>
          <t>t</t>
        </is>
      </c>
      <c r="AD72" s="107" t="n"/>
      <c r="AE72" s="107" t="n"/>
      <c r="AF72" s="117" t="inlineStr">
        <is>
          <t>T</t>
        </is>
      </c>
      <c r="AG72" s="116" t="inlineStr">
        <is>
          <t>N</t>
        </is>
      </c>
      <c r="AH72" s="117" t="inlineStr">
        <is>
          <t>T</t>
        </is>
      </c>
      <c r="AI72" s="107" t="n"/>
      <c r="AJ72" s="126" t="inlineStr">
        <is>
          <t>t</t>
        </is>
      </c>
      <c r="AK72" s="116" t="inlineStr">
        <is>
          <t>N</t>
        </is>
      </c>
      <c r="AL72" s="107" t="n"/>
      <c r="AM72" s="96" t="n"/>
      <c r="AN72" s="123">
        <f>IFERROR(INDEX(MAI!I$8:I$73,MATCH($A72,MAI!$A$8:$A$73,0))&amp;"","")</f>
        <v/>
      </c>
      <c r="AO72" s="109">
        <f>IFERROR(INDEX(MAI!J$8:J$73,MATCH($A72,MAI!$A$8:$A$73,0))&amp;"","")</f>
        <v/>
      </c>
      <c r="AP72" s="109">
        <f>IFERROR(INDEX(MAI!K$8:K$73,MATCH($A72,MAI!$A$8:$A$73,0))&amp;"","")</f>
        <v/>
      </c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SUMPRODUCT(($G72:$M72="M")*6+($G72:$M72="T")*6+($G72:$M72="D")*12+($G72:$M72="N")*12+($G72:$M72="NT")*6+($G72:$M72="C")*10+($G72:$M72="A")*8+($G72:$M72="J")*5+($G72:$M72="E")*4+($G72:$M72="P")*6+($G72:$M72="R")*6)</f>
        <v/>
      </c>
      <c r="BF72" s="110">
        <f>SUMPRODUCT(($N72:$T72="M")*6+($N72:$T72="T")*6+($N72:$T72="D")*12+($N72:$T72="N")*12+($N72:$T72="NT")*6+($N72:$T72="C")*10+($N72:$T72="A")*8+($N72:$T72="J")*5+($N72:$T72="E")*4+($N72:$T72="P")*6+($N72:$T72="R")*6)</f>
        <v/>
      </c>
      <c r="BG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H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I72" s="110">
        <f>SUMPRODUCT(($AI72:$AL72="M")*6+($AI72:$AL72="T")*6+($AI72:$AL72="D")*12+($AI72:$AL72="N")*12+($AI72:$AL72="NT")*6+($AI72:$AL72="C")*10+($AI72:$AL72="A")*8+($AI72:$AL72="J")*5+($AI72:$AL72="E")*4+($AI72:$AL72="P")*6+($AI72:$AL72="R")*6)+SUMPRODUCT(($AN72:$AP72="M")*6+($AN72:$AP72="T")*6+($AN72:$AP72="D")*12+($AN72:$AP72="N")*12+($AN72:$AP72="NT")*6+($AN72:$AP72="C")*10+($AN72:$AP72="A")*8+($AN72:$AP72="J")*5+($AN72:$AP72="E")*4+($AN72:$AP72="P")*6+($AN72:$AP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3">
        <f>IFERROR(INDEX(MAR!AL$8:AL$73,MATCH($A73,MAR!$A$8:$A$73,0))&amp;"","")</f>
        <v/>
      </c>
      <c r="H73" s="123">
        <f>IFERROR(INDEX(MAR!AM$8:AM$73,MATCH($A73,MAR!$A$8:$A$73,0))&amp;"","")</f>
        <v/>
      </c>
      <c r="I73" s="107" t="n"/>
      <c r="J73" s="107" t="n"/>
      <c r="K73" s="115" t="inlineStr">
        <is>
          <t>D</t>
        </is>
      </c>
      <c r="L73" s="117" t="inlineStr">
        <is>
          <t>T</t>
        </is>
      </c>
      <c r="M73" s="107" t="n"/>
      <c r="N73" s="107" t="n"/>
      <c r="O73" s="107" t="n"/>
      <c r="P73" s="107" t="n"/>
      <c r="Q73" s="115" t="inlineStr">
        <is>
          <t>D</t>
        </is>
      </c>
      <c r="R73" s="108" t="inlineStr">
        <is>
          <t>M</t>
        </is>
      </c>
      <c r="S73" s="115" t="inlineStr">
        <is>
          <t>D</t>
        </is>
      </c>
      <c r="T73" s="107" t="n"/>
      <c r="U73" s="115" t="inlineStr">
        <is>
          <t>D</t>
        </is>
      </c>
      <c r="V73" s="107" t="n"/>
      <c r="W73" s="107" t="n"/>
      <c r="X73" s="107" t="n"/>
      <c r="Y73" s="115" t="inlineStr">
        <is>
          <t>D</t>
        </is>
      </c>
      <c r="Z73" s="117" t="inlineStr">
        <is>
          <t>T</t>
        </is>
      </c>
      <c r="AA73" s="107" t="n"/>
      <c r="AB73" s="107" t="n"/>
      <c r="AC73" s="107" t="n"/>
      <c r="AD73" s="116" t="inlineStr">
        <is>
          <t>N</t>
        </is>
      </c>
      <c r="AE73" s="107" t="n"/>
      <c r="AF73" s="108" t="inlineStr">
        <is>
          <t>M</t>
        </is>
      </c>
      <c r="AG73" s="107" t="n"/>
      <c r="AH73" s="115" t="inlineStr">
        <is>
          <t>D</t>
        </is>
      </c>
      <c r="AI73" s="116" t="inlineStr">
        <is>
          <t>N</t>
        </is>
      </c>
      <c r="AJ73" s="107" t="n"/>
      <c r="AK73" s="117" t="inlineStr">
        <is>
          <t>T</t>
        </is>
      </c>
      <c r="AL73" s="107" t="n"/>
      <c r="AM73" s="96" t="n"/>
      <c r="AN73" s="123">
        <f>IFERROR(INDEX(MAI!I$8:I$73,MATCH($A73,MAI!$A$8:$A$73,0))&amp;"","")</f>
        <v/>
      </c>
      <c r="AO73" s="109">
        <f>IFERROR(INDEX(MAI!J$8:J$73,MATCH($A73,MAI!$A$8:$A$73,0))&amp;"","")</f>
        <v/>
      </c>
      <c r="AP73" s="109">
        <f>IFERROR(INDEX(MAI!K$8:K$73,MATCH($A73,MAI!$A$8:$A$73,0))&amp;"","")</f>
        <v/>
      </c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SUMPRODUCT(($G73:$M73="M")*6+($G73:$M73="T")*6+($G73:$M73="D")*12+($G73:$M73="N")*12+($G73:$M73="NT")*6+($G73:$M73="C")*10+($G73:$M73="A")*8+($G73:$M73="J")*5+($G73:$M73="E")*4+($G73:$M73="P")*6+($G73:$M73="R")*6)</f>
        <v/>
      </c>
      <c r="BF73" s="110">
        <f>SUMPRODUCT(($N73:$T73="M")*6+($N73:$T73="T")*6+($N73:$T73="D")*12+($N73:$T73="N")*12+($N73:$T73="NT")*6+($N73:$T73="C")*10+($N73:$T73="A")*8+($N73:$T73="J")*5+($N73:$T73="E")*4+($N73:$T73="P")*6+($N73:$T73="R")*6)</f>
        <v/>
      </c>
      <c r="BG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H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I73" s="110">
        <f>SUMPRODUCT(($AI73:$AL73="M")*6+($AI73:$AL73="T")*6+($AI73:$AL73="D")*12+($AI73:$AL73="N")*12+($AI73:$AL73="NT")*6+($AI73:$AL73="C")*10+($AI73:$AL73="A")*8+($AI73:$AL73="J")*5+($AI73:$AL73="E")*4+($AI73:$AL73="P")*6+($AI73:$AL73="R")*6)+SUMPRODUCT(($AN73:$AP73="M")*6+($AN73:$AP73="T")*6+($AN73:$AP73="D")*12+($AN73:$AP73="N")*12+($AN73:$AP73="NT")*6+($AN73:$AP73="C")*10+($AN73:$AP73="A")*8+($AN73:$AP73="J")*5+($AN73:$AP73="E")*4+($AN73:$AP73="P")*6+($AN73:$AP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39" t="n"/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39" t="n"/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39" t="n"/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122">
        <f>MAX(0,CONFIG!$B$9-G75)</f>
        <v/>
      </c>
      <c r="H78" s="122">
        <f>MAX(0,CONFIG!$B$9-H75)</f>
        <v/>
      </c>
      <c r="I78" s="122">
        <f>MAX(0,CONFIG!$B$9-I75)</f>
        <v/>
      </c>
      <c r="J78" s="122">
        <f>MAX(0,CONFIG!$B$9-J75)</f>
        <v/>
      </c>
      <c r="K78" s="122">
        <f>MAX(0,CONFIG!$B$9-K75)</f>
        <v/>
      </c>
      <c r="L78" s="122">
        <f>MAX(0,CONFIG!$B$10-L75)</f>
        <v/>
      </c>
      <c r="M78" s="122">
        <f>MAX(0,CONFIG!$B$11-M75)</f>
        <v/>
      </c>
      <c r="N78" s="122">
        <f>MAX(0,CONFIG!$B$9-N75)</f>
        <v/>
      </c>
      <c r="O78" s="122">
        <f>MAX(0,CONFIG!$B$9-O75)</f>
        <v/>
      </c>
      <c r="P78" s="122">
        <f>MAX(0,CONFIG!$B$9-P75)</f>
        <v/>
      </c>
      <c r="Q78" s="122">
        <f>MAX(0,CONFIG!$B$9-Q75)</f>
        <v/>
      </c>
      <c r="R78" s="122">
        <f>MAX(0,CONFIG!$B$9-R75)</f>
        <v/>
      </c>
      <c r="S78" s="122">
        <f>MAX(0,CONFIG!$B$10-S75)</f>
        <v/>
      </c>
      <c r="T78" s="122">
        <f>MAX(0,CONFIG!$B$11-T75)</f>
        <v/>
      </c>
      <c r="U78" s="122">
        <f>MAX(0,CONFIG!$B$9-U75)</f>
        <v/>
      </c>
      <c r="V78" s="122">
        <f>MAX(0,CONFIG!$B$9-V75)</f>
        <v/>
      </c>
      <c r="W78" s="122">
        <f>MAX(0,CONFIG!$B$9-W75)</f>
        <v/>
      </c>
      <c r="X78" s="122">
        <f>MAX(0,CONFIG!$B$9-X75)</f>
        <v/>
      </c>
      <c r="Y78" s="122">
        <f>MAX(0,CONFIG!$B$9-Y75)</f>
        <v/>
      </c>
      <c r="Z78" s="122">
        <f>MAX(0,CONFIG!$B$10-Z75)</f>
        <v/>
      </c>
      <c r="AA78" s="122">
        <f>MAX(0,CONFIG!$B$11-AA75)</f>
        <v/>
      </c>
      <c r="AB78" s="122">
        <f>MAX(0,CONFIG!$B$9-AB75)</f>
        <v/>
      </c>
      <c r="AC78" s="122">
        <f>MAX(0,CONFIG!$B$9-AC75)</f>
        <v/>
      </c>
      <c r="AD78" s="122">
        <f>MAX(0,CONFIG!$B$9-AD75)</f>
        <v/>
      </c>
      <c r="AE78" s="122">
        <f>MAX(0,CONFIG!$B$9-AE75)</f>
        <v/>
      </c>
      <c r="AF78" s="122">
        <f>MAX(0,CONFIG!$B$9-AF75)</f>
        <v/>
      </c>
      <c r="AG78" s="122">
        <f>MAX(0,CONFIG!$B$10-AG75)</f>
        <v/>
      </c>
      <c r="AH78" s="122">
        <f>MAX(0,CONFIG!$B$11-AH75)</f>
        <v/>
      </c>
      <c r="AI78" s="122">
        <f>MAX(0,CONFIG!$B$9-AI75)</f>
        <v/>
      </c>
      <c r="AJ78" s="122">
        <f>MAX(0,CONFIG!$B$9-AJ75)</f>
        <v/>
      </c>
      <c r="AK78" s="122">
        <f>MAX(0,CONFIG!$B$9-AK75)</f>
        <v/>
      </c>
      <c r="AL78" s="122">
        <f>MAX(0,CONFIG!$B$9-AL75)</f>
        <v/>
      </c>
      <c r="AM78" s="39" t="n"/>
      <c r="AN78" s="122">
        <f>MAX(0,CONFIG!$B$9-AN75)</f>
        <v/>
      </c>
      <c r="AO78" s="122">
        <f>MAX(0,CONFIG!$B$10-AO75)</f>
        <v/>
      </c>
      <c r="AP78" s="122">
        <f>MAX(0,CONFIG!$B$11-AP75)</f>
        <v/>
      </c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122">
        <f>MAX(0,CONFIG!$C$9-G76)</f>
        <v/>
      </c>
      <c r="H79" s="122">
        <f>MAX(0,CONFIG!$C$9-H76)</f>
        <v/>
      </c>
      <c r="I79" s="122">
        <f>MAX(0,CONFIG!$C$9-I76)</f>
        <v/>
      </c>
      <c r="J79" s="122">
        <f>MAX(0,CONFIG!$C$9-J76)</f>
        <v/>
      </c>
      <c r="K79" s="122">
        <f>MAX(0,CONFIG!$C$9-K76)</f>
        <v/>
      </c>
      <c r="L79" s="122">
        <f>MAX(0,CONFIG!$C$10-L76)</f>
        <v/>
      </c>
      <c r="M79" s="122">
        <f>MAX(0,CONFIG!$C$11-M76)</f>
        <v/>
      </c>
      <c r="N79" s="122">
        <f>MAX(0,CONFIG!$C$9-N76)</f>
        <v/>
      </c>
      <c r="O79" s="122">
        <f>MAX(0,CONFIG!$C$9-O76)</f>
        <v/>
      </c>
      <c r="P79" s="122">
        <f>MAX(0,CONFIG!$C$9-P76)</f>
        <v/>
      </c>
      <c r="Q79" s="122">
        <f>MAX(0,CONFIG!$C$9-Q76)</f>
        <v/>
      </c>
      <c r="R79" s="122">
        <f>MAX(0,CONFIG!$C$9-R76)</f>
        <v/>
      </c>
      <c r="S79" s="122">
        <f>MAX(0,CONFIG!$C$10-S76)</f>
        <v/>
      </c>
      <c r="T79" s="122">
        <f>MAX(0,CONFIG!$C$11-T76)</f>
        <v/>
      </c>
      <c r="U79" s="122">
        <f>MAX(0,CONFIG!$C$9-U76)</f>
        <v/>
      </c>
      <c r="V79" s="122">
        <f>MAX(0,CONFIG!$C$9-V76)</f>
        <v/>
      </c>
      <c r="W79" s="122">
        <f>MAX(0,CONFIG!$C$9-W76)</f>
        <v/>
      </c>
      <c r="X79" s="122">
        <f>MAX(0,CONFIG!$C$9-X76)</f>
        <v/>
      </c>
      <c r="Y79" s="122">
        <f>MAX(0,CONFIG!$C$9-Y76)</f>
        <v/>
      </c>
      <c r="Z79" s="122">
        <f>MAX(0,CONFIG!$C$10-Z76)</f>
        <v/>
      </c>
      <c r="AA79" s="122">
        <f>MAX(0,CONFIG!$C$11-AA76)</f>
        <v/>
      </c>
      <c r="AB79" s="122">
        <f>MAX(0,CONFIG!$C$9-AB76)</f>
        <v/>
      </c>
      <c r="AC79" s="122">
        <f>MAX(0,CONFIG!$C$9-AC76)</f>
        <v/>
      </c>
      <c r="AD79" s="122">
        <f>MAX(0,CONFIG!$C$9-AD76)</f>
        <v/>
      </c>
      <c r="AE79" s="122">
        <f>MAX(0,CONFIG!$C$9-AE76)</f>
        <v/>
      </c>
      <c r="AF79" s="122">
        <f>MAX(0,CONFIG!$C$9-AF76)</f>
        <v/>
      </c>
      <c r="AG79" s="122">
        <f>MAX(0,CONFIG!$C$10-AG76)</f>
        <v/>
      </c>
      <c r="AH79" s="122">
        <f>MAX(0,CONFIG!$C$11-AH76)</f>
        <v/>
      </c>
      <c r="AI79" s="122">
        <f>MAX(0,CONFIG!$C$9-AI76)</f>
        <v/>
      </c>
      <c r="AJ79" s="122">
        <f>MAX(0,CONFIG!$C$9-AJ76)</f>
        <v/>
      </c>
      <c r="AK79" s="122">
        <f>MAX(0,CONFIG!$C$9-AK76)</f>
        <v/>
      </c>
      <c r="AL79" s="122">
        <f>MAX(0,CONFIG!$C$9-AL76)</f>
        <v/>
      </c>
      <c r="AM79" s="39" t="n"/>
      <c r="AN79" s="122">
        <f>MAX(0,CONFIG!$C$9-AN76)</f>
        <v/>
      </c>
      <c r="AO79" s="122">
        <f>MAX(0,CONFIG!$C$10-AO76)</f>
        <v/>
      </c>
      <c r="AP79" s="122">
        <f>MAX(0,CONFIG!$C$11-AP76)</f>
        <v/>
      </c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122">
        <f>MAX(0,CONFIG!$D$9-G77)</f>
        <v/>
      </c>
      <c r="H80" s="122">
        <f>MAX(0,CONFIG!$D$9-H77)</f>
        <v/>
      </c>
      <c r="I80" s="122">
        <f>MAX(0,CONFIG!$D$9-I77)</f>
        <v/>
      </c>
      <c r="J80" s="122">
        <f>MAX(0,CONFIG!$D$9-J77)</f>
        <v/>
      </c>
      <c r="K80" s="122">
        <f>MAX(0,CONFIG!$D$9-K77)</f>
        <v/>
      </c>
      <c r="L80" s="122">
        <f>MAX(0,CONFIG!$D$10-L77)</f>
        <v/>
      </c>
      <c r="M80" s="122">
        <f>MAX(0,CONFIG!$D$11-M77)</f>
        <v/>
      </c>
      <c r="N80" s="122">
        <f>MAX(0,CONFIG!$D$9-N77)</f>
        <v/>
      </c>
      <c r="O80" s="122">
        <f>MAX(0,CONFIG!$D$9-O77)</f>
        <v/>
      </c>
      <c r="P80" s="122">
        <f>MAX(0,CONFIG!$D$9-P77)</f>
        <v/>
      </c>
      <c r="Q80" s="122">
        <f>MAX(0,CONFIG!$D$9-Q77)</f>
        <v/>
      </c>
      <c r="R80" s="122">
        <f>MAX(0,CONFIG!$D$9-R77)</f>
        <v/>
      </c>
      <c r="S80" s="122">
        <f>MAX(0,CONFIG!$D$10-S77)</f>
        <v/>
      </c>
      <c r="T80" s="122">
        <f>MAX(0,CONFIG!$D$11-T77)</f>
        <v/>
      </c>
      <c r="U80" s="122">
        <f>MAX(0,CONFIG!$D$9-U77)</f>
        <v/>
      </c>
      <c r="V80" s="122">
        <f>MAX(0,CONFIG!$D$9-V77)</f>
        <v/>
      </c>
      <c r="W80" s="122">
        <f>MAX(0,CONFIG!$D$9-W77)</f>
        <v/>
      </c>
      <c r="X80" s="122">
        <f>MAX(0,CONFIG!$D$9-X77)</f>
        <v/>
      </c>
      <c r="Y80" s="122">
        <f>MAX(0,CONFIG!$D$9-Y77)</f>
        <v/>
      </c>
      <c r="Z80" s="122">
        <f>MAX(0,CONFIG!$D$10-Z77)</f>
        <v/>
      </c>
      <c r="AA80" s="122">
        <f>MAX(0,CONFIG!$D$11-AA77)</f>
        <v/>
      </c>
      <c r="AB80" s="122">
        <f>MAX(0,CONFIG!$D$9-AB77)</f>
        <v/>
      </c>
      <c r="AC80" s="122">
        <f>MAX(0,CONFIG!$D$9-AC77)</f>
        <v/>
      </c>
      <c r="AD80" s="122">
        <f>MAX(0,CONFIG!$D$9-AD77)</f>
        <v/>
      </c>
      <c r="AE80" s="122">
        <f>MAX(0,CONFIG!$D$9-AE77)</f>
        <v/>
      </c>
      <c r="AF80" s="122">
        <f>MAX(0,CONFIG!$D$9-AF77)</f>
        <v/>
      </c>
      <c r="AG80" s="122">
        <f>MAX(0,CONFIG!$D$10-AG77)</f>
        <v/>
      </c>
      <c r="AH80" s="122">
        <f>MAX(0,CONFIG!$D$11-AH77)</f>
        <v/>
      </c>
      <c r="AI80" s="122">
        <f>MAX(0,CONFIG!$D$9-AI77)</f>
        <v/>
      </c>
      <c r="AJ80" s="122">
        <f>MAX(0,CONFIG!$D$9-AJ77)</f>
        <v/>
      </c>
      <c r="AK80" s="122">
        <f>MAX(0,CONFIG!$D$9-AK77)</f>
        <v/>
      </c>
      <c r="AL80" s="122">
        <f>MAX(0,CONFIG!$D$9-AL77)</f>
        <v/>
      </c>
      <c r="AM80" s="39" t="n"/>
      <c r="AN80" s="122">
        <f>MAX(0,CONFIG!$D$9-AN77)</f>
        <v/>
      </c>
      <c r="AO80" s="122">
        <f>MAX(0,CONFIG!$D$10-AO77)</f>
        <v/>
      </c>
      <c r="AP80" s="122">
        <f>MAX(0,CONFIG!$D$11-AP77)</f>
        <v/>
      </c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2.5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7" t="inlineStr">
        <is>
          <t>27/04</t>
        </is>
      </c>
      <c r="F2" s="97" t="inlineStr">
        <is>
          <t>28/04</t>
        </is>
      </c>
      <c r="G2" s="97" t="inlineStr">
        <is>
          <t>29/04</t>
        </is>
      </c>
      <c r="H2" s="97" t="inlineStr">
        <is>
          <t>30/04</t>
        </is>
      </c>
      <c r="I2" s="98" t="n">
        <v>1</v>
      </c>
      <c r="J2" s="100" t="n">
        <v>2</v>
      </c>
      <c r="K2" s="100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100" t="n">
        <v>9</v>
      </c>
      <c r="R2" s="100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100" t="n">
        <v>16</v>
      </c>
      <c r="Y2" s="100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100" t="n">
        <v>23</v>
      </c>
      <c r="AF2" s="100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100" t="n">
        <v>30</v>
      </c>
      <c r="AM2" s="100" t="n">
        <v>31</v>
      </c>
      <c r="AN2" s="96" t="n"/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102" t="inlineStr">
        <is>
          <t>seg</t>
        </is>
      </c>
      <c r="F3" s="102" t="inlineStr">
        <is>
          <t>ter</t>
        </is>
      </c>
      <c r="G3" s="102" t="inlineStr">
        <is>
          <t>qua</t>
        </is>
      </c>
      <c r="H3" s="102" t="inlineStr">
        <is>
          <t>qui</t>
        </is>
      </c>
      <c r="I3" s="103" t="inlineStr">
        <is>
          <t>trab</t>
        </is>
      </c>
      <c r="J3" s="104" t="inlineStr">
        <is>
          <t>sáb</t>
        </is>
      </c>
      <c r="K3" s="104" t="inlineStr">
        <is>
          <t>dom</t>
        </is>
      </c>
      <c r="L3" s="102" t="inlineStr">
        <is>
          <t>seg</t>
        </is>
      </c>
      <c r="M3" s="102" t="inlineStr">
        <is>
          <t>ter</t>
        </is>
      </c>
      <c r="N3" s="102" t="inlineStr">
        <is>
          <t>qua</t>
        </is>
      </c>
      <c r="O3" s="102" t="inlineStr">
        <is>
          <t>qui</t>
        </is>
      </c>
      <c r="P3" s="102" t="inlineStr">
        <is>
          <t>sex</t>
        </is>
      </c>
      <c r="Q3" s="104" t="inlineStr">
        <is>
          <t>sáb</t>
        </is>
      </c>
      <c r="R3" s="104" t="inlineStr">
        <is>
          <t>dom</t>
        </is>
      </c>
      <c r="S3" s="102" t="inlineStr">
        <is>
          <t>seg</t>
        </is>
      </c>
      <c r="T3" s="102" t="inlineStr">
        <is>
          <t>ter</t>
        </is>
      </c>
      <c r="U3" s="102" t="inlineStr">
        <is>
          <t>qua</t>
        </is>
      </c>
      <c r="V3" s="102" t="inlineStr">
        <is>
          <t>qui</t>
        </is>
      </c>
      <c r="W3" s="102" t="inlineStr">
        <is>
          <t>sex</t>
        </is>
      </c>
      <c r="X3" s="104" t="inlineStr">
        <is>
          <t>sáb</t>
        </is>
      </c>
      <c r="Y3" s="104" t="inlineStr">
        <is>
          <t>dom</t>
        </is>
      </c>
      <c r="Z3" s="102" t="inlineStr">
        <is>
          <t>seg</t>
        </is>
      </c>
      <c r="AA3" s="102" t="inlineStr">
        <is>
          <t>ter</t>
        </is>
      </c>
      <c r="AB3" s="102" t="inlineStr">
        <is>
          <t>qua</t>
        </is>
      </c>
      <c r="AC3" s="102" t="inlineStr">
        <is>
          <t>qui</t>
        </is>
      </c>
      <c r="AD3" s="102" t="inlineStr">
        <is>
          <t>sex</t>
        </is>
      </c>
      <c r="AE3" s="104" t="inlineStr">
        <is>
          <t>sáb</t>
        </is>
      </c>
      <c r="AF3" s="104" t="inlineStr">
        <is>
          <t>dom</t>
        </is>
      </c>
      <c r="AG3" s="102" t="inlineStr">
        <is>
          <t>seg</t>
        </is>
      </c>
      <c r="AH3" s="102" t="inlineStr">
        <is>
          <t>ter</t>
        </is>
      </c>
      <c r="AI3" s="102" t="inlineStr">
        <is>
          <t>qua</t>
        </is>
      </c>
      <c r="AJ3" s="102" t="inlineStr">
        <is>
          <t>qui</t>
        </is>
      </c>
      <c r="AK3" s="102" t="inlineStr">
        <is>
          <t>sex</t>
        </is>
      </c>
      <c r="AL3" s="104" t="inlineStr">
        <is>
          <t>sáb</t>
        </is>
      </c>
      <c r="AM3" s="104" t="inlineStr">
        <is>
          <t>dom</t>
        </is>
      </c>
      <c r="AN3" s="96" t="n"/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1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1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123">
        <f>IFERROR(INDEX(ABR!AI$8:AI$73,MATCH($A8,ABR!$A$8:$A$73,0))&amp;"","")</f>
        <v/>
      </c>
      <c r="F8" s="123">
        <f>IFERROR(INDEX(ABR!AJ$8:AJ$73,MATCH($A8,ABR!$A$8:$A$73,0))&amp;"","")</f>
        <v/>
      </c>
      <c r="G8" s="123">
        <f>IFERROR(INDEX(ABR!AK$8:AK$73,MATCH($A8,ABR!$A$8:$A$73,0))&amp;"","")</f>
        <v/>
      </c>
      <c r="H8" s="123">
        <f>IFERROR(INDEX(ABR!AL$8:AL$73,MATCH($A8,ABR!$A$8:$A$73,0))&amp;"","")</f>
        <v/>
      </c>
      <c r="I8" s="124" t="inlineStr">
        <is>
          <t>C</t>
        </is>
      </c>
      <c r="J8" s="108" t="inlineStr">
        <is>
          <t>M</t>
        </is>
      </c>
      <c r="K8" s="107" t="n"/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7" t="n"/>
      <c r="R8" s="107" t="n"/>
      <c r="S8" s="108" t="inlineStr">
        <is>
          <t>M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7" t="n"/>
      <c r="Y8" s="107" t="n"/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7" t="n"/>
      <c r="AF8" s="107" t="n"/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7" t="n"/>
      <c r="AM8" s="107" t="n"/>
      <c r="AN8" s="96" t="n"/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SUMPRODUCT(($E8:$K8="M")*6+($E8:$K8="T")*6+($E8:$K8="D")*12+($E8:$K8="N")*12+($E8:$K8="NT")*6+($E8:$K8="C")*10+($E8:$K8="A")*8+($E8:$K8="J")*5+($E8:$K8="E")*4+($E8:$K8="P")*6+($E8:$K8="R")*6)</f>
        <v/>
      </c>
      <c r="BF8" s="110">
        <f>SUMPRODUCT(($L8:$R8="M")*6+($L8:$R8="T")*6+($L8:$R8="D")*12+($L8:$R8="N")*12+($L8:$R8="NT")*6+($L8:$R8="C")*10+($L8:$R8="A")*8+($L8:$R8="J")*5+($L8:$R8="E")*4+($L8:$R8="P")*6+($L8:$R8="R")*6)</f>
        <v/>
      </c>
      <c r="BG8" s="110">
        <f>SUMPRODUCT(($S8:$Y8="M")*6+($S8:$Y8="T")*6+($S8:$Y8="D")*12+($S8:$Y8="N")*12+($S8:$Y8="NT")*6+($S8:$Y8="C")*10+($S8:$Y8="A")*8+($S8:$Y8="J")*5+($S8:$Y8="E")*4+($S8:$Y8="P")*6+($S8:$Y8="R")*6)</f>
        <v/>
      </c>
      <c r="BH8" s="110">
        <f>SUMPRODUCT(($Z8:$AF8="M")*6+($Z8:$AF8="T")*6+($Z8:$AF8="D")*12+($Z8:$AF8="N")*12+($Z8:$AF8="NT")*6+($Z8:$AF8="C")*10+($Z8:$AF8="A")*8+($Z8:$AF8="J")*5+($Z8:$AF8="E")*4+($Z8:$AF8="P")*6+($Z8:$AF8="R")*6)</f>
        <v/>
      </c>
      <c r="BI8" s="110">
        <f>SUMPRODUCT(($AG8:$AM8="M")*6+($AG8:$AM8="T")*6+($AG8:$AM8="D")*12+($AG8:$AM8="N")*12+($AG8:$AM8="NT")*6+($AG8:$AM8="C")*10+($AG8:$AM8="A")*8+($AG8:$AM8="J")*5+($AG8:$AM8="E")*4+($AG8:$AM8="P")*6+($AG8:$AM8="R")*6)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123">
        <f>IFERROR(INDEX(ABR!AI$8:AI$73,MATCH($A9,ABR!$A$8:$A$73,0))&amp;"","")</f>
        <v/>
      </c>
      <c r="F9" s="123">
        <f>IFERROR(INDEX(ABR!AJ$8:AJ$73,MATCH($A9,ABR!$A$8:$A$73,0))&amp;"","")</f>
        <v/>
      </c>
      <c r="G9" s="123">
        <f>IFERROR(INDEX(ABR!AK$8:AK$73,MATCH($A9,ABR!$A$8:$A$73,0))&amp;"","")</f>
        <v/>
      </c>
      <c r="H9" s="123">
        <f>IFERROR(INDEX(ABR!AL$8:AL$73,MATCH($A9,ABR!$A$8:$A$73,0))&amp;"","")</f>
        <v/>
      </c>
      <c r="I9" s="107" t="n"/>
      <c r="J9" s="107" t="n"/>
      <c r="K9" s="107" t="n"/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7" t="n"/>
      <c r="R9" s="107" t="n"/>
      <c r="S9" s="108" t="inlineStr">
        <is>
          <t>M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7" t="n"/>
      <c r="Y9" s="107" t="n"/>
      <c r="Z9" s="108" t="inlineStr">
        <is>
          <t>M</t>
        </is>
      </c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7" t="n"/>
      <c r="AF9" s="107" t="n"/>
      <c r="AG9" s="108" t="inlineStr">
        <is>
          <t>M</t>
        </is>
      </c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7" t="n"/>
      <c r="AM9" s="107" t="n"/>
      <c r="AN9" s="96" t="n"/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SUMPRODUCT(($E9:$K9="M")*6+($E9:$K9="T")*6+($E9:$K9="D")*12+($E9:$K9="N")*12+($E9:$K9="NT")*6+($E9:$K9="C")*10+($E9:$K9="A")*8+($E9:$K9="J")*5+($E9:$K9="E")*4+($E9:$K9="P")*6+($E9:$K9="R")*6)</f>
        <v/>
      </c>
      <c r="BF9" s="110">
        <f>SUMPRODUCT(($L9:$R9="M")*6+($L9:$R9="T")*6+($L9:$R9="D")*12+($L9:$R9="N")*12+($L9:$R9="NT")*6+($L9:$R9="C")*10+($L9:$R9="A")*8+($L9:$R9="J")*5+($L9:$R9="E")*4+($L9:$R9="P")*6+($L9:$R9="R")*6)</f>
        <v/>
      </c>
      <c r="BG9" s="110">
        <f>SUMPRODUCT(($S9:$Y9="M")*6+($S9:$Y9="T")*6+($S9:$Y9="D")*12+($S9:$Y9="N")*12+($S9:$Y9="NT")*6+($S9:$Y9="C")*10+($S9:$Y9="A")*8+($S9:$Y9="J")*5+($S9:$Y9="E")*4+($S9:$Y9="P")*6+($S9:$Y9="R")*6)</f>
        <v/>
      </c>
      <c r="BH9" s="110">
        <f>SUMPRODUCT(($Z9:$AF9="M")*6+($Z9:$AF9="T")*6+($Z9:$AF9="D")*12+($Z9:$AF9="N")*12+($Z9:$AF9="NT")*6+($Z9:$AF9="C")*10+($Z9:$AF9="A")*8+($Z9:$AF9="J")*5+($Z9:$AF9="E")*4+($Z9:$AF9="P")*6+($Z9:$AF9="R")*6)</f>
        <v/>
      </c>
      <c r="BI9" s="110">
        <f>SUMPRODUCT(($AG9:$AM9="M")*6+($AG9:$AM9="T")*6+($AG9:$AM9="D")*12+($AG9:$AM9="N")*12+($AG9:$AM9="NT")*6+($AG9:$AM9="C")*10+($AG9:$AM9="A")*8+($AG9:$AM9="J")*5+($AG9:$AM9="E")*4+($AG9:$AM9="P")*6+($AG9:$AM9="R")*6)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123">
        <f>IFERROR(INDEX(ABR!AI$8:AI$73,MATCH($A10,ABR!$A$8:$A$73,0))&amp;"","")</f>
        <v/>
      </c>
      <c r="F10" s="123">
        <f>IFERROR(INDEX(ABR!AJ$8:AJ$73,MATCH($A10,ABR!$A$8:$A$73,0))&amp;"","")</f>
        <v/>
      </c>
      <c r="G10" s="123">
        <f>IFERROR(INDEX(ABR!AK$8:AK$73,MATCH($A10,ABR!$A$8:$A$73,0))&amp;"","")</f>
        <v/>
      </c>
      <c r="H10" s="123">
        <f>IFERROR(INDEX(ABR!AL$8:AL$73,MATCH($A10,ABR!$A$8:$A$73,0))&amp;"","")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96" t="n"/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SUMPRODUCT(($E10:$K10="M")*6+($E10:$K10="T")*6+($E10:$K10="D")*12+($E10:$K10="N")*12+($E10:$K10="NT")*6+($E10:$K10="C")*10+($E10:$K10="A")*8+($E10:$K10="J")*5+($E10:$K10="E")*4+($E10:$K10="P")*6+($E10:$K10="R")*6)</f>
        <v/>
      </c>
      <c r="BF10" s="110">
        <f>SUMPRODUCT(($L10:$R10="M")*6+($L10:$R10="T")*6+($L10:$R10="D")*12+($L10:$R10="N")*12+($L10:$R10="NT")*6+($L10:$R10="C")*10+($L10:$R10="A")*8+($L10:$R10="J")*5+($L10:$R10="E")*4+($L10:$R10="P")*6+($L10:$R10="R")*6)</f>
        <v/>
      </c>
      <c r="BG10" s="110">
        <f>SUMPRODUCT(($S10:$Y10="M")*6+($S10:$Y10="T")*6+($S10:$Y10="D")*12+($S10:$Y10="N")*12+($S10:$Y10="NT")*6+($S10:$Y10="C")*10+($S10:$Y10="A")*8+($S10:$Y10="J")*5+($S10:$Y10="E")*4+($S10:$Y10="P")*6+($S10:$Y10="R")*6)</f>
        <v/>
      </c>
      <c r="BH10" s="110">
        <f>SUMPRODUCT(($Z10:$AF10="M")*6+($Z10:$AF10="T")*6+($Z10:$AF10="D")*12+($Z10:$AF10="N")*12+($Z10:$AF10="NT")*6+($Z10:$AF10="C")*10+($Z10:$AF10="A")*8+($Z10:$AF10="J")*5+($Z10:$AF10="E")*4+($Z10:$AF10="P")*6+($Z10:$AF10="R")*6)</f>
        <v/>
      </c>
      <c r="BI10" s="110">
        <f>SUMPRODUCT(($AG10:$AM10="M")*6+($AG10:$AM10="T")*6+($AG10:$AM10="D")*12+($AG10:$AM10="N")*12+($AG10:$AM10="NT")*6+($AG10:$AM10="C")*10+($AG10:$AM10="A")*8+($AG10:$AM10="J")*5+($AG10:$AM10="E")*4+($AG10:$AM10="P")*6+($AG10:$AM10="R")*6)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123">
        <f>IFERROR(INDEX(ABR!AI$8:AI$73,MATCH($A11,ABR!$A$8:$A$73,0))&amp;"","")</f>
        <v/>
      </c>
      <c r="F11" s="123">
        <f>IFERROR(INDEX(ABR!AJ$8:AJ$73,MATCH($A11,ABR!$A$8:$A$73,0))&amp;"","")</f>
        <v/>
      </c>
      <c r="G11" s="123">
        <f>IFERROR(INDEX(ABR!AK$8:AK$73,MATCH($A11,ABR!$A$8:$A$73,0))&amp;"","")</f>
        <v/>
      </c>
      <c r="H11" s="123">
        <f>IFERROR(INDEX(ABR!AL$8:AL$73,MATCH($A11,ABR!$A$8:$A$73,0))&amp;"","")</f>
        <v/>
      </c>
      <c r="I11" s="107" t="n"/>
      <c r="J11" s="107" t="n"/>
      <c r="K11" s="107" t="n"/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16" t="inlineStr">
        <is>
          <t>N</t>
        </is>
      </c>
      <c r="R11" s="107" t="n"/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5" t="inlineStr">
        <is>
          <t>D</t>
        </is>
      </c>
      <c r="W11" s="108" t="inlineStr">
        <is>
          <t>M</t>
        </is>
      </c>
      <c r="X11" s="108" t="inlineStr">
        <is>
          <t>M</t>
        </is>
      </c>
      <c r="Y11" s="107" t="n"/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7" t="n"/>
      <c r="AF11" s="116" t="inlineStr">
        <is>
          <t>N</t>
        </is>
      </c>
      <c r="AG11" s="108" t="inlineStr">
        <is>
          <t>M</t>
        </is>
      </c>
      <c r="AH11" s="115" t="inlineStr">
        <is>
          <t>D</t>
        </is>
      </c>
      <c r="AI11" s="108" t="inlineStr">
        <is>
          <t>M</t>
        </is>
      </c>
      <c r="AJ11" s="115" t="inlineStr">
        <is>
          <t>D</t>
        </is>
      </c>
      <c r="AK11" s="108" t="inlineStr">
        <is>
          <t>M</t>
        </is>
      </c>
      <c r="AL11" s="107" t="n"/>
      <c r="AM11" s="107" t="n"/>
      <c r="AN11" s="96" t="n"/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SUMPRODUCT(($E11:$K11="M")*6+($E11:$K11="T")*6+($E11:$K11="D")*12+($E11:$K11="N")*12+($E11:$K11="NT")*6+($E11:$K11="C")*10+($E11:$K11="A")*8+($E11:$K11="J")*5+($E11:$K11="E")*4+($E11:$K11="P")*6+($E11:$K11="R")*6)</f>
        <v/>
      </c>
      <c r="BF11" s="110">
        <f>SUMPRODUCT(($L11:$R11="M")*6+($L11:$R11="T")*6+($L11:$R11="D")*12+($L11:$R11="N")*12+($L11:$R11="NT")*6+($L11:$R11="C")*10+($L11:$R11="A")*8+($L11:$R11="J")*5+($L11:$R11="E")*4+($L11:$R11="P")*6+($L11:$R11="R")*6)</f>
        <v/>
      </c>
      <c r="BG11" s="110">
        <f>SUMPRODUCT(($S11:$Y11="M")*6+($S11:$Y11="T")*6+($S11:$Y11="D")*12+($S11:$Y11="N")*12+($S11:$Y11="NT")*6+($S11:$Y11="C")*10+($S11:$Y11="A")*8+($S11:$Y11="J")*5+($S11:$Y11="E")*4+($S11:$Y11="P")*6+($S11:$Y11="R")*6)</f>
        <v/>
      </c>
      <c r="BH11" s="110">
        <f>SUMPRODUCT(($Z11:$AF11="M")*6+($Z11:$AF11="T")*6+($Z11:$AF11="D")*12+($Z11:$AF11="N")*12+($Z11:$AF11="NT")*6+($Z11:$AF11="C")*10+($Z11:$AF11="A")*8+($Z11:$AF11="J")*5+($Z11:$AF11="E")*4+($Z11:$AF11="P")*6+($Z11:$AF11="R")*6)</f>
        <v/>
      </c>
      <c r="BI11" s="110">
        <f>SUMPRODUCT(($AG11:$AM11="M")*6+($AG11:$AM11="T")*6+($AG11:$AM11="D")*12+($AG11:$AM11="N")*12+($AG11:$AM11="NT")*6+($AG11:$AM11="C")*10+($AG11:$AM11="A")*8+($AG11:$AM11="J")*5+($AG11:$AM11="E")*4+($AG11:$AM11="P")*6+($AG11:$AM11="R")*6)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123">
        <f>IFERROR(INDEX(ABR!AI$8:AI$73,MATCH($A12,ABR!$A$8:$A$73,0))&amp;"","")</f>
        <v/>
      </c>
      <c r="F12" s="123">
        <f>IFERROR(INDEX(ABR!AJ$8:AJ$73,MATCH($A12,ABR!$A$8:$A$73,0))&amp;"","")</f>
        <v/>
      </c>
      <c r="G12" s="123">
        <f>IFERROR(INDEX(ABR!AK$8:AK$73,MATCH($A12,ABR!$A$8:$A$73,0))&amp;"","")</f>
        <v/>
      </c>
      <c r="H12" s="123">
        <f>IFERROR(INDEX(ABR!AL$8:AL$73,MATCH($A12,ABR!$A$8:$A$73,0))&amp;"","")</f>
        <v/>
      </c>
      <c r="I12" s="108" t="inlineStr">
        <is>
          <t>M</t>
        </is>
      </c>
      <c r="J12" s="107" t="n"/>
      <c r="K12" s="107" t="n"/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8" t="inlineStr">
        <is>
          <t>M</t>
        </is>
      </c>
      <c r="P12" s="108" t="inlineStr">
        <is>
          <t>M</t>
        </is>
      </c>
      <c r="Q12" s="115" t="inlineStr">
        <is>
          <t>D</t>
        </is>
      </c>
      <c r="R12" s="107" t="n"/>
      <c r="S12" s="108" t="inlineStr">
        <is>
          <t>M</t>
        </is>
      </c>
      <c r="T12" s="115" t="inlineStr">
        <is>
          <t>D</t>
        </is>
      </c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7" t="n"/>
      <c r="Y12" s="107" t="n"/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15" t="inlineStr">
        <is>
          <t>D</t>
        </is>
      </c>
      <c r="AE12" s="115" t="inlineStr">
        <is>
          <t>D</t>
        </is>
      </c>
      <c r="AF12" s="107" t="n"/>
      <c r="AG12" s="115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5" t="inlineStr">
        <is>
          <t>D</t>
        </is>
      </c>
      <c r="AK12" s="108" t="inlineStr">
        <is>
          <t>M</t>
        </is>
      </c>
      <c r="AL12" s="117" t="inlineStr">
        <is>
          <t>T</t>
        </is>
      </c>
      <c r="AM12" s="107" t="n"/>
      <c r="AN12" s="96" t="n"/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SUMPRODUCT(($E12:$K12="M")*6+($E12:$K12="T")*6+($E12:$K12="D")*12+($E12:$K12="N")*12+($E12:$K12="NT")*6+($E12:$K12="C")*10+($E12:$K12="A")*8+($E12:$K12="J")*5+($E12:$K12="E")*4+($E12:$K12="P")*6+($E12:$K12="R")*6)</f>
        <v/>
      </c>
      <c r="BF12" s="110">
        <f>SUMPRODUCT(($L12:$R12="M")*6+($L12:$R12="T")*6+($L12:$R12="D")*12+($L12:$R12="N")*12+($L12:$R12="NT")*6+($L12:$R12="C")*10+($L12:$R12="A")*8+($L12:$R12="J")*5+($L12:$R12="E")*4+($L12:$R12="P")*6+($L12:$R12="R")*6)</f>
        <v/>
      </c>
      <c r="BG12" s="110">
        <f>SUMPRODUCT(($S12:$Y12="M")*6+($S12:$Y12="T")*6+($S12:$Y12="D")*12+($S12:$Y12="N")*12+($S12:$Y12="NT")*6+($S12:$Y12="C")*10+($S12:$Y12="A")*8+($S12:$Y12="J")*5+($S12:$Y12="E")*4+($S12:$Y12="P")*6+($S12:$Y12="R")*6)</f>
        <v/>
      </c>
      <c r="BH12" s="110">
        <f>SUMPRODUCT(($Z12:$AF12="M")*6+($Z12:$AF12="T")*6+($Z12:$AF12="D")*12+($Z12:$AF12="N")*12+($Z12:$AF12="NT")*6+($Z12:$AF12="C")*10+($Z12:$AF12="A")*8+($Z12:$AF12="J")*5+($Z12:$AF12="E")*4+($Z12:$AF12="P")*6+($Z12:$AF12="R")*6)</f>
        <v/>
      </c>
      <c r="BI12" s="110">
        <f>SUMPRODUCT(($AG12:$AM12="M")*6+($AG12:$AM12="T")*6+($AG12:$AM12="D")*12+($AG12:$AM12="N")*12+($AG12:$AM12="NT")*6+($AG12:$AM12="C")*10+($AG12:$AM12="A")*8+($AG12:$AM12="J")*5+($AG12:$AM12="E")*4+($AG12:$AM12="P")*6+($AG12:$AM12="R")*6)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123">
        <f>IFERROR(INDEX(ABR!AI$8:AI$73,MATCH($A13,ABR!$A$8:$A$73,0))&amp;"","")</f>
        <v/>
      </c>
      <c r="F13" s="123">
        <f>IFERROR(INDEX(ABR!AJ$8:AJ$73,MATCH($A13,ABR!$A$8:$A$73,0))&amp;"","")</f>
        <v/>
      </c>
      <c r="G13" s="123">
        <f>IFERROR(INDEX(ABR!AK$8:AK$73,MATCH($A13,ABR!$A$8:$A$73,0))&amp;"","")</f>
        <v/>
      </c>
      <c r="H13" s="123">
        <f>IFERROR(INDEX(ABR!AL$8:AL$73,MATCH($A13,ABR!$A$8:$A$73,0))&amp;"","")</f>
        <v/>
      </c>
      <c r="I13" s="108" t="inlineStr">
        <is>
          <t>M</t>
        </is>
      </c>
      <c r="J13" s="116" t="inlineStr">
        <is>
          <t>N</t>
        </is>
      </c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7" t="n"/>
      <c r="R13" s="107" t="n"/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16" t="inlineStr">
        <is>
          <t>N</t>
        </is>
      </c>
      <c r="Y13" s="107" t="n"/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7" t="n"/>
      <c r="AF13" s="107" t="n"/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16" t="inlineStr">
        <is>
          <t>N</t>
        </is>
      </c>
      <c r="AM13" s="107" t="n"/>
      <c r="AN13" s="96" t="n"/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SUMPRODUCT(($E13:$K13="M")*6+($E13:$K13="T")*6+($E13:$K13="D")*12+($E13:$K13="N")*12+($E13:$K13="NT")*6+($E13:$K13="C")*10+($E13:$K13="A")*8+($E13:$K13="J")*5+($E13:$K13="E")*4+($E13:$K13="P")*6+($E13:$K13="R")*6)</f>
        <v/>
      </c>
      <c r="BF13" s="110">
        <f>SUMPRODUCT(($L13:$R13="M")*6+($L13:$R13="T")*6+($L13:$R13="D")*12+($L13:$R13="N")*12+($L13:$R13="NT")*6+($L13:$R13="C")*10+($L13:$R13="A")*8+($L13:$R13="J")*5+($L13:$R13="E")*4+($L13:$R13="P")*6+($L13:$R13="R")*6)</f>
        <v/>
      </c>
      <c r="BG13" s="110">
        <f>SUMPRODUCT(($S13:$Y13="M")*6+($S13:$Y13="T")*6+($S13:$Y13="D")*12+($S13:$Y13="N")*12+($S13:$Y13="NT")*6+($S13:$Y13="C")*10+($S13:$Y13="A")*8+($S13:$Y13="J")*5+($S13:$Y13="E")*4+($S13:$Y13="P")*6+($S13:$Y13="R")*6)</f>
        <v/>
      </c>
      <c r="BH13" s="110">
        <f>SUMPRODUCT(($Z13:$AF13="M")*6+($Z13:$AF13="T")*6+($Z13:$AF13="D")*12+($Z13:$AF13="N")*12+($Z13:$AF13="NT")*6+($Z13:$AF13="C")*10+($Z13:$AF13="A")*8+($Z13:$AF13="J")*5+($Z13:$AF13="E")*4+($Z13:$AF13="P")*6+($Z13:$AF13="R")*6)</f>
        <v/>
      </c>
      <c r="BI13" s="110">
        <f>SUMPRODUCT(($AG13:$AM13="M")*6+($AG13:$AM13="T")*6+($AG13:$AM13="D")*12+($AG13:$AM13="N")*12+($AG13:$AM13="NT")*6+($AG13:$AM13="C")*10+($AG13:$AM13="A")*8+($AG13:$AM13="J")*5+($AG13:$AM13="E")*4+($AG13:$AM13="P")*6+($AG13:$AM13="R")*6)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123">
        <f>IFERROR(INDEX(ABR!AI$8:AI$73,MATCH($A14,ABR!$A$8:$A$73,0))&amp;"","")</f>
        <v/>
      </c>
      <c r="F14" s="123">
        <f>IFERROR(INDEX(ABR!AJ$8:AJ$73,MATCH($A14,ABR!$A$8:$A$73,0))&amp;"","")</f>
        <v/>
      </c>
      <c r="G14" s="123">
        <f>IFERROR(INDEX(ABR!AK$8:AK$73,MATCH($A14,ABR!$A$8:$A$73,0))&amp;"","")</f>
        <v/>
      </c>
      <c r="H14" s="123">
        <f>IFERROR(INDEX(ABR!AL$8:AL$73,MATCH($A14,ABR!$A$8:$A$73,0))&amp;"","")</f>
        <v/>
      </c>
      <c r="I14" s="107" t="n"/>
      <c r="J14" s="107" t="n"/>
      <c r="K14" s="107" t="n"/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7" t="n"/>
      <c r="R14" s="107" t="n"/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7" t="n"/>
      <c r="Y14" s="115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7" t="n"/>
      <c r="AF14" s="107" t="n"/>
      <c r="AG14" s="108" t="inlineStr">
        <is>
          <t>M</t>
        </is>
      </c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7" t="n"/>
      <c r="AM14" s="115" t="inlineStr">
        <is>
          <t>D</t>
        </is>
      </c>
      <c r="AN14" s="96" t="n"/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SUMPRODUCT(($E14:$K14="M")*6+($E14:$K14="T")*6+($E14:$K14="D")*12+($E14:$K14="N")*12+($E14:$K14="NT")*6+($E14:$K14="C")*10+($E14:$K14="A")*8+($E14:$K14="J")*5+($E14:$K14="E")*4+($E14:$K14="P")*6+($E14:$K14="R")*6)</f>
        <v/>
      </c>
      <c r="BF14" s="110">
        <f>SUMPRODUCT(($L14:$R14="M")*6+($L14:$R14="T")*6+($L14:$R14="D")*12+($L14:$R14="N")*12+($L14:$R14="NT")*6+($L14:$R14="C")*10+($L14:$R14="A")*8+($L14:$R14="J")*5+($L14:$R14="E")*4+($L14:$R14="P")*6+($L14:$R14="R")*6)</f>
        <v/>
      </c>
      <c r="BG14" s="110">
        <f>SUMPRODUCT(($S14:$Y14="M")*6+($S14:$Y14="T")*6+($S14:$Y14="D")*12+($S14:$Y14="N")*12+($S14:$Y14="NT")*6+($S14:$Y14="C")*10+($S14:$Y14="A")*8+($S14:$Y14="J")*5+($S14:$Y14="E")*4+($S14:$Y14="P")*6+($S14:$Y14="R")*6)</f>
        <v/>
      </c>
      <c r="BH14" s="110">
        <f>SUMPRODUCT(($Z14:$AF14="M")*6+($Z14:$AF14="T")*6+($Z14:$AF14="D")*12+($Z14:$AF14="N")*12+($Z14:$AF14="NT")*6+($Z14:$AF14="C")*10+($Z14:$AF14="A")*8+($Z14:$AF14="J")*5+($Z14:$AF14="E")*4+($Z14:$AF14="P")*6+($Z14:$AF14="R")*6)</f>
        <v/>
      </c>
      <c r="BI14" s="110">
        <f>SUMPRODUCT(($AG14:$AM14="M")*6+($AG14:$AM14="T")*6+($AG14:$AM14="D")*12+($AG14:$AM14="N")*12+($AG14:$AM14="NT")*6+($AG14:$AM14="C")*10+($AG14:$AM14="A")*8+($AG14:$AM14="J")*5+($AG14:$AM14="E")*4+($AG14:$AM14="P")*6+($AG14:$AM14="R")*6)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123">
        <f>IFERROR(INDEX(ABR!AI$8:AI$73,MATCH($A15,ABR!$A$8:$A$73,0))&amp;"","")</f>
        <v/>
      </c>
      <c r="F15" s="123">
        <f>IFERROR(INDEX(ABR!AJ$8:AJ$73,MATCH($A15,ABR!$A$8:$A$73,0))&amp;"","")</f>
        <v/>
      </c>
      <c r="G15" s="123">
        <f>IFERROR(INDEX(ABR!AK$8:AK$73,MATCH($A15,ABR!$A$8:$A$73,0))&amp;"","")</f>
        <v/>
      </c>
      <c r="H15" s="123">
        <f>IFERROR(INDEX(ABR!AL$8:AL$73,MATCH($A15,ABR!$A$8:$A$73,0))&amp;"","")</f>
        <v/>
      </c>
      <c r="I15" s="108" t="inlineStr">
        <is>
          <t>M</t>
        </is>
      </c>
      <c r="J15" s="116" t="inlineStr">
        <is>
          <t>N</t>
        </is>
      </c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7" t="n"/>
      <c r="AF15" s="107" t="n"/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5" t="inlineStr">
        <is>
          <t>D</t>
        </is>
      </c>
      <c r="AL15" s="107" t="n"/>
      <c r="AM15" s="108" t="inlineStr">
        <is>
          <t>M</t>
        </is>
      </c>
      <c r="AN15" s="96" t="n"/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SUMPRODUCT(($E15:$K15="M")*6+($E15:$K15="T")*6+($E15:$K15="D")*12+($E15:$K15="N")*12+($E15:$K15="NT")*6+($E15:$K15="C")*10+($E15:$K15="A")*8+($E15:$K15="J")*5+($E15:$K15="E")*4+($E15:$K15="P")*6+($E15:$K15="R")*6)</f>
        <v/>
      </c>
      <c r="BF15" s="110">
        <f>SUMPRODUCT(($L15:$R15="M")*6+($L15:$R15="T")*6+($L15:$R15="D")*12+($L15:$R15="N")*12+($L15:$R15="NT")*6+($L15:$R15="C")*10+($L15:$R15="A")*8+($L15:$R15="J")*5+($L15:$R15="E")*4+($L15:$R15="P")*6+($L15:$R15="R")*6)</f>
        <v/>
      </c>
      <c r="BG15" s="110">
        <f>SUMPRODUCT(($S15:$Y15="M")*6+($S15:$Y15="T")*6+($S15:$Y15="D")*12+($S15:$Y15="N")*12+($S15:$Y15="NT")*6+($S15:$Y15="C")*10+($S15:$Y15="A")*8+($S15:$Y15="J")*5+($S15:$Y15="E")*4+($S15:$Y15="P")*6+($S15:$Y15="R")*6)</f>
        <v/>
      </c>
      <c r="BH15" s="110">
        <f>SUMPRODUCT(($Z15:$AF15="M")*6+($Z15:$AF15="T")*6+($Z15:$AF15="D")*12+($Z15:$AF15="N")*12+($Z15:$AF15="NT")*6+($Z15:$AF15="C")*10+($Z15:$AF15="A")*8+($Z15:$AF15="J")*5+($Z15:$AF15="E")*4+($Z15:$AF15="P")*6+($Z15:$AF15="R")*6)</f>
        <v/>
      </c>
      <c r="BI15" s="110">
        <f>SUMPRODUCT(($AG15:$AM15="M")*6+($AG15:$AM15="T")*6+($AG15:$AM15="D")*12+($AG15:$AM15="N")*12+($AG15:$AM15="NT")*6+($AG15:$AM15="C")*10+($AG15:$AM15="A")*8+($AG15:$AM15="J")*5+($AG15:$AM15="E")*4+($AG15:$AM15="P")*6+($AG15:$AM15="R")*6)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123">
        <f>IFERROR(INDEX(ABR!AI$8:AI$73,MATCH($A16,ABR!$A$8:$A$73,0))&amp;"","")</f>
        <v/>
      </c>
      <c r="F16" s="123">
        <f>IFERROR(INDEX(ABR!AJ$8:AJ$73,MATCH($A16,ABR!$A$8:$A$73,0))&amp;"","")</f>
        <v/>
      </c>
      <c r="G16" s="123">
        <f>IFERROR(INDEX(ABR!AK$8:AK$73,MATCH($A16,ABR!$A$8:$A$73,0))&amp;"","")</f>
        <v/>
      </c>
      <c r="H16" s="123">
        <f>IFERROR(INDEX(ABR!AL$8:AL$73,MATCH($A16,ABR!$A$8:$A$73,0))&amp;"","")</f>
        <v/>
      </c>
      <c r="I16" s="115" t="inlineStr">
        <is>
          <t>D</t>
        </is>
      </c>
      <c r="J16" s="107" t="n"/>
      <c r="K16" s="107" t="n"/>
      <c r="L16" s="115" t="inlineStr">
        <is>
          <t>D</t>
        </is>
      </c>
      <c r="M16" s="117" t="inlineStr">
        <is>
          <t>T</t>
        </is>
      </c>
      <c r="N16" s="107" t="n"/>
      <c r="O16" s="107" t="n"/>
      <c r="P16" s="115" t="inlineStr">
        <is>
          <t>D</t>
        </is>
      </c>
      <c r="Q16" s="107" t="n"/>
      <c r="R16" s="107" t="n"/>
      <c r="S16" s="115" t="inlineStr">
        <is>
          <t>D</t>
        </is>
      </c>
      <c r="T16" s="107" t="n"/>
      <c r="U16" s="107" t="n"/>
      <c r="V16" s="107" t="n"/>
      <c r="W16" s="115" t="inlineStr">
        <is>
          <t>D</t>
        </is>
      </c>
      <c r="X16" s="107" t="n"/>
      <c r="Y16" s="117" t="inlineStr">
        <is>
          <t>T</t>
        </is>
      </c>
      <c r="Z16" s="115" t="inlineStr">
        <is>
          <t>D</t>
        </is>
      </c>
      <c r="AA16" s="107" t="n"/>
      <c r="AB16" s="107" t="n"/>
      <c r="AC16" s="107" t="n"/>
      <c r="AD16" s="117" t="inlineStr">
        <is>
          <t>T</t>
        </is>
      </c>
      <c r="AE16" s="107" t="n"/>
      <c r="AF16" s="115" t="inlineStr">
        <is>
          <t>D</t>
        </is>
      </c>
      <c r="AG16" s="117" t="inlineStr">
        <is>
          <t>T</t>
        </is>
      </c>
      <c r="AH16" s="117" t="inlineStr">
        <is>
          <t>T</t>
        </is>
      </c>
      <c r="AI16" s="107" t="n"/>
      <c r="AJ16" s="107" t="n"/>
      <c r="AK16" s="117" t="inlineStr">
        <is>
          <t>T</t>
        </is>
      </c>
      <c r="AL16" s="107" t="n"/>
      <c r="AM16" s="115" t="inlineStr">
        <is>
          <t>D</t>
        </is>
      </c>
      <c r="AN16" s="96" t="n"/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SUMPRODUCT(($E16:$K16="M")*6+($E16:$K16="T")*6+($E16:$K16="D")*12+($E16:$K16="N")*12+($E16:$K16="NT")*6+($E16:$K16="C")*10+($E16:$K16="A")*8+($E16:$K16="J")*5+($E16:$K16="E")*4+($E16:$K16="P")*6+($E16:$K16="R")*6)</f>
        <v/>
      </c>
      <c r="BF16" s="110">
        <f>SUMPRODUCT(($L16:$R16="M")*6+($L16:$R16="T")*6+($L16:$R16="D")*12+($L16:$R16="N")*12+($L16:$R16="NT")*6+($L16:$R16="C")*10+($L16:$R16="A")*8+($L16:$R16="J")*5+($L16:$R16="E")*4+($L16:$R16="P")*6+($L16:$R16="R")*6)</f>
        <v/>
      </c>
      <c r="BG16" s="110">
        <f>SUMPRODUCT(($S16:$Y16="M")*6+($S16:$Y16="T")*6+($S16:$Y16="D")*12+($S16:$Y16="N")*12+($S16:$Y16="NT")*6+($S16:$Y16="C")*10+($S16:$Y16="A")*8+($S16:$Y16="J")*5+($S16:$Y16="E")*4+($S16:$Y16="P")*6+($S16:$Y16="R")*6)</f>
        <v/>
      </c>
      <c r="BH16" s="110">
        <f>SUMPRODUCT(($Z16:$AF16="M")*6+($Z16:$AF16="T")*6+($Z16:$AF16="D")*12+($Z16:$AF16="N")*12+($Z16:$AF16="NT")*6+($Z16:$AF16="C")*10+($Z16:$AF16="A")*8+($Z16:$AF16="J")*5+($Z16:$AF16="E")*4+($Z16:$AF16="P")*6+($Z16:$AF16="R")*6)</f>
        <v/>
      </c>
      <c r="BI16" s="110">
        <f>SUMPRODUCT(($AG16:$AM16="M")*6+($AG16:$AM16="T")*6+($AG16:$AM16="D")*12+($AG16:$AM16="N")*12+($AG16:$AM16="NT")*6+($AG16:$AM16="C")*10+($AG16:$AM16="A")*8+($AG16:$AM16="J")*5+($AG16:$AM16="E")*4+($AG16:$AM16="P")*6+($AG16:$AM16="R")*6)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123">
        <f>IFERROR(INDEX(ABR!AI$8:AI$73,MATCH($A17,ABR!$A$8:$A$73,0))&amp;"","")</f>
        <v/>
      </c>
      <c r="F17" s="123">
        <f>IFERROR(INDEX(ABR!AJ$8:AJ$73,MATCH($A17,ABR!$A$8:$A$73,0))&amp;"","")</f>
        <v/>
      </c>
      <c r="G17" s="123">
        <f>IFERROR(INDEX(ABR!AK$8:AK$73,MATCH($A17,ABR!$A$8:$A$73,0))&amp;"","")</f>
        <v/>
      </c>
      <c r="H17" s="123">
        <f>IFERROR(INDEX(ABR!AL$8:AL$73,MATCH($A17,ABR!$A$8:$A$73,0))&amp;"","")</f>
        <v/>
      </c>
      <c r="I17" s="107" t="n"/>
      <c r="J17" s="107" t="n"/>
      <c r="K17" s="107" t="n"/>
      <c r="L17" s="117" t="inlineStr">
        <is>
          <t>T</t>
        </is>
      </c>
      <c r="M17" s="108" t="inlineStr">
        <is>
          <t>M</t>
        </is>
      </c>
      <c r="N17" s="115" t="inlineStr">
        <is>
          <t>D</t>
        </is>
      </c>
      <c r="O17" s="107" t="n"/>
      <c r="P17" s="117" t="inlineStr">
        <is>
          <t>T</t>
        </is>
      </c>
      <c r="Q17" s="116" t="inlineStr">
        <is>
          <t>N</t>
        </is>
      </c>
      <c r="R17" s="107" t="n"/>
      <c r="S17" s="107" t="n"/>
      <c r="T17" s="108" t="inlineStr">
        <is>
          <t>M</t>
        </is>
      </c>
      <c r="U17" s="107" t="n"/>
      <c r="V17" s="116" t="inlineStr">
        <is>
          <t>N</t>
        </is>
      </c>
      <c r="W17" s="107" t="n"/>
      <c r="X17" s="108" t="inlineStr">
        <is>
          <t>M</t>
        </is>
      </c>
      <c r="Y17" s="107" t="n"/>
      <c r="Z17" s="117" t="inlineStr">
        <is>
          <t>T</t>
        </is>
      </c>
      <c r="AA17" s="116" t="inlineStr">
        <is>
          <t>N</t>
        </is>
      </c>
      <c r="AB17" s="107" t="n"/>
      <c r="AC17" s="108" t="inlineStr">
        <is>
          <t>M</t>
        </is>
      </c>
      <c r="AD17" s="115" t="inlineStr">
        <is>
          <t>D</t>
        </is>
      </c>
      <c r="AE17" s="116" t="inlineStr">
        <is>
          <t>N</t>
        </is>
      </c>
      <c r="AF17" s="107" t="n"/>
      <c r="AG17" s="116" t="inlineStr">
        <is>
          <t>N</t>
        </is>
      </c>
      <c r="AH17" s="108" t="inlineStr">
        <is>
          <t>M</t>
        </is>
      </c>
      <c r="AI17" s="107" t="n"/>
      <c r="AJ17" s="116" t="inlineStr">
        <is>
          <t>N</t>
        </is>
      </c>
      <c r="AK17" s="107" t="n"/>
      <c r="AL17" s="107" t="n"/>
      <c r="AM17" s="116" t="inlineStr">
        <is>
          <t>N</t>
        </is>
      </c>
      <c r="AN17" s="96" t="n"/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SUMPRODUCT(($E17:$K17="M")*6+($E17:$K17="T")*6+($E17:$K17="D")*12+($E17:$K17="N")*12+($E17:$K17="NT")*6+($E17:$K17="C")*10+($E17:$K17="A")*8+($E17:$K17="J")*5+($E17:$K17="E")*4+($E17:$K17="P")*6+($E17:$K17="R")*6)</f>
        <v/>
      </c>
      <c r="BF17" s="110">
        <f>SUMPRODUCT(($L17:$R17="M")*6+($L17:$R17="T")*6+($L17:$R17="D")*12+($L17:$R17="N")*12+($L17:$R17="NT")*6+($L17:$R17="C")*10+($L17:$R17="A")*8+($L17:$R17="J")*5+($L17:$R17="E")*4+($L17:$R17="P")*6+($L17:$R17="R")*6)</f>
        <v/>
      </c>
      <c r="BG17" s="110">
        <f>SUMPRODUCT(($S17:$Y17="M")*6+($S17:$Y17="T")*6+($S17:$Y17="D")*12+($S17:$Y17="N")*12+($S17:$Y17="NT")*6+($S17:$Y17="C")*10+($S17:$Y17="A")*8+($S17:$Y17="J")*5+($S17:$Y17="E")*4+($S17:$Y17="P")*6+($S17:$Y17="R")*6)</f>
        <v/>
      </c>
      <c r="BH17" s="110">
        <f>SUMPRODUCT(($Z17:$AF17="M")*6+($Z17:$AF17="T")*6+($Z17:$AF17="D")*12+($Z17:$AF17="N")*12+($Z17:$AF17="NT")*6+($Z17:$AF17="C")*10+($Z17:$AF17="A")*8+($Z17:$AF17="J")*5+($Z17:$AF17="E")*4+($Z17:$AF17="P")*6+($Z17:$AF17="R")*6)</f>
        <v/>
      </c>
      <c r="BI17" s="110">
        <f>SUMPRODUCT(($AG17:$AM17="M")*6+($AG17:$AM17="T")*6+($AG17:$AM17="D")*12+($AG17:$AM17="N")*12+($AG17:$AM17="NT")*6+($AG17:$AM17="C")*10+($AG17:$AM17="A")*8+($AG17:$AM17="J")*5+($AG17:$AM17="E")*4+($AG17:$AM17="P")*6+($AG17:$AM17="R")*6)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123">
        <f>IFERROR(INDEX(ABR!AI$8:AI$73,MATCH($A18,ABR!$A$8:$A$73,0))&amp;"","")</f>
        <v/>
      </c>
      <c r="F18" s="123">
        <f>IFERROR(INDEX(ABR!AJ$8:AJ$73,MATCH($A18,ABR!$A$8:$A$73,0))&amp;"","")</f>
        <v/>
      </c>
      <c r="G18" s="123">
        <f>IFERROR(INDEX(ABR!AK$8:AK$73,MATCH($A18,ABR!$A$8:$A$73,0))&amp;"","")</f>
        <v/>
      </c>
      <c r="H18" s="123">
        <f>IFERROR(INDEX(ABR!AL$8:AL$73,MATCH($A18,ABR!$A$8:$A$73,0))&amp;"","")</f>
        <v/>
      </c>
      <c r="I18" s="107" t="n"/>
      <c r="J18" s="107" t="n"/>
      <c r="K18" s="107" t="n"/>
      <c r="L18" s="108" t="inlineStr">
        <is>
          <t>M</t>
        </is>
      </c>
      <c r="M18" s="115" t="inlineStr">
        <is>
          <t>D</t>
        </is>
      </c>
      <c r="N18" s="115" t="inlineStr">
        <is>
          <t>D</t>
        </is>
      </c>
      <c r="O18" s="107" t="n"/>
      <c r="P18" s="107" t="n"/>
      <c r="Q18" s="108" t="inlineStr">
        <is>
          <t>M</t>
        </is>
      </c>
      <c r="R18" s="107" t="n"/>
      <c r="S18" s="115" t="inlineStr">
        <is>
          <t>D</t>
        </is>
      </c>
      <c r="T18" s="107" t="n"/>
      <c r="U18" s="115" t="inlineStr">
        <is>
          <t>D</t>
        </is>
      </c>
      <c r="V18" s="107" t="n"/>
      <c r="W18" s="107" t="n"/>
      <c r="X18" s="107" t="n"/>
      <c r="Y18" s="115" t="inlineStr">
        <is>
          <t>D</t>
        </is>
      </c>
      <c r="Z18" s="115" t="inlineStr">
        <is>
          <t>D</t>
        </is>
      </c>
      <c r="AA18" s="115" t="inlineStr">
        <is>
          <t>D</t>
        </is>
      </c>
      <c r="AB18" s="115" t="inlineStr">
        <is>
          <t>D</t>
        </is>
      </c>
      <c r="AC18" s="107" t="n"/>
      <c r="AD18" s="107" t="n"/>
      <c r="AE18" s="107" t="n"/>
      <c r="AF18" s="107" t="n"/>
      <c r="AG18" s="107" t="n"/>
      <c r="AH18" s="115" t="inlineStr">
        <is>
          <t>D</t>
        </is>
      </c>
      <c r="AI18" s="115" t="inlineStr">
        <is>
          <t>D</t>
        </is>
      </c>
      <c r="AJ18" s="107" t="n"/>
      <c r="AK18" s="107" t="n"/>
      <c r="AL18" s="107" t="n"/>
      <c r="AM18" s="115" t="inlineStr">
        <is>
          <t>D</t>
        </is>
      </c>
      <c r="AN18" s="96" t="n"/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SUMPRODUCT(($E18:$K18="M")*6+($E18:$K18="T")*6+($E18:$K18="D")*12+($E18:$K18="N")*12+($E18:$K18="NT")*6+($E18:$K18="C")*10+($E18:$K18="A")*8+($E18:$K18="J")*5+($E18:$K18="E")*4+($E18:$K18="P")*6+($E18:$K18="R")*6)</f>
        <v/>
      </c>
      <c r="BF18" s="110">
        <f>SUMPRODUCT(($L18:$R18="M")*6+($L18:$R18="T")*6+($L18:$R18="D")*12+($L18:$R18="N")*12+($L18:$R18="NT")*6+($L18:$R18="C")*10+($L18:$R18="A")*8+($L18:$R18="J")*5+($L18:$R18="E")*4+($L18:$R18="P")*6+($L18:$R18="R")*6)</f>
        <v/>
      </c>
      <c r="BG18" s="110">
        <f>SUMPRODUCT(($S18:$Y18="M")*6+($S18:$Y18="T")*6+($S18:$Y18="D")*12+($S18:$Y18="N")*12+($S18:$Y18="NT")*6+($S18:$Y18="C")*10+($S18:$Y18="A")*8+($S18:$Y18="J")*5+($S18:$Y18="E")*4+($S18:$Y18="P")*6+($S18:$Y18="R")*6)</f>
        <v/>
      </c>
      <c r="BH18" s="110">
        <f>SUMPRODUCT(($Z18:$AF18="M")*6+($Z18:$AF18="T")*6+($Z18:$AF18="D")*12+($Z18:$AF18="N")*12+($Z18:$AF18="NT")*6+($Z18:$AF18="C")*10+($Z18:$AF18="A")*8+($Z18:$AF18="J")*5+($Z18:$AF18="E")*4+($Z18:$AF18="P")*6+($Z18:$AF18="R")*6)</f>
        <v/>
      </c>
      <c r="BI18" s="110">
        <f>SUMPRODUCT(($AG18:$AM18="M")*6+($AG18:$AM18="T")*6+($AG18:$AM18="D")*12+($AG18:$AM18="N")*12+($AG18:$AM18="NT")*6+($AG18:$AM18="C")*10+($AG18:$AM18="A")*8+($AG18:$AM18="J")*5+($AG18:$AM18="E")*4+($AG18:$AM18="P")*6+($AG18:$AM18="R")*6)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123">
        <f>IFERROR(INDEX(ABR!AI$8:AI$73,MATCH($A19,ABR!$A$8:$A$73,0))&amp;"","")</f>
        <v/>
      </c>
      <c r="F19" s="123">
        <f>IFERROR(INDEX(ABR!AJ$8:AJ$73,MATCH($A19,ABR!$A$8:$A$73,0))&amp;"","")</f>
        <v/>
      </c>
      <c r="G19" s="123">
        <f>IFERROR(INDEX(ABR!AK$8:AK$73,MATCH($A19,ABR!$A$8:$A$73,0))&amp;"","")</f>
        <v/>
      </c>
      <c r="H19" s="123">
        <f>IFERROR(INDEX(ABR!AL$8:AL$73,MATCH($A19,ABR!$A$8:$A$73,0))&amp;"","")</f>
        <v/>
      </c>
      <c r="I19" s="116" t="inlineStr">
        <is>
          <t>N</t>
        </is>
      </c>
      <c r="J19" s="107" t="n"/>
      <c r="K19" s="107" t="n"/>
      <c r="L19" s="107" t="n"/>
      <c r="M19" s="107" t="n"/>
      <c r="N19" s="116" t="inlineStr">
        <is>
          <t>N</t>
        </is>
      </c>
      <c r="O19" s="116" t="inlineStr">
        <is>
          <t>N</t>
        </is>
      </c>
      <c r="P19" s="107" t="n"/>
      <c r="Q19" s="107" t="n"/>
      <c r="R19" s="116" t="inlineStr">
        <is>
          <t>N</t>
        </is>
      </c>
      <c r="S19" s="116" t="inlineStr">
        <is>
          <t>N</t>
        </is>
      </c>
      <c r="T19" s="107" t="n"/>
      <c r="U19" s="116" t="inlineStr">
        <is>
          <t>N</t>
        </is>
      </c>
      <c r="V19" s="116" t="inlineStr">
        <is>
          <t>N</t>
        </is>
      </c>
      <c r="W19" s="107" t="n"/>
      <c r="X19" s="107" t="n"/>
      <c r="Y19" s="107" t="n"/>
      <c r="Z19" s="107" t="n"/>
      <c r="AA19" s="107" t="n"/>
      <c r="AB19" s="116" t="inlineStr">
        <is>
          <t>N</t>
        </is>
      </c>
      <c r="AC19" s="107" t="n"/>
      <c r="AD19" s="116" t="inlineStr">
        <is>
          <t>N</t>
        </is>
      </c>
      <c r="AE19" s="107" t="n"/>
      <c r="AF19" s="116" t="inlineStr">
        <is>
          <t>N</t>
        </is>
      </c>
      <c r="AG19" s="107" t="n"/>
      <c r="AH19" s="107" t="n"/>
      <c r="AI19" s="116" t="inlineStr">
        <is>
          <t>N</t>
        </is>
      </c>
      <c r="AJ19" s="116" t="inlineStr">
        <is>
          <t>N</t>
        </is>
      </c>
      <c r="AK19" s="107" t="n"/>
      <c r="AL19" s="116" t="inlineStr">
        <is>
          <t>N</t>
        </is>
      </c>
      <c r="AM19" s="107" t="n"/>
      <c r="AN19" s="96" t="n"/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SUMPRODUCT(($E19:$K19="M")*6+($E19:$K19="T")*6+($E19:$K19="D")*12+($E19:$K19="N")*12+($E19:$K19="NT")*6+($E19:$K19="C")*10+($E19:$K19="A")*8+($E19:$K19="J")*5+($E19:$K19="E")*4+($E19:$K19="P")*6+($E19:$K19="R")*6)</f>
        <v/>
      </c>
      <c r="BF19" s="110">
        <f>SUMPRODUCT(($L19:$R19="M")*6+($L19:$R19="T")*6+($L19:$R19="D")*12+($L19:$R19="N")*12+($L19:$R19="NT")*6+($L19:$R19="C")*10+($L19:$R19="A")*8+($L19:$R19="J")*5+($L19:$R19="E")*4+($L19:$R19="P")*6+($L19:$R19="R")*6)</f>
        <v/>
      </c>
      <c r="BG19" s="110">
        <f>SUMPRODUCT(($S19:$Y19="M")*6+($S19:$Y19="T")*6+($S19:$Y19="D")*12+($S19:$Y19="N")*12+($S19:$Y19="NT")*6+($S19:$Y19="C")*10+($S19:$Y19="A")*8+($S19:$Y19="J")*5+($S19:$Y19="E")*4+($S19:$Y19="P")*6+($S19:$Y19="R")*6)</f>
        <v/>
      </c>
      <c r="BH19" s="110">
        <f>SUMPRODUCT(($Z19:$AF19="M")*6+($Z19:$AF19="T")*6+($Z19:$AF19="D")*12+($Z19:$AF19="N")*12+($Z19:$AF19="NT")*6+($Z19:$AF19="C")*10+($Z19:$AF19="A")*8+($Z19:$AF19="J")*5+($Z19:$AF19="E")*4+($Z19:$AF19="P")*6+($Z19:$AF19="R")*6)</f>
        <v/>
      </c>
      <c r="BI19" s="110">
        <f>SUMPRODUCT(($AG19:$AM19="M")*6+($AG19:$AM19="T")*6+($AG19:$AM19="D")*12+($AG19:$AM19="N")*12+($AG19:$AM19="NT")*6+($AG19:$AM19="C")*10+($AG19:$AM19="A")*8+($AG19:$AM19="J")*5+($AG19:$AM19="E")*4+($AG19:$AM19="P")*6+($AG19:$AM19="R")*6)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123">
        <f>IFERROR(INDEX(ABR!AI$8:AI$73,MATCH($A20,ABR!$A$8:$A$73,0))&amp;"","")</f>
        <v/>
      </c>
      <c r="F20" s="123">
        <f>IFERROR(INDEX(ABR!AJ$8:AJ$73,MATCH($A20,ABR!$A$8:$A$73,0))&amp;"","")</f>
        <v/>
      </c>
      <c r="G20" s="123">
        <f>IFERROR(INDEX(ABR!AK$8:AK$73,MATCH($A20,ABR!$A$8:$A$73,0))&amp;"","")</f>
        <v/>
      </c>
      <c r="H20" s="123">
        <f>IFERROR(INDEX(ABR!AL$8:AL$73,MATCH($A20,ABR!$A$8:$A$73,0))&amp;"","")</f>
        <v/>
      </c>
      <c r="I20" s="107" t="n"/>
      <c r="J20" s="116" t="inlineStr">
        <is>
          <t>N</t>
        </is>
      </c>
      <c r="K20" s="107" t="n"/>
      <c r="L20" s="107" t="n"/>
      <c r="M20" s="116" t="inlineStr">
        <is>
          <t>N</t>
        </is>
      </c>
      <c r="N20" s="116" t="inlineStr">
        <is>
          <t>N</t>
        </is>
      </c>
      <c r="O20" s="107" t="n"/>
      <c r="P20" s="107" t="n"/>
      <c r="Q20" s="107" t="n"/>
      <c r="R20" s="116" t="inlineStr">
        <is>
          <t>N</t>
        </is>
      </c>
      <c r="S20" s="107" t="n"/>
      <c r="T20" s="116" t="inlineStr">
        <is>
          <t>N</t>
        </is>
      </c>
      <c r="U20" s="116" t="inlineStr">
        <is>
          <t>N</t>
        </is>
      </c>
      <c r="V20" s="116" t="inlineStr">
        <is>
          <t>N</t>
        </is>
      </c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96" t="n"/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SUMPRODUCT(($E20:$K20="M")*6+($E20:$K20="T")*6+($E20:$K20="D")*12+($E20:$K20="N")*12+($E20:$K20="NT")*6+($E20:$K20="C")*10+($E20:$K20="A")*8+($E20:$K20="J")*5+($E20:$K20="E")*4+($E20:$K20="P")*6+($E20:$K20="R")*6)</f>
        <v/>
      </c>
      <c r="BF20" s="110">
        <f>SUMPRODUCT(($L20:$R20="M")*6+($L20:$R20="T")*6+($L20:$R20="D")*12+($L20:$R20="N")*12+($L20:$R20="NT")*6+($L20:$R20="C")*10+($L20:$R20="A")*8+($L20:$R20="J")*5+($L20:$R20="E")*4+($L20:$R20="P")*6+($L20:$R20="R")*6)</f>
        <v/>
      </c>
      <c r="BG20" s="110">
        <f>SUMPRODUCT(($S20:$Y20="M")*6+($S20:$Y20="T")*6+($S20:$Y20="D")*12+($S20:$Y20="N")*12+($S20:$Y20="NT")*6+($S20:$Y20="C")*10+($S20:$Y20="A")*8+($S20:$Y20="J")*5+($S20:$Y20="E")*4+($S20:$Y20="P")*6+($S20:$Y20="R")*6)</f>
        <v/>
      </c>
      <c r="BH20" s="110">
        <f>SUMPRODUCT(($Z20:$AF20="M")*6+($Z20:$AF20="T")*6+($Z20:$AF20="D")*12+($Z20:$AF20="N")*12+($Z20:$AF20="NT")*6+($Z20:$AF20="C")*10+($Z20:$AF20="A")*8+($Z20:$AF20="J")*5+($Z20:$AF20="E")*4+($Z20:$AF20="P")*6+($Z20:$AF20="R")*6)</f>
        <v/>
      </c>
      <c r="BI20" s="110">
        <f>SUMPRODUCT(($AG20:$AM20="M")*6+($AG20:$AM20="T")*6+($AG20:$AM20="D")*12+($AG20:$AM20="N")*12+($AG20:$AM20="NT")*6+($AG20:$AM20="C")*10+($AG20:$AM20="A")*8+($AG20:$AM20="J")*5+($AG20:$AM20="E")*4+($AG20:$AM20="P")*6+($AG20:$AM20="R")*6)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123">
        <f>IFERROR(INDEX(ABR!AI$8:AI$73,MATCH($A21,ABR!$A$8:$A$73,0))&amp;"","")</f>
        <v/>
      </c>
      <c r="F21" s="123">
        <f>IFERROR(INDEX(ABR!AJ$8:AJ$73,MATCH($A21,ABR!$A$8:$A$73,0))&amp;"","")</f>
        <v/>
      </c>
      <c r="G21" s="123">
        <f>IFERROR(INDEX(ABR!AK$8:AK$73,MATCH($A21,ABR!$A$8:$A$73,0))&amp;"","")</f>
        <v/>
      </c>
      <c r="H21" s="123">
        <f>IFERROR(INDEX(ABR!AL$8:AL$73,MATCH($A21,ABR!$A$8:$A$73,0))&amp;"","")</f>
        <v/>
      </c>
      <c r="I21" s="107" t="n"/>
      <c r="J21" s="107" t="n"/>
      <c r="K21" s="107" t="n"/>
      <c r="L21" s="117" t="inlineStr">
        <is>
          <t>T</t>
        </is>
      </c>
      <c r="M21" s="115" t="inlineStr">
        <is>
          <t>D</t>
        </is>
      </c>
      <c r="N21" s="108" t="inlineStr">
        <is>
          <t>M</t>
        </is>
      </c>
      <c r="O21" s="107" t="n"/>
      <c r="P21" s="107" t="n"/>
      <c r="Q21" s="107" t="n"/>
      <c r="R21" s="116" t="inlineStr">
        <is>
          <t>N</t>
        </is>
      </c>
      <c r="S21" s="117" t="inlineStr">
        <is>
          <t>T</t>
        </is>
      </c>
      <c r="T21" s="115" t="inlineStr">
        <is>
          <t>D</t>
        </is>
      </c>
      <c r="U21" s="117" t="inlineStr">
        <is>
          <t>T</t>
        </is>
      </c>
      <c r="V21" s="115" t="inlineStr">
        <is>
          <t>D</t>
        </is>
      </c>
      <c r="W21" s="107" t="n"/>
      <c r="X21" s="107" t="n"/>
      <c r="Y21" s="107" t="n"/>
      <c r="Z21" s="117" t="inlineStr">
        <is>
          <t>T</t>
        </is>
      </c>
      <c r="AA21" s="107" t="n"/>
      <c r="AB21" s="117" t="inlineStr">
        <is>
          <t>T</t>
        </is>
      </c>
      <c r="AC21" s="116" t="inlineStr">
        <is>
          <t>N</t>
        </is>
      </c>
      <c r="AD21" s="107" t="n"/>
      <c r="AE21" s="116" t="inlineStr">
        <is>
          <t>N</t>
        </is>
      </c>
      <c r="AF21" s="107" t="n"/>
      <c r="AG21" s="117" t="inlineStr">
        <is>
          <t>T</t>
        </is>
      </c>
      <c r="AH21" s="108" t="inlineStr">
        <is>
          <t>M</t>
        </is>
      </c>
      <c r="AI21" s="117" t="inlineStr">
        <is>
          <t>T</t>
        </is>
      </c>
      <c r="AJ21" s="107" t="n"/>
      <c r="AK21" s="107" t="n"/>
      <c r="AL21" s="108" t="inlineStr">
        <is>
          <t>M</t>
        </is>
      </c>
      <c r="AM21" s="115" t="inlineStr">
        <is>
          <t>D</t>
        </is>
      </c>
      <c r="AN21" s="96" t="n"/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SUMPRODUCT(($E21:$K21="M")*6+($E21:$K21="T")*6+($E21:$K21="D")*12+($E21:$K21="N")*12+($E21:$K21="NT")*6+($E21:$K21="C")*10+($E21:$K21="A")*8+($E21:$K21="J")*5+($E21:$K21="E")*4+($E21:$K21="P")*6+($E21:$K21="R")*6)</f>
        <v/>
      </c>
      <c r="BF21" s="110">
        <f>SUMPRODUCT(($L21:$R21="M")*6+($L21:$R21="T")*6+($L21:$R21="D")*12+($L21:$R21="N")*12+($L21:$R21="NT")*6+($L21:$R21="C")*10+($L21:$R21="A")*8+($L21:$R21="J")*5+($L21:$R21="E")*4+($L21:$R21="P")*6+($L21:$R21="R")*6)</f>
        <v/>
      </c>
      <c r="BG21" s="110">
        <f>SUMPRODUCT(($S21:$Y21="M")*6+($S21:$Y21="T")*6+($S21:$Y21="D")*12+($S21:$Y21="N")*12+($S21:$Y21="NT")*6+($S21:$Y21="C")*10+($S21:$Y21="A")*8+($S21:$Y21="J")*5+($S21:$Y21="E")*4+($S21:$Y21="P")*6+($S21:$Y21="R")*6)</f>
        <v/>
      </c>
      <c r="BH21" s="110">
        <f>SUMPRODUCT(($Z21:$AF21="M")*6+($Z21:$AF21="T")*6+($Z21:$AF21="D")*12+($Z21:$AF21="N")*12+($Z21:$AF21="NT")*6+($Z21:$AF21="C")*10+($Z21:$AF21="A")*8+($Z21:$AF21="J")*5+($Z21:$AF21="E")*4+($Z21:$AF21="P")*6+($Z21:$AF21="R")*6)</f>
        <v/>
      </c>
      <c r="BI21" s="110">
        <f>SUMPRODUCT(($AG21:$AM21="M")*6+($AG21:$AM21="T")*6+($AG21:$AM21="D")*12+($AG21:$AM21="N")*12+($AG21:$AM21="NT")*6+($AG21:$AM21="C")*10+($AG21:$AM21="A")*8+($AG21:$AM21="J")*5+($AG21:$AM21="E")*4+($AG21:$AM21="P")*6+($AG21:$AM21="R")*6)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123">
        <f>IFERROR(INDEX(ABR!AI$8:AI$73,MATCH($A22,ABR!$A$8:$A$73,0))&amp;"","")</f>
        <v/>
      </c>
      <c r="F22" s="123">
        <f>IFERROR(INDEX(ABR!AJ$8:AJ$73,MATCH($A22,ABR!$A$8:$A$73,0))&amp;"","")</f>
        <v/>
      </c>
      <c r="G22" s="123">
        <f>IFERROR(INDEX(ABR!AK$8:AK$73,MATCH($A22,ABR!$A$8:$A$73,0))&amp;"","")</f>
        <v/>
      </c>
      <c r="H22" s="123">
        <f>IFERROR(INDEX(ABR!AL$8:AL$73,MATCH($A22,ABR!$A$8:$A$73,0))&amp;"","")</f>
        <v/>
      </c>
      <c r="I22" s="117" t="inlineStr">
        <is>
          <t>T</t>
        </is>
      </c>
      <c r="J22" s="107" t="n"/>
      <c r="K22" s="107" t="n"/>
      <c r="L22" s="107" t="n"/>
      <c r="M22" s="115" t="inlineStr">
        <is>
          <t>D</t>
        </is>
      </c>
      <c r="N22" s="107" t="n"/>
      <c r="O22" s="115" t="inlineStr">
        <is>
          <t>D</t>
        </is>
      </c>
      <c r="P22" s="107" t="n"/>
      <c r="Q22" s="115" t="inlineStr">
        <is>
          <t>D</t>
        </is>
      </c>
      <c r="R22" s="107" t="n"/>
      <c r="S22" s="107" t="n"/>
      <c r="T22" s="115" t="inlineStr">
        <is>
          <t>D</t>
        </is>
      </c>
      <c r="U22" s="108" t="inlineStr">
        <is>
          <t>M</t>
        </is>
      </c>
      <c r="V22" s="108" t="inlineStr">
        <is>
          <t>M</t>
        </is>
      </c>
      <c r="W22" s="107" t="n"/>
      <c r="X22" s="115" t="inlineStr">
        <is>
          <t>D</t>
        </is>
      </c>
      <c r="Y22" s="107" t="n"/>
      <c r="Z22" s="116" t="inlineStr">
        <is>
          <t>N</t>
        </is>
      </c>
      <c r="AA22" s="107" t="n"/>
      <c r="AB22" s="107" t="n"/>
      <c r="AC22" s="117" t="inlineStr">
        <is>
          <t>T</t>
        </is>
      </c>
      <c r="AD22" s="107" t="n"/>
      <c r="AE22" s="115" t="inlineStr">
        <is>
          <t>D</t>
        </is>
      </c>
      <c r="AF22" s="108" t="inlineStr">
        <is>
          <t>M</t>
        </is>
      </c>
      <c r="AG22" s="107" t="n"/>
      <c r="AH22" s="115" t="inlineStr">
        <is>
          <t>D</t>
        </is>
      </c>
      <c r="AI22" s="107" t="n"/>
      <c r="AJ22" s="115" t="inlineStr">
        <is>
          <t>D</t>
        </is>
      </c>
      <c r="AK22" s="116" t="inlineStr">
        <is>
          <t>N</t>
        </is>
      </c>
      <c r="AL22" s="107" t="n"/>
      <c r="AM22" s="107" t="n"/>
      <c r="AN22" s="96" t="n"/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SUMPRODUCT(($E22:$K22="M")*6+($E22:$K22="T")*6+($E22:$K22="D")*12+($E22:$K22="N")*12+($E22:$K22="NT")*6+($E22:$K22="C")*10+($E22:$K22="A")*8+($E22:$K22="J")*5+($E22:$K22="E")*4+($E22:$K22="P")*6+($E22:$K22="R")*6)</f>
        <v/>
      </c>
      <c r="BF22" s="110">
        <f>SUMPRODUCT(($L22:$R22="M")*6+($L22:$R22="T")*6+($L22:$R22="D")*12+($L22:$R22="N")*12+($L22:$R22="NT")*6+($L22:$R22="C")*10+($L22:$R22="A")*8+($L22:$R22="J")*5+($L22:$R22="E")*4+($L22:$R22="P")*6+($L22:$R22="R")*6)</f>
        <v/>
      </c>
      <c r="BG22" s="110">
        <f>SUMPRODUCT(($S22:$Y22="M")*6+($S22:$Y22="T")*6+($S22:$Y22="D")*12+($S22:$Y22="N")*12+($S22:$Y22="NT")*6+($S22:$Y22="C")*10+($S22:$Y22="A")*8+($S22:$Y22="J")*5+($S22:$Y22="E")*4+($S22:$Y22="P")*6+($S22:$Y22="R")*6)</f>
        <v/>
      </c>
      <c r="BH22" s="110">
        <f>SUMPRODUCT(($Z22:$AF22="M")*6+($Z22:$AF22="T")*6+($Z22:$AF22="D")*12+($Z22:$AF22="N")*12+($Z22:$AF22="NT")*6+($Z22:$AF22="C")*10+($Z22:$AF22="A")*8+($Z22:$AF22="J")*5+($Z22:$AF22="E")*4+($Z22:$AF22="P")*6+($Z22:$AF22="R")*6)</f>
        <v/>
      </c>
      <c r="BI22" s="110">
        <f>SUMPRODUCT(($AG22:$AM22="M")*6+($AG22:$AM22="T")*6+($AG22:$AM22="D")*12+($AG22:$AM22="N")*12+($AG22:$AM22="NT")*6+($AG22:$AM22="C")*10+($AG22:$AM22="A")*8+($AG22:$AM22="J")*5+($AG22:$AM22="E")*4+($AG22:$AM22="P")*6+($AG22:$AM22="R")*6)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123">
        <f>IFERROR(INDEX(ABR!AI$8:AI$73,MATCH($A23,ABR!$A$8:$A$73,0))&amp;"","")</f>
        <v/>
      </c>
      <c r="F23" s="123">
        <f>IFERROR(INDEX(ABR!AJ$8:AJ$73,MATCH($A23,ABR!$A$8:$A$73,0))&amp;"","")</f>
        <v/>
      </c>
      <c r="G23" s="123">
        <f>IFERROR(INDEX(ABR!AK$8:AK$73,MATCH($A23,ABR!$A$8:$A$73,0))&amp;"","")</f>
        <v/>
      </c>
      <c r="H23" s="123">
        <f>IFERROR(INDEX(ABR!AL$8:AL$73,MATCH($A23,ABR!$A$8:$A$73,0))&amp;"","")</f>
        <v/>
      </c>
      <c r="I23" s="107" t="n"/>
      <c r="J23" s="107" t="n"/>
      <c r="K23" s="107" t="n"/>
      <c r="L23" s="115" t="inlineStr">
        <is>
          <t>D</t>
        </is>
      </c>
      <c r="M23" s="115" t="inlineStr">
        <is>
          <t>D</t>
        </is>
      </c>
      <c r="N23" s="107" t="n"/>
      <c r="O23" s="115" t="inlineStr">
        <is>
          <t>D</t>
        </is>
      </c>
      <c r="P23" s="107" t="n"/>
      <c r="Q23" s="107" t="n"/>
      <c r="R23" s="107" t="n"/>
      <c r="S23" s="115" t="inlineStr">
        <is>
          <t>D</t>
        </is>
      </c>
      <c r="T23" s="107" t="n"/>
      <c r="U23" s="107" t="n"/>
      <c r="V23" s="107" t="n"/>
      <c r="W23" s="107" t="n"/>
      <c r="X23" s="115" t="inlineStr">
        <is>
          <t>D</t>
        </is>
      </c>
      <c r="Y23" s="115" t="inlineStr">
        <is>
          <t>D</t>
        </is>
      </c>
      <c r="Z23" s="107" t="n"/>
      <c r="AA23" s="115" t="inlineStr">
        <is>
          <t>D</t>
        </is>
      </c>
      <c r="AB23" s="107" t="n"/>
      <c r="AC23" s="115" t="inlineStr">
        <is>
          <t>D</t>
        </is>
      </c>
      <c r="AD23" s="107" t="n"/>
      <c r="AE23" s="107" t="n"/>
      <c r="AF23" s="115" t="inlineStr">
        <is>
          <t>D</t>
        </is>
      </c>
      <c r="AG23" s="115" t="inlineStr">
        <is>
          <t>D</t>
        </is>
      </c>
      <c r="AH23" s="115" t="inlineStr">
        <is>
          <t>D</t>
        </is>
      </c>
      <c r="AI23" s="107" t="n"/>
      <c r="AJ23" s="115" t="inlineStr">
        <is>
          <t>D</t>
        </is>
      </c>
      <c r="AK23" s="107" t="n"/>
      <c r="AL23" s="107" t="n"/>
      <c r="AM23" s="107" t="n"/>
      <c r="AN23" s="96" t="n"/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SUMPRODUCT(($E23:$K23="M")*6+($E23:$K23="T")*6+($E23:$K23="D")*12+($E23:$K23="N")*12+($E23:$K23="NT")*6+($E23:$K23="C")*10+($E23:$K23="A")*8+($E23:$K23="J")*5+($E23:$K23="E")*4+($E23:$K23="P")*6+($E23:$K23="R")*6)</f>
        <v/>
      </c>
      <c r="BF23" s="110">
        <f>SUMPRODUCT(($L23:$R23="M")*6+($L23:$R23="T")*6+($L23:$R23="D")*12+($L23:$R23="N")*12+($L23:$R23="NT")*6+($L23:$R23="C")*10+($L23:$R23="A")*8+($L23:$R23="J")*5+($L23:$R23="E")*4+($L23:$R23="P")*6+($L23:$R23="R")*6)</f>
        <v/>
      </c>
      <c r="BG23" s="110">
        <f>SUMPRODUCT(($S23:$Y23="M")*6+($S23:$Y23="T")*6+($S23:$Y23="D")*12+($S23:$Y23="N")*12+($S23:$Y23="NT")*6+($S23:$Y23="C")*10+($S23:$Y23="A")*8+($S23:$Y23="J")*5+($S23:$Y23="E")*4+($S23:$Y23="P")*6+($S23:$Y23="R")*6)</f>
        <v/>
      </c>
      <c r="BH23" s="110">
        <f>SUMPRODUCT(($Z23:$AF23="M")*6+($Z23:$AF23="T")*6+($Z23:$AF23="D")*12+($Z23:$AF23="N")*12+($Z23:$AF23="NT")*6+($Z23:$AF23="C")*10+($Z23:$AF23="A")*8+($Z23:$AF23="J")*5+($Z23:$AF23="E")*4+($Z23:$AF23="P")*6+($Z23:$AF23="R")*6)</f>
        <v/>
      </c>
      <c r="BI23" s="110">
        <f>SUMPRODUCT(($AG23:$AM23="M")*6+($AG23:$AM23="T")*6+($AG23:$AM23="D")*12+($AG23:$AM23="N")*12+($AG23:$AM23="NT")*6+($AG23:$AM23="C")*10+($AG23:$AM23="A")*8+($AG23:$AM23="J")*5+($AG23:$AM23="E")*4+($AG23:$AM23="P")*6+($AG23:$AM23="R")*6)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123">
        <f>IFERROR(INDEX(ABR!AI$8:AI$73,MATCH($A24,ABR!$A$8:$A$73,0))&amp;"","")</f>
        <v/>
      </c>
      <c r="F24" s="123">
        <f>IFERROR(INDEX(ABR!AJ$8:AJ$73,MATCH($A24,ABR!$A$8:$A$73,0))&amp;"","")</f>
        <v/>
      </c>
      <c r="G24" s="123">
        <f>IFERROR(INDEX(ABR!AK$8:AK$73,MATCH($A24,ABR!$A$8:$A$73,0))&amp;"","")</f>
        <v/>
      </c>
      <c r="H24" s="123">
        <f>IFERROR(INDEX(ABR!AL$8:AL$73,MATCH($A24,ABR!$A$8:$A$73,0))&amp;"","")</f>
        <v/>
      </c>
      <c r="I24" s="107" t="n"/>
      <c r="J24" s="115" t="inlineStr">
        <is>
          <t>D</t>
        </is>
      </c>
      <c r="K24" s="107" t="n"/>
      <c r="L24" s="107" t="n"/>
      <c r="M24" s="115" t="inlineStr">
        <is>
          <t>D</t>
        </is>
      </c>
      <c r="N24" s="107" t="n"/>
      <c r="O24" s="115" t="inlineStr">
        <is>
          <t>D</t>
        </is>
      </c>
      <c r="P24" s="107" t="n"/>
      <c r="Q24" s="115" t="inlineStr">
        <is>
          <t>D</t>
        </is>
      </c>
      <c r="R24" s="107" t="n"/>
      <c r="S24" s="116" t="inlineStr">
        <is>
          <t>N</t>
        </is>
      </c>
      <c r="T24" s="107" t="n"/>
      <c r="U24" s="107" t="n"/>
      <c r="V24" s="115" t="inlineStr">
        <is>
          <t>D</t>
        </is>
      </c>
      <c r="W24" s="107" t="n"/>
      <c r="X24" s="115" t="inlineStr">
        <is>
          <t>D</t>
        </is>
      </c>
      <c r="Y24" s="107" t="n"/>
      <c r="Z24" s="107" t="n"/>
      <c r="AA24" s="115" t="inlineStr">
        <is>
          <t>D</t>
        </is>
      </c>
      <c r="AB24" s="108" t="inlineStr">
        <is>
          <t>M</t>
        </is>
      </c>
      <c r="AC24" s="115" t="inlineStr">
        <is>
          <t>D</t>
        </is>
      </c>
      <c r="AD24" s="108" t="inlineStr">
        <is>
          <t>M</t>
        </is>
      </c>
      <c r="AE24" s="107" t="n"/>
      <c r="AF24" s="107" t="n"/>
      <c r="AG24" s="108" t="inlineStr">
        <is>
          <t>M</t>
        </is>
      </c>
      <c r="AH24" s="115" t="inlineStr">
        <is>
          <t>D</t>
        </is>
      </c>
      <c r="AI24" s="108" t="inlineStr">
        <is>
          <t>M</t>
        </is>
      </c>
      <c r="AJ24" s="108" t="inlineStr">
        <is>
          <t>M</t>
        </is>
      </c>
      <c r="AK24" s="108" t="inlineStr">
        <is>
          <t>M</t>
        </is>
      </c>
      <c r="AL24" s="107" t="n"/>
      <c r="AM24" s="107" t="n"/>
      <c r="AN24" s="96" t="n"/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SUMPRODUCT(($E24:$K24="M")*6+($E24:$K24="T")*6+($E24:$K24="D")*12+($E24:$K24="N")*12+($E24:$K24="NT")*6+($E24:$K24="C")*10+($E24:$K24="A")*8+($E24:$K24="J")*5+($E24:$K24="E")*4+($E24:$K24="P")*6+($E24:$K24="R")*6)</f>
        <v/>
      </c>
      <c r="BF24" s="110">
        <f>SUMPRODUCT(($L24:$R24="M")*6+($L24:$R24="T")*6+($L24:$R24="D")*12+($L24:$R24="N")*12+($L24:$R24="NT")*6+($L24:$R24="C")*10+($L24:$R24="A")*8+($L24:$R24="J")*5+($L24:$R24="E")*4+($L24:$R24="P")*6+($L24:$R24="R")*6)</f>
        <v/>
      </c>
      <c r="BG24" s="110">
        <f>SUMPRODUCT(($S24:$Y24="M")*6+($S24:$Y24="T")*6+($S24:$Y24="D")*12+($S24:$Y24="N")*12+($S24:$Y24="NT")*6+($S24:$Y24="C")*10+($S24:$Y24="A")*8+($S24:$Y24="J")*5+($S24:$Y24="E")*4+($S24:$Y24="P")*6+($S24:$Y24="R")*6)</f>
        <v/>
      </c>
      <c r="BH24" s="110">
        <f>SUMPRODUCT(($Z24:$AF24="M")*6+($Z24:$AF24="T")*6+($Z24:$AF24="D")*12+($Z24:$AF24="N")*12+($Z24:$AF24="NT")*6+($Z24:$AF24="C")*10+($Z24:$AF24="A")*8+($Z24:$AF24="J")*5+($Z24:$AF24="E")*4+($Z24:$AF24="P")*6+($Z24:$AF24="R")*6)</f>
        <v/>
      </c>
      <c r="BI24" s="110">
        <f>SUMPRODUCT(($AG24:$AM24="M")*6+($AG24:$AM24="T")*6+($AG24:$AM24="D")*12+($AG24:$AM24="N")*12+($AG24:$AM24="NT")*6+($AG24:$AM24="C")*10+($AG24:$AM24="A")*8+($AG24:$AM24="J")*5+($AG24:$AM24="E")*4+($AG24:$AM24="P")*6+($AG24:$AM24="R")*6)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123">
        <f>IFERROR(INDEX(ABR!AI$8:AI$73,MATCH($A25,ABR!$A$8:$A$73,0))&amp;"","")</f>
        <v/>
      </c>
      <c r="F25" s="123">
        <f>IFERROR(INDEX(ABR!AJ$8:AJ$73,MATCH($A25,ABR!$A$8:$A$73,0))&amp;"","")</f>
        <v/>
      </c>
      <c r="G25" s="123">
        <f>IFERROR(INDEX(ABR!AK$8:AK$73,MATCH($A25,ABR!$A$8:$A$73,0))&amp;"","")</f>
        <v/>
      </c>
      <c r="H25" s="123">
        <f>IFERROR(INDEX(ABR!AL$8:AL$73,MATCH($A25,ABR!$A$8:$A$73,0))&amp;"","")</f>
        <v/>
      </c>
      <c r="I25" s="107" t="n"/>
      <c r="J25" s="107" t="n"/>
      <c r="K25" s="107" t="n"/>
      <c r="L25" s="107" t="n"/>
      <c r="M25" s="116" t="inlineStr">
        <is>
          <t>N</t>
        </is>
      </c>
      <c r="N25" s="116" t="inlineStr">
        <is>
          <t>N</t>
        </is>
      </c>
      <c r="O25" s="107" t="n"/>
      <c r="P25" s="107" t="n"/>
      <c r="Q25" s="107" t="n"/>
      <c r="R25" s="116" t="inlineStr">
        <is>
          <t>N</t>
        </is>
      </c>
      <c r="S25" s="107" t="n"/>
      <c r="T25" s="116" t="inlineStr">
        <is>
          <t>N</t>
        </is>
      </c>
      <c r="U25" s="116" t="inlineStr">
        <is>
          <t>N</t>
        </is>
      </c>
      <c r="V25" s="107" t="n"/>
      <c r="W25" s="107" t="n"/>
      <c r="X25" s="107" t="n"/>
      <c r="Y25" s="116" t="inlineStr">
        <is>
          <t>N</t>
        </is>
      </c>
      <c r="Z25" s="116" t="inlineStr">
        <is>
          <t>N</t>
        </is>
      </c>
      <c r="AA25" s="107" t="n"/>
      <c r="AB25" s="116" t="inlineStr">
        <is>
          <t>N</t>
        </is>
      </c>
      <c r="AC25" s="107" t="n"/>
      <c r="AD25" s="107" t="n"/>
      <c r="AE25" s="107" t="n"/>
      <c r="AF25" s="116" t="inlineStr">
        <is>
          <t>N</t>
        </is>
      </c>
      <c r="AG25" s="116" t="inlineStr">
        <is>
          <t>N</t>
        </is>
      </c>
      <c r="AH25" s="116" t="inlineStr">
        <is>
          <t>N</t>
        </is>
      </c>
      <c r="AI25" s="116" t="inlineStr">
        <is>
          <t>N</t>
        </is>
      </c>
      <c r="AJ25" s="107" t="n"/>
      <c r="AK25" s="107" t="n"/>
      <c r="AL25" s="107" t="n"/>
      <c r="AM25" s="107" t="n"/>
      <c r="AN25" s="96" t="n"/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SUMPRODUCT(($E25:$K25="M")*6+($E25:$K25="T")*6+($E25:$K25="D")*12+($E25:$K25="N")*12+($E25:$K25="NT")*6+($E25:$K25="C")*10+($E25:$K25="A")*8+($E25:$K25="J")*5+($E25:$K25="E")*4+($E25:$K25="P")*6+($E25:$K25="R")*6)</f>
        <v/>
      </c>
      <c r="BF25" s="110">
        <f>SUMPRODUCT(($L25:$R25="M")*6+($L25:$R25="T")*6+($L25:$R25="D")*12+($L25:$R25="N")*12+($L25:$R25="NT")*6+($L25:$R25="C")*10+($L25:$R25="A")*8+($L25:$R25="J")*5+($L25:$R25="E")*4+($L25:$R25="P")*6+($L25:$R25="R")*6)</f>
        <v/>
      </c>
      <c r="BG25" s="110">
        <f>SUMPRODUCT(($S25:$Y25="M")*6+($S25:$Y25="T")*6+($S25:$Y25="D")*12+($S25:$Y25="N")*12+($S25:$Y25="NT")*6+($S25:$Y25="C")*10+($S25:$Y25="A")*8+($S25:$Y25="J")*5+($S25:$Y25="E")*4+($S25:$Y25="P")*6+($S25:$Y25="R")*6)</f>
        <v/>
      </c>
      <c r="BH25" s="110">
        <f>SUMPRODUCT(($Z25:$AF25="M")*6+($Z25:$AF25="T")*6+($Z25:$AF25="D")*12+($Z25:$AF25="N")*12+($Z25:$AF25="NT")*6+($Z25:$AF25="C")*10+($Z25:$AF25="A")*8+($Z25:$AF25="J")*5+($Z25:$AF25="E")*4+($Z25:$AF25="P")*6+($Z25:$AF25="R")*6)</f>
        <v/>
      </c>
      <c r="BI25" s="110">
        <f>SUMPRODUCT(($AG25:$AM25="M")*6+($AG25:$AM25="T")*6+($AG25:$AM25="D")*12+($AG25:$AM25="N")*12+($AG25:$AM25="NT")*6+($AG25:$AM25="C")*10+($AG25:$AM25="A")*8+($AG25:$AM25="J")*5+($AG25:$AM25="E")*4+($AG25:$AM25="P")*6+($AG25:$AM25="R")*6)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123">
        <f>IFERROR(INDEX(ABR!AI$8:AI$73,MATCH($A26,ABR!$A$8:$A$73,0))&amp;"","")</f>
        <v/>
      </c>
      <c r="F26" s="123">
        <f>IFERROR(INDEX(ABR!AJ$8:AJ$73,MATCH($A26,ABR!$A$8:$A$73,0))&amp;"","")</f>
        <v/>
      </c>
      <c r="G26" s="123">
        <f>IFERROR(INDEX(ABR!AK$8:AK$73,MATCH($A26,ABR!$A$8:$A$73,0))&amp;"","")</f>
        <v/>
      </c>
      <c r="H26" s="123">
        <f>IFERROR(INDEX(ABR!AL$8:AL$73,MATCH($A26,ABR!$A$8:$A$73,0))&amp;"","")</f>
        <v/>
      </c>
      <c r="I26" s="108" t="inlineStr">
        <is>
          <t>M</t>
        </is>
      </c>
      <c r="J26" s="116" t="inlineStr">
        <is>
          <t>N</t>
        </is>
      </c>
      <c r="K26" s="107" t="n"/>
      <c r="L26" s="116" t="inlineStr">
        <is>
          <t>N</t>
        </is>
      </c>
      <c r="M26" s="116" t="inlineStr">
        <is>
          <t>N</t>
        </is>
      </c>
      <c r="N26" s="107" t="n"/>
      <c r="O26" s="117" t="inlineStr">
        <is>
          <t>T</t>
        </is>
      </c>
      <c r="P26" s="117" t="inlineStr">
        <is>
          <t>T</t>
        </is>
      </c>
      <c r="Q26" s="107" t="n"/>
      <c r="R26" s="107" t="n"/>
      <c r="S26" s="107" t="n"/>
      <c r="T26" s="107" t="n"/>
      <c r="U26" s="107" t="n"/>
      <c r="V26" s="107" t="n"/>
      <c r="W26" s="115" t="inlineStr">
        <is>
          <t>D</t>
        </is>
      </c>
      <c r="X26" s="116" t="inlineStr">
        <is>
          <t>N</t>
        </is>
      </c>
      <c r="Y26" s="116" t="inlineStr">
        <is>
          <t>N</t>
        </is>
      </c>
      <c r="Z26" s="107" t="n"/>
      <c r="AA26" s="116" t="inlineStr">
        <is>
          <t>N</t>
        </is>
      </c>
      <c r="AB26" s="117" t="inlineStr">
        <is>
          <t>T</t>
        </is>
      </c>
      <c r="AC26" s="115" t="inlineStr">
        <is>
          <t>D</t>
        </is>
      </c>
      <c r="AD26" s="107" t="n"/>
      <c r="AE26" s="107" t="n"/>
      <c r="AF26" s="117" t="inlineStr">
        <is>
          <t>T</t>
        </is>
      </c>
      <c r="AG26" s="116" t="inlineStr">
        <is>
          <t>N</t>
        </is>
      </c>
      <c r="AH26" s="116" t="inlineStr">
        <is>
          <t>N</t>
        </is>
      </c>
      <c r="AI26" s="107" t="n"/>
      <c r="AJ26" s="115" t="inlineStr">
        <is>
          <t>D</t>
        </is>
      </c>
      <c r="AK26" s="107" t="n"/>
      <c r="AL26" s="107" t="n"/>
      <c r="AM26" s="107" t="n"/>
      <c r="AN26" s="96" t="n"/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SUMPRODUCT(($E26:$K26="M")*6+($E26:$K26="T")*6+($E26:$K26="D")*12+($E26:$K26="N")*12+($E26:$K26="NT")*6+($E26:$K26="C")*10+($E26:$K26="A")*8+($E26:$K26="J")*5+($E26:$K26="E")*4+($E26:$K26="P")*6+($E26:$K26="R")*6)</f>
        <v/>
      </c>
      <c r="BF26" s="110">
        <f>SUMPRODUCT(($L26:$R26="M")*6+($L26:$R26="T")*6+($L26:$R26="D")*12+($L26:$R26="N")*12+($L26:$R26="NT")*6+($L26:$R26="C")*10+($L26:$R26="A")*8+($L26:$R26="J")*5+($L26:$R26="E")*4+($L26:$R26="P")*6+($L26:$R26="R")*6)</f>
        <v/>
      </c>
      <c r="BG26" s="110">
        <f>SUMPRODUCT(($S26:$Y26="M")*6+($S26:$Y26="T")*6+($S26:$Y26="D")*12+($S26:$Y26="N")*12+($S26:$Y26="NT")*6+($S26:$Y26="C")*10+($S26:$Y26="A")*8+($S26:$Y26="J")*5+($S26:$Y26="E")*4+($S26:$Y26="P")*6+($S26:$Y26="R")*6)</f>
        <v/>
      </c>
      <c r="BH26" s="110">
        <f>SUMPRODUCT(($Z26:$AF26="M")*6+($Z26:$AF26="T")*6+($Z26:$AF26="D")*12+($Z26:$AF26="N")*12+($Z26:$AF26="NT")*6+($Z26:$AF26="C")*10+($Z26:$AF26="A")*8+($Z26:$AF26="J")*5+($Z26:$AF26="E")*4+($Z26:$AF26="P")*6+($Z26:$AF26="R")*6)</f>
        <v/>
      </c>
      <c r="BI26" s="110">
        <f>SUMPRODUCT(($AG26:$AM26="M")*6+($AG26:$AM26="T")*6+($AG26:$AM26="D")*12+($AG26:$AM26="N")*12+($AG26:$AM26="NT")*6+($AG26:$AM26="C")*10+($AG26:$AM26="A")*8+($AG26:$AM26="J")*5+($AG26:$AM26="E")*4+($AG26:$AM26="P")*6+($AG26:$AM26="R")*6)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123">
        <f>IFERROR(INDEX(ABR!AI$8:AI$73,MATCH($A27,ABR!$A$8:$A$73,0))&amp;"","")</f>
        <v/>
      </c>
      <c r="F27" s="123">
        <f>IFERROR(INDEX(ABR!AJ$8:AJ$73,MATCH($A27,ABR!$A$8:$A$73,0))&amp;"","")</f>
        <v/>
      </c>
      <c r="G27" s="123">
        <f>IFERROR(INDEX(ABR!AK$8:AK$73,MATCH($A27,ABR!$A$8:$A$73,0))&amp;"","")</f>
        <v/>
      </c>
      <c r="H27" s="123">
        <f>IFERROR(INDEX(ABR!AL$8:AL$73,MATCH($A27,ABR!$A$8:$A$73,0))&amp;"","")</f>
        <v/>
      </c>
      <c r="I27" s="107" t="n"/>
      <c r="J27" s="116" t="inlineStr">
        <is>
          <t>N</t>
        </is>
      </c>
      <c r="K27" s="107" t="n"/>
      <c r="L27" s="108" t="inlineStr">
        <is>
          <t>M</t>
        </is>
      </c>
      <c r="M27" s="116" t="inlineStr">
        <is>
          <t>N</t>
        </is>
      </c>
      <c r="N27" s="107" t="n"/>
      <c r="O27" s="116" t="inlineStr">
        <is>
          <t>N</t>
        </is>
      </c>
      <c r="P27" s="117" t="inlineStr">
        <is>
          <t>T</t>
        </is>
      </c>
      <c r="Q27" s="107" t="n"/>
      <c r="R27" s="107" t="n"/>
      <c r="S27" s="108" t="inlineStr">
        <is>
          <t>M</t>
        </is>
      </c>
      <c r="T27" s="116" t="inlineStr">
        <is>
          <t>N</t>
        </is>
      </c>
      <c r="U27" s="107" t="n"/>
      <c r="V27" s="116" t="inlineStr">
        <is>
          <t>N</t>
        </is>
      </c>
      <c r="W27" s="107" t="n"/>
      <c r="X27" s="107" t="n"/>
      <c r="Y27" s="107" t="n"/>
      <c r="Z27" s="107" t="n"/>
      <c r="AA27" s="116" t="inlineStr">
        <is>
          <t>N</t>
        </is>
      </c>
      <c r="AB27" s="107" t="n"/>
      <c r="AC27" s="116" t="inlineStr">
        <is>
          <t>N</t>
        </is>
      </c>
      <c r="AD27" s="107" t="n"/>
      <c r="AE27" s="116" t="inlineStr">
        <is>
          <t>N</t>
        </is>
      </c>
      <c r="AF27" s="107" t="n"/>
      <c r="AG27" s="107" t="n"/>
      <c r="AH27" s="107" t="n"/>
      <c r="AI27" s="107" t="n"/>
      <c r="AJ27" s="116" t="inlineStr">
        <is>
          <t>N</t>
        </is>
      </c>
      <c r="AK27" s="107" t="n"/>
      <c r="AL27" s="116" t="inlineStr">
        <is>
          <t>N</t>
        </is>
      </c>
      <c r="AM27" s="107" t="n"/>
      <c r="AN27" s="96" t="n"/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SUMPRODUCT(($E27:$K27="M")*6+($E27:$K27="T")*6+($E27:$K27="D")*12+($E27:$K27="N")*12+($E27:$K27="NT")*6+($E27:$K27="C")*10+($E27:$K27="A")*8+($E27:$K27="J")*5+($E27:$K27="E")*4+($E27:$K27="P")*6+($E27:$K27="R")*6)</f>
        <v/>
      </c>
      <c r="BF27" s="110">
        <f>SUMPRODUCT(($L27:$R27="M")*6+($L27:$R27="T")*6+($L27:$R27="D")*12+($L27:$R27="N")*12+($L27:$R27="NT")*6+($L27:$R27="C")*10+($L27:$R27="A")*8+($L27:$R27="J")*5+($L27:$R27="E")*4+($L27:$R27="P")*6+($L27:$R27="R")*6)</f>
        <v/>
      </c>
      <c r="BG27" s="110">
        <f>SUMPRODUCT(($S27:$Y27="M")*6+($S27:$Y27="T")*6+($S27:$Y27="D")*12+($S27:$Y27="N")*12+($S27:$Y27="NT")*6+($S27:$Y27="C")*10+($S27:$Y27="A")*8+($S27:$Y27="J")*5+($S27:$Y27="E")*4+($S27:$Y27="P")*6+($S27:$Y27="R")*6)</f>
        <v/>
      </c>
      <c r="BH27" s="110">
        <f>SUMPRODUCT(($Z27:$AF27="M")*6+($Z27:$AF27="T")*6+($Z27:$AF27="D")*12+($Z27:$AF27="N")*12+($Z27:$AF27="NT")*6+($Z27:$AF27="C")*10+($Z27:$AF27="A")*8+($Z27:$AF27="J")*5+($Z27:$AF27="E")*4+($Z27:$AF27="P")*6+($Z27:$AF27="R")*6)</f>
        <v/>
      </c>
      <c r="BI27" s="110">
        <f>SUMPRODUCT(($AG27:$AM27="M")*6+($AG27:$AM27="T")*6+($AG27:$AM27="D")*12+($AG27:$AM27="N")*12+($AG27:$AM27="NT")*6+($AG27:$AM27="C")*10+($AG27:$AM27="A")*8+($AG27:$AM27="J")*5+($AG27:$AM27="E")*4+($AG27:$AM27="P")*6+($AG27:$AM27="R")*6)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123">
        <f>IFERROR(INDEX(ABR!AI$8:AI$73,MATCH($A28,ABR!$A$8:$A$73,0))&amp;"","")</f>
        <v/>
      </c>
      <c r="F28" s="123">
        <f>IFERROR(INDEX(ABR!AJ$8:AJ$73,MATCH($A28,ABR!$A$8:$A$73,0))&amp;"","")</f>
        <v/>
      </c>
      <c r="G28" s="123">
        <f>IFERROR(INDEX(ABR!AK$8:AK$73,MATCH($A28,ABR!$A$8:$A$73,0))&amp;"","")</f>
        <v/>
      </c>
      <c r="H28" s="123">
        <f>IFERROR(INDEX(ABR!AL$8:AL$73,MATCH($A28,ABR!$A$8:$A$73,0))&amp;"","")</f>
        <v/>
      </c>
      <c r="I28" s="107" t="n"/>
      <c r="J28" s="115" t="inlineStr">
        <is>
          <t>D</t>
        </is>
      </c>
      <c r="K28" s="107" t="n"/>
      <c r="L28" s="115" t="inlineStr">
        <is>
          <t>D</t>
        </is>
      </c>
      <c r="M28" s="108" t="inlineStr">
        <is>
          <t>M</t>
        </is>
      </c>
      <c r="N28" s="117" t="inlineStr">
        <is>
          <t>T</t>
        </is>
      </c>
      <c r="O28" s="107" t="n"/>
      <c r="P28" s="107" t="n"/>
      <c r="Q28" s="107" t="n"/>
      <c r="R28" s="108" t="inlineStr">
        <is>
          <t>M</t>
        </is>
      </c>
      <c r="S28" s="107" t="n"/>
      <c r="T28" s="108" t="inlineStr">
        <is>
          <t>M</t>
        </is>
      </c>
      <c r="U28" s="107" t="n"/>
      <c r="V28" s="116" t="inlineStr">
        <is>
          <t>N</t>
        </is>
      </c>
      <c r="W28" s="107" t="n"/>
      <c r="X28" s="115" t="inlineStr">
        <is>
          <t>D</t>
        </is>
      </c>
      <c r="Y28" s="107" t="n"/>
      <c r="Z28" s="115" t="inlineStr">
        <is>
          <t>D</t>
        </is>
      </c>
      <c r="AA28" s="115" t="inlineStr">
        <is>
          <t>D</t>
        </is>
      </c>
      <c r="AB28" s="117" t="inlineStr">
        <is>
          <t>T</t>
        </is>
      </c>
      <c r="AC28" s="107" t="n"/>
      <c r="AD28" s="107" t="n"/>
      <c r="AE28" s="107" t="n"/>
      <c r="AF28" s="107" t="n"/>
      <c r="AG28" s="107" t="n"/>
      <c r="AH28" s="107" t="n"/>
      <c r="AI28" s="117" t="inlineStr">
        <is>
          <t>T</t>
        </is>
      </c>
      <c r="AJ28" s="116" t="inlineStr">
        <is>
          <t>N</t>
        </is>
      </c>
      <c r="AK28" s="116" t="inlineStr">
        <is>
          <t>N</t>
        </is>
      </c>
      <c r="AL28" s="107" t="n"/>
      <c r="AM28" s="107" t="n"/>
      <c r="AN28" s="96" t="n"/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SUMPRODUCT(($E28:$K28="M")*6+($E28:$K28="T")*6+($E28:$K28="D")*12+($E28:$K28="N")*12+($E28:$K28="NT")*6+($E28:$K28="C")*10+($E28:$K28="A")*8+($E28:$K28="J")*5+($E28:$K28="E")*4+($E28:$K28="P")*6+($E28:$K28="R")*6)</f>
        <v/>
      </c>
      <c r="BF28" s="110">
        <f>SUMPRODUCT(($L28:$R28="M")*6+($L28:$R28="T")*6+($L28:$R28="D")*12+($L28:$R28="N")*12+($L28:$R28="NT")*6+($L28:$R28="C")*10+($L28:$R28="A")*8+($L28:$R28="J")*5+($L28:$R28="E")*4+($L28:$R28="P")*6+($L28:$R28="R")*6)</f>
        <v/>
      </c>
      <c r="BG28" s="110">
        <f>SUMPRODUCT(($S28:$Y28="M")*6+($S28:$Y28="T")*6+($S28:$Y28="D")*12+($S28:$Y28="N")*12+($S28:$Y28="NT")*6+($S28:$Y28="C")*10+($S28:$Y28="A")*8+($S28:$Y28="J")*5+($S28:$Y28="E")*4+($S28:$Y28="P")*6+($S28:$Y28="R")*6)</f>
        <v/>
      </c>
      <c r="BH28" s="110">
        <f>SUMPRODUCT(($Z28:$AF28="M")*6+($Z28:$AF28="T")*6+($Z28:$AF28="D")*12+($Z28:$AF28="N")*12+($Z28:$AF28="NT")*6+($Z28:$AF28="C")*10+($Z28:$AF28="A")*8+($Z28:$AF28="J")*5+($Z28:$AF28="E")*4+($Z28:$AF28="P")*6+($Z28:$AF28="R")*6)</f>
        <v/>
      </c>
      <c r="BI28" s="110">
        <f>SUMPRODUCT(($AG28:$AM28="M")*6+($AG28:$AM28="T")*6+($AG28:$AM28="D")*12+($AG28:$AM28="N")*12+($AG28:$AM28="NT")*6+($AG28:$AM28="C")*10+($AG28:$AM28="A")*8+($AG28:$AM28="J")*5+($AG28:$AM28="E")*4+($AG28:$AM28="P")*6+($AG28:$AM28="R")*6)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123">
        <f>IFERROR(INDEX(ABR!AI$8:AI$73,MATCH($A29,ABR!$A$8:$A$73,0))&amp;"","")</f>
        <v/>
      </c>
      <c r="F29" s="123">
        <f>IFERROR(INDEX(ABR!AJ$8:AJ$73,MATCH($A29,ABR!$A$8:$A$73,0))&amp;"","")</f>
        <v/>
      </c>
      <c r="G29" s="123">
        <f>IFERROR(INDEX(ABR!AK$8:AK$73,MATCH($A29,ABR!$A$8:$A$73,0))&amp;"","")</f>
        <v/>
      </c>
      <c r="H29" s="123">
        <f>IFERROR(INDEX(ABR!AL$8:AL$73,MATCH($A29,ABR!$A$8:$A$73,0))&amp;"","")</f>
        <v/>
      </c>
      <c r="I29" s="108" t="inlineStr">
        <is>
          <t>M</t>
        </is>
      </c>
      <c r="J29" s="107" t="n"/>
      <c r="K29" s="107" t="n"/>
      <c r="L29" s="116" t="inlineStr">
        <is>
          <t>N</t>
        </is>
      </c>
      <c r="M29" s="107" t="n"/>
      <c r="N29" s="107" t="n"/>
      <c r="O29" s="108" t="inlineStr">
        <is>
          <t>M</t>
        </is>
      </c>
      <c r="P29" s="117" t="inlineStr">
        <is>
          <t>T</t>
        </is>
      </c>
      <c r="Q29" s="108" t="inlineStr">
        <is>
          <t>M</t>
        </is>
      </c>
      <c r="R29" s="107" t="n"/>
      <c r="S29" s="107" t="n"/>
      <c r="T29" s="107" t="n"/>
      <c r="U29" s="108" t="inlineStr">
        <is>
          <t>M</t>
        </is>
      </c>
      <c r="V29" s="108" t="inlineStr">
        <is>
          <t>M</t>
        </is>
      </c>
      <c r="W29" s="116" t="inlineStr">
        <is>
          <t>N</t>
        </is>
      </c>
      <c r="X29" s="107" t="n"/>
      <c r="Y29" s="108" t="inlineStr">
        <is>
          <t>M</t>
        </is>
      </c>
      <c r="Z29" s="116" t="inlineStr">
        <is>
          <t>N</t>
        </is>
      </c>
      <c r="AA29" s="107" t="n"/>
      <c r="AB29" s="108" t="inlineStr">
        <is>
          <t>M</t>
        </is>
      </c>
      <c r="AC29" s="108" t="inlineStr">
        <is>
          <t>M</t>
        </is>
      </c>
      <c r="AD29" s="107" t="n"/>
      <c r="AE29" s="108" t="inlineStr">
        <is>
          <t>M</t>
        </is>
      </c>
      <c r="AF29" s="107" t="n"/>
      <c r="AG29" s="116" t="inlineStr">
        <is>
          <t>N</t>
        </is>
      </c>
      <c r="AH29" s="107" t="n"/>
      <c r="AI29" s="108" t="inlineStr">
        <is>
          <t>M</t>
        </is>
      </c>
      <c r="AJ29" s="107" t="n"/>
      <c r="AK29" s="107" t="n"/>
      <c r="AL29" s="108" t="inlineStr">
        <is>
          <t>M</t>
        </is>
      </c>
      <c r="AM29" s="108" t="inlineStr">
        <is>
          <t>M</t>
        </is>
      </c>
      <c r="AN29" s="96" t="n"/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SUMPRODUCT(($E29:$K29="M")*6+($E29:$K29="T")*6+($E29:$K29="D")*12+($E29:$K29="N")*12+($E29:$K29="NT")*6+($E29:$K29="C")*10+($E29:$K29="A")*8+($E29:$K29="J")*5+($E29:$K29="E")*4+($E29:$K29="P")*6+($E29:$K29="R")*6)</f>
        <v/>
      </c>
      <c r="BF29" s="110">
        <f>SUMPRODUCT(($L29:$R29="M")*6+($L29:$R29="T")*6+($L29:$R29="D")*12+($L29:$R29="N")*12+($L29:$R29="NT")*6+($L29:$R29="C")*10+($L29:$R29="A")*8+($L29:$R29="J")*5+($L29:$R29="E")*4+($L29:$R29="P")*6+($L29:$R29="R")*6)</f>
        <v/>
      </c>
      <c r="BG29" s="110">
        <f>SUMPRODUCT(($S29:$Y29="M")*6+($S29:$Y29="T")*6+($S29:$Y29="D")*12+($S29:$Y29="N")*12+($S29:$Y29="NT")*6+($S29:$Y29="C")*10+($S29:$Y29="A")*8+($S29:$Y29="J")*5+($S29:$Y29="E")*4+($S29:$Y29="P")*6+($S29:$Y29="R")*6)</f>
        <v/>
      </c>
      <c r="BH29" s="110">
        <f>SUMPRODUCT(($Z29:$AF29="M")*6+($Z29:$AF29="T")*6+($Z29:$AF29="D")*12+($Z29:$AF29="N")*12+($Z29:$AF29="NT")*6+($Z29:$AF29="C")*10+($Z29:$AF29="A")*8+($Z29:$AF29="J")*5+($Z29:$AF29="E")*4+($Z29:$AF29="P")*6+($Z29:$AF29="R")*6)</f>
        <v/>
      </c>
      <c r="BI29" s="110">
        <f>SUMPRODUCT(($AG29:$AM29="M")*6+($AG29:$AM29="T")*6+($AG29:$AM29="D")*12+($AG29:$AM29="N")*12+($AG29:$AM29="NT")*6+($AG29:$AM29="C")*10+($AG29:$AM29="A")*8+($AG29:$AM29="J")*5+($AG29:$AM29="E")*4+($AG29:$AM29="P")*6+($AG29:$AM29="R")*6)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123">
        <f>IFERROR(INDEX(ABR!AI$8:AI$73,MATCH($A30,ABR!$A$8:$A$73,0))&amp;"","")</f>
        <v/>
      </c>
      <c r="F30" s="123">
        <f>IFERROR(INDEX(ABR!AJ$8:AJ$73,MATCH($A30,ABR!$A$8:$A$73,0))&amp;"","")</f>
        <v/>
      </c>
      <c r="G30" s="123">
        <f>IFERROR(INDEX(ABR!AK$8:AK$73,MATCH($A30,ABR!$A$8:$A$73,0))&amp;"","")</f>
        <v/>
      </c>
      <c r="H30" s="123">
        <f>IFERROR(INDEX(ABR!AL$8:AL$73,MATCH($A30,ABR!$A$8:$A$73,0))&amp;"","")</f>
        <v/>
      </c>
      <c r="I30" s="107" t="n"/>
      <c r="J30" s="107" t="n"/>
      <c r="K30" s="107" t="n"/>
      <c r="L30" s="107" t="n"/>
      <c r="M30" s="107" t="n"/>
      <c r="N30" s="116" t="inlineStr">
        <is>
          <t>N</t>
        </is>
      </c>
      <c r="O30" s="117" t="inlineStr">
        <is>
          <t>T</t>
        </is>
      </c>
      <c r="P30" s="107" t="n"/>
      <c r="Q30" s="107" t="n"/>
      <c r="R30" s="116" t="inlineStr">
        <is>
          <t>N</t>
        </is>
      </c>
      <c r="S30" s="107" t="n"/>
      <c r="T30" s="117" t="inlineStr">
        <is>
          <t>T</t>
        </is>
      </c>
      <c r="U30" s="116" t="inlineStr">
        <is>
          <t>N</t>
        </is>
      </c>
      <c r="V30" s="107" t="n"/>
      <c r="W30" s="116" t="inlineStr">
        <is>
          <t>N</t>
        </is>
      </c>
      <c r="X30" s="107" t="n"/>
      <c r="Y30" s="107" t="n"/>
      <c r="Z30" s="107" t="n"/>
      <c r="AA30" s="107" t="n"/>
      <c r="AB30" s="116" t="inlineStr">
        <is>
          <t>N</t>
        </is>
      </c>
      <c r="AC30" s="117" t="inlineStr">
        <is>
          <t>T</t>
        </is>
      </c>
      <c r="AD30" s="107" t="n"/>
      <c r="AE30" s="107" t="n"/>
      <c r="AF30" s="116" t="inlineStr">
        <is>
          <t>N</t>
        </is>
      </c>
      <c r="AG30" s="107" t="n"/>
      <c r="AH30" s="107" t="n"/>
      <c r="AI30" s="116" t="inlineStr">
        <is>
          <t>N</t>
        </is>
      </c>
      <c r="AJ30" s="107" t="n"/>
      <c r="AK30" s="117" t="inlineStr">
        <is>
          <t>T</t>
        </is>
      </c>
      <c r="AL30" s="107" t="n"/>
      <c r="AM30" s="116" t="inlineStr">
        <is>
          <t>N</t>
        </is>
      </c>
      <c r="AN30" s="96" t="n"/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SUMPRODUCT(($E30:$K30="M")*6+($E30:$K30="T")*6+($E30:$K30="D")*12+($E30:$K30="N")*12+($E30:$K30="NT")*6+($E30:$K30="C")*10+($E30:$K30="A")*8+($E30:$K30="J")*5+($E30:$K30="E")*4+($E30:$K30="P")*6+($E30:$K30="R")*6)</f>
        <v/>
      </c>
      <c r="BF30" s="110">
        <f>SUMPRODUCT(($L30:$R30="M")*6+($L30:$R30="T")*6+($L30:$R30="D")*12+($L30:$R30="N")*12+($L30:$R30="NT")*6+($L30:$R30="C")*10+($L30:$R30="A")*8+($L30:$R30="J")*5+($L30:$R30="E")*4+($L30:$R30="P")*6+($L30:$R30="R")*6)</f>
        <v/>
      </c>
      <c r="BG30" s="110">
        <f>SUMPRODUCT(($S30:$Y30="M")*6+($S30:$Y30="T")*6+($S30:$Y30="D")*12+($S30:$Y30="N")*12+($S30:$Y30="NT")*6+($S30:$Y30="C")*10+($S30:$Y30="A")*8+($S30:$Y30="J")*5+($S30:$Y30="E")*4+($S30:$Y30="P")*6+($S30:$Y30="R")*6)</f>
        <v/>
      </c>
      <c r="BH30" s="110">
        <f>SUMPRODUCT(($Z30:$AF30="M")*6+($Z30:$AF30="T")*6+($Z30:$AF30="D")*12+($Z30:$AF30="N")*12+($Z30:$AF30="NT")*6+($Z30:$AF30="C")*10+($Z30:$AF30="A")*8+($Z30:$AF30="J")*5+($Z30:$AF30="E")*4+($Z30:$AF30="P")*6+($Z30:$AF30="R")*6)</f>
        <v/>
      </c>
      <c r="BI30" s="110">
        <f>SUMPRODUCT(($AG30:$AM30="M")*6+($AG30:$AM30="T")*6+($AG30:$AM30="D")*12+($AG30:$AM30="N")*12+($AG30:$AM30="NT")*6+($AG30:$AM30="C")*10+($AG30:$AM30="A")*8+($AG30:$AM30="J")*5+($AG30:$AM30="E")*4+($AG30:$AM30="P")*6+($AG30:$AM30="R")*6)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123">
        <f>IFERROR(INDEX(ABR!AI$8:AI$73,MATCH($A31,ABR!$A$8:$A$73,0))&amp;"","")</f>
        <v/>
      </c>
      <c r="F31" s="123">
        <f>IFERROR(INDEX(ABR!AJ$8:AJ$73,MATCH($A31,ABR!$A$8:$A$73,0))&amp;"","")</f>
        <v/>
      </c>
      <c r="G31" s="123">
        <f>IFERROR(INDEX(ABR!AK$8:AK$73,MATCH($A31,ABR!$A$8:$A$73,0))&amp;"","")</f>
        <v/>
      </c>
      <c r="H31" s="123">
        <f>IFERROR(INDEX(ABR!AL$8:AL$73,MATCH($A31,ABR!$A$8:$A$73,0))&amp;"","")</f>
        <v/>
      </c>
      <c r="I31" s="115" t="inlineStr">
        <is>
          <t>D</t>
        </is>
      </c>
      <c r="J31" s="107" t="n"/>
      <c r="K31" s="107" t="n"/>
      <c r="L31" s="115" t="inlineStr">
        <is>
          <t>D</t>
        </is>
      </c>
      <c r="M31" s="107" t="n"/>
      <c r="N31" s="117" t="inlineStr">
        <is>
          <t>T</t>
        </is>
      </c>
      <c r="O31" s="107" t="n"/>
      <c r="P31" s="107" t="n"/>
      <c r="Q31" s="115" t="inlineStr">
        <is>
          <t>D</t>
        </is>
      </c>
      <c r="R31" s="108" t="inlineStr">
        <is>
          <t>M</t>
        </is>
      </c>
      <c r="S31" s="108" t="inlineStr">
        <is>
          <t>M</t>
        </is>
      </c>
      <c r="T31" s="116" t="inlineStr">
        <is>
          <t>N</t>
        </is>
      </c>
      <c r="U31" s="117" t="inlineStr">
        <is>
          <t>T</t>
        </is>
      </c>
      <c r="V31" s="107" t="n"/>
      <c r="W31" s="115" t="inlineStr">
        <is>
          <t>D</t>
        </is>
      </c>
      <c r="X31" s="107" t="n"/>
      <c r="Y31" s="107" t="n"/>
      <c r="Z31" s="108" t="inlineStr">
        <is>
          <t>M</t>
        </is>
      </c>
      <c r="AA31" s="117" t="inlineStr">
        <is>
          <t>T</t>
        </is>
      </c>
      <c r="AB31" s="116" t="inlineStr">
        <is>
          <t>N</t>
        </is>
      </c>
      <c r="AC31" s="107" t="n"/>
      <c r="AD31" s="107" t="n"/>
      <c r="AE31" s="116" t="inlineStr">
        <is>
          <t>N</t>
        </is>
      </c>
      <c r="AF31" s="107" t="n"/>
      <c r="AG31" s="117" t="inlineStr">
        <is>
          <t>T</t>
        </is>
      </c>
      <c r="AH31" s="116" t="inlineStr">
        <is>
          <t>N</t>
        </is>
      </c>
      <c r="AI31" s="117" t="inlineStr">
        <is>
          <t>T</t>
        </is>
      </c>
      <c r="AJ31" s="107" t="n"/>
      <c r="AK31" s="107" t="n"/>
      <c r="AL31" s="115" t="inlineStr">
        <is>
          <t>D</t>
        </is>
      </c>
      <c r="AM31" s="107" t="n"/>
      <c r="AN31" s="96" t="n"/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SUMPRODUCT(($E31:$K31="M")*6+($E31:$K31="T")*6+($E31:$K31="D")*12+($E31:$K31="N")*12+($E31:$K31="NT")*6+($E31:$K31="C")*10+($E31:$K31="A")*8+($E31:$K31="J")*5+($E31:$K31="E")*4+($E31:$K31="P")*6+($E31:$K31="R")*6)</f>
        <v/>
      </c>
      <c r="BF31" s="110">
        <f>SUMPRODUCT(($L31:$R31="M")*6+($L31:$R31="T")*6+($L31:$R31="D")*12+($L31:$R31="N")*12+($L31:$R31="NT")*6+($L31:$R31="C")*10+($L31:$R31="A")*8+($L31:$R31="J")*5+($L31:$R31="E")*4+($L31:$R31="P")*6+($L31:$R31="R")*6)</f>
        <v/>
      </c>
      <c r="BG31" s="110">
        <f>SUMPRODUCT(($S31:$Y31="M")*6+($S31:$Y31="T")*6+($S31:$Y31="D")*12+($S31:$Y31="N")*12+($S31:$Y31="NT")*6+($S31:$Y31="C")*10+($S31:$Y31="A")*8+($S31:$Y31="J")*5+($S31:$Y31="E")*4+($S31:$Y31="P")*6+($S31:$Y31="R")*6)</f>
        <v/>
      </c>
      <c r="BH31" s="110">
        <f>SUMPRODUCT(($Z31:$AF31="M")*6+($Z31:$AF31="T")*6+($Z31:$AF31="D")*12+($Z31:$AF31="N")*12+($Z31:$AF31="NT")*6+($Z31:$AF31="C")*10+($Z31:$AF31="A")*8+($Z31:$AF31="J")*5+($Z31:$AF31="E")*4+($Z31:$AF31="P")*6+($Z31:$AF31="R")*6)</f>
        <v/>
      </c>
      <c r="BI31" s="110">
        <f>SUMPRODUCT(($AG31:$AM31="M")*6+($AG31:$AM31="T")*6+($AG31:$AM31="D")*12+($AG31:$AM31="N")*12+($AG31:$AM31="NT")*6+($AG31:$AM31="C")*10+($AG31:$AM31="A")*8+($AG31:$AM31="J")*5+($AG31:$AM31="E")*4+($AG31:$AM31="P")*6+($AG31:$AM31="R")*6)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123">
        <f>IFERROR(INDEX(ABR!AI$8:AI$73,MATCH($A32,ABR!$A$8:$A$73,0))&amp;"","")</f>
        <v/>
      </c>
      <c r="F32" s="123">
        <f>IFERROR(INDEX(ABR!AJ$8:AJ$73,MATCH($A32,ABR!$A$8:$A$73,0))&amp;"","")</f>
        <v/>
      </c>
      <c r="G32" s="123">
        <f>IFERROR(INDEX(ABR!AK$8:AK$73,MATCH($A32,ABR!$A$8:$A$73,0))&amp;"","")</f>
        <v/>
      </c>
      <c r="H32" s="123">
        <f>IFERROR(INDEX(ABR!AL$8:AL$73,MATCH($A32,ABR!$A$8:$A$73,0))&amp;"","")</f>
        <v/>
      </c>
      <c r="I32" s="115" t="inlineStr">
        <is>
          <t>D</t>
        </is>
      </c>
      <c r="J32" s="108" t="inlineStr">
        <is>
          <t>M</t>
        </is>
      </c>
      <c r="K32" s="107" t="n"/>
      <c r="L32" s="115" t="inlineStr">
        <is>
          <t>D</t>
        </is>
      </c>
      <c r="M32" s="107" t="n"/>
      <c r="N32" s="107" t="n"/>
      <c r="O32" s="107" t="n"/>
      <c r="P32" s="108" t="inlineStr">
        <is>
          <t>M</t>
        </is>
      </c>
      <c r="Q32" s="107" t="n"/>
      <c r="R32" s="116" t="inlineStr">
        <is>
          <t>N</t>
        </is>
      </c>
      <c r="S32" s="116" t="inlineStr">
        <is>
          <t>N</t>
        </is>
      </c>
      <c r="T32" s="107" t="n"/>
      <c r="U32" s="107" t="n"/>
      <c r="V32" s="108" t="inlineStr">
        <is>
          <t>M</t>
        </is>
      </c>
      <c r="W32" s="115" t="inlineStr">
        <is>
          <t>D</t>
        </is>
      </c>
      <c r="X32" s="107" t="n"/>
      <c r="Y32" s="107" t="n"/>
      <c r="Z32" s="115" t="inlineStr">
        <is>
          <t>D</t>
        </is>
      </c>
      <c r="AA32" s="107" t="n"/>
      <c r="AB32" s="107" t="n"/>
      <c r="AC32" s="117" t="inlineStr">
        <is>
          <t>T</t>
        </is>
      </c>
      <c r="AD32" s="107" t="n"/>
      <c r="AE32" s="108" t="inlineStr">
        <is>
          <t>M</t>
        </is>
      </c>
      <c r="AF32" s="108" t="inlineStr">
        <is>
          <t>M</t>
        </is>
      </c>
      <c r="AG32" s="116" t="inlineStr">
        <is>
          <t>N</t>
        </is>
      </c>
      <c r="AH32" s="107" t="n"/>
      <c r="AI32" s="107" t="n"/>
      <c r="AJ32" s="117" t="inlineStr">
        <is>
          <t>T</t>
        </is>
      </c>
      <c r="AK32" s="115" t="inlineStr">
        <is>
          <t>D</t>
        </is>
      </c>
      <c r="AL32" s="107" t="n"/>
      <c r="AM32" s="107" t="n"/>
      <c r="AN32" s="96" t="n"/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SUMPRODUCT(($E32:$K32="M")*6+($E32:$K32="T")*6+($E32:$K32="D")*12+($E32:$K32="N")*12+($E32:$K32="NT")*6+($E32:$K32="C")*10+($E32:$K32="A")*8+($E32:$K32="J")*5+($E32:$K32="E")*4+($E32:$K32="P")*6+($E32:$K32="R")*6)</f>
        <v/>
      </c>
      <c r="BF32" s="110">
        <f>SUMPRODUCT(($L32:$R32="M")*6+($L32:$R32="T")*6+($L32:$R32="D")*12+($L32:$R32="N")*12+($L32:$R32="NT")*6+($L32:$R32="C")*10+($L32:$R32="A")*8+($L32:$R32="J")*5+($L32:$R32="E")*4+($L32:$R32="P")*6+($L32:$R32="R")*6)</f>
        <v/>
      </c>
      <c r="BG32" s="110">
        <f>SUMPRODUCT(($S32:$Y32="M")*6+($S32:$Y32="T")*6+($S32:$Y32="D")*12+($S32:$Y32="N")*12+($S32:$Y32="NT")*6+($S32:$Y32="C")*10+($S32:$Y32="A")*8+($S32:$Y32="J")*5+($S32:$Y32="E")*4+($S32:$Y32="P")*6+($S32:$Y32="R")*6)</f>
        <v/>
      </c>
      <c r="BH32" s="110">
        <f>SUMPRODUCT(($Z32:$AF32="M")*6+($Z32:$AF32="T")*6+($Z32:$AF32="D")*12+($Z32:$AF32="N")*12+($Z32:$AF32="NT")*6+($Z32:$AF32="C")*10+($Z32:$AF32="A")*8+($Z32:$AF32="J")*5+($Z32:$AF32="E")*4+($Z32:$AF32="P")*6+($Z32:$AF32="R")*6)</f>
        <v/>
      </c>
      <c r="BI32" s="110">
        <f>SUMPRODUCT(($AG32:$AM32="M")*6+($AG32:$AM32="T")*6+($AG32:$AM32="D")*12+($AG32:$AM32="N")*12+($AG32:$AM32="NT")*6+($AG32:$AM32="C")*10+($AG32:$AM32="A")*8+($AG32:$AM32="J")*5+($AG32:$AM32="E")*4+($AG32:$AM32="P")*6+($AG32:$AM32="R")*6)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123">
        <f>IFERROR(INDEX(ABR!AI$8:AI$73,MATCH($A33,ABR!$A$8:$A$73,0))&amp;"","")</f>
        <v/>
      </c>
      <c r="F33" s="123">
        <f>IFERROR(INDEX(ABR!AJ$8:AJ$73,MATCH($A33,ABR!$A$8:$A$73,0))&amp;"","")</f>
        <v/>
      </c>
      <c r="G33" s="123">
        <f>IFERROR(INDEX(ABR!AK$8:AK$73,MATCH($A33,ABR!$A$8:$A$73,0))&amp;"","")</f>
        <v/>
      </c>
      <c r="H33" s="123">
        <f>IFERROR(INDEX(ABR!AL$8:AL$73,MATCH($A33,ABR!$A$8:$A$73,0))&amp;"","")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96" t="n"/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SUMPRODUCT(($E33:$K33="M")*6+($E33:$K33="T")*6+($E33:$K33="D")*12+($E33:$K33="N")*12+($E33:$K33="NT")*6+($E33:$K33="C")*10+($E33:$K33="A")*8+($E33:$K33="J")*5+($E33:$K33="E")*4+($E33:$K33="P")*6+($E33:$K33="R")*6)</f>
        <v/>
      </c>
      <c r="BF33" s="110">
        <f>SUMPRODUCT(($L33:$R33="M")*6+($L33:$R33="T")*6+($L33:$R33="D")*12+($L33:$R33="N")*12+($L33:$R33="NT")*6+($L33:$R33="C")*10+($L33:$R33="A")*8+($L33:$R33="J")*5+($L33:$R33="E")*4+($L33:$R33="P")*6+($L33:$R33="R")*6)</f>
        <v/>
      </c>
      <c r="BG33" s="110">
        <f>SUMPRODUCT(($S33:$Y33="M")*6+($S33:$Y33="T")*6+($S33:$Y33="D")*12+($S33:$Y33="N")*12+($S33:$Y33="NT")*6+($S33:$Y33="C")*10+($S33:$Y33="A")*8+($S33:$Y33="J")*5+($S33:$Y33="E")*4+($S33:$Y33="P")*6+($S33:$Y33="R")*6)</f>
        <v/>
      </c>
      <c r="BH33" s="110">
        <f>SUMPRODUCT(($Z33:$AF33="M")*6+($Z33:$AF33="T")*6+($Z33:$AF33="D")*12+($Z33:$AF33="N")*12+($Z33:$AF33="NT")*6+($Z33:$AF33="C")*10+($Z33:$AF33="A")*8+($Z33:$AF33="J")*5+($Z33:$AF33="E")*4+($Z33:$AF33="P")*6+($Z33:$AF33="R")*6)</f>
        <v/>
      </c>
      <c r="BI33" s="110">
        <f>SUMPRODUCT(($AG33:$AM33="M")*6+($AG33:$AM33="T")*6+($AG33:$AM33="D")*12+($AG33:$AM33="N")*12+($AG33:$AM33="NT")*6+($AG33:$AM33="C")*10+($AG33:$AM33="A")*8+($AG33:$AM33="J")*5+($AG33:$AM33="E")*4+($AG33:$AM33="P")*6+($AG33:$AM33="R")*6)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123">
        <f>IFERROR(INDEX(ABR!AI$8:AI$73,MATCH($A34,ABR!$A$8:$A$73,0))&amp;"","")</f>
        <v/>
      </c>
      <c r="F34" s="123">
        <f>IFERROR(INDEX(ABR!AJ$8:AJ$73,MATCH($A34,ABR!$A$8:$A$73,0))&amp;"","")</f>
        <v/>
      </c>
      <c r="G34" s="123">
        <f>IFERROR(INDEX(ABR!AK$8:AK$73,MATCH($A34,ABR!$A$8:$A$73,0))&amp;"","")</f>
        <v/>
      </c>
      <c r="H34" s="123">
        <f>IFERROR(INDEX(ABR!AL$8:AL$73,MATCH($A34,ABR!$A$8:$A$73,0))&amp;"","")</f>
        <v/>
      </c>
      <c r="I34" s="108" t="inlineStr">
        <is>
          <t>M</t>
        </is>
      </c>
      <c r="J34" s="107" t="n"/>
      <c r="K34" s="107" t="n"/>
      <c r="L34" s="107" t="n"/>
      <c r="M34" s="115" t="inlineStr">
        <is>
          <t>D</t>
        </is>
      </c>
      <c r="N34" s="107" t="n"/>
      <c r="O34" s="108" t="inlineStr">
        <is>
          <t>M</t>
        </is>
      </c>
      <c r="P34" s="116" t="inlineStr">
        <is>
          <t>N</t>
        </is>
      </c>
      <c r="Q34" s="107" t="n"/>
      <c r="R34" s="107" t="n"/>
      <c r="S34" s="107" t="n"/>
      <c r="T34" s="115" t="inlineStr">
        <is>
          <t>D</t>
        </is>
      </c>
      <c r="U34" s="115" t="inlineStr">
        <is>
          <t>D</t>
        </is>
      </c>
      <c r="V34" s="107" t="n"/>
      <c r="W34" s="108" t="inlineStr">
        <is>
          <t>M</t>
        </is>
      </c>
      <c r="X34" s="107" t="n"/>
      <c r="Y34" s="107" t="n"/>
      <c r="Z34" s="107" t="n"/>
      <c r="AA34" s="107" t="n"/>
      <c r="AB34" s="115" t="inlineStr">
        <is>
          <t>D</t>
        </is>
      </c>
      <c r="AC34" s="107" t="n"/>
      <c r="AD34" s="107" t="n"/>
      <c r="AE34" s="115" t="inlineStr">
        <is>
          <t>D</t>
        </is>
      </c>
      <c r="AF34" s="108" t="inlineStr">
        <is>
          <t>M</t>
        </is>
      </c>
      <c r="AG34" s="107" t="n"/>
      <c r="AH34" s="115" t="inlineStr">
        <is>
          <t>D</t>
        </is>
      </c>
      <c r="AI34" s="108" t="inlineStr">
        <is>
          <t>M</t>
        </is>
      </c>
      <c r="AJ34" s="107" t="n"/>
      <c r="AK34" s="107" t="n"/>
      <c r="AL34" s="115" t="inlineStr">
        <is>
          <t>D</t>
        </is>
      </c>
      <c r="AM34" s="107" t="n"/>
      <c r="AN34" s="96" t="n"/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SUMPRODUCT(($E34:$K34="M")*6+($E34:$K34="T")*6+($E34:$K34="D")*12+($E34:$K34="N")*12+($E34:$K34="NT")*6+($E34:$K34="C")*10+($E34:$K34="A")*8+($E34:$K34="J")*5+($E34:$K34="E")*4+($E34:$K34="P")*6+($E34:$K34="R")*6)</f>
        <v/>
      </c>
      <c r="BF34" s="110">
        <f>SUMPRODUCT(($L34:$R34="M")*6+($L34:$R34="T")*6+($L34:$R34="D")*12+($L34:$R34="N")*12+($L34:$R34="NT")*6+($L34:$R34="C")*10+($L34:$R34="A")*8+($L34:$R34="J")*5+($L34:$R34="E")*4+($L34:$R34="P")*6+($L34:$R34="R")*6)</f>
        <v/>
      </c>
      <c r="BG34" s="110">
        <f>SUMPRODUCT(($S34:$Y34="M")*6+($S34:$Y34="T")*6+($S34:$Y34="D")*12+($S34:$Y34="N")*12+($S34:$Y34="NT")*6+($S34:$Y34="C")*10+($S34:$Y34="A")*8+($S34:$Y34="J")*5+($S34:$Y34="E")*4+($S34:$Y34="P")*6+($S34:$Y34="R")*6)</f>
        <v/>
      </c>
      <c r="BH34" s="110">
        <f>SUMPRODUCT(($Z34:$AF34="M")*6+($Z34:$AF34="T")*6+($Z34:$AF34="D")*12+($Z34:$AF34="N")*12+($Z34:$AF34="NT")*6+($Z34:$AF34="C")*10+($Z34:$AF34="A")*8+($Z34:$AF34="J")*5+($Z34:$AF34="E")*4+($Z34:$AF34="P")*6+($Z34:$AF34="R")*6)</f>
        <v/>
      </c>
      <c r="BI34" s="110">
        <f>SUMPRODUCT(($AG34:$AM34="M")*6+($AG34:$AM34="T")*6+($AG34:$AM34="D")*12+($AG34:$AM34="N")*12+($AG34:$AM34="NT")*6+($AG34:$AM34="C")*10+($AG34:$AM34="A")*8+($AG34:$AM34="J")*5+($AG34:$AM34="E")*4+($AG34:$AM34="P")*6+($AG34:$AM34="R")*6)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123">
        <f>IFERROR(INDEX(ABR!AI$8:AI$73,MATCH($A35,ABR!$A$8:$A$73,0))&amp;"","")</f>
        <v/>
      </c>
      <c r="F35" s="123">
        <f>IFERROR(INDEX(ABR!AJ$8:AJ$73,MATCH($A35,ABR!$A$8:$A$73,0))&amp;"","")</f>
        <v/>
      </c>
      <c r="G35" s="123">
        <f>IFERROR(INDEX(ABR!AK$8:AK$73,MATCH($A35,ABR!$A$8:$A$73,0))&amp;"","")</f>
        <v/>
      </c>
      <c r="H35" s="123">
        <f>IFERROR(INDEX(ABR!AL$8:AL$73,MATCH($A35,ABR!$A$8:$A$73,0))&amp;"","")</f>
        <v/>
      </c>
      <c r="I35" s="117" t="inlineStr">
        <is>
          <t>T</t>
        </is>
      </c>
      <c r="J35" s="107" t="n"/>
      <c r="K35" s="107" t="n"/>
      <c r="L35" s="116" t="inlineStr">
        <is>
          <t>N</t>
        </is>
      </c>
      <c r="M35" s="107" t="n"/>
      <c r="N35" s="107" t="n"/>
      <c r="O35" s="107" t="n"/>
      <c r="P35" s="107" t="n"/>
      <c r="Q35" s="117" t="inlineStr">
        <is>
          <t>T</t>
        </is>
      </c>
      <c r="R35" s="115" t="inlineStr">
        <is>
          <t>D</t>
        </is>
      </c>
      <c r="S35" s="116" t="inlineStr">
        <is>
          <t>N</t>
        </is>
      </c>
      <c r="T35" s="107" t="n"/>
      <c r="U35" s="117" t="inlineStr">
        <is>
          <t>T</t>
        </is>
      </c>
      <c r="V35" s="107" t="n"/>
      <c r="W35" s="107" t="n"/>
      <c r="X35" s="107" t="n"/>
      <c r="Y35" s="115" t="inlineStr">
        <is>
          <t>D</t>
        </is>
      </c>
      <c r="Z35" s="107" t="n"/>
      <c r="AA35" s="116" t="inlineStr">
        <is>
          <t>N</t>
        </is>
      </c>
      <c r="AB35" s="116" t="inlineStr">
        <is>
          <t>N</t>
        </is>
      </c>
      <c r="AC35" s="107" t="n"/>
      <c r="AD35" s="107" t="n"/>
      <c r="AE35" s="117" t="inlineStr">
        <is>
          <t>T</t>
        </is>
      </c>
      <c r="AF35" s="107" t="n"/>
      <c r="AG35" s="108" t="inlineStr">
        <is>
          <t>M</t>
        </is>
      </c>
      <c r="AH35" s="115" t="inlineStr">
        <is>
          <t>D</t>
        </is>
      </c>
      <c r="AI35" s="107" t="n"/>
      <c r="AJ35" s="117" t="inlineStr">
        <is>
          <t>T</t>
        </is>
      </c>
      <c r="AK35" s="107" t="n"/>
      <c r="AL35" s="107" t="n"/>
      <c r="AM35" s="107" t="n"/>
      <c r="AN35" s="96" t="n"/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SUMPRODUCT(($E35:$K35="M")*6+($E35:$K35="T")*6+($E35:$K35="D")*12+($E35:$K35="N")*12+($E35:$K35="NT")*6+($E35:$K35="C")*10+($E35:$K35="A")*8+($E35:$K35="J")*5+($E35:$K35="E")*4+($E35:$K35="P")*6+($E35:$K35="R")*6)</f>
        <v/>
      </c>
      <c r="BF35" s="110">
        <f>SUMPRODUCT(($L35:$R35="M")*6+($L35:$R35="T")*6+($L35:$R35="D")*12+($L35:$R35="N")*12+($L35:$R35="NT")*6+($L35:$R35="C")*10+($L35:$R35="A")*8+($L35:$R35="J")*5+($L35:$R35="E")*4+($L35:$R35="P")*6+($L35:$R35="R")*6)</f>
        <v/>
      </c>
      <c r="BG35" s="110">
        <f>SUMPRODUCT(($S35:$Y35="M")*6+($S35:$Y35="T")*6+($S35:$Y35="D")*12+($S35:$Y35="N")*12+($S35:$Y35="NT")*6+($S35:$Y35="C")*10+($S35:$Y35="A")*8+($S35:$Y35="J")*5+($S35:$Y35="E")*4+($S35:$Y35="P")*6+($S35:$Y35="R")*6)</f>
        <v/>
      </c>
      <c r="BH35" s="110">
        <f>SUMPRODUCT(($Z35:$AF35="M")*6+($Z35:$AF35="T")*6+($Z35:$AF35="D")*12+($Z35:$AF35="N")*12+($Z35:$AF35="NT")*6+($Z35:$AF35="C")*10+($Z35:$AF35="A")*8+($Z35:$AF35="J")*5+($Z35:$AF35="E")*4+($Z35:$AF35="P")*6+($Z35:$AF35="R")*6)</f>
        <v/>
      </c>
      <c r="BI35" s="110">
        <f>SUMPRODUCT(($AG35:$AM35="M")*6+($AG35:$AM35="T")*6+($AG35:$AM35="D")*12+($AG35:$AM35="N")*12+($AG35:$AM35="NT")*6+($AG35:$AM35="C")*10+($AG35:$AM35="A")*8+($AG35:$AM35="J")*5+($AG35:$AM35="E")*4+($AG35:$AM35="P")*6+($AG35:$AM35="R")*6)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123">
        <f>IFERROR(INDEX(ABR!AI$8:AI$73,MATCH($A36,ABR!$A$8:$A$73,0))&amp;"","")</f>
        <v/>
      </c>
      <c r="F36" s="123">
        <f>IFERROR(INDEX(ABR!AJ$8:AJ$73,MATCH($A36,ABR!$A$8:$A$73,0))&amp;"","")</f>
        <v/>
      </c>
      <c r="G36" s="123">
        <f>IFERROR(INDEX(ABR!AK$8:AK$73,MATCH($A36,ABR!$A$8:$A$73,0))&amp;"","")</f>
        <v/>
      </c>
      <c r="H36" s="123">
        <f>IFERROR(INDEX(ABR!AL$8:AL$73,MATCH($A36,ABR!$A$8:$A$73,0))&amp;"","")</f>
        <v/>
      </c>
      <c r="I36" s="116" t="inlineStr">
        <is>
          <t>N</t>
        </is>
      </c>
      <c r="J36" s="107" t="n"/>
      <c r="K36" s="107" t="n"/>
      <c r="L36" s="107" t="n"/>
      <c r="M36" s="116" t="inlineStr">
        <is>
          <t>N</t>
        </is>
      </c>
      <c r="N36" s="107" t="n"/>
      <c r="O36" s="117" t="inlineStr">
        <is>
          <t>T</t>
        </is>
      </c>
      <c r="P36" s="115" t="inlineStr">
        <is>
          <t>D</t>
        </is>
      </c>
      <c r="Q36" s="107" t="n"/>
      <c r="R36" s="107" t="n"/>
      <c r="S36" s="107" t="n"/>
      <c r="T36" s="116" t="inlineStr">
        <is>
          <t>N</t>
        </is>
      </c>
      <c r="U36" s="107" t="n"/>
      <c r="V36" s="117" t="inlineStr">
        <is>
          <t>T</t>
        </is>
      </c>
      <c r="W36" s="107" t="n"/>
      <c r="X36" s="115" t="inlineStr">
        <is>
          <t>D</t>
        </is>
      </c>
      <c r="Y36" s="107" t="n"/>
      <c r="Z36" s="116" t="inlineStr">
        <is>
          <t>N</t>
        </is>
      </c>
      <c r="AA36" s="107" t="n"/>
      <c r="AB36" s="107" t="n"/>
      <c r="AC36" s="107" t="n"/>
      <c r="AD36" s="117" t="inlineStr">
        <is>
          <t>T</t>
        </is>
      </c>
      <c r="AE36" s="107" t="n"/>
      <c r="AF36" s="116" t="inlineStr">
        <is>
          <t>N</t>
        </is>
      </c>
      <c r="AG36" s="107" t="n"/>
      <c r="AH36" s="116" t="inlineStr">
        <is>
          <t>N</t>
        </is>
      </c>
      <c r="AI36" s="107" t="n"/>
      <c r="AJ36" s="108" t="inlineStr">
        <is>
          <t>M</t>
        </is>
      </c>
      <c r="AK36" s="116" t="inlineStr">
        <is>
          <t>N</t>
        </is>
      </c>
      <c r="AL36" s="107" t="n"/>
      <c r="AM36" s="107" t="n"/>
      <c r="AN36" s="96" t="n"/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SUMPRODUCT(($E36:$K36="M")*6+($E36:$K36="T")*6+($E36:$K36="D")*12+($E36:$K36="N")*12+($E36:$K36="NT")*6+($E36:$K36="C")*10+($E36:$K36="A")*8+($E36:$K36="J")*5+($E36:$K36="E")*4+($E36:$K36="P")*6+($E36:$K36="R")*6)</f>
        <v/>
      </c>
      <c r="BF36" s="110">
        <f>SUMPRODUCT(($L36:$R36="M")*6+($L36:$R36="T")*6+($L36:$R36="D")*12+($L36:$R36="N")*12+($L36:$R36="NT")*6+($L36:$R36="C")*10+($L36:$R36="A")*8+($L36:$R36="J")*5+($L36:$R36="E")*4+($L36:$R36="P")*6+($L36:$R36="R")*6)</f>
        <v/>
      </c>
      <c r="BG36" s="110">
        <f>SUMPRODUCT(($S36:$Y36="M")*6+($S36:$Y36="T")*6+($S36:$Y36="D")*12+($S36:$Y36="N")*12+($S36:$Y36="NT")*6+($S36:$Y36="C")*10+($S36:$Y36="A")*8+($S36:$Y36="J")*5+($S36:$Y36="E")*4+($S36:$Y36="P")*6+($S36:$Y36="R")*6)</f>
        <v/>
      </c>
      <c r="BH36" s="110">
        <f>SUMPRODUCT(($Z36:$AF36="M")*6+($Z36:$AF36="T")*6+($Z36:$AF36="D")*12+($Z36:$AF36="N")*12+($Z36:$AF36="NT")*6+($Z36:$AF36="C")*10+($Z36:$AF36="A")*8+($Z36:$AF36="J")*5+($Z36:$AF36="E")*4+($Z36:$AF36="P")*6+($Z36:$AF36="R")*6)</f>
        <v/>
      </c>
      <c r="BI36" s="110">
        <f>SUMPRODUCT(($AG36:$AM36="M")*6+($AG36:$AM36="T")*6+($AG36:$AM36="D")*12+($AG36:$AM36="N")*12+($AG36:$AM36="NT")*6+($AG36:$AM36="C")*10+($AG36:$AM36="A")*8+($AG36:$AM36="J")*5+($AG36:$AM36="E")*4+($AG36:$AM36="P")*6+($AG36:$AM36="R")*6)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123">
        <f>IFERROR(INDEX(ABR!AI$8:AI$73,MATCH($A37,ABR!$A$8:$A$73,0))&amp;"","")</f>
        <v/>
      </c>
      <c r="F37" s="123">
        <f>IFERROR(INDEX(ABR!AJ$8:AJ$73,MATCH($A37,ABR!$A$8:$A$73,0))&amp;"","")</f>
        <v/>
      </c>
      <c r="G37" s="123">
        <f>IFERROR(INDEX(ABR!AK$8:AK$73,MATCH($A37,ABR!$A$8:$A$73,0))&amp;"","")</f>
        <v/>
      </c>
      <c r="H37" s="123">
        <f>IFERROR(INDEX(ABR!AL$8:AL$73,MATCH($A37,ABR!$A$8:$A$73,0))&amp;"","")</f>
        <v/>
      </c>
      <c r="I37" s="107" t="n"/>
      <c r="J37" s="107" t="n"/>
      <c r="K37" s="107" t="n"/>
      <c r="L37" s="107" t="n"/>
      <c r="M37" s="107" t="n"/>
      <c r="N37" s="116" t="inlineStr">
        <is>
          <t>N</t>
        </is>
      </c>
      <c r="O37" s="107" t="n"/>
      <c r="P37" s="108" t="inlineStr">
        <is>
          <t>M</t>
        </is>
      </c>
      <c r="Q37" s="116" t="inlineStr">
        <is>
          <t>N</t>
        </is>
      </c>
      <c r="R37" s="107" t="n"/>
      <c r="S37" s="108" t="inlineStr">
        <is>
          <t>M</t>
        </is>
      </c>
      <c r="T37" s="107" t="n"/>
      <c r="U37" s="107" t="n"/>
      <c r="V37" s="107" t="n"/>
      <c r="W37" s="116" t="inlineStr">
        <is>
          <t>N</t>
        </is>
      </c>
      <c r="X37" s="107" t="n"/>
      <c r="Y37" s="116" t="inlineStr">
        <is>
          <t>N</t>
        </is>
      </c>
      <c r="Z37" s="107" t="n"/>
      <c r="AA37" s="108" t="inlineStr">
        <is>
          <t>M</t>
        </is>
      </c>
      <c r="AB37" s="108" t="inlineStr">
        <is>
          <t>M</t>
        </is>
      </c>
      <c r="AC37" s="107" t="n"/>
      <c r="AD37" s="108" t="inlineStr">
        <is>
          <t>M</t>
        </is>
      </c>
      <c r="AE37" s="107" t="n"/>
      <c r="AF37" s="116" t="inlineStr">
        <is>
          <t>N</t>
        </is>
      </c>
      <c r="AG37" s="108" t="inlineStr">
        <is>
          <t>M</t>
        </is>
      </c>
      <c r="AH37" s="116" t="inlineStr">
        <is>
          <t>N</t>
        </is>
      </c>
      <c r="AI37" s="107" t="n"/>
      <c r="AJ37" s="116" t="inlineStr">
        <is>
          <t>N</t>
        </is>
      </c>
      <c r="AK37" s="107" t="n"/>
      <c r="AL37" s="107" t="n"/>
      <c r="AM37" s="107" t="n"/>
      <c r="AN37" s="96" t="n"/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SUMPRODUCT(($E37:$K37="M")*6+($E37:$K37="T")*6+($E37:$K37="D")*12+($E37:$K37="N")*12+($E37:$K37="NT")*6+($E37:$K37="C")*10+($E37:$K37="A")*8+($E37:$K37="J")*5+($E37:$K37="E")*4+($E37:$K37="P")*6+($E37:$K37="R")*6)</f>
        <v/>
      </c>
      <c r="BF37" s="110">
        <f>SUMPRODUCT(($L37:$R37="M")*6+($L37:$R37="T")*6+($L37:$R37="D")*12+($L37:$R37="N")*12+($L37:$R37="NT")*6+($L37:$R37="C")*10+($L37:$R37="A")*8+($L37:$R37="J")*5+($L37:$R37="E")*4+($L37:$R37="P")*6+($L37:$R37="R")*6)</f>
        <v/>
      </c>
      <c r="BG37" s="110">
        <f>SUMPRODUCT(($S37:$Y37="M")*6+($S37:$Y37="T")*6+($S37:$Y37="D")*12+($S37:$Y37="N")*12+($S37:$Y37="NT")*6+($S37:$Y37="C")*10+($S37:$Y37="A")*8+($S37:$Y37="J")*5+($S37:$Y37="E")*4+($S37:$Y37="P")*6+($S37:$Y37="R")*6)</f>
        <v/>
      </c>
      <c r="BH37" s="110">
        <f>SUMPRODUCT(($Z37:$AF37="M")*6+($Z37:$AF37="T")*6+($Z37:$AF37="D")*12+($Z37:$AF37="N")*12+($Z37:$AF37="NT")*6+($Z37:$AF37="C")*10+($Z37:$AF37="A")*8+($Z37:$AF37="J")*5+($Z37:$AF37="E")*4+($Z37:$AF37="P")*6+($Z37:$AF37="R")*6)</f>
        <v/>
      </c>
      <c r="BI37" s="110">
        <f>SUMPRODUCT(($AG37:$AM37="M")*6+($AG37:$AM37="T")*6+($AG37:$AM37="D")*12+($AG37:$AM37="N")*12+($AG37:$AM37="NT")*6+($AG37:$AM37="C")*10+($AG37:$AM37="A")*8+($AG37:$AM37="J")*5+($AG37:$AM37="E")*4+($AG37:$AM37="P")*6+($AG37:$AM37="R")*6)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123">
        <f>IFERROR(INDEX(ABR!AI$8:AI$73,MATCH($A38,ABR!$A$8:$A$73,0))&amp;"","")</f>
        <v/>
      </c>
      <c r="F38" s="123">
        <f>IFERROR(INDEX(ABR!AJ$8:AJ$73,MATCH($A38,ABR!$A$8:$A$73,0))&amp;"","")</f>
        <v/>
      </c>
      <c r="G38" s="123">
        <f>IFERROR(INDEX(ABR!AK$8:AK$73,MATCH($A38,ABR!$A$8:$A$73,0))&amp;"","")</f>
        <v/>
      </c>
      <c r="H38" s="123">
        <f>IFERROR(INDEX(ABR!AL$8:AL$73,MATCH($A38,ABR!$A$8:$A$73,0))&amp;"","")</f>
        <v/>
      </c>
      <c r="I38" s="107" t="n"/>
      <c r="J38" s="107" t="n"/>
      <c r="K38" s="107" t="n"/>
      <c r="L38" s="107" t="n"/>
      <c r="M38" s="107" t="n"/>
      <c r="N38" s="107" t="n"/>
      <c r="O38" s="108" t="inlineStr">
        <is>
          <t>M</t>
        </is>
      </c>
      <c r="P38" s="107" t="n"/>
      <c r="Q38" s="116" t="inlineStr">
        <is>
          <t>N</t>
        </is>
      </c>
      <c r="R38" s="107" t="n"/>
      <c r="S38" s="107" t="n"/>
      <c r="T38" s="117" t="inlineStr">
        <is>
          <t>T</t>
        </is>
      </c>
      <c r="U38" s="107" t="n"/>
      <c r="V38" s="107" t="n"/>
      <c r="W38" s="116" t="inlineStr">
        <is>
          <t>N</t>
        </is>
      </c>
      <c r="X38" s="107" t="n"/>
      <c r="Y38" s="107" t="n"/>
      <c r="Z38" s="108" t="inlineStr">
        <is>
          <t>M</t>
        </is>
      </c>
      <c r="AA38" s="107" t="n"/>
      <c r="AB38" s="107" t="n"/>
      <c r="AC38" s="116" t="inlineStr">
        <is>
          <t>N</t>
        </is>
      </c>
      <c r="AD38" s="107" t="n"/>
      <c r="AE38" s="107" t="n"/>
      <c r="AF38" s="107" t="n"/>
      <c r="AG38" s="117" t="inlineStr">
        <is>
          <t>T</t>
        </is>
      </c>
      <c r="AH38" s="107" t="n"/>
      <c r="AI38" s="107" t="n"/>
      <c r="AJ38" s="107" t="n"/>
      <c r="AK38" s="107" t="n"/>
      <c r="AL38" s="107" t="n"/>
      <c r="AM38" s="107" t="n"/>
      <c r="AN38" s="96" t="n"/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SUMPRODUCT(($E38:$K38="M")*6+($E38:$K38="T")*6+($E38:$K38="D")*12+($E38:$K38="N")*12+($E38:$K38="NT")*6+($E38:$K38="C")*10+($E38:$K38="A")*8+($E38:$K38="J")*5+($E38:$K38="E")*4+($E38:$K38="P")*6+($E38:$K38="R")*6)</f>
        <v/>
      </c>
      <c r="BF38" s="110">
        <f>SUMPRODUCT(($L38:$R38="M")*6+($L38:$R38="T")*6+($L38:$R38="D")*12+($L38:$R38="N")*12+($L38:$R38="NT")*6+($L38:$R38="C")*10+($L38:$R38="A")*8+($L38:$R38="J")*5+($L38:$R38="E")*4+($L38:$R38="P")*6+($L38:$R38="R")*6)</f>
        <v/>
      </c>
      <c r="BG38" s="110">
        <f>SUMPRODUCT(($S38:$Y38="M")*6+($S38:$Y38="T")*6+($S38:$Y38="D")*12+($S38:$Y38="N")*12+($S38:$Y38="NT")*6+($S38:$Y38="C")*10+($S38:$Y38="A")*8+($S38:$Y38="J")*5+($S38:$Y38="E")*4+($S38:$Y38="P")*6+($S38:$Y38="R")*6)</f>
        <v/>
      </c>
      <c r="BH38" s="110">
        <f>SUMPRODUCT(($Z38:$AF38="M")*6+($Z38:$AF38="T")*6+($Z38:$AF38="D")*12+($Z38:$AF38="N")*12+($Z38:$AF38="NT")*6+($Z38:$AF38="C")*10+($Z38:$AF38="A")*8+($Z38:$AF38="J")*5+($Z38:$AF38="E")*4+($Z38:$AF38="P")*6+($Z38:$AF38="R")*6)</f>
        <v/>
      </c>
      <c r="BI38" s="110">
        <f>SUMPRODUCT(($AG38:$AM38="M")*6+($AG38:$AM38="T")*6+($AG38:$AM38="D")*12+($AG38:$AM38="N")*12+($AG38:$AM38="NT")*6+($AG38:$AM38="C")*10+($AG38:$AM38="A")*8+($AG38:$AM38="J")*5+($AG38:$AM38="E")*4+($AG38:$AM38="P")*6+($AG38:$AM38="R")*6)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123">
        <f>IFERROR(INDEX(ABR!AI$8:AI$73,MATCH($A39,ABR!$A$8:$A$73,0))&amp;"","")</f>
        <v/>
      </c>
      <c r="F39" s="123">
        <f>IFERROR(INDEX(ABR!AJ$8:AJ$73,MATCH($A39,ABR!$A$8:$A$73,0))&amp;"","")</f>
        <v/>
      </c>
      <c r="G39" s="123">
        <f>IFERROR(INDEX(ABR!AK$8:AK$73,MATCH($A39,ABR!$A$8:$A$73,0))&amp;"","")</f>
        <v/>
      </c>
      <c r="H39" s="123">
        <f>IFERROR(INDEX(ABR!AL$8:AL$73,MATCH($A39,ABR!$A$8:$A$73,0))&amp;"","")</f>
        <v/>
      </c>
      <c r="I39" s="107" t="n"/>
      <c r="J39" s="116" t="inlineStr">
        <is>
          <t>N</t>
        </is>
      </c>
      <c r="K39" s="107" t="n"/>
      <c r="L39" s="117" t="inlineStr">
        <is>
          <t>T</t>
        </is>
      </c>
      <c r="M39" s="108" t="inlineStr">
        <is>
          <t>M</t>
        </is>
      </c>
      <c r="N39" s="117" t="inlineStr">
        <is>
          <t>T</t>
        </is>
      </c>
      <c r="O39" s="107" t="n"/>
      <c r="P39" s="108" t="inlineStr">
        <is>
          <t>M</t>
        </is>
      </c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8" t="inlineStr">
        <is>
          <t>M</t>
        </is>
      </c>
      <c r="AL39" s="116" t="inlineStr">
        <is>
          <t>N</t>
        </is>
      </c>
      <c r="AM39" s="107" t="n"/>
      <c r="AN39" s="96" t="n"/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SUMPRODUCT(($E39:$K39="M")*6+($E39:$K39="T")*6+($E39:$K39="D")*12+($E39:$K39="N")*12+($E39:$K39="NT")*6+($E39:$K39="C")*10+($E39:$K39="A")*8+($E39:$K39="J")*5+($E39:$K39="E")*4+($E39:$K39="P")*6+($E39:$K39="R")*6)</f>
        <v/>
      </c>
      <c r="BF39" s="110">
        <f>SUMPRODUCT(($L39:$R39="M")*6+($L39:$R39="T")*6+($L39:$R39="D")*12+($L39:$R39="N")*12+($L39:$R39="NT")*6+($L39:$R39="C")*10+($L39:$R39="A")*8+($L39:$R39="J")*5+($L39:$R39="E")*4+($L39:$R39="P")*6+($L39:$R39="R")*6)</f>
        <v/>
      </c>
      <c r="BG39" s="110">
        <f>SUMPRODUCT(($S39:$Y39="M")*6+($S39:$Y39="T")*6+($S39:$Y39="D")*12+($S39:$Y39="N")*12+($S39:$Y39="NT")*6+($S39:$Y39="C")*10+($S39:$Y39="A")*8+($S39:$Y39="J")*5+($S39:$Y39="E")*4+($S39:$Y39="P")*6+($S39:$Y39="R")*6)</f>
        <v/>
      </c>
      <c r="BH39" s="110">
        <f>SUMPRODUCT(($Z39:$AF39="M")*6+($Z39:$AF39="T")*6+($Z39:$AF39="D")*12+($Z39:$AF39="N")*12+($Z39:$AF39="NT")*6+($Z39:$AF39="C")*10+($Z39:$AF39="A")*8+($Z39:$AF39="J")*5+($Z39:$AF39="E")*4+($Z39:$AF39="P")*6+($Z39:$AF39="R")*6)</f>
        <v/>
      </c>
      <c r="BI39" s="110">
        <f>SUMPRODUCT(($AG39:$AM39="M")*6+($AG39:$AM39="T")*6+($AG39:$AM39="D")*12+($AG39:$AM39="N")*12+($AG39:$AM39="NT")*6+($AG39:$AM39="C")*10+($AG39:$AM39="A")*8+($AG39:$AM39="J")*5+($AG39:$AM39="E")*4+($AG39:$AM39="P")*6+($AG39:$AM39="R")*6)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123">
        <f>IFERROR(INDEX(ABR!AI$8:AI$73,MATCH($A40,ABR!$A$8:$A$73,0))&amp;"","")</f>
        <v/>
      </c>
      <c r="F40" s="123">
        <f>IFERROR(INDEX(ABR!AJ$8:AJ$73,MATCH($A40,ABR!$A$8:$A$73,0))&amp;"","")</f>
        <v/>
      </c>
      <c r="G40" s="123">
        <f>IFERROR(INDEX(ABR!AK$8:AK$73,MATCH($A40,ABR!$A$8:$A$73,0))&amp;"","")</f>
        <v/>
      </c>
      <c r="H40" s="123">
        <f>IFERROR(INDEX(ABR!AL$8:AL$73,MATCH($A40,ABR!$A$8:$A$73,0))&amp;"","")</f>
        <v/>
      </c>
      <c r="I40" s="115" t="inlineStr">
        <is>
          <t>D</t>
        </is>
      </c>
      <c r="J40" s="108" t="inlineStr">
        <is>
          <t>M</t>
        </is>
      </c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96" t="n"/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SUMPRODUCT(($E40:$K40="M")*6+($E40:$K40="T")*6+($E40:$K40="D")*12+($E40:$K40="N")*12+($E40:$K40="NT")*6+($E40:$K40="C")*10+($E40:$K40="A")*8+($E40:$K40="J")*5+($E40:$K40="E")*4+($E40:$K40="P")*6+($E40:$K40="R")*6)</f>
        <v/>
      </c>
      <c r="BF40" s="110">
        <f>SUMPRODUCT(($L40:$R40="M")*6+($L40:$R40="T")*6+($L40:$R40="D")*12+($L40:$R40="N")*12+($L40:$R40="NT")*6+($L40:$R40="C")*10+($L40:$R40="A")*8+($L40:$R40="J")*5+($L40:$R40="E")*4+($L40:$R40="P")*6+($L40:$R40="R")*6)</f>
        <v/>
      </c>
      <c r="BG40" s="110">
        <f>SUMPRODUCT(($S40:$Y40="M")*6+($S40:$Y40="T")*6+($S40:$Y40="D")*12+($S40:$Y40="N")*12+($S40:$Y40="NT")*6+($S40:$Y40="C")*10+($S40:$Y40="A")*8+($S40:$Y40="J")*5+($S40:$Y40="E")*4+($S40:$Y40="P")*6+($S40:$Y40="R")*6)</f>
        <v/>
      </c>
      <c r="BH40" s="110">
        <f>SUMPRODUCT(($Z40:$AF40="M")*6+($Z40:$AF40="T")*6+($Z40:$AF40="D")*12+($Z40:$AF40="N")*12+($Z40:$AF40="NT")*6+($Z40:$AF40="C")*10+($Z40:$AF40="A")*8+($Z40:$AF40="J")*5+($Z40:$AF40="E")*4+($Z40:$AF40="P")*6+($Z40:$AF40="R")*6)</f>
        <v/>
      </c>
      <c r="BI40" s="110">
        <f>SUMPRODUCT(($AG40:$AM40="M")*6+($AG40:$AM40="T")*6+($AG40:$AM40="D")*12+($AG40:$AM40="N")*12+($AG40:$AM40="NT")*6+($AG40:$AM40="C")*10+($AG40:$AM40="A")*8+($AG40:$AM40="J")*5+($AG40:$AM40="E")*4+($AG40:$AM40="P")*6+($AG40:$AM40="R")*6)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123">
        <f>IFERROR(INDEX(ABR!AI$8:AI$73,MATCH($A41,ABR!$A$8:$A$73,0))&amp;"","")</f>
        <v/>
      </c>
      <c r="F41" s="123">
        <f>IFERROR(INDEX(ABR!AJ$8:AJ$73,MATCH($A41,ABR!$A$8:$A$73,0))&amp;"","")</f>
        <v/>
      </c>
      <c r="G41" s="123">
        <f>IFERROR(INDEX(ABR!AK$8:AK$73,MATCH($A41,ABR!$A$8:$A$73,0))&amp;"","")</f>
        <v/>
      </c>
      <c r="H41" s="123">
        <f>IFERROR(INDEX(ABR!AL$8:AL$73,MATCH($A41,ABR!$A$8:$A$73,0))&amp;"","")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15" t="inlineStr">
        <is>
          <t>D</t>
        </is>
      </c>
      <c r="Q41" s="115" t="inlineStr">
        <is>
          <t>D</t>
        </is>
      </c>
      <c r="R41" s="107" t="n"/>
      <c r="S41" s="115" t="inlineStr">
        <is>
          <t>D</t>
        </is>
      </c>
      <c r="T41" s="107" t="n"/>
      <c r="U41" s="107" t="n"/>
      <c r="V41" s="107" t="n"/>
      <c r="W41" s="115" t="inlineStr">
        <is>
          <t>D</t>
        </is>
      </c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96" t="n"/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SUMPRODUCT(($E41:$K41="M")*6+($E41:$K41="T")*6+($E41:$K41="D")*12+($E41:$K41="N")*12+($E41:$K41="NT")*6+($E41:$K41="C")*10+($E41:$K41="A")*8+($E41:$K41="J")*5+($E41:$K41="E")*4+($E41:$K41="P")*6+($E41:$K41="R")*6)</f>
        <v/>
      </c>
      <c r="BF41" s="110">
        <f>SUMPRODUCT(($L41:$R41="M")*6+($L41:$R41="T")*6+($L41:$R41="D")*12+($L41:$R41="N")*12+($L41:$R41="NT")*6+($L41:$R41="C")*10+($L41:$R41="A")*8+($L41:$R41="J")*5+($L41:$R41="E")*4+($L41:$R41="P")*6+($L41:$R41="R")*6)</f>
        <v/>
      </c>
      <c r="BG41" s="110">
        <f>SUMPRODUCT(($S41:$Y41="M")*6+($S41:$Y41="T")*6+($S41:$Y41="D")*12+($S41:$Y41="N")*12+($S41:$Y41="NT")*6+($S41:$Y41="C")*10+($S41:$Y41="A")*8+($S41:$Y41="J")*5+($S41:$Y41="E")*4+($S41:$Y41="P")*6+($S41:$Y41="R")*6)</f>
        <v/>
      </c>
      <c r="BH41" s="110">
        <f>SUMPRODUCT(($Z41:$AF41="M")*6+($Z41:$AF41="T")*6+($Z41:$AF41="D")*12+($Z41:$AF41="N")*12+($Z41:$AF41="NT")*6+($Z41:$AF41="C")*10+($Z41:$AF41="A")*8+($Z41:$AF41="J")*5+($Z41:$AF41="E")*4+($Z41:$AF41="P")*6+($Z41:$AF41="R")*6)</f>
        <v/>
      </c>
      <c r="BI41" s="110">
        <f>SUMPRODUCT(($AG41:$AM41="M")*6+($AG41:$AM41="T")*6+($AG41:$AM41="D")*12+($AG41:$AM41="N")*12+($AG41:$AM41="NT")*6+($AG41:$AM41="C")*10+($AG41:$AM41="A")*8+($AG41:$AM41="J")*5+($AG41:$AM41="E")*4+($AG41:$AM41="P")*6+($AG41:$AM41="R")*6)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123">
        <f>IFERROR(INDEX(ABR!AI$8:AI$73,MATCH($A42,ABR!$A$8:$A$73,0))&amp;"","")</f>
        <v/>
      </c>
      <c r="F42" s="123">
        <f>IFERROR(INDEX(ABR!AJ$8:AJ$73,MATCH($A42,ABR!$A$8:$A$73,0))&amp;"","")</f>
        <v/>
      </c>
      <c r="G42" s="123">
        <f>IFERROR(INDEX(ABR!AK$8:AK$73,MATCH($A42,ABR!$A$8:$A$73,0))&amp;"","")</f>
        <v/>
      </c>
      <c r="H42" s="123">
        <f>IFERROR(INDEX(ABR!AL$8:AL$73,MATCH($A42,ABR!$A$8:$A$73,0))&amp;"","")</f>
        <v/>
      </c>
      <c r="I42" s="116" t="inlineStr">
        <is>
          <t>N</t>
        </is>
      </c>
      <c r="J42" s="107" t="n"/>
      <c r="K42" s="107" t="n"/>
      <c r="L42" s="116" t="inlineStr">
        <is>
          <t>N</t>
        </is>
      </c>
      <c r="M42" s="107" t="n"/>
      <c r="N42" s="107" t="n"/>
      <c r="O42" s="107" t="n"/>
      <c r="P42" s="117" t="inlineStr">
        <is>
          <t>T</t>
        </is>
      </c>
      <c r="Q42" s="107" t="n"/>
      <c r="R42" s="108" t="inlineStr">
        <is>
          <t>M</t>
        </is>
      </c>
      <c r="S42" s="117" t="inlineStr">
        <is>
          <t>T</t>
        </is>
      </c>
      <c r="T42" s="107" t="n"/>
      <c r="U42" s="107" t="n"/>
      <c r="V42" s="107" t="n"/>
      <c r="W42" s="107" t="n"/>
      <c r="X42" s="117" t="inlineStr">
        <is>
          <t>T</t>
        </is>
      </c>
      <c r="Y42" s="116" t="inlineStr">
        <is>
          <t>N</t>
        </is>
      </c>
      <c r="Z42" s="107" t="n"/>
      <c r="AA42" s="107" t="n"/>
      <c r="AB42" s="116" t="inlineStr">
        <is>
          <t>N</t>
        </is>
      </c>
      <c r="AC42" s="107" t="n"/>
      <c r="AD42" s="117" t="inlineStr">
        <is>
          <t>T</t>
        </is>
      </c>
      <c r="AE42" s="117" t="inlineStr">
        <is>
          <t>T</t>
        </is>
      </c>
      <c r="AF42" s="107" t="n"/>
      <c r="AG42" s="107" t="n"/>
      <c r="AH42" s="116" t="inlineStr">
        <is>
          <t>N</t>
        </is>
      </c>
      <c r="AI42" s="107" t="n"/>
      <c r="AJ42" s="107" t="n"/>
      <c r="AK42" s="115" t="inlineStr">
        <is>
          <t>D</t>
        </is>
      </c>
      <c r="AL42" s="107" t="n"/>
      <c r="AM42" s="107" t="n"/>
      <c r="AN42" s="96" t="n"/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SUMPRODUCT(($E42:$K42="M")*6+($E42:$K42="T")*6+($E42:$K42="D")*12+($E42:$K42="N")*12+($E42:$K42="NT")*6+($E42:$K42="C")*10+($E42:$K42="A")*8+($E42:$K42="J")*5+($E42:$K42="E")*4+($E42:$K42="P")*6+($E42:$K42="R")*6)</f>
        <v/>
      </c>
      <c r="BF42" s="110">
        <f>SUMPRODUCT(($L42:$R42="M")*6+($L42:$R42="T")*6+($L42:$R42="D")*12+($L42:$R42="N")*12+($L42:$R42="NT")*6+($L42:$R42="C")*10+($L42:$R42="A")*8+($L42:$R42="J")*5+($L42:$R42="E")*4+($L42:$R42="P")*6+($L42:$R42="R")*6)</f>
        <v/>
      </c>
      <c r="BG42" s="110">
        <f>SUMPRODUCT(($S42:$Y42="M")*6+($S42:$Y42="T")*6+($S42:$Y42="D")*12+($S42:$Y42="N")*12+($S42:$Y42="NT")*6+($S42:$Y42="C")*10+($S42:$Y42="A")*8+($S42:$Y42="J")*5+($S42:$Y42="E")*4+($S42:$Y42="P")*6+($S42:$Y42="R")*6)</f>
        <v/>
      </c>
      <c r="BH42" s="110">
        <f>SUMPRODUCT(($Z42:$AF42="M")*6+($Z42:$AF42="T")*6+($Z42:$AF42="D")*12+($Z42:$AF42="N")*12+($Z42:$AF42="NT")*6+($Z42:$AF42="C")*10+($Z42:$AF42="A")*8+($Z42:$AF42="J")*5+($Z42:$AF42="E")*4+($Z42:$AF42="P")*6+($Z42:$AF42="R")*6)</f>
        <v/>
      </c>
      <c r="BI42" s="110">
        <f>SUMPRODUCT(($AG42:$AM42="M")*6+($AG42:$AM42="T")*6+($AG42:$AM42="D")*12+($AG42:$AM42="N")*12+($AG42:$AM42="NT")*6+($AG42:$AM42="C")*10+($AG42:$AM42="A")*8+($AG42:$AM42="J")*5+($AG42:$AM42="E")*4+($AG42:$AM42="P")*6+($AG42:$AM42="R")*6)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123">
        <f>IFERROR(INDEX(ABR!AI$8:AI$73,MATCH($A43,ABR!$A$8:$A$73,0))&amp;"","")</f>
        <v/>
      </c>
      <c r="F43" s="123">
        <f>IFERROR(INDEX(ABR!AJ$8:AJ$73,MATCH($A43,ABR!$A$8:$A$73,0))&amp;"","")</f>
        <v/>
      </c>
      <c r="G43" s="123">
        <f>IFERROR(INDEX(ABR!AK$8:AK$73,MATCH($A43,ABR!$A$8:$A$73,0))&amp;"","")</f>
        <v/>
      </c>
      <c r="H43" s="123">
        <f>IFERROR(INDEX(ABR!AL$8:AL$73,MATCH($A43,ABR!$A$8:$A$73,0))&amp;"","")</f>
        <v/>
      </c>
      <c r="I43" s="107" t="n"/>
      <c r="J43" s="107" t="n"/>
      <c r="K43" s="107" t="n"/>
      <c r="L43" s="116" t="inlineStr">
        <is>
          <t>N</t>
        </is>
      </c>
      <c r="M43" s="107" t="n"/>
      <c r="N43" s="107" t="n"/>
      <c r="O43" s="116" t="inlineStr">
        <is>
          <t>N</t>
        </is>
      </c>
      <c r="P43" s="107" t="n"/>
      <c r="Q43" s="107" t="n"/>
      <c r="R43" s="107" t="n"/>
      <c r="S43" s="116" t="inlineStr">
        <is>
          <t>N</t>
        </is>
      </c>
      <c r="T43" s="107" t="n"/>
      <c r="U43" s="107" t="n"/>
      <c r="V43" s="116" t="inlineStr">
        <is>
          <t>N</t>
        </is>
      </c>
      <c r="W43" s="107" t="n"/>
      <c r="X43" s="107" t="n"/>
      <c r="Y43" s="107" t="n"/>
      <c r="Z43" s="107" t="n"/>
      <c r="AA43" s="116" t="inlineStr">
        <is>
          <t>N</t>
        </is>
      </c>
      <c r="AB43" s="107" t="n"/>
      <c r="AC43" s="107" t="n"/>
      <c r="AD43" s="116" t="inlineStr">
        <is>
          <t>N</t>
        </is>
      </c>
      <c r="AE43" s="107" t="n"/>
      <c r="AF43" s="107" t="n"/>
      <c r="AG43" s="107" t="n"/>
      <c r="AH43" s="107" t="n"/>
      <c r="AI43" s="107" t="n"/>
      <c r="AJ43" s="116" t="inlineStr">
        <is>
          <t>N</t>
        </is>
      </c>
      <c r="AK43" s="107" t="n"/>
      <c r="AL43" s="116" t="inlineStr">
        <is>
          <t>N</t>
        </is>
      </c>
      <c r="AM43" s="107" t="n"/>
      <c r="AN43" s="96" t="n"/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SUMPRODUCT(($E43:$K43="M")*6+($E43:$K43="T")*6+($E43:$K43="D")*12+($E43:$K43="N")*12+($E43:$K43="NT")*6+($E43:$K43="C")*10+($E43:$K43="A")*8+($E43:$K43="J")*5+($E43:$K43="E")*4+($E43:$K43="P")*6+($E43:$K43="R")*6)</f>
        <v/>
      </c>
      <c r="BF43" s="110">
        <f>SUMPRODUCT(($L43:$R43="M")*6+($L43:$R43="T")*6+($L43:$R43="D")*12+($L43:$R43="N")*12+($L43:$R43="NT")*6+($L43:$R43="C")*10+($L43:$R43="A")*8+($L43:$R43="J")*5+($L43:$R43="E")*4+($L43:$R43="P")*6+($L43:$R43="R")*6)</f>
        <v/>
      </c>
      <c r="BG43" s="110">
        <f>SUMPRODUCT(($S43:$Y43="M")*6+($S43:$Y43="T")*6+($S43:$Y43="D")*12+($S43:$Y43="N")*12+($S43:$Y43="NT")*6+($S43:$Y43="C")*10+($S43:$Y43="A")*8+($S43:$Y43="J")*5+($S43:$Y43="E")*4+($S43:$Y43="P")*6+($S43:$Y43="R")*6)</f>
        <v/>
      </c>
      <c r="BH43" s="110">
        <f>SUMPRODUCT(($Z43:$AF43="M")*6+($Z43:$AF43="T")*6+($Z43:$AF43="D")*12+($Z43:$AF43="N")*12+($Z43:$AF43="NT")*6+($Z43:$AF43="C")*10+($Z43:$AF43="A")*8+($Z43:$AF43="J")*5+($Z43:$AF43="E")*4+($Z43:$AF43="P")*6+($Z43:$AF43="R")*6)</f>
        <v/>
      </c>
      <c r="BI43" s="110">
        <f>SUMPRODUCT(($AG43:$AM43="M")*6+($AG43:$AM43="T")*6+($AG43:$AM43="D")*12+($AG43:$AM43="N")*12+($AG43:$AM43="NT")*6+($AG43:$AM43="C")*10+($AG43:$AM43="A")*8+($AG43:$AM43="J")*5+($AG43:$AM43="E")*4+($AG43:$AM43="P")*6+($AG43:$AM43="R")*6)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123">
        <f>IFERROR(INDEX(ABR!AI$8:AI$73,MATCH($A44,ABR!$A$8:$A$73,0))&amp;"","")</f>
        <v/>
      </c>
      <c r="F44" s="123">
        <f>IFERROR(INDEX(ABR!AJ$8:AJ$73,MATCH($A44,ABR!$A$8:$A$73,0))&amp;"","")</f>
        <v/>
      </c>
      <c r="G44" s="123">
        <f>IFERROR(INDEX(ABR!AK$8:AK$73,MATCH($A44,ABR!$A$8:$A$73,0))&amp;"","")</f>
        <v/>
      </c>
      <c r="H44" s="123">
        <f>IFERROR(INDEX(ABR!AL$8:AL$73,MATCH($A44,ABR!$A$8:$A$73,0))&amp;"","")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16" t="inlineStr">
        <is>
          <t>N</t>
        </is>
      </c>
      <c r="Q44" s="107" t="n"/>
      <c r="R44" s="115" t="inlineStr">
        <is>
          <t>D</t>
        </is>
      </c>
      <c r="S44" s="107" t="n"/>
      <c r="T44" s="115" t="inlineStr">
        <is>
          <t>D</t>
        </is>
      </c>
      <c r="U44" s="107" t="n"/>
      <c r="V44" s="107" t="n"/>
      <c r="W44" s="115" t="inlineStr">
        <is>
          <t>D</t>
        </is>
      </c>
      <c r="X44" s="107" t="n"/>
      <c r="Y44" s="107" t="n"/>
      <c r="Z44" s="107" t="n"/>
      <c r="AA44" s="115" t="inlineStr">
        <is>
          <t>D</t>
        </is>
      </c>
      <c r="AB44" s="107" t="n"/>
      <c r="AC44" s="115" t="inlineStr">
        <is>
          <t>D</t>
        </is>
      </c>
      <c r="AD44" s="107" t="n"/>
      <c r="AE44" s="107" t="n"/>
      <c r="AF44" s="107" t="n"/>
      <c r="AG44" s="107" t="n"/>
      <c r="AH44" s="107" t="n"/>
      <c r="AI44" s="117" t="inlineStr">
        <is>
          <t>T</t>
        </is>
      </c>
      <c r="AJ44" s="107" t="n"/>
      <c r="AK44" s="117" t="inlineStr">
        <is>
          <t>T</t>
        </is>
      </c>
      <c r="AL44" s="115" t="inlineStr">
        <is>
          <t>D</t>
        </is>
      </c>
      <c r="AM44" s="107" t="n"/>
      <c r="AN44" s="96" t="n"/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SUMPRODUCT(($E44:$K44="M")*6+($E44:$K44="T")*6+($E44:$K44="D")*12+($E44:$K44="N")*12+($E44:$K44="NT")*6+($E44:$K44="C")*10+($E44:$K44="A")*8+($E44:$K44="J")*5+($E44:$K44="E")*4+($E44:$K44="P")*6+($E44:$K44="R")*6)</f>
        <v/>
      </c>
      <c r="BF44" s="110">
        <f>SUMPRODUCT(($L44:$R44="M")*6+($L44:$R44="T")*6+($L44:$R44="D")*12+($L44:$R44="N")*12+($L44:$R44="NT")*6+($L44:$R44="C")*10+($L44:$R44="A")*8+($L44:$R44="J")*5+($L44:$R44="E")*4+($L44:$R44="P")*6+($L44:$R44="R")*6)</f>
        <v/>
      </c>
      <c r="BG44" s="110">
        <f>SUMPRODUCT(($S44:$Y44="M")*6+($S44:$Y44="T")*6+($S44:$Y44="D")*12+($S44:$Y44="N")*12+($S44:$Y44="NT")*6+($S44:$Y44="C")*10+($S44:$Y44="A")*8+($S44:$Y44="J")*5+($S44:$Y44="E")*4+($S44:$Y44="P")*6+($S44:$Y44="R")*6)</f>
        <v/>
      </c>
      <c r="BH44" s="110">
        <f>SUMPRODUCT(($Z44:$AF44="M")*6+($Z44:$AF44="T")*6+($Z44:$AF44="D")*12+($Z44:$AF44="N")*12+($Z44:$AF44="NT")*6+($Z44:$AF44="C")*10+($Z44:$AF44="A")*8+($Z44:$AF44="J")*5+($Z44:$AF44="E")*4+($Z44:$AF44="P")*6+($Z44:$AF44="R")*6)</f>
        <v/>
      </c>
      <c r="BI44" s="110">
        <f>SUMPRODUCT(($AG44:$AM44="M")*6+($AG44:$AM44="T")*6+($AG44:$AM44="D")*12+($AG44:$AM44="N")*12+($AG44:$AM44="NT")*6+($AG44:$AM44="C")*10+($AG44:$AM44="A")*8+($AG44:$AM44="J")*5+($AG44:$AM44="E")*4+($AG44:$AM44="P")*6+($AG44:$AM44="R")*6)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123">
        <f>IFERROR(INDEX(ABR!AI$8:AI$73,MATCH($A45,ABR!$A$8:$A$73,0))&amp;"","")</f>
        <v/>
      </c>
      <c r="F45" s="123">
        <f>IFERROR(INDEX(ABR!AJ$8:AJ$73,MATCH($A45,ABR!$A$8:$A$73,0))&amp;"","")</f>
        <v/>
      </c>
      <c r="G45" s="123">
        <f>IFERROR(INDEX(ABR!AK$8:AK$73,MATCH($A45,ABR!$A$8:$A$73,0))&amp;"","")</f>
        <v/>
      </c>
      <c r="H45" s="123">
        <f>IFERROR(INDEX(ABR!AL$8:AL$73,MATCH($A45,ABR!$A$8:$A$73,0))&amp;"","")</f>
        <v/>
      </c>
      <c r="I45" s="107" t="n"/>
      <c r="J45" s="107" t="n"/>
      <c r="K45" s="107" t="n"/>
      <c r="L45" s="108" t="inlineStr">
        <is>
          <t>M</t>
        </is>
      </c>
      <c r="M45" s="108" t="inlineStr">
        <is>
          <t>M</t>
        </is>
      </c>
      <c r="N45" s="107" t="n"/>
      <c r="O45" s="108" t="inlineStr">
        <is>
          <t>M</t>
        </is>
      </c>
      <c r="P45" s="108" t="inlineStr">
        <is>
          <t>M</t>
        </is>
      </c>
      <c r="Q45" s="107" t="n"/>
      <c r="R45" s="107" t="n"/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7" t="n"/>
      <c r="X45" s="116" t="inlineStr">
        <is>
          <t>N</t>
        </is>
      </c>
      <c r="Y45" s="107" t="n"/>
      <c r="Z45" s="107" t="n"/>
      <c r="AA45" s="107" t="n"/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15" t="inlineStr">
        <is>
          <t>D</t>
        </is>
      </c>
      <c r="AG45" s="108" t="inlineStr">
        <is>
          <t>M</t>
        </is>
      </c>
      <c r="AH45" s="108" t="inlineStr">
        <is>
          <t>M</t>
        </is>
      </c>
      <c r="AI45" s="107" t="n"/>
      <c r="AJ45" s="108" t="inlineStr">
        <is>
          <t>M</t>
        </is>
      </c>
      <c r="AK45" s="108" t="inlineStr">
        <is>
          <t>M</t>
        </is>
      </c>
      <c r="AL45" s="107" t="n"/>
      <c r="AM45" s="107" t="n"/>
      <c r="AN45" s="96" t="n"/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SUMPRODUCT(($E45:$K45="M")*6+($E45:$K45="T")*6+($E45:$K45="D")*12+($E45:$K45="N")*12+($E45:$K45="NT")*6+($E45:$K45="C")*10+($E45:$K45="A")*8+($E45:$K45="J")*5+($E45:$K45="E")*4+($E45:$K45="P")*6+($E45:$K45="R")*6)</f>
        <v/>
      </c>
      <c r="BF45" s="110">
        <f>SUMPRODUCT(($L45:$R45="M")*6+($L45:$R45="T")*6+($L45:$R45="D")*12+($L45:$R45="N")*12+($L45:$R45="NT")*6+($L45:$R45="C")*10+($L45:$R45="A")*8+($L45:$R45="J")*5+($L45:$R45="E")*4+($L45:$R45="P")*6+($L45:$R45="R")*6)</f>
        <v/>
      </c>
      <c r="BG45" s="110">
        <f>SUMPRODUCT(($S45:$Y45="M")*6+($S45:$Y45="T")*6+($S45:$Y45="D")*12+($S45:$Y45="N")*12+($S45:$Y45="NT")*6+($S45:$Y45="C")*10+($S45:$Y45="A")*8+($S45:$Y45="J")*5+($S45:$Y45="E")*4+($S45:$Y45="P")*6+($S45:$Y45="R")*6)</f>
        <v/>
      </c>
      <c r="BH45" s="110">
        <f>SUMPRODUCT(($Z45:$AF45="M")*6+($Z45:$AF45="T")*6+($Z45:$AF45="D")*12+($Z45:$AF45="N")*12+($Z45:$AF45="NT")*6+($Z45:$AF45="C")*10+($Z45:$AF45="A")*8+($Z45:$AF45="J")*5+($Z45:$AF45="E")*4+($Z45:$AF45="P")*6+($Z45:$AF45="R")*6)</f>
        <v/>
      </c>
      <c r="BI45" s="110">
        <f>SUMPRODUCT(($AG45:$AM45="M")*6+($AG45:$AM45="T")*6+($AG45:$AM45="D")*12+($AG45:$AM45="N")*12+($AG45:$AM45="NT")*6+($AG45:$AM45="C")*10+($AG45:$AM45="A")*8+($AG45:$AM45="J")*5+($AG45:$AM45="E")*4+($AG45:$AM45="P")*6+($AG45:$AM45="R")*6)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123">
        <f>IFERROR(INDEX(ABR!AI$8:AI$73,MATCH($A46,ABR!$A$8:$A$73,0))&amp;"","")</f>
        <v/>
      </c>
      <c r="F46" s="123">
        <f>IFERROR(INDEX(ABR!AJ$8:AJ$73,MATCH($A46,ABR!$A$8:$A$73,0))&amp;"","")</f>
        <v/>
      </c>
      <c r="G46" s="123">
        <f>IFERROR(INDEX(ABR!AK$8:AK$73,MATCH($A46,ABR!$A$8:$A$73,0))&amp;"","")</f>
        <v/>
      </c>
      <c r="H46" s="123">
        <f>IFERROR(INDEX(ABR!AL$8:AL$73,MATCH($A46,ABR!$A$8:$A$73,0))&amp;"","")</f>
        <v/>
      </c>
      <c r="I46" s="107" t="n"/>
      <c r="J46" s="107" t="n"/>
      <c r="K46" s="107" t="n"/>
      <c r="L46" s="107" t="n"/>
      <c r="M46" s="107" t="n"/>
      <c r="N46" s="115" t="inlineStr">
        <is>
          <t>D</t>
        </is>
      </c>
      <c r="O46" s="107" t="n"/>
      <c r="P46" s="116" t="inlineStr">
        <is>
          <t>N</t>
        </is>
      </c>
      <c r="Q46" s="107" t="n"/>
      <c r="R46" s="107" t="n"/>
      <c r="S46" s="107" t="n"/>
      <c r="T46" s="107" t="n"/>
      <c r="U46" s="115" t="inlineStr">
        <is>
          <t>D</t>
        </is>
      </c>
      <c r="V46" s="107" t="n"/>
      <c r="W46" s="107" t="n"/>
      <c r="X46" s="107" t="n"/>
      <c r="Y46" s="116" t="inlineStr">
        <is>
          <t>N</t>
        </is>
      </c>
      <c r="Z46" s="107" t="n"/>
      <c r="AA46" s="107" t="n"/>
      <c r="AB46" s="115" t="inlineStr">
        <is>
          <t>D</t>
        </is>
      </c>
      <c r="AC46" s="107" t="n"/>
      <c r="AD46" s="116" t="inlineStr">
        <is>
          <t>N</t>
        </is>
      </c>
      <c r="AE46" s="107" t="n"/>
      <c r="AF46" s="107" t="n"/>
      <c r="AG46" s="107" t="n"/>
      <c r="AH46" s="107" t="n"/>
      <c r="AI46" s="115" t="inlineStr">
        <is>
          <t>D</t>
        </is>
      </c>
      <c r="AJ46" s="107" t="n"/>
      <c r="AK46" s="116" t="inlineStr">
        <is>
          <t>N</t>
        </is>
      </c>
      <c r="AL46" s="107" t="n"/>
      <c r="AM46" s="107" t="n"/>
      <c r="AN46" s="96" t="n"/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SUMPRODUCT(($E46:$K46="M")*6+($E46:$K46="T")*6+($E46:$K46="D")*12+($E46:$K46="N")*12+($E46:$K46="NT")*6+($E46:$K46="C")*10+($E46:$K46="A")*8+($E46:$K46="J")*5+($E46:$K46="E")*4+($E46:$K46="P")*6+($E46:$K46="R")*6)</f>
        <v/>
      </c>
      <c r="BF46" s="110">
        <f>SUMPRODUCT(($L46:$R46="M")*6+($L46:$R46="T")*6+($L46:$R46="D")*12+($L46:$R46="N")*12+($L46:$R46="NT")*6+($L46:$R46="C")*10+($L46:$R46="A")*8+($L46:$R46="J")*5+($L46:$R46="E")*4+($L46:$R46="P")*6+($L46:$R46="R")*6)</f>
        <v/>
      </c>
      <c r="BG46" s="110">
        <f>SUMPRODUCT(($S46:$Y46="M")*6+($S46:$Y46="T")*6+($S46:$Y46="D")*12+($S46:$Y46="N")*12+($S46:$Y46="NT")*6+($S46:$Y46="C")*10+($S46:$Y46="A")*8+($S46:$Y46="J")*5+($S46:$Y46="E")*4+($S46:$Y46="P")*6+($S46:$Y46="R")*6)</f>
        <v/>
      </c>
      <c r="BH46" s="110">
        <f>SUMPRODUCT(($Z46:$AF46="M")*6+($Z46:$AF46="T")*6+($Z46:$AF46="D")*12+($Z46:$AF46="N")*12+($Z46:$AF46="NT")*6+($Z46:$AF46="C")*10+($Z46:$AF46="A")*8+($Z46:$AF46="J")*5+($Z46:$AF46="E")*4+($Z46:$AF46="P")*6+($Z46:$AF46="R")*6)</f>
        <v/>
      </c>
      <c r="BI46" s="110">
        <f>SUMPRODUCT(($AG46:$AM46="M")*6+($AG46:$AM46="T")*6+($AG46:$AM46="D")*12+($AG46:$AM46="N")*12+($AG46:$AM46="NT")*6+($AG46:$AM46="C")*10+($AG46:$AM46="A")*8+($AG46:$AM46="J")*5+($AG46:$AM46="E")*4+($AG46:$AM46="P")*6+($AG46:$AM46="R")*6)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123">
        <f>IFERROR(INDEX(ABR!AI$8:AI$73,MATCH($A47,ABR!$A$8:$A$73,0))&amp;"","")</f>
        <v/>
      </c>
      <c r="F47" s="123">
        <f>IFERROR(INDEX(ABR!AJ$8:AJ$73,MATCH($A47,ABR!$A$8:$A$73,0))&amp;"","")</f>
        <v/>
      </c>
      <c r="G47" s="123">
        <f>IFERROR(INDEX(ABR!AK$8:AK$73,MATCH($A47,ABR!$A$8:$A$73,0))&amp;"","")</f>
        <v/>
      </c>
      <c r="H47" s="123">
        <f>IFERROR(INDEX(ABR!AL$8:AL$73,MATCH($A47,ABR!$A$8:$A$73,0))&amp;"","")</f>
        <v/>
      </c>
      <c r="I47" s="107" t="n"/>
      <c r="J47" s="115" t="inlineStr">
        <is>
          <t>D</t>
        </is>
      </c>
      <c r="K47" s="107" t="n"/>
      <c r="L47" s="115" t="inlineStr">
        <is>
          <t>D</t>
        </is>
      </c>
      <c r="M47" s="116" t="inlineStr">
        <is>
          <t>N</t>
        </is>
      </c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15" t="inlineStr">
        <is>
          <t>D</t>
        </is>
      </c>
      <c r="Y47" s="115" t="inlineStr">
        <is>
          <t>D</t>
        </is>
      </c>
      <c r="Z47" s="107" t="n"/>
      <c r="AA47" s="116" t="inlineStr">
        <is>
          <t>N</t>
        </is>
      </c>
      <c r="AB47" s="107" t="n"/>
      <c r="AC47" s="107" t="n"/>
      <c r="AD47" s="116" t="inlineStr">
        <is>
          <t>N</t>
        </is>
      </c>
      <c r="AE47" s="107" t="n"/>
      <c r="AF47" s="107" t="n"/>
      <c r="AG47" s="107" t="n"/>
      <c r="AH47" s="116" t="inlineStr">
        <is>
          <t>N</t>
        </is>
      </c>
      <c r="AI47" s="107" t="n"/>
      <c r="AJ47" s="115" t="inlineStr">
        <is>
          <t>D</t>
        </is>
      </c>
      <c r="AK47" s="107" t="n"/>
      <c r="AL47" s="107" t="n"/>
      <c r="AM47" s="107" t="n"/>
      <c r="AN47" s="96" t="n"/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SUMPRODUCT(($E47:$K47="M")*6+($E47:$K47="T")*6+($E47:$K47="D")*12+($E47:$K47="N")*12+($E47:$K47="NT")*6+($E47:$K47="C")*10+($E47:$K47="A")*8+($E47:$K47="J")*5+($E47:$K47="E")*4+($E47:$K47="P")*6+($E47:$K47="R")*6)</f>
        <v/>
      </c>
      <c r="BF47" s="110">
        <f>SUMPRODUCT(($L47:$R47="M")*6+($L47:$R47="T")*6+($L47:$R47="D")*12+($L47:$R47="N")*12+($L47:$R47="NT")*6+($L47:$R47="C")*10+($L47:$R47="A")*8+($L47:$R47="J")*5+($L47:$R47="E")*4+($L47:$R47="P")*6+($L47:$R47="R")*6)</f>
        <v/>
      </c>
      <c r="BG47" s="110">
        <f>SUMPRODUCT(($S47:$Y47="M")*6+($S47:$Y47="T")*6+($S47:$Y47="D")*12+($S47:$Y47="N")*12+($S47:$Y47="NT")*6+($S47:$Y47="C")*10+($S47:$Y47="A")*8+($S47:$Y47="J")*5+($S47:$Y47="E")*4+($S47:$Y47="P")*6+($S47:$Y47="R")*6)</f>
        <v/>
      </c>
      <c r="BH47" s="110">
        <f>SUMPRODUCT(($Z47:$AF47="M")*6+($Z47:$AF47="T")*6+($Z47:$AF47="D")*12+($Z47:$AF47="N")*12+($Z47:$AF47="NT")*6+($Z47:$AF47="C")*10+($Z47:$AF47="A")*8+($Z47:$AF47="J")*5+($Z47:$AF47="E")*4+($Z47:$AF47="P")*6+($Z47:$AF47="R")*6)</f>
        <v/>
      </c>
      <c r="BI47" s="110">
        <f>SUMPRODUCT(($AG47:$AM47="M")*6+($AG47:$AM47="T")*6+($AG47:$AM47="D")*12+($AG47:$AM47="N")*12+($AG47:$AM47="NT")*6+($AG47:$AM47="C")*10+($AG47:$AM47="A")*8+($AG47:$AM47="J")*5+($AG47:$AM47="E")*4+($AG47:$AM47="P")*6+($AG47:$AM47="R")*6)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123">
        <f>IFERROR(INDEX(ABR!AI$8:AI$73,MATCH($A48,ABR!$A$8:$A$73,0))&amp;"","")</f>
        <v/>
      </c>
      <c r="F48" s="123">
        <f>IFERROR(INDEX(ABR!AJ$8:AJ$73,MATCH($A48,ABR!$A$8:$A$73,0))&amp;"","")</f>
        <v/>
      </c>
      <c r="G48" s="123">
        <f>IFERROR(INDEX(ABR!AK$8:AK$73,MATCH($A48,ABR!$A$8:$A$73,0))&amp;"","")</f>
        <v/>
      </c>
      <c r="H48" s="123">
        <f>IFERROR(INDEX(ABR!AL$8:AL$73,MATCH($A48,ABR!$A$8:$A$73,0))&amp;"","")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96" t="n"/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SUMPRODUCT(($E48:$K48="M")*6+($E48:$K48="T")*6+($E48:$K48="D")*12+($E48:$K48="N")*12+($E48:$K48="NT")*6+($E48:$K48="C")*10+($E48:$K48="A")*8+($E48:$K48="J")*5+($E48:$K48="E")*4+($E48:$K48="P")*6+($E48:$K48="R")*6)</f>
        <v/>
      </c>
      <c r="BF48" s="110">
        <f>SUMPRODUCT(($L48:$R48="M")*6+($L48:$R48="T")*6+($L48:$R48="D")*12+($L48:$R48="N")*12+($L48:$R48="NT")*6+($L48:$R48="C")*10+($L48:$R48="A")*8+($L48:$R48="J")*5+($L48:$R48="E")*4+($L48:$R48="P")*6+($L48:$R48="R")*6)</f>
        <v/>
      </c>
      <c r="BG48" s="110">
        <f>SUMPRODUCT(($S48:$Y48="M")*6+($S48:$Y48="T")*6+($S48:$Y48="D")*12+($S48:$Y48="N")*12+($S48:$Y48="NT")*6+($S48:$Y48="C")*10+($S48:$Y48="A")*8+($S48:$Y48="J")*5+($S48:$Y48="E")*4+($S48:$Y48="P")*6+($S48:$Y48="R")*6)</f>
        <v/>
      </c>
      <c r="BH48" s="110">
        <f>SUMPRODUCT(($Z48:$AF48="M")*6+($Z48:$AF48="T")*6+($Z48:$AF48="D")*12+($Z48:$AF48="N")*12+($Z48:$AF48="NT")*6+($Z48:$AF48="C")*10+($Z48:$AF48="A")*8+($Z48:$AF48="J")*5+($Z48:$AF48="E")*4+($Z48:$AF48="P")*6+($Z48:$AF48="R")*6)</f>
        <v/>
      </c>
      <c r="BI48" s="110">
        <f>SUMPRODUCT(($AG48:$AM48="M")*6+($AG48:$AM48="T")*6+($AG48:$AM48="D")*12+($AG48:$AM48="N")*12+($AG48:$AM48="NT")*6+($AG48:$AM48="C")*10+($AG48:$AM48="A")*8+($AG48:$AM48="J")*5+($AG48:$AM48="E")*4+($AG48:$AM48="P")*6+($AG48:$AM48="R")*6)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123">
        <f>IFERROR(INDEX(ABR!AI$8:AI$73,MATCH($A49,ABR!$A$8:$A$73,0))&amp;"","")</f>
        <v/>
      </c>
      <c r="F49" s="123">
        <f>IFERROR(INDEX(ABR!AJ$8:AJ$73,MATCH($A49,ABR!$A$8:$A$73,0))&amp;"","")</f>
        <v/>
      </c>
      <c r="G49" s="123">
        <f>IFERROR(INDEX(ABR!AK$8:AK$73,MATCH($A49,ABR!$A$8:$A$73,0))&amp;"","")</f>
        <v/>
      </c>
      <c r="H49" s="123">
        <f>IFERROR(INDEX(ABR!AL$8:AL$73,MATCH($A49,ABR!$A$8:$A$73,0))&amp;"","")</f>
        <v/>
      </c>
      <c r="I49" s="107" t="n"/>
      <c r="J49" s="107" t="n"/>
      <c r="K49" s="107" t="n"/>
      <c r="L49" s="107" t="n"/>
      <c r="M49" s="107" t="n"/>
      <c r="N49" s="115" t="inlineStr">
        <is>
          <t>D</t>
        </is>
      </c>
      <c r="O49" s="107" t="n"/>
      <c r="P49" s="107" t="n"/>
      <c r="Q49" s="117" t="inlineStr">
        <is>
          <t>T</t>
        </is>
      </c>
      <c r="R49" s="107" t="n"/>
      <c r="S49" s="107" t="n"/>
      <c r="T49" s="107" t="n"/>
      <c r="U49" s="115" t="inlineStr">
        <is>
          <t>D</t>
        </is>
      </c>
      <c r="V49" s="107" t="n"/>
      <c r="W49" s="107" t="n"/>
      <c r="X49" s="107" t="n"/>
      <c r="Y49" s="115" t="inlineStr">
        <is>
          <t>D</t>
        </is>
      </c>
      <c r="Z49" s="115" t="inlineStr">
        <is>
          <t>D</t>
        </is>
      </c>
      <c r="AA49" s="107" t="n"/>
      <c r="AB49" s="115" t="inlineStr">
        <is>
          <t>D</t>
        </is>
      </c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96" t="n"/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SUMPRODUCT(($E49:$K49="M")*6+($E49:$K49="T")*6+($E49:$K49="D")*12+($E49:$K49="N")*12+($E49:$K49="NT")*6+($E49:$K49="C")*10+($E49:$K49="A")*8+($E49:$K49="J")*5+($E49:$K49="E")*4+($E49:$K49="P")*6+($E49:$K49="R")*6)</f>
        <v/>
      </c>
      <c r="BF49" s="110">
        <f>SUMPRODUCT(($L49:$R49="M")*6+($L49:$R49="T")*6+($L49:$R49="D")*12+($L49:$R49="N")*12+($L49:$R49="NT")*6+($L49:$R49="C")*10+($L49:$R49="A")*8+($L49:$R49="J")*5+($L49:$R49="E")*4+($L49:$R49="P")*6+($L49:$R49="R")*6)</f>
        <v/>
      </c>
      <c r="BG49" s="110">
        <f>SUMPRODUCT(($S49:$Y49="M")*6+($S49:$Y49="T")*6+($S49:$Y49="D")*12+($S49:$Y49="N")*12+($S49:$Y49="NT")*6+($S49:$Y49="C")*10+($S49:$Y49="A")*8+($S49:$Y49="J")*5+($S49:$Y49="E")*4+($S49:$Y49="P")*6+($S49:$Y49="R")*6)</f>
        <v/>
      </c>
      <c r="BH49" s="110">
        <f>SUMPRODUCT(($Z49:$AF49="M")*6+($Z49:$AF49="T")*6+($Z49:$AF49="D")*12+($Z49:$AF49="N")*12+($Z49:$AF49="NT")*6+($Z49:$AF49="C")*10+($Z49:$AF49="A")*8+($Z49:$AF49="J")*5+($Z49:$AF49="E")*4+($Z49:$AF49="P")*6+($Z49:$AF49="R")*6)</f>
        <v/>
      </c>
      <c r="BI49" s="110">
        <f>SUMPRODUCT(($AG49:$AM49="M")*6+($AG49:$AM49="T")*6+($AG49:$AM49="D")*12+($AG49:$AM49="N")*12+($AG49:$AM49="NT")*6+($AG49:$AM49="C")*10+($AG49:$AM49="A")*8+($AG49:$AM49="J")*5+($AG49:$AM49="E")*4+($AG49:$AM49="P")*6+($AG49:$AM49="R")*6)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123">
        <f>IFERROR(INDEX(ABR!AI$8:AI$73,MATCH($A50,ABR!$A$8:$A$73,0))&amp;"","")</f>
        <v/>
      </c>
      <c r="F50" s="123">
        <f>IFERROR(INDEX(ABR!AJ$8:AJ$73,MATCH($A50,ABR!$A$8:$A$73,0))&amp;"","")</f>
        <v/>
      </c>
      <c r="G50" s="123">
        <f>IFERROR(INDEX(ABR!AK$8:AK$73,MATCH($A50,ABR!$A$8:$A$73,0))&amp;"","")</f>
        <v/>
      </c>
      <c r="H50" s="123">
        <f>IFERROR(INDEX(ABR!AL$8:AL$73,MATCH($A50,ABR!$A$8:$A$73,0))&amp;"","")</f>
        <v/>
      </c>
      <c r="I50" s="107" t="n"/>
      <c r="J50" s="115" t="inlineStr">
        <is>
          <t>D</t>
        </is>
      </c>
      <c r="K50" s="107" t="n"/>
      <c r="L50" s="107" t="n"/>
      <c r="M50" s="107" t="n"/>
      <c r="N50" s="107" t="n"/>
      <c r="O50" s="107" t="n"/>
      <c r="P50" s="116" t="inlineStr">
        <is>
          <t>N</t>
        </is>
      </c>
      <c r="Q50" s="107" t="n"/>
      <c r="R50" s="116" t="inlineStr">
        <is>
          <t>N</t>
        </is>
      </c>
      <c r="S50" s="107" t="n"/>
      <c r="T50" s="108" t="inlineStr">
        <is>
          <t>M</t>
        </is>
      </c>
      <c r="U50" s="107" t="n"/>
      <c r="V50" s="117" t="inlineStr">
        <is>
          <t>T</t>
        </is>
      </c>
      <c r="W50" s="117" t="inlineStr">
        <is>
          <t>T</t>
        </is>
      </c>
      <c r="X50" s="107" t="n"/>
      <c r="Y50" s="108" t="inlineStr">
        <is>
          <t>M</t>
        </is>
      </c>
      <c r="Z50" s="107" t="n"/>
      <c r="AA50" s="115" t="inlineStr">
        <is>
          <t>D</t>
        </is>
      </c>
      <c r="AB50" s="107" t="n"/>
      <c r="AC50" s="117" t="inlineStr">
        <is>
          <t>T</t>
        </is>
      </c>
      <c r="AD50" s="117" t="inlineStr">
        <is>
          <t>T</t>
        </is>
      </c>
      <c r="AE50" s="107" t="n"/>
      <c r="AF50" s="107" t="n"/>
      <c r="AG50" s="117" t="inlineStr">
        <is>
          <t>T</t>
        </is>
      </c>
      <c r="AH50" s="115" t="inlineStr">
        <is>
          <t>D</t>
        </is>
      </c>
      <c r="AI50" s="107" t="n"/>
      <c r="AJ50" s="117" t="inlineStr">
        <is>
          <t>T</t>
        </is>
      </c>
      <c r="AK50" s="107" t="n"/>
      <c r="AL50" s="107" t="n"/>
      <c r="AM50" s="107" t="n"/>
      <c r="AN50" s="96" t="n"/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SUMPRODUCT(($E50:$K50="M")*6+($E50:$K50="T")*6+($E50:$K50="D")*12+($E50:$K50="N")*12+($E50:$K50="NT")*6+($E50:$K50="C")*10+($E50:$K50="A")*8+($E50:$K50="J")*5+($E50:$K50="E")*4+($E50:$K50="P")*6+($E50:$K50="R")*6)</f>
        <v/>
      </c>
      <c r="BF50" s="110">
        <f>SUMPRODUCT(($L50:$R50="M")*6+($L50:$R50="T")*6+($L50:$R50="D")*12+($L50:$R50="N")*12+($L50:$R50="NT")*6+($L50:$R50="C")*10+($L50:$R50="A")*8+($L50:$R50="J")*5+($L50:$R50="E")*4+($L50:$R50="P")*6+($L50:$R50="R")*6)</f>
        <v/>
      </c>
      <c r="BG50" s="110">
        <f>SUMPRODUCT(($S50:$Y50="M")*6+($S50:$Y50="T")*6+($S50:$Y50="D")*12+($S50:$Y50="N")*12+($S50:$Y50="NT")*6+($S50:$Y50="C")*10+($S50:$Y50="A")*8+($S50:$Y50="J")*5+($S50:$Y50="E")*4+($S50:$Y50="P")*6+($S50:$Y50="R")*6)</f>
        <v/>
      </c>
      <c r="BH50" s="110">
        <f>SUMPRODUCT(($Z50:$AF50="M")*6+($Z50:$AF50="T")*6+($Z50:$AF50="D")*12+($Z50:$AF50="N")*12+($Z50:$AF50="NT")*6+($Z50:$AF50="C")*10+($Z50:$AF50="A")*8+($Z50:$AF50="J")*5+($Z50:$AF50="E")*4+($Z50:$AF50="P")*6+($Z50:$AF50="R")*6)</f>
        <v/>
      </c>
      <c r="BI50" s="110">
        <f>SUMPRODUCT(($AG50:$AM50="M")*6+($AG50:$AM50="T")*6+($AG50:$AM50="D")*12+($AG50:$AM50="N")*12+($AG50:$AM50="NT")*6+($AG50:$AM50="C")*10+($AG50:$AM50="A")*8+($AG50:$AM50="J")*5+($AG50:$AM50="E")*4+($AG50:$AM50="P")*6+($AG50:$AM50="R")*6)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123">
        <f>IFERROR(INDEX(ABR!AI$8:AI$73,MATCH($A51,ABR!$A$8:$A$73,0))&amp;"","")</f>
        <v/>
      </c>
      <c r="F51" s="123">
        <f>IFERROR(INDEX(ABR!AJ$8:AJ$73,MATCH($A51,ABR!$A$8:$A$73,0))&amp;"","")</f>
        <v/>
      </c>
      <c r="G51" s="123">
        <f>IFERROR(INDEX(ABR!AK$8:AK$73,MATCH($A51,ABR!$A$8:$A$73,0))&amp;"","")</f>
        <v/>
      </c>
      <c r="H51" s="123">
        <f>IFERROR(INDEX(ABR!AL$8:AL$73,MATCH($A51,ABR!$A$8:$A$73,0))&amp;"","")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96" t="n"/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SUMPRODUCT(($E51:$K51="M")*6+($E51:$K51="T")*6+($E51:$K51="D")*12+($E51:$K51="N")*12+($E51:$K51="NT")*6+($E51:$K51="C")*10+($E51:$K51="A")*8+($E51:$K51="J")*5+($E51:$K51="E")*4+($E51:$K51="P")*6+($E51:$K51="R")*6)</f>
        <v/>
      </c>
      <c r="BF51" s="110">
        <f>SUMPRODUCT(($L51:$R51="M")*6+($L51:$R51="T")*6+($L51:$R51="D")*12+($L51:$R51="N")*12+($L51:$R51="NT")*6+($L51:$R51="C")*10+($L51:$R51="A")*8+($L51:$R51="J")*5+($L51:$R51="E")*4+($L51:$R51="P")*6+($L51:$R51="R")*6)</f>
        <v/>
      </c>
      <c r="BG51" s="110">
        <f>SUMPRODUCT(($S51:$Y51="M")*6+($S51:$Y51="T")*6+($S51:$Y51="D")*12+($S51:$Y51="N")*12+($S51:$Y51="NT")*6+($S51:$Y51="C")*10+($S51:$Y51="A")*8+($S51:$Y51="J")*5+($S51:$Y51="E")*4+($S51:$Y51="P")*6+($S51:$Y51="R")*6)</f>
        <v/>
      </c>
      <c r="BH51" s="110">
        <f>SUMPRODUCT(($Z51:$AF51="M")*6+($Z51:$AF51="T")*6+($Z51:$AF51="D")*12+($Z51:$AF51="N")*12+($Z51:$AF51="NT")*6+($Z51:$AF51="C")*10+($Z51:$AF51="A")*8+($Z51:$AF51="J")*5+($Z51:$AF51="E")*4+($Z51:$AF51="P")*6+($Z51:$AF51="R")*6)</f>
        <v/>
      </c>
      <c r="BI51" s="110">
        <f>SUMPRODUCT(($AG51:$AM51="M")*6+($AG51:$AM51="T")*6+($AG51:$AM51="D")*12+($AG51:$AM51="N")*12+($AG51:$AM51="NT")*6+($AG51:$AM51="C")*10+($AG51:$AM51="A")*8+($AG51:$AM51="J")*5+($AG51:$AM51="E")*4+($AG51:$AM51="P")*6+($AG51:$AM51="R")*6)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123">
        <f>IFERROR(INDEX(ABR!AI$8:AI$73,MATCH($A52,ABR!$A$8:$A$73,0))&amp;"","")</f>
        <v/>
      </c>
      <c r="F52" s="123">
        <f>IFERROR(INDEX(ABR!AJ$8:AJ$73,MATCH($A52,ABR!$A$8:$A$73,0))&amp;"","")</f>
        <v/>
      </c>
      <c r="G52" s="123">
        <f>IFERROR(INDEX(ABR!AK$8:AK$73,MATCH($A52,ABR!$A$8:$A$73,0))&amp;"","")</f>
        <v/>
      </c>
      <c r="H52" s="123">
        <f>IFERROR(INDEX(ABR!AL$8:AL$73,MATCH($A52,ABR!$A$8:$A$73,0))&amp;"","")</f>
        <v/>
      </c>
      <c r="I52" s="116" t="inlineStr">
        <is>
          <t>N</t>
        </is>
      </c>
      <c r="J52" s="107" t="n"/>
      <c r="K52" s="107" t="n"/>
      <c r="L52" s="116" t="inlineStr">
        <is>
          <t>N</t>
        </is>
      </c>
      <c r="M52" s="107" t="n"/>
      <c r="N52" s="107" t="n"/>
      <c r="O52" s="107" t="n"/>
      <c r="P52" s="107" t="n"/>
      <c r="Q52" s="116" t="inlineStr">
        <is>
          <t>N</t>
        </is>
      </c>
      <c r="R52" s="107" t="n"/>
      <c r="S52" s="116" t="inlineStr">
        <is>
          <t>N</t>
        </is>
      </c>
      <c r="T52" s="107" t="n"/>
      <c r="U52" s="107" t="n"/>
      <c r="V52" s="107" t="n"/>
      <c r="W52" s="107" t="n"/>
      <c r="X52" s="116" t="inlineStr">
        <is>
          <t>N</t>
        </is>
      </c>
      <c r="Y52" s="107" t="n"/>
      <c r="Z52" s="116" t="inlineStr">
        <is>
          <t>N</t>
        </is>
      </c>
      <c r="AA52" s="107" t="n"/>
      <c r="AB52" s="107" t="n"/>
      <c r="AC52" s="107" t="n"/>
      <c r="AD52" s="116" t="inlineStr">
        <is>
          <t>N</t>
        </is>
      </c>
      <c r="AE52" s="107" t="n"/>
      <c r="AF52" s="107" t="n"/>
      <c r="AG52" s="116" t="inlineStr">
        <is>
          <t>N</t>
        </is>
      </c>
      <c r="AH52" s="107" t="n"/>
      <c r="AI52" s="107" t="n"/>
      <c r="AJ52" s="107" t="n"/>
      <c r="AK52" s="116" t="inlineStr">
        <is>
          <t>N</t>
        </is>
      </c>
      <c r="AL52" s="107" t="n"/>
      <c r="AM52" s="107" t="n"/>
      <c r="AN52" s="96" t="n"/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SUMPRODUCT(($E52:$K52="M")*6+($E52:$K52="T")*6+($E52:$K52="D")*12+($E52:$K52="N")*12+($E52:$K52="NT")*6+($E52:$K52="C")*10+($E52:$K52="A")*8+($E52:$K52="J")*5+($E52:$K52="E")*4+($E52:$K52="P")*6+($E52:$K52="R")*6)</f>
        <v/>
      </c>
      <c r="BF52" s="110">
        <f>SUMPRODUCT(($L52:$R52="M")*6+($L52:$R52="T")*6+($L52:$R52="D")*12+($L52:$R52="N")*12+($L52:$R52="NT")*6+($L52:$R52="C")*10+($L52:$R52="A")*8+($L52:$R52="J")*5+($L52:$R52="E")*4+($L52:$R52="P")*6+($L52:$R52="R")*6)</f>
        <v/>
      </c>
      <c r="BG52" s="110">
        <f>SUMPRODUCT(($S52:$Y52="M")*6+($S52:$Y52="T")*6+($S52:$Y52="D")*12+($S52:$Y52="N")*12+($S52:$Y52="NT")*6+($S52:$Y52="C")*10+($S52:$Y52="A")*8+($S52:$Y52="J")*5+($S52:$Y52="E")*4+($S52:$Y52="P")*6+($S52:$Y52="R")*6)</f>
        <v/>
      </c>
      <c r="BH52" s="110">
        <f>SUMPRODUCT(($Z52:$AF52="M")*6+($Z52:$AF52="T")*6+($Z52:$AF52="D")*12+($Z52:$AF52="N")*12+($Z52:$AF52="NT")*6+($Z52:$AF52="C")*10+($Z52:$AF52="A")*8+($Z52:$AF52="J")*5+($Z52:$AF52="E")*4+($Z52:$AF52="P")*6+($Z52:$AF52="R")*6)</f>
        <v/>
      </c>
      <c r="BI52" s="110">
        <f>SUMPRODUCT(($AG52:$AM52="M")*6+($AG52:$AM52="T")*6+($AG52:$AM52="D")*12+($AG52:$AM52="N")*12+($AG52:$AM52="NT")*6+($AG52:$AM52="C")*10+($AG52:$AM52="A")*8+($AG52:$AM52="J")*5+($AG52:$AM52="E")*4+($AG52:$AM52="P")*6+($AG52:$AM52="R")*6)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123">
        <f>IFERROR(INDEX(ABR!AI$8:AI$73,MATCH($A53,ABR!$A$8:$A$73,0))&amp;"","")</f>
        <v/>
      </c>
      <c r="F53" s="123">
        <f>IFERROR(INDEX(ABR!AJ$8:AJ$73,MATCH($A53,ABR!$A$8:$A$73,0))&amp;"","")</f>
        <v/>
      </c>
      <c r="G53" s="123">
        <f>IFERROR(INDEX(ABR!AK$8:AK$73,MATCH($A53,ABR!$A$8:$A$73,0))&amp;"","")</f>
        <v/>
      </c>
      <c r="H53" s="123">
        <f>IFERROR(INDEX(ABR!AL$8:AL$73,MATCH($A53,ABR!$A$8:$A$73,0))&amp;"","")</f>
        <v/>
      </c>
      <c r="I53" s="107" t="n"/>
      <c r="J53" s="107" t="n"/>
      <c r="K53" s="107" t="n"/>
      <c r="L53" s="107" t="n"/>
      <c r="M53" s="116" t="inlineStr">
        <is>
          <t>N</t>
        </is>
      </c>
      <c r="N53" s="107" t="n"/>
      <c r="O53" s="107" t="n"/>
      <c r="P53" s="107" t="n"/>
      <c r="Q53" s="108" t="inlineStr">
        <is>
          <t>M</t>
        </is>
      </c>
      <c r="R53" s="107" t="n"/>
      <c r="S53" s="116" t="inlineStr">
        <is>
          <t>N</t>
        </is>
      </c>
      <c r="T53" s="107" t="n"/>
      <c r="U53" s="107" t="n"/>
      <c r="V53" s="107" t="n"/>
      <c r="W53" s="116" t="inlineStr">
        <is>
          <t>N</t>
        </is>
      </c>
      <c r="X53" s="107" t="n"/>
      <c r="Y53" s="107" t="n"/>
      <c r="Z53" s="116" t="inlineStr">
        <is>
          <t>N</t>
        </is>
      </c>
      <c r="AA53" s="116" t="inlineStr">
        <is>
          <t>N</t>
        </is>
      </c>
      <c r="AB53" s="107" t="n"/>
      <c r="AC53" s="107" t="n"/>
      <c r="AD53" s="107" t="n"/>
      <c r="AE53" s="107" t="n"/>
      <c r="AF53" s="107" t="n"/>
      <c r="AG53" s="116" t="inlineStr">
        <is>
          <t>N</t>
        </is>
      </c>
      <c r="AH53" s="107" t="n"/>
      <c r="AI53" s="107" t="n"/>
      <c r="AJ53" s="107" t="n"/>
      <c r="AK53" s="107" t="n"/>
      <c r="AL53" s="116" t="inlineStr">
        <is>
          <t>N</t>
        </is>
      </c>
      <c r="AM53" s="107" t="n"/>
      <c r="AN53" s="96" t="n"/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SUMPRODUCT(($E53:$K53="M")*6+($E53:$K53="T")*6+($E53:$K53="D")*12+($E53:$K53="N")*12+($E53:$K53="NT")*6+($E53:$K53="C")*10+($E53:$K53="A")*8+($E53:$K53="J")*5+($E53:$K53="E")*4+($E53:$K53="P")*6+($E53:$K53="R")*6)</f>
        <v/>
      </c>
      <c r="BF53" s="110">
        <f>SUMPRODUCT(($L53:$R53="M")*6+($L53:$R53="T")*6+($L53:$R53="D")*12+($L53:$R53="N")*12+($L53:$R53="NT")*6+($L53:$R53="C")*10+($L53:$R53="A")*8+($L53:$R53="J")*5+($L53:$R53="E")*4+($L53:$R53="P")*6+($L53:$R53="R")*6)</f>
        <v/>
      </c>
      <c r="BG53" s="110">
        <f>SUMPRODUCT(($S53:$Y53="M")*6+($S53:$Y53="T")*6+($S53:$Y53="D")*12+($S53:$Y53="N")*12+($S53:$Y53="NT")*6+($S53:$Y53="C")*10+($S53:$Y53="A")*8+($S53:$Y53="J")*5+($S53:$Y53="E")*4+($S53:$Y53="P")*6+($S53:$Y53="R")*6)</f>
        <v/>
      </c>
      <c r="BH53" s="110">
        <f>SUMPRODUCT(($Z53:$AF53="M")*6+($Z53:$AF53="T")*6+($Z53:$AF53="D")*12+($Z53:$AF53="N")*12+($Z53:$AF53="NT")*6+($Z53:$AF53="C")*10+($Z53:$AF53="A")*8+($Z53:$AF53="J")*5+($Z53:$AF53="E")*4+($Z53:$AF53="P")*6+($Z53:$AF53="R")*6)</f>
        <v/>
      </c>
      <c r="BI53" s="110">
        <f>SUMPRODUCT(($AG53:$AM53="M")*6+($AG53:$AM53="T")*6+($AG53:$AM53="D")*12+($AG53:$AM53="N")*12+($AG53:$AM53="NT")*6+($AG53:$AM53="C")*10+($AG53:$AM53="A")*8+($AG53:$AM53="J")*5+($AG53:$AM53="E")*4+($AG53:$AM53="P")*6+($AG53:$AM53="R")*6)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123">
        <f>IFERROR(INDEX(ABR!AI$8:AI$73,MATCH($A54,ABR!$A$8:$A$73,0))&amp;"","")</f>
        <v/>
      </c>
      <c r="F54" s="123">
        <f>IFERROR(INDEX(ABR!AJ$8:AJ$73,MATCH($A54,ABR!$A$8:$A$73,0))&amp;"","")</f>
        <v/>
      </c>
      <c r="G54" s="123">
        <f>IFERROR(INDEX(ABR!AK$8:AK$73,MATCH($A54,ABR!$A$8:$A$73,0))&amp;"","")</f>
        <v/>
      </c>
      <c r="H54" s="123">
        <f>IFERROR(INDEX(ABR!AL$8:AL$73,MATCH($A54,ABR!$A$8:$A$73,0))&amp;"","")</f>
        <v/>
      </c>
      <c r="I54" s="107" t="n"/>
      <c r="J54" s="116" t="inlineStr">
        <is>
          <t>N</t>
        </is>
      </c>
      <c r="K54" s="107" t="n"/>
      <c r="L54" s="107" t="n"/>
      <c r="M54" s="107" t="n"/>
      <c r="N54" s="107" t="n"/>
      <c r="O54" s="116" t="inlineStr">
        <is>
          <t>N</t>
        </is>
      </c>
      <c r="P54" s="107" t="n"/>
      <c r="Q54" s="116" t="inlineStr">
        <is>
          <t>N</t>
        </is>
      </c>
      <c r="R54" s="107" t="n"/>
      <c r="S54" s="107" t="n"/>
      <c r="T54" s="107" t="n"/>
      <c r="U54" s="107" t="n"/>
      <c r="V54" s="116" t="inlineStr">
        <is>
          <t>N</t>
        </is>
      </c>
      <c r="W54" s="107" t="n"/>
      <c r="X54" s="116" t="inlineStr">
        <is>
          <t>N</t>
        </is>
      </c>
      <c r="Y54" s="107" t="n"/>
      <c r="Z54" s="107" t="n"/>
      <c r="AA54" s="107" t="n"/>
      <c r="AB54" s="107" t="n"/>
      <c r="AC54" s="116" t="inlineStr">
        <is>
          <t>N</t>
        </is>
      </c>
      <c r="AD54" s="107" t="n"/>
      <c r="AE54" s="116" t="inlineStr">
        <is>
          <t>N</t>
        </is>
      </c>
      <c r="AF54" s="107" t="n"/>
      <c r="AG54" s="107" t="n"/>
      <c r="AH54" s="107" t="n"/>
      <c r="AI54" s="107" t="n"/>
      <c r="AJ54" s="116" t="inlineStr">
        <is>
          <t>N</t>
        </is>
      </c>
      <c r="AK54" s="107" t="n"/>
      <c r="AL54" s="107" t="n"/>
      <c r="AM54" s="116" t="inlineStr">
        <is>
          <t>N</t>
        </is>
      </c>
      <c r="AN54" s="96" t="n"/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SUMPRODUCT(($E54:$K54="M")*6+($E54:$K54="T")*6+($E54:$K54="D")*12+($E54:$K54="N")*12+($E54:$K54="NT")*6+($E54:$K54="C")*10+($E54:$K54="A")*8+($E54:$K54="J")*5+($E54:$K54="E")*4+($E54:$K54="P")*6+($E54:$K54="R")*6)</f>
        <v/>
      </c>
      <c r="BF54" s="110">
        <f>SUMPRODUCT(($L54:$R54="M")*6+($L54:$R54="T")*6+($L54:$R54="D")*12+($L54:$R54="N")*12+($L54:$R54="NT")*6+($L54:$R54="C")*10+($L54:$R54="A")*8+($L54:$R54="J")*5+($L54:$R54="E")*4+($L54:$R54="P")*6+($L54:$R54="R")*6)</f>
        <v/>
      </c>
      <c r="BG54" s="110">
        <f>SUMPRODUCT(($S54:$Y54="M")*6+($S54:$Y54="T")*6+($S54:$Y54="D")*12+($S54:$Y54="N")*12+($S54:$Y54="NT")*6+($S54:$Y54="C")*10+($S54:$Y54="A")*8+($S54:$Y54="J")*5+($S54:$Y54="E")*4+($S54:$Y54="P")*6+($S54:$Y54="R")*6)</f>
        <v/>
      </c>
      <c r="BH54" s="110">
        <f>SUMPRODUCT(($Z54:$AF54="M")*6+($Z54:$AF54="T")*6+($Z54:$AF54="D")*12+($Z54:$AF54="N")*12+($Z54:$AF54="NT")*6+($Z54:$AF54="C")*10+($Z54:$AF54="A")*8+($Z54:$AF54="J")*5+($Z54:$AF54="E")*4+($Z54:$AF54="P")*6+($Z54:$AF54="R")*6)</f>
        <v/>
      </c>
      <c r="BI54" s="110">
        <f>SUMPRODUCT(($AG54:$AM54="M")*6+($AG54:$AM54="T")*6+($AG54:$AM54="D")*12+($AG54:$AM54="N")*12+($AG54:$AM54="NT")*6+($AG54:$AM54="C")*10+($AG54:$AM54="A")*8+($AG54:$AM54="J")*5+($AG54:$AM54="E")*4+($AG54:$AM54="P")*6+($AG54:$AM54="R")*6)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123">
        <f>IFERROR(INDEX(ABR!AI$8:AI$73,MATCH($A55,ABR!$A$8:$A$73,0))&amp;"","")</f>
        <v/>
      </c>
      <c r="F55" s="123">
        <f>IFERROR(INDEX(ABR!AJ$8:AJ$73,MATCH($A55,ABR!$A$8:$A$73,0))&amp;"","")</f>
        <v/>
      </c>
      <c r="G55" s="123">
        <f>IFERROR(INDEX(ABR!AK$8:AK$73,MATCH($A55,ABR!$A$8:$A$73,0))&amp;"","")</f>
        <v/>
      </c>
      <c r="H55" s="123">
        <f>IFERROR(INDEX(ABR!AL$8:AL$73,MATCH($A55,ABR!$A$8:$A$73,0))&amp;"","")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8" t="inlineStr">
        <is>
          <t>M</t>
        </is>
      </c>
      <c r="AJ55" s="108" t="inlineStr">
        <is>
          <t>M</t>
        </is>
      </c>
      <c r="AK55" s="108" t="inlineStr">
        <is>
          <t>M</t>
        </is>
      </c>
      <c r="AL55" s="107" t="n"/>
      <c r="AM55" s="107" t="n"/>
      <c r="AN55" s="96" t="n"/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SUMPRODUCT(($E55:$K55="M")*6+($E55:$K55="T")*6+($E55:$K55="D")*12+($E55:$K55="N")*12+($E55:$K55="NT")*6+($E55:$K55="C")*10+($E55:$K55="A")*8+($E55:$K55="J")*5+($E55:$K55="E")*4+($E55:$K55="P")*6+($E55:$K55="R")*6)</f>
        <v/>
      </c>
      <c r="BF55" s="110">
        <f>SUMPRODUCT(($L55:$R55="M")*6+($L55:$R55="T")*6+($L55:$R55="D")*12+($L55:$R55="N")*12+($L55:$R55="NT")*6+($L55:$R55="C")*10+($L55:$R55="A")*8+($L55:$R55="J")*5+($L55:$R55="E")*4+($L55:$R55="P")*6+($L55:$R55="R")*6)</f>
        <v/>
      </c>
      <c r="BG55" s="110">
        <f>SUMPRODUCT(($S55:$Y55="M")*6+($S55:$Y55="T")*6+($S55:$Y55="D")*12+($S55:$Y55="N")*12+($S55:$Y55="NT")*6+($S55:$Y55="C")*10+($S55:$Y55="A")*8+($S55:$Y55="J")*5+($S55:$Y55="E")*4+($S55:$Y55="P")*6+($S55:$Y55="R")*6)</f>
        <v/>
      </c>
      <c r="BH55" s="110">
        <f>SUMPRODUCT(($Z55:$AF55="M")*6+($Z55:$AF55="T")*6+($Z55:$AF55="D")*12+($Z55:$AF55="N")*12+($Z55:$AF55="NT")*6+($Z55:$AF55="C")*10+($Z55:$AF55="A")*8+($Z55:$AF55="J")*5+($Z55:$AF55="E")*4+($Z55:$AF55="P")*6+($Z55:$AF55="R")*6)</f>
        <v/>
      </c>
      <c r="BI55" s="110">
        <f>SUMPRODUCT(($AG55:$AM55="M")*6+($AG55:$AM55="T")*6+($AG55:$AM55="D")*12+($AG55:$AM55="N")*12+($AG55:$AM55="NT")*6+($AG55:$AM55="C")*10+($AG55:$AM55="A")*8+($AG55:$AM55="J")*5+($AG55:$AM55="E")*4+($AG55:$AM55="P")*6+($AG55:$AM55="R")*6)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123">
        <f>IFERROR(INDEX(ABR!AI$8:AI$73,MATCH($A56,ABR!$A$8:$A$73,0))&amp;"","")</f>
        <v/>
      </c>
      <c r="F56" s="123">
        <f>IFERROR(INDEX(ABR!AJ$8:AJ$73,MATCH($A56,ABR!$A$8:$A$73,0))&amp;"","")</f>
        <v/>
      </c>
      <c r="G56" s="123">
        <f>IFERROR(INDEX(ABR!AK$8:AK$73,MATCH($A56,ABR!$A$8:$A$73,0))&amp;"","")</f>
        <v/>
      </c>
      <c r="H56" s="123">
        <f>IFERROR(INDEX(ABR!AL$8:AL$73,MATCH($A56,ABR!$A$8:$A$73,0))&amp;"","")</f>
        <v/>
      </c>
      <c r="I56" s="107" t="n"/>
      <c r="J56" s="115" t="inlineStr">
        <is>
          <t>D</t>
        </is>
      </c>
      <c r="K56" s="107" t="n"/>
      <c r="L56" s="107" t="n"/>
      <c r="M56" s="115" t="inlineStr">
        <is>
          <t>D</t>
        </is>
      </c>
      <c r="N56" s="107" t="n"/>
      <c r="O56" s="115" t="inlineStr">
        <is>
          <t>D</t>
        </is>
      </c>
      <c r="P56" s="107" t="n"/>
      <c r="Q56" s="107" t="n"/>
      <c r="R56" s="107" t="n"/>
      <c r="S56" s="107" t="n"/>
      <c r="T56" s="115" t="inlineStr">
        <is>
          <t>D</t>
        </is>
      </c>
      <c r="U56" s="107" t="n"/>
      <c r="V56" s="115" t="inlineStr">
        <is>
          <t>D</t>
        </is>
      </c>
      <c r="W56" s="107" t="n"/>
      <c r="X56" s="107" t="n"/>
      <c r="Y56" s="107" t="n"/>
      <c r="Z56" s="107" t="n"/>
      <c r="AA56" s="117" t="inlineStr">
        <is>
          <t>T</t>
        </is>
      </c>
      <c r="AB56" s="107" t="n"/>
      <c r="AC56" s="115" t="inlineStr">
        <is>
          <t>D</t>
        </is>
      </c>
      <c r="AD56" s="107" t="n"/>
      <c r="AE56" s="108" t="inlineStr">
        <is>
          <t>M</t>
        </is>
      </c>
      <c r="AF56" s="107" t="n"/>
      <c r="AG56" s="107" t="n"/>
      <c r="AH56" s="115" t="inlineStr">
        <is>
          <t>D</t>
        </is>
      </c>
      <c r="AI56" s="107" t="n"/>
      <c r="AJ56" s="115" t="inlineStr">
        <is>
          <t>D</t>
        </is>
      </c>
      <c r="AK56" s="107" t="n"/>
      <c r="AL56" s="107" t="n"/>
      <c r="AM56" s="107" t="n"/>
      <c r="AN56" s="96" t="n"/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SUMPRODUCT(($E56:$K56="M")*6+($E56:$K56="T")*6+($E56:$K56="D")*12+($E56:$K56="N")*12+($E56:$K56="NT")*6+($E56:$K56="C")*10+($E56:$K56="A")*8+($E56:$K56="J")*5+($E56:$K56="E")*4+($E56:$K56="P")*6+($E56:$K56="R")*6)</f>
        <v/>
      </c>
      <c r="BF56" s="110">
        <f>SUMPRODUCT(($L56:$R56="M")*6+($L56:$R56="T")*6+($L56:$R56="D")*12+($L56:$R56="N")*12+($L56:$R56="NT")*6+($L56:$R56="C")*10+($L56:$R56="A")*8+($L56:$R56="J")*5+($L56:$R56="E")*4+($L56:$R56="P")*6+($L56:$R56="R")*6)</f>
        <v/>
      </c>
      <c r="BG56" s="110">
        <f>SUMPRODUCT(($S56:$Y56="M")*6+($S56:$Y56="T")*6+($S56:$Y56="D")*12+($S56:$Y56="N")*12+($S56:$Y56="NT")*6+($S56:$Y56="C")*10+($S56:$Y56="A")*8+($S56:$Y56="J")*5+($S56:$Y56="E")*4+($S56:$Y56="P")*6+($S56:$Y56="R")*6)</f>
        <v/>
      </c>
      <c r="BH56" s="110">
        <f>SUMPRODUCT(($Z56:$AF56="M")*6+($Z56:$AF56="T")*6+($Z56:$AF56="D")*12+($Z56:$AF56="N")*12+($Z56:$AF56="NT")*6+($Z56:$AF56="C")*10+($Z56:$AF56="A")*8+($Z56:$AF56="J")*5+($Z56:$AF56="E")*4+($Z56:$AF56="P")*6+($Z56:$AF56="R")*6)</f>
        <v/>
      </c>
      <c r="BI56" s="110">
        <f>SUMPRODUCT(($AG56:$AM56="M")*6+($AG56:$AM56="T")*6+($AG56:$AM56="D")*12+($AG56:$AM56="N")*12+($AG56:$AM56="NT")*6+($AG56:$AM56="C")*10+($AG56:$AM56="A")*8+($AG56:$AM56="J")*5+($AG56:$AM56="E")*4+($AG56:$AM56="P")*6+($AG56:$AM56="R")*6)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123">
        <f>IFERROR(INDEX(ABR!AI$8:AI$73,MATCH($A57,ABR!$A$8:$A$73,0))&amp;"","")</f>
        <v/>
      </c>
      <c r="F57" s="123">
        <f>IFERROR(INDEX(ABR!AJ$8:AJ$73,MATCH($A57,ABR!$A$8:$A$73,0))&amp;"","")</f>
        <v/>
      </c>
      <c r="G57" s="123">
        <f>IFERROR(INDEX(ABR!AK$8:AK$73,MATCH($A57,ABR!$A$8:$A$73,0))&amp;"","")</f>
        <v/>
      </c>
      <c r="H57" s="123">
        <f>IFERROR(INDEX(ABR!AL$8:AL$73,MATCH($A57,ABR!$A$8:$A$73,0))&amp;"","")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7" t="inlineStr">
        <is>
          <t>T</t>
        </is>
      </c>
      <c r="AB57" s="107" t="n"/>
      <c r="AC57" s="116" t="inlineStr">
        <is>
          <t>N</t>
        </is>
      </c>
      <c r="AD57" s="107" t="n"/>
      <c r="AE57" s="107" t="n"/>
      <c r="AF57" s="107" t="n"/>
      <c r="AG57" s="107" t="n"/>
      <c r="AH57" s="107" t="n"/>
      <c r="AI57" s="116" t="inlineStr">
        <is>
          <t>N</t>
        </is>
      </c>
      <c r="AJ57" s="107" t="n"/>
      <c r="AK57" s="107" t="n"/>
      <c r="AL57" s="107" t="n"/>
      <c r="AM57" s="116" t="inlineStr">
        <is>
          <t>N</t>
        </is>
      </c>
      <c r="AN57" s="96" t="n"/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SUMPRODUCT(($E57:$K57="M")*6+($E57:$K57="T")*6+($E57:$K57="D")*12+($E57:$K57="N")*12+($E57:$K57="NT")*6+($E57:$K57="C")*10+($E57:$K57="A")*8+($E57:$K57="J")*5+($E57:$K57="E")*4+($E57:$K57="P")*6+($E57:$K57="R")*6)</f>
        <v/>
      </c>
      <c r="BF57" s="110">
        <f>SUMPRODUCT(($L57:$R57="M")*6+($L57:$R57="T")*6+($L57:$R57="D")*12+($L57:$R57="N")*12+($L57:$R57="NT")*6+($L57:$R57="C")*10+($L57:$R57="A")*8+($L57:$R57="J")*5+($L57:$R57="E")*4+($L57:$R57="P")*6+($L57:$R57="R")*6)</f>
        <v/>
      </c>
      <c r="BG57" s="110">
        <f>SUMPRODUCT(($S57:$Y57="M")*6+($S57:$Y57="T")*6+($S57:$Y57="D")*12+($S57:$Y57="N")*12+($S57:$Y57="NT")*6+($S57:$Y57="C")*10+($S57:$Y57="A")*8+($S57:$Y57="J")*5+($S57:$Y57="E")*4+($S57:$Y57="P")*6+($S57:$Y57="R")*6)</f>
        <v/>
      </c>
      <c r="BH57" s="110">
        <f>SUMPRODUCT(($Z57:$AF57="M")*6+($Z57:$AF57="T")*6+($Z57:$AF57="D")*12+($Z57:$AF57="N")*12+($Z57:$AF57="NT")*6+($Z57:$AF57="C")*10+($Z57:$AF57="A")*8+($Z57:$AF57="J")*5+($Z57:$AF57="E")*4+($Z57:$AF57="P")*6+($Z57:$AF57="R")*6)</f>
        <v/>
      </c>
      <c r="BI57" s="110">
        <f>SUMPRODUCT(($AG57:$AM57="M")*6+($AG57:$AM57="T")*6+($AG57:$AM57="D")*12+($AG57:$AM57="N")*12+($AG57:$AM57="NT")*6+($AG57:$AM57="C")*10+($AG57:$AM57="A")*8+($AG57:$AM57="J")*5+($AG57:$AM57="E")*4+($AG57:$AM57="P")*6+($AG57:$AM57="R")*6)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123">
        <f>IFERROR(INDEX(ABR!AI$8:AI$73,MATCH($A58,ABR!$A$8:$A$73,0))&amp;"","")</f>
        <v/>
      </c>
      <c r="F58" s="123">
        <f>IFERROR(INDEX(ABR!AJ$8:AJ$73,MATCH($A58,ABR!$A$8:$A$73,0))&amp;"","")</f>
        <v/>
      </c>
      <c r="G58" s="123">
        <f>IFERROR(INDEX(ABR!AK$8:AK$73,MATCH($A58,ABR!$A$8:$A$73,0))&amp;"","")</f>
        <v/>
      </c>
      <c r="H58" s="123">
        <f>IFERROR(INDEX(ABR!AL$8:AL$73,MATCH($A58,ABR!$A$8:$A$73,0))&amp;"","")</f>
        <v/>
      </c>
      <c r="I58" s="115" t="inlineStr">
        <is>
          <t>D</t>
        </is>
      </c>
      <c r="J58" s="107" t="n"/>
      <c r="K58" s="107" t="n"/>
      <c r="L58" s="115" t="inlineStr">
        <is>
          <t>D</t>
        </is>
      </c>
      <c r="M58" s="107" t="n"/>
      <c r="N58" s="116" t="inlineStr">
        <is>
          <t>N</t>
        </is>
      </c>
      <c r="O58" s="107" t="n"/>
      <c r="P58" s="107" t="n"/>
      <c r="Q58" s="107" t="n"/>
      <c r="R58" s="107" t="n"/>
      <c r="S58" s="107" t="n"/>
      <c r="T58" s="107" t="n"/>
      <c r="U58" s="116" t="inlineStr">
        <is>
          <t>N</t>
        </is>
      </c>
      <c r="V58" s="107" t="n"/>
      <c r="W58" s="107" t="n"/>
      <c r="X58" s="107" t="n"/>
      <c r="Y58" s="115" t="inlineStr">
        <is>
          <t>D</t>
        </is>
      </c>
      <c r="Z58" s="107" t="n"/>
      <c r="AA58" s="107" t="n"/>
      <c r="AB58" s="116" t="inlineStr">
        <is>
          <t>N</t>
        </is>
      </c>
      <c r="AC58" s="107" t="n"/>
      <c r="AD58" s="107" t="n"/>
      <c r="AE58" s="115" t="inlineStr">
        <is>
          <t>D</t>
        </is>
      </c>
      <c r="AF58" s="107" t="n"/>
      <c r="AG58" s="115" t="inlineStr">
        <is>
          <t>D</t>
        </is>
      </c>
      <c r="AH58" s="107" t="n"/>
      <c r="AI58" s="116" t="inlineStr">
        <is>
          <t>N</t>
        </is>
      </c>
      <c r="AJ58" s="107" t="n"/>
      <c r="AK58" s="107" t="n"/>
      <c r="AL58" s="107" t="n"/>
      <c r="AM58" s="107" t="n"/>
      <c r="AN58" s="96" t="n"/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SUMPRODUCT(($E58:$K58="M")*6+($E58:$K58="T")*6+($E58:$K58="D")*12+($E58:$K58="N")*12+($E58:$K58="NT")*6+($E58:$K58="C")*10+($E58:$K58="A")*8+($E58:$K58="J")*5+($E58:$K58="E")*4+($E58:$K58="P")*6+($E58:$K58="R")*6)</f>
        <v/>
      </c>
      <c r="BF58" s="110">
        <f>SUMPRODUCT(($L58:$R58="M")*6+($L58:$R58="T")*6+($L58:$R58="D")*12+($L58:$R58="N")*12+($L58:$R58="NT")*6+($L58:$R58="C")*10+($L58:$R58="A")*8+($L58:$R58="J")*5+($L58:$R58="E")*4+($L58:$R58="P")*6+($L58:$R58="R")*6)</f>
        <v/>
      </c>
      <c r="BG58" s="110">
        <f>SUMPRODUCT(($S58:$Y58="M")*6+($S58:$Y58="T")*6+($S58:$Y58="D")*12+($S58:$Y58="N")*12+($S58:$Y58="NT")*6+($S58:$Y58="C")*10+($S58:$Y58="A")*8+($S58:$Y58="J")*5+($S58:$Y58="E")*4+($S58:$Y58="P")*6+($S58:$Y58="R")*6)</f>
        <v/>
      </c>
      <c r="BH58" s="110">
        <f>SUMPRODUCT(($Z58:$AF58="M")*6+($Z58:$AF58="T")*6+($Z58:$AF58="D")*12+($Z58:$AF58="N")*12+($Z58:$AF58="NT")*6+($Z58:$AF58="C")*10+($Z58:$AF58="A")*8+($Z58:$AF58="J")*5+($Z58:$AF58="E")*4+($Z58:$AF58="P")*6+($Z58:$AF58="R")*6)</f>
        <v/>
      </c>
      <c r="BI58" s="110">
        <f>SUMPRODUCT(($AG58:$AM58="M")*6+($AG58:$AM58="T")*6+($AG58:$AM58="D")*12+($AG58:$AM58="N")*12+($AG58:$AM58="NT")*6+($AG58:$AM58="C")*10+($AG58:$AM58="A")*8+($AG58:$AM58="J")*5+($AG58:$AM58="E")*4+($AG58:$AM58="P")*6+($AG58:$AM58="R")*6)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123">
        <f>IFERROR(INDEX(ABR!AI$8:AI$73,MATCH($A59,ABR!$A$8:$A$73,0))&amp;"","")</f>
        <v/>
      </c>
      <c r="F59" s="123">
        <f>IFERROR(INDEX(ABR!AJ$8:AJ$73,MATCH($A59,ABR!$A$8:$A$73,0))&amp;"","")</f>
        <v/>
      </c>
      <c r="G59" s="123">
        <f>IFERROR(INDEX(ABR!AK$8:AK$73,MATCH($A59,ABR!$A$8:$A$73,0))&amp;"","")</f>
        <v/>
      </c>
      <c r="H59" s="123">
        <f>IFERROR(INDEX(ABR!AL$8:AL$73,MATCH($A59,ABR!$A$8:$A$73,0))&amp;"","")</f>
        <v/>
      </c>
      <c r="I59" s="107" t="n"/>
      <c r="J59" s="107" t="n"/>
      <c r="K59" s="107" t="n"/>
      <c r="L59" s="107" t="n"/>
      <c r="M59" s="107" t="n"/>
      <c r="N59" s="116" t="inlineStr">
        <is>
          <t>N</t>
        </is>
      </c>
      <c r="O59" s="107" t="n"/>
      <c r="P59" s="107" t="n"/>
      <c r="Q59" s="107" t="n"/>
      <c r="R59" s="115" t="inlineStr">
        <is>
          <t>D</t>
        </is>
      </c>
      <c r="S59" s="117" t="inlineStr">
        <is>
          <t>T</t>
        </is>
      </c>
      <c r="T59" s="107" t="n"/>
      <c r="U59" s="107" t="n"/>
      <c r="V59" s="107" t="n"/>
      <c r="W59" s="117" t="inlineStr">
        <is>
          <t>T</t>
        </is>
      </c>
      <c r="X59" s="116" t="inlineStr">
        <is>
          <t>N</t>
        </is>
      </c>
      <c r="Y59" s="107" t="n"/>
      <c r="Z59" s="117" t="inlineStr">
        <is>
          <t>T</t>
        </is>
      </c>
      <c r="AA59" s="107" t="n"/>
      <c r="AB59" s="107" t="n"/>
      <c r="AC59" s="107" t="n"/>
      <c r="AD59" s="116" t="inlineStr">
        <is>
          <t>N</t>
        </is>
      </c>
      <c r="AE59" s="107" t="n"/>
      <c r="AF59" s="117" t="inlineStr">
        <is>
          <t>T</t>
        </is>
      </c>
      <c r="AG59" s="117" t="inlineStr">
        <is>
          <t>T</t>
        </is>
      </c>
      <c r="AH59" s="108" t="inlineStr">
        <is>
          <t>M</t>
        </is>
      </c>
      <c r="AI59" s="117" t="inlineStr">
        <is>
          <t>T</t>
        </is>
      </c>
      <c r="AJ59" s="107" t="n"/>
      <c r="AK59" s="117" t="inlineStr">
        <is>
          <t>T</t>
        </is>
      </c>
      <c r="AL59" s="107" t="n"/>
      <c r="AM59" s="107" t="n"/>
      <c r="AN59" s="96" t="n"/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SUMPRODUCT(($E59:$K59="M")*6+($E59:$K59="T")*6+($E59:$K59="D")*12+($E59:$K59="N")*12+($E59:$K59="NT")*6+($E59:$K59="C")*10+($E59:$K59="A")*8+($E59:$K59="J")*5+($E59:$K59="E")*4+($E59:$K59="P")*6+($E59:$K59="R")*6)</f>
        <v/>
      </c>
      <c r="BF59" s="110">
        <f>SUMPRODUCT(($L59:$R59="M")*6+($L59:$R59="T")*6+($L59:$R59="D")*12+($L59:$R59="N")*12+($L59:$R59="NT")*6+($L59:$R59="C")*10+($L59:$R59="A")*8+($L59:$R59="J")*5+($L59:$R59="E")*4+($L59:$R59="P")*6+($L59:$R59="R")*6)</f>
        <v/>
      </c>
      <c r="BG59" s="110">
        <f>SUMPRODUCT(($S59:$Y59="M")*6+($S59:$Y59="T")*6+($S59:$Y59="D")*12+($S59:$Y59="N")*12+($S59:$Y59="NT")*6+($S59:$Y59="C")*10+($S59:$Y59="A")*8+($S59:$Y59="J")*5+($S59:$Y59="E")*4+($S59:$Y59="P")*6+($S59:$Y59="R")*6)</f>
        <v/>
      </c>
      <c r="BH59" s="110">
        <f>SUMPRODUCT(($Z59:$AF59="M")*6+($Z59:$AF59="T")*6+($Z59:$AF59="D")*12+($Z59:$AF59="N")*12+($Z59:$AF59="NT")*6+($Z59:$AF59="C")*10+($Z59:$AF59="A")*8+($Z59:$AF59="J")*5+($Z59:$AF59="E")*4+($Z59:$AF59="P")*6+($Z59:$AF59="R")*6)</f>
        <v/>
      </c>
      <c r="BI59" s="110">
        <f>SUMPRODUCT(($AG59:$AM59="M")*6+($AG59:$AM59="T")*6+($AG59:$AM59="D")*12+($AG59:$AM59="N")*12+($AG59:$AM59="NT")*6+($AG59:$AM59="C")*10+($AG59:$AM59="A")*8+($AG59:$AM59="J")*5+($AG59:$AM59="E")*4+($AG59:$AM59="P")*6+($AG59:$AM59="R")*6)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123">
        <f>IFERROR(INDEX(ABR!AI$8:AI$73,MATCH($A60,ABR!$A$8:$A$73,0))&amp;"","")</f>
        <v/>
      </c>
      <c r="F60" s="123">
        <f>IFERROR(INDEX(ABR!AJ$8:AJ$73,MATCH($A60,ABR!$A$8:$A$73,0))&amp;"","")</f>
        <v/>
      </c>
      <c r="G60" s="123">
        <f>IFERROR(INDEX(ABR!AK$8:AK$73,MATCH($A60,ABR!$A$8:$A$73,0))&amp;"","")</f>
        <v/>
      </c>
      <c r="H60" s="123">
        <f>IFERROR(INDEX(ABR!AL$8:AL$73,MATCH($A60,ABR!$A$8:$A$73,0))&amp;"","")</f>
        <v/>
      </c>
      <c r="I60" s="115" t="inlineStr">
        <is>
          <t>D</t>
        </is>
      </c>
      <c r="J60" s="107" t="n"/>
      <c r="K60" s="107" t="n"/>
      <c r="L60" s="107" t="n"/>
      <c r="M60" s="117" t="inlineStr">
        <is>
          <t>T</t>
        </is>
      </c>
      <c r="N60" s="107" t="n"/>
      <c r="O60" s="117" t="inlineStr">
        <is>
          <t>T</t>
        </is>
      </c>
      <c r="P60" s="107" t="n"/>
      <c r="Q60" s="107" t="n"/>
      <c r="R60" s="115" t="inlineStr">
        <is>
          <t>D</t>
        </is>
      </c>
      <c r="S60" s="107" t="n"/>
      <c r="T60" s="107" t="n"/>
      <c r="U60" s="107" t="n"/>
      <c r="V60" s="107" t="n"/>
      <c r="W60" s="116" t="inlineStr">
        <is>
          <t>N</t>
        </is>
      </c>
      <c r="X60" s="107" t="n"/>
      <c r="Y60" s="116" t="inlineStr">
        <is>
          <t>N</t>
        </is>
      </c>
      <c r="Z60" s="107" t="n"/>
      <c r="AA60" s="117" t="inlineStr">
        <is>
          <t>T</t>
        </is>
      </c>
      <c r="AB60" s="107" t="n"/>
      <c r="AC60" s="117" t="inlineStr">
        <is>
          <t>T</t>
        </is>
      </c>
      <c r="AD60" s="107" t="n"/>
      <c r="AE60" s="107" t="n"/>
      <c r="AF60" s="115" t="inlineStr">
        <is>
          <t>D</t>
        </is>
      </c>
      <c r="AG60" s="107" t="n"/>
      <c r="AH60" s="107" t="n"/>
      <c r="AI60" s="107" t="n"/>
      <c r="AJ60" s="107" t="n"/>
      <c r="AK60" s="116" t="inlineStr">
        <is>
          <t>N</t>
        </is>
      </c>
      <c r="AL60" s="107" t="n"/>
      <c r="AM60" s="115" t="inlineStr">
        <is>
          <t>D</t>
        </is>
      </c>
      <c r="AN60" s="96" t="n"/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SUMPRODUCT(($E60:$K60="M")*6+($E60:$K60="T")*6+($E60:$K60="D")*12+($E60:$K60="N")*12+($E60:$K60="NT")*6+($E60:$K60="C")*10+($E60:$K60="A")*8+($E60:$K60="J")*5+($E60:$K60="E")*4+($E60:$K60="P")*6+($E60:$K60="R")*6)</f>
        <v/>
      </c>
      <c r="BF60" s="110">
        <f>SUMPRODUCT(($L60:$R60="M")*6+($L60:$R60="T")*6+($L60:$R60="D")*12+($L60:$R60="N")*12+($L60:$R60="NT")*6+($L60:$R60="C")*10+($L60:$R60="A")*8+($L60:$R60="J")*5+($L60:$R60="E")*4+($L60:$R60="P")*6+($L60:$R60="R")*6)</f>
        <v/>
      </c>
      <c r="BG60" s="110">
        <f>SUMPRODUCT(($S60:$Y60="M")*6+($S60:$Y60="T")*6+($S60:$Y60="D")*12+($S60:$Y60="N")*12+($S60:$Y60="NT")*6+($S60:$Y60="C")*10+($S60:$Y60="A")*8+($S60:$Y60="J")*5+($S60:$Y60="E")*4+($S60:$Y60="P")*6+($S60:$Y60="R")*6)</f>
        <v/>
      </c>
      <c r="BH60" s="110">
        <f>SUMPRODUCT(($Z60:$AF60="M")*6+($Z60:$AF60="T")*6+($Z60:$AF60="D")*12+($Z60:$AF60="N")*12+($Z60:$AF60="NT")*6+($Z60:$AF60="C")*10+($Z60:$AF60="A")*8+($Z60:$AF60="J")*5+($Z60:$AF60="E")*4+($Z60:$AF60="P")*6+($Z60:$AF60="R")*6)</f>
        <v/>
      </c>
      <c r="BI60" s="110">
        <f>SUMPRODUCT(($AG60:$AM60="M")*6+($AG60:$AM60="T")*6+($AG60:$AM60="D")*12+($AG60:$AM60="N")*12+($AG60:$AM60="NT")*6+($AG60:$AM60="C")*10+($AG60:$AM60="A")*8+($AG60:$AM60="J")*5+($AG60:$AM60="E")*4+($AG60:$AM60="P")*6+($AG60:$AM60="R")*6)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123">
        <f>IFERROR(INDEX(ABR!AI$8:AI$73,MATCH($A61,ABR!$A$8:$A$73,0))&amp;"","")</f>
        <v/>
      </c>
      <c r="F61" s="123">
        <f>IFERROR(INDEX(ABR!AJ$8:AJ$73,MATCH($A61,ABR!$A$8:$A$73,0))&amp;"","")</f>
        <v/>
      </c>
      <c r="G61" s="123">
        <f>IFERROR(INDEX(ABR!AK$8:AK$73,MATCH($A61,ABR!$A$8:$A$73,0))&amp;"","")</f>
        <v/>
      </c>
      <c r="H61" s="123">
        <f>IFERROR(INDEX(ABR!AL$8:AL$73,MATCH($A61,ABR!$A$8:$A$73,0))&amp;"","")</f>
        <v/>
      </c>
      <c r="I61" s="115" t="inlineStr">
        <is>
          <t>D</t>
        </is>
      </c>
      <c r="J61" s="107" t="n"/>
      <c r="K61" s="107" t="n"/>
      <c r="L61" s="107" t="n"/>
      <c r="M61" s="107" t="n"/>
      <c r="N61" s="107" t="n"/>
      <c r="O61" s="117" t="inlineStr">
        <is>
          <t>T</t>
        </is>
      </c>
      <c r="P61" s="116" t="inlineStr">
        <is>
          <t>N</t>
        </is>
      </c>
      <c r="Q61" s="107" t="n"/>
      <c r="R61" s="117" t="inlineStr">
        <is>
          <t>T</t>
        </is>
      </c>
      <c r="S61" s="115" t="inlineStr">
        <is>
          <t>D</t>
        </is>
      </c>
      <c r="T61" s="107" t="n"/>
      <c r="U61" s="107" t="n"/>
      <c r="V61" s="115" t="inlineStr">
        <is>
          <t>D</t>
        </is>
      </c>
      <c r="W61" s="107" t="n"/>
      <c r="X61" s="107" t="n"/>
      <c r="Y61" s="107" t="n"/>
      <c r="Z61" s="115" t="inlineStr">
        <is>
          <t>D</t>
        </is>
      </c>
      <c r="AA61" s="107" t="n"/>
      <c r="AB61" s="107" t="n"/>
      <c r="AC61" s="116" t="inlineStr">
        <is>
          <t>N</t>
        </is>
      </c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15" t="inlineStr">
        <is>
          <t>D</t>
        </is>
      </c>
      <c r="AM61" s="116" t="inlineStr">
        <is>
          <t>N</t>
        </is>
      </c>
      <c r="AN61" s="96" t="n"/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SUMPRODUCT(($E61:$K61="M")*6+($E61:$K61="T")*6+($E61:$K61="D")*12+($E61:$K61="N")*12+($E61:$K61="NT")*6+($E61:$K61="C")*10+($E61:$K61="A")*8+($E61:$K61="J")*5+($E61:$K61="E")*4+($E61:$K61="P")*6+($E61:$K61="R")*6)</f>
        <v/>
      </c>
      <c r="BF61" s="110">
        <f>SUMPRODUCT(($L61:$R61="M")*6+($L61:$R61="T")*6+($L61:$R61="D")*12+($L61:$R61="N")*12+($L61:$R61="NT")*6+($L61:$R61="C")*10+($L61:$R61="A")*8+($L61:$R61="J")*5+($L61:$R61="E")*4+($L61:$R61="P")*6+($L61:$R61="R")*6)</f>
        <v/>
      </c>
      <c r="BG61" s="110">
        <f>SUMPRODUCT(($S61:$Y61="M")*6+($S61:$Y61="T")*6+($S61:$Y61="D")*12+($S61:$Y61="N")*12+($S61:$Y61="NT")*6+($S61:$Y61="C")*10+($S61:$Y61="A")*8+($S61:$Y61="J")*5+($S61:$Y61="E")*4+($S61:$Y61="P")*6+($S61:$Y61="R")*6)</f>
        <v/>
      </c>
      <c r="BH61" s="110">
        <f>SUMPRODUCT(($Z61:$AF61="M")*6+($Z61:$AF61="T")*6+($Z61:$AF61="D")*12+($Z61:$AF61="N")*12+($Z61:$AF61="NT")*6+($Z61:$AF61="C")*10+($Z61:$AF61="A")*8+($Z61:$AF61="J")*5+($Z61:$AF61="E")*4+($Z61:$AF61="P")*6+($Z61:$AF61="R")*6)</f>
        <v/>
      </c>
      <c r="BI61" s="110">
        <f>SUMPRODUCT(($AG61:$AM61="M")*6+($AG61:$AM61="T")*6+($AG61:$AM61="D")*12+($AG61:$AM61="N")*12+($AG61:$AM61="NT")*6+($AG61:$AM61="C")*10+($AG61:$AM61="A")*8+($AG61:$AM61="J")*5+($AG61:$AM61="E")*4+($AG61:$AM61="P")*6+($AG61:$AM61="R")*6)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123">
        <f>IFERROR(INDEX(ABR!AI$8:AI$73,MATCH($A62,ABR!$A$8:$A$73,0))&amp;"","")</f>
        <v/>
      </c>
      <c r="F62" s="123">
        <f>IFERROR(INDEX(ABR!AJ$8:AJ$73,MATCH($A62,ABR!$A$8:$A$73,0))&amp;"","")</f>
        <v/>
      </c>
      <c r="G62" s="123">
        <f>IFERROR(INDEX(ABR!AK$8:AK$73,MATCH($A62,ABR!$A$8:$A$73,0))&amp;"","")</f>
        <v/>
      </c>
      <c r="H62" s="123">
        <f>IFERROR(INDEX(ABR!AL$8:AL$73,MATCH($A62,ABR!$A$8:$A$73,0))&amp;"","")</f>
        <v/>
      </c>
      <c r="I62" s="116" t="inlineStr">
        <is>
          <t>N</t>
        </is>
      </c>
      <c r="J62" s="107" t="n"/>
      <c r="K62" s="107" t="n"/>
      <c r="L62" s="107" t="n"/>
      <c r="M62" s="116" t="inlineStr">
        <is>
          <t>N</t>
        </is>
      </c>
      <c r="N62" s="107" t="n"/>
      <c r="O62" s="107" t="n"/>
      <c r="P62" s="107" t="n"/>
      <c r="Q62" s="107" t="n"/>
      <c r="R62" s="115" t="inlineStr">
        <is>
          <t>D</t>
        </is>
      </c>
      <c r="S62" s="107" t="n"/>
      <c r="T62" s="116" t="inlineStr">
        <is>
          <t>N</t>
        </is>
      </c>
      <c r="U62" s="107" t="n"/>
      <c r="V62" s="115" t="inlineStr">
        <is>
          <t>D</t>
        </is>
      </c>
      <c r="W62" s="107" t="n"/>
      <c r="X62" s="107" t="n"/>
      <c r="Y62" s="107" t="n"/>
      <c r="Z62" s="116" t="inlineStr">
        <is>
          <t>N</t>
        </is>
      </c>
      <c r="AA62" s="107" t="n"/>
      <c r="AB62" s="107" t="n"/>
      <c r="AC62" s="107" t="n"/>
      <c r="AD62" s="107" t="n"/>
      <c r="AE62" s="107" t="n"/>
      <c r="AF62" s="115" t="inlineStr">
        <is>
          <t>D</t>
        </is>
      </c>
      <c r="AG62" s="107" t="n"/>
      <c r="AH62" s="116" t="inlineStr">
        <is>
          <t>N</t>
        </is>
      </c>
      <c r="AI62" s="107" t="n"/>
      <c r="AJ62" s="107" t="n"/>
      <c r="AK62" s="107" t="n"/>
      <c r="AL62" s="116" t="inlineStr">
        <is>
          <t>N</t>
        </is>
      </c>
      <c r="AM62" s="107" t="n"/>
      <c r="AN62" s="96" t="n"/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SUMPRODUCT(($E62:$K62="M")*6+($E62:$K62="T")*6+($E62:$K62="D")*12+($E62:$K62="N")*12+($E62:$K62="NT")*6+($E62:$K62="C")*10+($E62:$K62="A")*8+($E62:$K62="J")*5+($E62:$K62="E")*4+($E62:$K62="P")*6+($E62:$K62="R")*6)</f>
        <v/>
      </c>
      <c r="BF62" s="110">
        <f>SUMPRODUCT(($L62:$R62="M")*6+($L62:$R62="T")*6+($L62:$R62="D")*12+($L62:$R62="N")*12+($L62:$R62="NT")*6+($L62:$R62="C")*10+($L62:$R62="A")*8+($L62:$R62="J")*5+($L62:$R62="E")*4+($L62:$R62="P")*6+($L62:$R62="R")*6)</f>
        <v/>
      </c>
      <c r="BG62" s="110">
        <f>SUMPRODUCT(($S62:$Y62="M")*6+($S62:$Y62="T")*6+($S62:$Y62="D")*12+($S62:$Y62="N")*12+($S62:$Y62="NT")*6+($S62:$Y62="C")*10+($S62:$Y62="A")*8+($S62:$Y62="J")*5+($S62:$Y62="E")*4+($S62:$Y62="P")*6+($S62:$Y62="R")*6)</f>
        <v/>
      </c>
      <c r="BH62" s="110">
        <f>SUMPRODUCT(($Z62:$AF62="M")*6+($Z62:$AF62="T")*6+($Z62:$AF62="D")*12+($Z62:$AF62="N")*12+($Z62:$AF62="NT")*6+($Z62:$AF62="C")*10+($Z62:$AF62="A")*8+($Z62:$AF62="J")*5+($Z62:$AF62="E")*4+($Z62:$AF62="P")*6+($Z62:$AF62="R")*6)</f>
        <v/>
      </c>
      <c r="BI62" s="110">
        <f>SUMPRODUCT(($AG62:$AM62="M")*6+($AG62:$AM62="T")*6+($AG62:$AM62="D")*12+($AG62:$AM62="N")*12+($AG62:$AM62="NT")*6+($AG62:$AM62="C")*10+($AG62:$AM62="A")*8+($AG62:$AM62="J")*5+($AG62:$AM62="E")*4+($AG62:$AM62="P")*6+($AG62:$AM62="R")*6)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123">
        <f>IFERROR(INDEX(ABR!AI$8:AI$73,MATCH($A63,ABR!$A$8:$A$73,0))&amp;"","")</f>
        <v/>
      </c>
      <c r="F63" s="123">
        <f>IFERROR(INDEX(ABR!AJ$8:AJ$73,MATCH($A63,ABR!$A$8:$A$73,0))&amp;"","")</f>
        <v/>
      </c>
      <c r="G63" s="123">
        <f>IFERROR(INDEX(ABR!AK$8:AK$73,MATCH($A63,ABR!$A$8:$A$73,0))&amp;"","")</f>
        <v/>
      </c>
      <c r="H63" s="123">
        <f>IFERROR(INDEX(ABR!AL$8:AL$73,MATCH($A63,ABR!$A$8:$A$73,0))&amp;"","")</f>
        <v/>
      </c>
      <c r="I63" s="107" t="n"/>
      <c r="J63" s="107" t="n"/>
      <c r="K63" s="107" t="n"/>
      <c r="L63" s="107" t="n"/>
      <c r="M63" s="107" t="n"/>
      <c r="N63" s="107" t="n"/>
      <c r="O63" s="115" t="inlineStr">
        <is>
          <t>D</t>
        </is>
      </c>
      <c r="P63" s="116" t="inlineStr">
        <is>
          <t>N</t>
        </is>
      </c>
      <c r="Q63" s="107" t="n"/>
      <c r="R63" s="107" t="n"/>
      <c r="S63" s="107" t="n"/>
      <c r="T63" s="107" t="n"/>
      <c r="U63" s="107" t="n"/>
      <c r="V63" s="115" t="inlineStr">
        <is>
          <t>D</t>
        </is>
      </c>
      <c r="W63" s="115" t="inlineStr">
        <is>
          <t>D</t>
        </is>
      </c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96" t="n"/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SUMPRODUCT(($E63:$K63="M")*6+($E63:$K63="T")*6+($E63:$K63="D")*12+($E63:$K63="N")*12+($E63:$K63="NT")*6+($E63:$K63="C")*10+($E63:$K63="A")*8+($E63:$K63="J")*5+($E63:$K63="E")*4+($E63:$K63="P")*6+($E63:$K63="R")*6)</f>
        <v/>
      </c>
      <c r="BF63" s="110">
        <f>SUMPRODUCT(($L63:$R63="M")*6+($L63:$R63="T")*6+($L63:$R63="D")*12+($L63:$R63="N")*12+($L63:$R63="NT")*6+($L63:$R63="C")*10+($L63:$R63="A")*8+($L63:$R63="J")*5+($L63:$R63="E")*4+($L63:$R63="P")*6+($L63:$R63="R")*6)</f>
        <v/>
      </c>
      <c r="BG63" s="110">
        <f>SUMPRODUCT(($S63:$Y63="M")*6+($S63:$Y63="T")*6+($S63:$Y63="D")*12+($S63:$Y63="N")*12+($S63:$Y63="NT")*6+($S63:$Y63="C")*10+($S63:$Y63="A")*8+($S63:$Y63="J")*5+($S63:$Y63="E")*4+($S63:$Y63="P")*6+($S63:$Y63="R")*6)</f>
        <v/>
      </c>
      <c r="BH63" s="110">
        <f>SUMPRODUCT(($Z63:$AF63="M")*6+($Z63:$AF63="T")*6+($Z63:$AF63="D")*12+($Z63:$AF63="N")*12+($Z63:$AF63="NT")*6+($Z63:$AF63="C")*10+($Z63:$AF63="A")*8+($Z63:$AF63="J")*5+($Z63:$AF63="E")*4+($Z63:$AF63="P")*6+($Z63:$AF63="R")*6)</f>
        <v/>
      </c>
      <c r="BI63" s="110">
        <f>SUMPRODUCT(($AG63:$AM63="M")*6+($AG63:$AM63="T")*6+($AG63:$AM63="D")*12+($AG63:$AM63="N")*12+($AG63:$AM63="NT")*6+($AG63:$AM63="C")*10+($AG63:$AM63="A")*8+($AG63:$AM63="J")*5+($AG63:$AM63="E")*4+($AG63:$AM63="P")*6+($AG63:$AM63="R")*6)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123">
        <f>IFERROR(INDEX(ABR!AI$8:AI$73,MATCH($A64,ABR!$A$8:$A$73,0))&amp;"","")</f>
        <v/>
      </c>
      <c r="F64" s="123">
        <f>IFERROR(INDEX(ABR!AJ$8:AJ$73,MATCH($A64,ABR!$A$8:$A$73,0))&amp;"","")</f>
        <v/>
      </c>
      <c r="G64" s="123">
        <f>IFERROR(INDEX(ABR!AK$8:AK$73,MATCH($A64,ABR!$A$8:$A$73,0))&amp;"","")</f>
        <v/>
      </c>
      <c r="H64" s="123">
        <f>IFERROR(INDEX(ABR!AL$8:AL$73,MATCH($A64,ABR!$A$8:$A$73,0))&amp;"","")</f>
        <v/>
      </c>
      <c r="I64" s="107" t="n"/>
      <c r="J64" s="107" t="n"/>
      <c r="K64" s="107" t="n"/>
      <c r="L64" s="116" t="inlineStr">
        <is>
          <t>N</t>
        </is>
      </c>
      <c r="M64" s="107" t="n"/>
      <c r="N64" s="107" t="n"/>
      <c r="O64" s="116" t="inlineStr">
        <is>
          <t>N</t>
        </is>
      </c>
      <c r="P64" s="107" t="n"/>
      <c r="Q64" s="107" t="n"/>
      <c r="R64" s="107" t="n"/>
      <c r="S64" s="116" t="inlineStr">
        <is>
          <t>N</t>
        </is>
      </c>
      <c r="T64" s="107" t="n"/>
      <c r="U64" s="116" t="inlineStr">
        <is>
          <t>N</t>
        </is>
      </c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16" t="inlineStr">
        <is>
          <t>N</t>
        </is>
      </c>
      <c r="AF64" s="116" t="inlineStr">
        <is>
          <t>N</t>
        </is>
      </c>
      <c r="AG64" s="107" t="n"/>
      <c r="AH64" s="107" t="n"/>
      <c r="AI64" s="116" t="inlineStr">
        <is>
          <t>N</t>
        </is>
      </c>
      <c r="AJ64" s="107" t="n"/>
      <c r="AK64" s="116" t="inlineStr">
        <is>
          <t>N</t>
        </is>
      </c>
      <c r="AL64" s="107" t="n"/>
      <c r="AM64" s="107" t="n"/>
      <c r="AN64" s="96" t="n"/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SUMPRODUCT(($E64:$K64="M")*6+($E64:$K64="T")*6+($E64:$K64="D")*12+($E64:$K64="N")*12+($E64:$K64="NT")*6+($E64:$K64="C")*10+($E64:$K64="A")*8+($E64:$K64="J")*5+($E64:$K64="E")*4+($E64:$K64="P")*6+($E64:$K64="R")*6)</f>
        <v/>
      </c>
      <c r="BF64" s="110">
        <f>SUMPRODUCT(($L64:$R64="M")*6+($L64:$R64="T")*6+($L64:$R64="D")*12+($L64:$R64="N")*12+($L64:$R64="NT")*6+($L64:$R64="C")*10+($L64:$R64="A")*8+($L64:$R64="J")*5+($L64:$R64="E")*4+($L64:$R64="P")*6+($L64:$R64="R")*6)</f>
        <v/>
      </c>
      <c r="BG64" s="110">
        <f>SUMPRODUCT(($S64:$Y64="M")*6+($S64:$Y64="T")*6+($S64:$Y64="D")*12+($S64:$Y64="N")*12+($S64:$Y64="NT")*6+($S64:$Y64="C")*10+($S64:$Y64="A")*8+($S64:$Y64="J")*5+($S64:$Y64="E")*4+($S64:$Y64="P")*6+($S64:$Y64="R")*6)</f>
        <v/>
      </c>
      <c r="BH64" s="110">
        <f>SUMPRODUCT(($Z64:$AF64="M")*6+($Z64:$AF64="T")*6+($Z64:$AF64="D")*12+($Z64:$AF64="N")*12+($Z64:$AF64="NT")*6+($Z64:$AF64="C")*10+($Z64:$AF64="A")*8+($Z64:$AF64="J")*5+($Z64:$AF64="E")*4+($Z64:$AF64="P")*6+($Z64:$AF64="R")*6)</f>
        <v/>
      </c>
      <c r="BI64" s="110">
        <f>SUMPRODUCT(($AG64:$AM64="M")*6+($AG64:$AM64="T")*6+($AG64:$AM64="D")*12+($AG64:$AM64="N")*12+($AG64:$AM64="NT")*6+($AG64:$AM64="C")*10+($AG64:$AM64="A")*8+($AG64:$AM64="J")*5+($AG64:$AM64="E")*4+($AG64:$AM64="P")*6+($AG64:$AM64="R")*6)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123">
        <f>IFERROR(INDEX(ABR!AI$8:AI$73,MATCH($A65,ABR!$A$8:$A$73,0))&amp;"","")</f>
        <v/>
      </c>
      <c r="F65" s="123">
        <f>IFERROR(INDEX(ABR!AJ$8:AJ$73,MATCH($A65,ABR!$A$8:$A$73,0))&amp;"","")</f>
        <v/>
      </c>
      <c r="G65" s="123">
        <f>IFERROR(INDEX(ABR!AK$8:AK$73,MATCH($A65,ABR!$A$8:$A$73,0))&amp;"","")</f>
        <v/>
      </c>
      <c r="H65" s="123">
        <f>IFERROR(INDEX(ABR!AL$8:AL$73,MATCH($A65,ABR!$A$8:$A$73,0))&amp;"","")</f>
        <v/>
      </c>
      <c r="I65" s="116" t="inlineStr">
        <is>
          <t>N</t>
        </is>
      </c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17" t="inlineStr">
        <is>
          <t>T</t>
        </is>
      </c>
      <c r="AC65" s="107" t="n"/>
      <c r="AD65" s="115" t="inlineStr">
        <is>
          <t>D</t>
        </is>
      </c>
      <c r="AE65" s="107" t="n"/>
      <c r="AF65" s="107" t="n"/>
      <c r="AG65" s="107" t="n"/>
      <c r="AH65" s="107" t="n"/>
      <c r="AI65" s="116" t="inlineStr">
        <is>
          <t>N</t>
        </is>
      </c>
      <c r="AJ65" s="107" t="n"/>
      <c r="AK65" s="107" t="n"/>
      <c r="AL65" s="115" t="inlineStr">
        <is>
          <t>D</t>
        </is>
      </c>
      <c r="AM65" s="107" t="n"/>
      <c r="AN65" s="96" t="n"/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SUMPRODUCT(($E65:$K65="M")*6+($E65:$K65="T")*6+($E65:$K65="D")*12+($E65:$K65="N")*12+($E65:$K65="NT")*6+($E65:$K65="C")*10+($E65:$K65="A")*8+($E65:$K65="J")*5+($E65:$K65="E")*4+($E65:$K65="P")*6+($E65:$K65="R")*6)</f>
        <v/>
      </c>
      <c r="BF65" s="110">
        <f>SUMPRODUCT(($L65:$R65="M")*6+($L65:$R65="T")*6+($L65:$R65="D")*12+($L65:$R65="N")*12+($L65:$R65="NT")*6+($L65:$R65="C")*10+($L65:$R65="A")*8+($L65:$R65="J")*5+($L65:$R65="E")*4+($L65:$R65="P")*6+($L65:$R65="R")*6)</f>
        <v/>
      </c>
      <c r="BG65" s="110">
        <f>SUMPRODUCT(($S65:$Y65="M")*6+($S65:$Y65="T")*6+($S65:$Y65="D")*12+($S65:$Y65="N")*12+($S65:$Y65="NT")*6+($S65:$Y65="C")*10+($S65:$Y65="A")*8+($S65:$Y65="J")*5+($S65:$Y65="E")*4+($S65:$Y65="P")*6+($S65:$Y65="R")*6)</f>
        <v/>
      </c>
      <c r="BH65" s="110">
        <f>SUMPRODUCT(($Z65:$AF65="M")*6+($Z65:$AF65="T")*6+($Z65:$AF65="D")*12+($Z65:$AF65="N")*12+($Z65:$AF65="NT")*6+($Z65:$AF65="C")*10+($Z65:$AF65="A")*8+($Z65:$AF65="J")*5+($Z65:$AF65="E")*4+($Z65:$AF65="P")*6+($Z65:$AF65="R")*6)</f>
        <v/>
      </c>
      <c r="BI65" s="110">
        <f>SUMPRODUCT(($AG65:$AM65="M")*6+($AG65:$AM65="T")*6+($AG65:$AM65="D")*12+($AG65:$AM65="N")*12+($AG65:$AM65="NT")*6+($AG65:$AM65="C")*10+($AG65:$AM65="A")*8+($AG65:$AM65="J")*5+($AG65:$AM65="E")*4+($AG65:$AM65="P")*6+($AG65:$AM65="R")*6)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123">
        <f>IFERROR(INDEX(ABR!AI$8:AI$73,MATCH($A66,ABR!$A$8:$A$73,0))&amp;"","")</f>
        <v/>
      </c>
      <c r="F66" s="123">
        <f>IFERROR(INDEX(ABR!AJ$8:AJ$73,MATCH($A66,ABR!$A$8:$A$73,0))&amp;"","")</f>
        <v/>
      </c>
      <c r="G66" s="123">
        <f>IFERROR(INDEX(ABR!AK$8:AK$73,MATCH($A66,ABR!$A$8:$A$73,0))&amp;"","")</f>
        <v/>
      </c>
      <c r="H66" s="123">
        <f>IFERROR(INDEX(ABR!AL$8:AL$73,MATCH($A66,ABR!$A$8:$A$73,0))&amp;"","")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15" t="inlineStr">
        <is>
          <t>D</t>
        </is>
      </c>
      <c r="U66" s="116" t="inlineStr">
        <is>
          <t>N</t>
        </is>
      </c>
      <c r="V66" s="117" t="inlineStr">
        <is>
          <t>T</t>
        </is>
      </c>
      <c r="W66" s="107" t="n"/>
      <c r="X66" s="107" t="n"/>
      <c r="Y66" s="107" t="n"/>
      <c r="Z66" s="107" t="n"/>
      <c r="AA66" s="107" t="n"/>
      <c r="AB66" s="107" t="n"/>
      <c r="AC66" s="116" t="inlineStr">
        <is>
          <t>N</t>
        </is>
      </c>
      <c r="AD66" s="116" t="inlineStr">
        <is>
          <t>N</t>
        </is>
      </c>
      <c r="AE66" s="107" t="n"/>
      <c r="AF66" s="115" t="inlineStr">
        <is>
          <t>D</t>
        </is>
      </c>
      <c r="AG66" s="116" t="inlineStr">
        <is>
          <t>N</t>
        </is>
      </c>
      <c r="AH66" s="107" t="n"/>
      <c r="AI66" s="107" t="n"/>
      <c r="AJ66" s="116" t="inlineStr">
        <is>
          <t>N</t>
        </is>
      </c>
      <c r="AK66" s="107" t="n"/>
      <c r="AL66" s="107" t="n"/>
      <c r="AM66" s="116" t="inlineStr">
        <is>
          <t>N</t>
        </is>
      </c>
      <c r="AN66" s="96" t="n"/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SUMPRODUCT(($E66:$K66="M")*6+($E66:$K66="T")*6+($E66:$K66="D")*12+($E66:$K66="N")*12+($E66:$K66="NT")*6+($E66:$K66="C")*10+($E66:$K66="A")*8+($E66:$K66="J")*5+($E66:$K66="E")*4+($E66:$K66="P")*6+($E66:$K66="R")*6)</f>
        <v/>
      </c>
      <c r="BF66" s="110">
        <f>SUMPRODUCT(($L66:$R66="M")*6+($L66:$R66="T")*6+($L66:$R66="D")*12+($L66:$R66="N")*12+($L66:$R66="NT")*6+($L66:$R66="C")*10+($L66:$R66="A")*8+($L66:$R66="J")*5+($L66:$R66="E")*4+($L66:$R66="P")*6+($L66:$R66="R")*6)</f>
        <v/>
      </c>
      <c r="BG66" s="110">
        <f>SUMPRODUCT(($S66:$Y66="M")*6+($S66:$Y66="T")*6+($S66:$Y66="D")*12+($S66:$Y66="N")*12+($S66:$Y66="NT")*6+($S66:$Y66="C")*10+($S66:$Y66="A")*8+($S66:$Y66="J")*5+($S66:$Y66="E")*4+($S66:$Y66="P")*6+($S66:$Y66="R")*6)</f>
        <v/>
      </c>
      <c r="BH66" s="110">
        <f>SUMPRODUCT(($Z66:$AF66="M")*6+($Z66:$AF66="T")*6+($Z66:$AF66="D")*12+($Z66:$AF66="N")*12+($Z66:$AF66="NT")*6+($Z66:$AF66="C")*10+($Z66:$AF66="A")*8+($Z66:$AF66="J")*5+($Z66:$AF66="E")*4+($Z66:$AF66="P")*6+($Z66:$AF66="R")*6)</f>
        <v/>
      </c>
      <c r="BI66" s="110">
        <f>SUMPRODUCT(($AG66:$AM66="M")*6+($AG66:$AM66="T")*6+($AG66:$AM66="D")*12+($AG66:$AM66="N")*12+($AG66:$AM66="NT")*6+($AG66:$AM66="C")*10+($AG66:$AM66="A")*8+($AG66:$AM66="J")*5+($AG66:$AM66="E")*4+($AG66:$AM66="P")*6+($AG66:$AM66="R")*6)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123">
        <f>IFERROR(INDEX(ABR!AI$8:AI$73,MATCH($A67,ABR!$A$8:$A$73,0))&amp;"","")</f>
        <v/>
      </c>
      <c r="F67" s="123">
        <f>IFERROR(INDEX(ABR!AJ$8:AJ$73,MATCH($A67,ABR!$A$8:$A$73,0))&amp;"","")</f>
        <v/>
      </c>
      <c r="G67" s="123">
        <f>IFERROR(INDEX(ABR!AK$8:AK$73,MATCH($A67,ABR!$A$8:$A$73,0))&amp;"","")</f>
        <v/>
      </c>
      <c r="H67" s="123">
        <f>IFERROR(INDEX(ABR!AL$8:AL$73,MATCH($A67,ABR!$A$8:$A$73,0))&amp;"","")</f>
        <v/>
      </c>
      <c r="I67" s="107" t="n"/>
      <c r="J67" s="108" t="inlineStr">
        <is>
          <t>M</t>
        </is>
      </c>
      <c r="K67" s="107" t="n"/>
      <c r="L67" s="116" t="inlineStr">
        <is>
          <t>N</t>
        </is>
      </c>
      <c r="M67" s="107" t="n"/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7" t="n"/>
      <c r="R67" s="107" t="n"/>
      <c r="S67" s="107" t="n"/>
      <c r="T67" s="108" t="inlineStr">
        <is>
          <t>M</t>
        </is>
      </c>
      <c r="U67" s="108" t="inlineStr">
        <is>
          <t>M</t>
        </is>
      </c>
      <c r="V67" s="107" t="n"/>
      <c r="W67" s="107" t="n"/>
      <c r="X67" s="107" t="n"/>
      <c r="Y67" s="116" t="inlineStr">
        <is>
          <t>N</t>
        </is>
      </c>
      <c r="Z67" s="107" t="n"/>
      <c r="AA67" s="108" t="inlineStr">
        <is>
          <t>M</t>
        </is>
      </c>
      <c r="AB67" s="108" t="inlineStr">
        <is>
          <t>M</t>
        </is>
      </c>
      <c r="AC67" s="108" t="inlineStr">
        <is>
          <t>M</t>
        </is>
      </c>
      <c r="AD67" s="107" t="n"/>
      <c r="AE67" s="116" t="inlineStr">
        <is>
          <t>N</t>
        </is>
      </c>
      <c r="AF67" s="107" t="n"/>
      <c r="AG67" s="108" t="inlineStr">
        <is>
          <t>M</t>
        </is>
      </c>
      <c r="AH67" s="108" t="inlineStr">
        <is>
          <t>M</t>
        </is>
      </c>
      <c r="AI67" s="108" t="inlineStr">
        <is>
          <t>M</t>
        </is>
      </c>
      <c r="AJ67" s="107" t="n"/>
      <c r="AK67" s="107" t="n"/>
      <c r="AL67" s="107" t="n"/>
      <c r="AM67" s="116" t="inlineStr">
        <is>
          <t>N</t>
        </is>
      </c>
      <c r="AN67" s="96" t="n"/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SUMPRODUCT(($E67:$K67="M")*6+($E67:$K67="T")*6+($E67:$K67="D")*12+($E67:$K67="N")*12+($E67:$K67="NT")*6+($E67:$K67="C")*10+($E67:$K67="A")*8+($E67:$K67="J")*5+($E67:$K67="E")*4+($E67:$K67="P")*6+($E67:$K67="R")*6)</f>
        <v/>
      </c>
      <c r="BF67" s="110">
        <f>SUMPRODUCT(($L67:$R67="M")*6+($L67:$R67="T")*6+($L67:$R67="D")*12+($L67:$R67="N")*12+($L67:$R67="NT")*6+($L67:$R67="C")*10+($L67:$R67="A")*8+($L67:$R67="J")*5+($L67:$R67="E")*4+($L67:$R67="P")*6+($L67:$R67="R")*6)</f>
        <v/>
      </c>
      <c r="BG67" s="110">
        <f>SUMPRODUCT(($S67:$Y67="M")*6+($S67:$Y67="T")*6+($S67:$Y67="D")*12+($S67:$Y67="N")*12+($S67:$Y67="NT")*6+($S67:$Y67="C")*10+($S67:$Y67="A")*8+($S67:$Y67="J")*5+($S67:$Y67="E")*4+($S67:$Y67="P")*6+($S67:$Y67="R")*6)</f>
        <v/>
      </c>
      <c r="BH67" s="110">
        <f>SUMPRODUCT(($Z67:$AF67="M")*6+($Z67:$AF67="T")*6+($Z67:$AF67="D")*12+($Z67:$AF67="N")*12+($Z67:$AF67="NT")*6+($Z67:$AF67="C")*10+($Z67:$AF67="A")*8+($Z67:$AF67="J")*5+($Z67:$AF67="E")*4+($Z67:$AF67="P")*6+($Z67:$AF67="R")*6)</f>
        <v/>
      </c>
      <c r="BI67" s="110">
        <f>SUMPRODUCT(($AG67:$AM67="M")*6+($AG67:$AM67="T")*6+($AG67:$AM67="D")*12+($AG67:$AM67="N")*12+($AG67:$AM67="NT")*6+($AG67:$AM67="C")*10+($AG67:$AM67="A")*8+($AG67:$AM67="J")*5+($AG67:$AM67="E")*4+($AG67:$AM67="P")*6+($AG67:$AM67="R")*6)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123">
        <f>IFERROR(INDEX(ABR!AI$8:AI$73,MATCH($A68,ABR!$A$8:$A$73,0))&amp;"","")</f>
        <v/>
      </c>
      <c r="F68" s="123">
        <f>IFERROR(INDEX(ABR!AJ$8:AJ$73,MATCH($A68,ABR!$A$8:$A$73,0))&amp;"","")</f>
        <v/>
      </c>
      <c r="G68" s="123">
        <f>IFERROR(INDEX(ABR!AK$8:AK$73,MATCH($A68,ABR!$A$8:$A$73,0))&amp;"","")</f>
        <v/>
      </c>
      <c r="H68" s="123">
        <f>IFERROR(INDEX(ABR!AL$8:AL$73,MATCH($A68,ABR!$A$8:$A$73,0))&amp;"","")</f>
        <v/>
      </c>
      <c r="I68" s="107" t="n"/>
      <c r="J68" s="115" t="inlineStr">
        <is>
          <t>D</t>
        </is>
      </c>
      <c r="K68" s="107" t="n"/>
      <c r="L68" s="107" t="n"/>
      <c r="M68" s="107" t="n"/>
      <c r="N68" s="115" t="inlineStr">
        <is>
          <t>D</t>
        </is>
      </c>
      <c r="O68" s="107" t="n"/>
      <c r="P68" s="107" t="n"/>
      <c r="Q68" s="116" t="inlineStr">
        <is>
          <t>N</t>
        </is>
      </c>
      <c r="R68" s="107" t="n"/>
      <c r="S68" s="107" t="n"/>
      <c r="T68" s="107" t="n"/>
      <c r="U68" s="115" t="inlineStr">
        <is>
          <t>D</t>
        </is>
      </c>
      <c r="V68" s="107" t="n"/>
      <c r="W68" s="115" t="inlineStr">
        <is>
          <t>D</t>
        </is>
      </c>
      <c r="X68" s="107" t="n"/>
      <c r="Y68" s="107" t="n"/>
      <c r="Z68" s="107" t="n"/>
      <c r="AA68" s="107" t="n"/>
      <c r="AB68" s="115" t="inlineStr">
        <is>
          <t>D</t>
        </is>
      </c>
      <c r="AC68" s="107" t="n"/>
      <c r="AD68" s="115" t="inlineStr">
        <is>
          <t>D</t>
        </is>
      </c>
      <c r="AE68" s="107" t="n"/>
      <c r="AF68" s="107" t="n"/>
      <c r="AG68" s="107" t="n"/>
      <c r="AH68" s="107" t="n"/>
      <c r="AI68" s="115" t="inlineStr">
        <is>
          <t>D</t>
        </is>
      </c>
      <c r="AJ68" s="107" t="n"/>
      <c r="AK68" s="115" t="inlineStr">
        <is>
          <t>D</t>
        </is>
      </c>
      <c r="AL68" s="107" t="n"/>
      <c r="AM68" s="107" t="n"/>
      <c r="AN68" s="96" t="n"/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SUMPRODUCT(($E68:$K68="M")*6+($E68:$K68="T")*6+($E68:$K68="D")*12+($E68:$K68="N")*12+($E68:$K68="NT")*6+($E68:$K68="C")*10+($E68:$K68="A")*8+($E68:$K68="J")*5+($E68:$K68="E")*4+($E68:$K68="P")*6+($E68:$K68="R")*6)</f>
        <v/>
      </c>
      <c r="BF68" s="110">
        <f>SUMPRODUCT(($L68:$R68="M")*6+($L68:$R68="T")*6+($L68:$R68="D")*12+($L68:$R68="N")*12+($L68:$R68="NT")*6+($L68:$R68="C")*10+($L68:$R68="A")*8+($L68:$R68="J")*5+($L68:$R68="E")*4+($L68:$R68="P")*6+($L68:$R68="R")*6)</f>
        <v/>
      </c>
      <c r="BG68" s="110">
        <f>SUMPRODUCT(($S68:$Y68="M")*6+($S68:$Y68="T")*6+($S68:$Y68="D")*12+($S68:$Y68="N")*12+($S68:$Y68="NT")*6+($S68:$Y68="C")*10+($S68:$Y68="A")*8+($S68:$Y68="J")*5+($S68:$Y68="E")*4+($S68:$Y68="P")*6+($S68:$Y68="R")*6)</f>
        <v/>
      </c>
      <c r="BH68" s="110">
        <f>SUMPRODUCT(($Z68:$AF68="M")*6+($Z68:$AF68="T")*6+($Z68:$AF68="D")*12+($Z68:$AF68="N")*12+($Z68:$AF68="NT")*6+($Z68:$AF68="C")*10+($Z68:$AF68="A")*8+($Z68:$AF68="J")*5+($Z68:$AF68="E")*4+($Z68:$AF68="P")*6+($Z68:$AF68="R")*6)</f>
        <v/>
      </c>
      <c r="BI68" s="110">
        <f>SUMPRODUCT(($AG68:$AM68="M")*6+($AG68:$AM68="T")*6+($AG68:$AM68="D")*12+($AG68:$AM68="N")*12+($AG68:$AM68="NT")*6+($AG68:$AM68="C")*10+($AG68:$AM68="A")*8+($AG68:$AM68="J")*5+($AG68:$AM68="E")*4+($AG68:$AM68="P")*6+($AG68:$AM68="R")*6)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123">
        <f>IFERROR(INDEX(ABR!AI$8:AI$73,MATCH($A69,ABR!$A$8:$A$73,0))&amp;"","")</f>
        <v/>
      </c>
      <c r="F69" s="123">
        <f>IFERROR(INDEX(ABR!AJ$8:AJ$73,MATCH($A69,ABR!$A$8:$A$73,0))&amp;"","")</f>
        <v/>
      </c>
      <c r="G69" s="123">
        <f>IFERROR(INDEX(ABR!AK$8:AK$73,MATCH($A69,ABR!$A$8:$A$73,0))&amp;"","")</f>
        <v/>
      </c>
      <c r="H69" s="123">
        <f>IFERROR(INDEX(ABR!AL$8:AL$73,MATCH($A69,ABR!$A$8:$A$73,0))&amp;"","")</f>
        <v/>
      </c>
      <c r="I69" s="107" t="n"/>
      <c r="J69" s="107" t="n"/>
      <c r="K69" s="107" t="n"/>
      <c r="L69" s="107" t="n"/>
      <c r="M69" s="107" t="n"/>
      <c r="N69" s="115" t="inlineStr">
        <is>
          <t>D</t>
        </is>
      </c>
      <c r="O69" s="107" t="n"/>
      <c r="P69" s="116" t="inlineStr">
        <is>
          <t>N</t>
        </is>
      </c>
      <c r="Q69" s="107" t="n"/>
      <c r="R69" s="107" t="n"/>
      <c r="S69" s="107" t="n"/>
      <c r="T69" s="107" t="n"/>
      <c r="U69" s="115" t="inlineStr">
        <is>
          <t>D</t>
        </is>
      </c>
      <c r="V69" s="107" t="n"/>
      <c r="W69" s="107" t="n"/>
      <c r="X69" s="115" t="inlineStr">
        <is>
          <t>D</t>
        </is>
      </c>
      <c r="Y69" s="107" t="n"/>
      <c r="Z69" s="117" t="inlineStr">
        <is>
          <t>T</t>
        </is>
      </c>
      <c r="AA69" s="107" t="n"/>
      <c r="AB69" s="107" t="n"/>
      <c r="AC69" s="117" t="inlineStr">
        <is>
          <t>T</t>
        </is>
      </c>
      <c r="AD69" s="107" t="n"/>
      <c r="AE69" s="115" t="inlineStr">
        <is>
          <t>D</t>
        </is>
      </c>
      <c r="AF69" s="107" t="n"/>
      <c r="AG69" s="115" t="inlineStr">
        <is>
          <t>D</t>
        </is>
      </c>
      <c r="AH69" s="107" t="n"/>
      <c r="AI69" s="115" t="inlineStr">
        <is>
          <t>D</t>
        </is>
      </c>
      <c r="AJ69" s="107" t="n"/>
      <c r="AK69" s="107" t="n"/>
      <c r="AL69" s="107" t="n"/>
      <c r="AM69" s="107" t="n"/>
      <c r="AN69" s="96" t="n"/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SUMPRODUCT(($E69:$K69="M")*6+($E69:$K69="T")*6+($E69:$K69="D")*12+($E69:$K69="N")*12+($E69:$K69="NT")*6+($E69:$K69="C")*10+($E69:$K69="A")*8+($E69:$K69="J")*5+($E69:$K69="E")*4+($E69:$K69="P")*6+($E69:$K69="R")*6)</f>
        <v/>
      </c>
      <c r="BF69" s="110">
        <f>SUMPRODUCT(($L69:$R69="M")*6+($L69:$R69="T")*6+($L69:$R69="D")*12+($L69:$R69="N")*12+($L69:$R69="NT")*6+($L69:$R69="C")*10+($L69:$R69="A")*8+($L69:$R69="J")*5+($L69:$R69="E")*4+($L69:$R69="P")*6+($L69:$R69="R")*6)</f>
        <v/>
      </c>
      <c r="BG69" s="110">
        <f>SUMPRODUCT(($S69:$Y69="M")*6+($S69:$Y69="T")*6+($S69:$Y69="D")*12+($S69:$Y69="N")*12+($S69:$Y69="NT")*6+($S69:$Y69="C")*10+($S69:$Y69="A")*8+($S69:$Y69="J")*5+($S69:$Y69="E")*4+($S69:$Y69="P")*6+($S69:$Y69="R")*6)</f>
        <v/>
      </c>
      <c r="BH69" s="110">
        <f>SUMPRODUCT(($Z69:$AF69="M")*6+($Z69:$AF69="T")*6+($Z69:$AF69="D")*12+($Z69:$AF69="N")*12+($Z69:$AF69="NT")*6+($Z69:$AF69="C")*10+($Z69:$AF69="A")*8+($Z69:$AF69="J")*5+($Z69:$AF69="E")*4+($Z69:$AF69="P")*6+($Z69:$AF69="R")*6)</f>
        <v/>
      </c>
      <c r="BI69" s="110">
        <f>SUMPRODUCT(($AG69:$AM69="M")*6+($AG69:$AM69="T")*6+($AG69:$AM69="D")*12+($AG69:$AM69="N")*12+($AG69:$AM69="NT")*6+($AG69:$AM69="C")*10+($AG69:$AM69="A")*8+($AG69:$AM69="J")*5+($AG69:$AM69="E")*4+($AG69:$AM69="P")*6+($AG69:$AM69="R")*6)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123">
        <f>IFERROR(INDEX(ABR!AI$8:AI$73,MATCH($A70,ABR!$A$8:$A$73,0))&amp;"","")</f>
        <v/>
      </c>
      <c r="F70" s="123">
        <f>IFERROR(INDEX(ABR!AJ$8:AJ$73,MATCH($A70,ABR!$A$8:$A$73,0))&amp;"","")</f>
        <v/>
      </c>
      <c r="G70" s="123">
        <f>IFERROR(INDEX(ABR!AK$8:AK$73,MATCH($A70,ABR!$A$8:$A$73,0))&amp;"","")</f>
        <v/>
      </c>
      <c r="H70" s="123">
        <f>IFERROR(INDEX(ABR!AL$8:AL$73,MATCH($A70,ABR!$A$8:$A$73,0))&amp;"","")</f>
        <v/>
      </c>
      <c r="I70" s="107" t="n"/>
      <c r="J70" s="107" t="n"/>
      <c r="K70" s="107" t="n"/>
      <c r="L70" s="107" t="n"/>
      <c r="M70" s="117" t="inlineStr">
        <is>
          <t>T</t>
        </is>
      </c>
      <c r="N70" s="107" t="n"/>
      <c r="O70" s="116" t="inlineStr">
        <is>
          <t>N</t>
        </is>
      </c>
      <c r="P70" s="107" t="n"/>
      <c r="Q70" s="107" t="n"/>
      <c r="R70" s="117" t="inlineStr">
        <is>
          <t>T</t>
        </is>
      </c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17" t="inlineStr">
        <is>
          <t>T</t>
        </is>
      </c>
      <c r="AI70" s="107" t="n"/>
      <c r="AJ70" s="107" t="n"/>
      <c r="AK70" s="116" t="inlineStr">
        <is>
          <t>N</t>
        </is>
      </c>
      <c r="AL70" s="107" t="n"/>
      <c r="AM70" s="107" t="n"/>
      <c r="AN70" s="96" t="n"/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SUMPRODUCT(($E70:$K70="M")*6+($E70:$K70="T")*6+($E70:$K70="D")*12+($E70:$K70="N")*12+($E70:$K70="NT")*6+($E70:$K70="C")*10+($E70:$K70="A")*8+($E70:$K70="J")*5+($E70:$K70="E")*4+($E70:$K70="P")*6+($E70:$K70="R")*6)</f>
        <v/>
      </c>
      <c r="BF70" s="110">
        <f>SUMPRODUCT(($L70:$R70="M")*6+($L70:$R70="T")*6+($L70:$R70="D")*12+($L70:$R70="N")*12+($L70:$R70="NT")*6+($L70:$R70="C")*10+($L70:$R70="A")*8+($L70:$R70="J")*5+($L70:$R70="E")*4+($L70:$R70="P")*6+($L70:$R70="R")*6)</f>
        <v/>
      </c>
      <c r="BG70" s="110">
        <f>SUMPRODUCT(($S70:$Y70="M")*6+($S70:$Y70="T")*6+($S70:$Y70="D")*12+($S70:$Y70="N")*12+($S70:$Y70="NT")*6+($S70:$Y70="C")*10+($S70:$Y70="A")*8+($S70:$Y70="J")*5+($S70:$Y70="E")*4+($S70:$Y70="P")*6+($S70:$Y70="R")*6)</f>
        <v/>
      </c>
      <c r="BH70" s="110">
        <f>SUMPRODUCT(($Z70:$AF70="M")*6+($Z70:$AF70="T")*6+($Z70:$AF70="D")*12+($Z70:$AF70="N")*12+($Z70:$AF70="NT")*6+($Z70:$AF70="C")*10+($Z70:$AF70="A")*8+($Z70:$AF70="J")*5+($Z70:$AF70="E")*4+($Z70:$AF70="P")*6+($Z70:$AF70="R")*6)</f>
        <v/>
      </c>
      <c r="BI70" s="110">
        <f>SUMPRODUCT(($AG70:$AM70="M")*6+($AG70:$AM70="T")*6+($AG70:$AM70="D")*12+($AG70:$AM70="N")*12+($AG70:$AM70="NT")*6+($AG70:$AM70="C")*10+($AG70:$AM70="A")*8+($AG70:$AM70="J")*5+($AG70:$AM70="E")*4+($AG70:$AM70="P")*6+($AG70:$AM70="R")*6)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123">
        <f>IFERROR(INDEX(ABR!AI$8:AI$73,MATCH($A71,ABR!$A$8:$A$73,0))&amp;"","")</f>
        <v/>
      </c>
      <c r="F71" s="123">
        <f>IFERROR(INDEX(ABR!AJ$8:AJ$73,MATCH($A71,ABR!$A$8:$A$73,0))&amp;"","")</f>
        <v/>
      </c>
      <c r="G71" s="123">
        <f>IFERROR(INDEX(ABR!AK$8:AK$73,MATCH($A71,ABR!$A$8:$A$73,0))&amp;"","")</f>
        <v/>
      </c>
      <c r="H71" s="123">
        <f>IFERROR(INDEX(ABR!AL$8:AL$73,MATCH($A71,ABR!$A$8:$A$73,0))&amp;"","")</f>
        <v/>
      </c>
      <c r="I71" s="107" t="n"/>
      <c r="J71" s="107" t="n"/>
      <c r="K71" s="107" t="n"/>
      <c r="L71" s="107" t="n"/>
      <c r="M71" s="107" t="n"/>
      <c r="N71" s="115" t="inlineStr">
        <is>
          <t>D</t>
        </is>
      </c>
      <c r="O71" s="107" t="n"/>
      <c r="P71" s="107" t="n"/>
      <c r="Q71" s="107" t="n"/>
      <c r="R71" s="115" t="inlineStr">
        <is>
          <t>D</t>
        </is>
      </c>
      <c r="S71" s="117" t="inlineStr">
        <is>
          <t>T</t>
        </is>
      </c>
      <c r="T71" s="115" t="inlineStr">
        <is>
          <t>D</t>
        </is>
      </c>
      <c r="U71" s="117" t="inlineStr">
        <is>
          <t>T</t>
        </is>
      </c>
      <c r="V71" s="107" t="n"/>
      <c r="W71" s="107" t="n"/>
      <c r="X71" s="107" t="n"/>
      <c r="Y71" s="107" t="n"/>
      <c r="Z71" s="107" t="n"/>
      <c r="AA71" s="116" t="inlineStr">
        <is>
          <t>N</t>
        </is>
      </c>
      <c r="AB71" s="107" t="n"/>
      <c r="AC71" s="107" t="n"/>
      <c r="AD71" s="115" t="inlineStr">
        <is>
          <t>D</t>
        </is>
      </c>
      <c r="AE71" s="107" t="n"/>
      <c r="AF71" s="107" t="n"/>
      <c r="AG71" s="107" t="n"/>
      <c r="AH71" s="107" t="n"/>
      <c r="AI71" s="107" t="n"/>
      <c r="AJ71" s="107" t="n"/>
      <c r="AK71" s="107" t="n"/>
      <c r="AL71" s="115" t="inlineStr">
        <is>
          <t>D</t>
        </is>
      </c>
      <c r="AM71" s="115" t="inlineStr">
        <is>
          <t>D</t>
        </is>
      </c>
      <c r="AN71" s="96" t="n"/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SUMPRODUCT(($E71:$K71="M")*6+($E71:$K71="T")*6+($E71:$K71="D")*12+($E71:$K71="N")*12+($E71:$K71="NT")*6+($E71:$K71="C")*10+($E71:$K71="A")*8+($E71:$K71="J")*5+($E71:$K71="E")*4+($E71:$K71="P")*6+($E71:$K71="R")*6)</f>
        <v/>
      </c>
      <c r="BF71" s="110">
        <f>SUMPRODUCT(($L71:$R71="M")*6+($L71:$R71="T")*6+($L71:$R71="D")*12+($L71:$R71="N")*12+($L71:$R71="NT")*6+($L71:$R71="C")*10+($L71:$R71="A")*8+($L71:$R71="J")*5+($L71:$R71="E")*4+($L71:$R71="P")*6+($L71:$R71="R")*6)</f>
        <v/>
      </c>
      <c r="BG71" s="110">
        <f>SUMPRODUCT(($S71:$Y71="M")*6+($S71:$Y71="T")*6+($S71:$Y71="D")*12+($S71:$Y71="N")*12+($S71:$Y71="NT")*6+($S71:$Y71="C")*10+($S71:$Y71="A")*8+($S71:$Y71="J")*5+($S71:$Y71="E")*4+($S71:$Y71="P")*6+($S71:$Y71="R")*6)</f>
        <v/>
      </c>
      <c r="BH71" s="110">
        <f>SUMPRODUCT(($Z71:$AF71="M")*6+($Z71:$AF71="T")*6+($Z71:$AF71="D")*12+($Z71:$AF71="N")*12+($Z71:$AF71="NT")*6+($Z71:$AF71="C")*10+($Z71:$AF71="A")*8+($Z71:$AF71="J")*5+($Z71:$AF71="E")*4+($Z71:$AF71="P")*6+($Z71:$AF71="R")*6)</f>
        <v/>
      </c>
      <c r="BI71" s="110">
        <f>SUMPRODUCT(($AG71:$AM71="M")*6+($AG71:$AM71="T")*6+($AG71:$AM71="D")*12+($AG71:$AM71="N")*12+($AG71:$AM71="NT")*6+($AG71:$AM71="C")*10+($AG71:$AM71="A")*8+($AG71:$AM71="J")*5+($AG71:$AM71="E")*4+($AG71:$AM71="P")*6+($AG71:$AM71="R")*6)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123">
        <f>IFERROR(INDEX(ABR!AI$8:AI$73,MATCH($A72,ABR!$A$8:$A$73,0))&amp;"","")</f>
        <v/>
      </c>
      <c r="F72" s="123">
        <f>IFERROR(INDEX(ABR!AJ$8:AJ$73,MATCH($A72,ABR!$A$8:$A$73,0))&amp;"","")</f>
        <v/>
      </c>
      <c r="G72" s="123">
        <f>IFERROR(INDEX(ABR!AK$8:AK$73,MATCH($A72,ABR!$A$8:$A$73,0))&amp;"","")</f>
        <v/>
      </c>
      <c r="H72" s="123">
        <f>IFERROR(INDEX(ABR!AL$8:AL$73,MATCH($A72,ABR!$A$8:$A$73,0))&amp;"","")</f>
        <v/>
      </c>
      <c r="I72" s="117" t="inlineStr">
        <is>
          <t>T</t>
        </is>
      </c>
      <c r="J72" s="117" t="inlineStr">
        <is>
          <t>T</t>
        </is>
      </c>
      <c r="K72" s="107" t="n"/>
      <c r="L72" s="115" t="inlineStr">
        <is>
          <t>D</t>
        </is>
      </c>
      <c r="M72" s="117" t="inlineStr">
        <is>
          <t>T</t>
        </is>
      </c>
      <c r="N72" s="107" t="n"/>
      <c r="O72" s="107" t="n"/>
      <c r="P72" s="117" t="inlineStr">
        <is>
          <t>T</t>
        </is>
      </c>
      <c r="Q72" s="107" t="n"/>
      <c r="R72" s="107" t="n"/>
      <c r="S72" s="115" t="inlineStr">
        <is>
          <t>D</t>
        </is>
      </c>
      <c r="T72" s="117" t="inlineStr">
        <is>
          <t>T</t>
        </is>
      </c>
      <c r="U72" s="115" t="inlineStr">
        <is>
          <t>D</t>
        </is>
      </c>
      <c r="V72" s="107" t="n"/>
      <c r="W72" s="107" t="n"/>
      <c r="X72" s="107" t="n"/>
      <c r="Y72" s="107" t="n"/>
      <c r="Z72" s="108" t="inlineStr">
        <is>
          <t>M</t>
        </is>
      </c>
      <c r="AA72" s="117" t="inlineStr">
        <is>
          <t>T</t>
        </is>
      </c>
      <c r="AB72" s="107" t="n"/>
      <c r="AC72" s="107" t="n"/>
      <c r="AD72" s="115" t="inlineStr">
        <is>
          <t>D</t>
        </is>
      </c>
      <c r="AE72" s="117" t="inlineStr">
        <is>
          <t>T</t>
        </is>
      </c>
      <c r="AF72" s="107" t="n"/>
      <c r="AG72" s="107" t="n"/>
      <c r="AH72" s="117" t="inlineStr">
        <is>
          <t>T</t>
        </is>
      </c>
      <c r="AI72" s="117" t="inlineStr">
        <is>
          <t>T</t>
        </is>
      </c>
      <c r="AJ72" s="107" t="n"/>
      <c r="AK72" s="107" t="n"/>
      <c r="AL72" s="115" t="inlineStr">
        <is>
          <t>D</t>
        </is>
      </c>
      <c r="AM72" s="117" t="inlineStr">
        <is>
          <t>T</t>
        </is>
      </c>
      <c r="AN72" s="96" t="n"/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SUMPRODUCT(($E72:$K72="M")*6+($E72:$K72="T")*6+($E72:$K72="D")*12+($E72:$K72="N")*12+($E72:$K72="NT")*6+($E72:$K72="C")*10+($E72:$K72="A")*8+($E72:$K72="J")*5+($E72:$K72="E")*4+($E72:$K72="P")*6+($E72:$K72="R")*6)</f>
        <v/>
      </c>
      <c r="BF72" s="110">
        <f>SUMPRODUCT(($L72:$R72="M")*6+($L72:$R72="T")*6+($L72:$R72="D")*12+($L72:$R72="N")*12+($L72:$R72="NT")*6+($L72:$R72="C")*10+($L72:$R72="A")*8+($L72:$R72="J")*5+($L72:$R72="E")*4+($L72:$R72="P")*6+($L72:$R72="R")*6)</f>
        <v/>
      </c>
      <c r="BG72" s="110">
        <f>SUMPRODUCT(($S72:$Y72="M")*6+($S72:$Y72="T")*6+($S72:$Y72="D")*12+($S72:$Y72="N")*12+($S72:$Y72="NT")*6+($S72:$Y72="C")*10+($S72:$Y72="A")*8+($S72:$Y72="J")*5+($S72:$Y72="E")*4+($S72:$Y72="P")*6+($S72:$Y72="R")*6)</f>
        <v/>
      </c>
      <c r="BH72" s="110">
        <f>SUMPRODUCT(($Z72:$AF72="M")*6+($Z72:$AF72="T")*6+($Z72:$AF72="D")*12+($Z72:$AF72="N")*12+($Z72:$AF72="NT")*6+($Z72:$AF72="C")*10+($Z72:$AF72="A")*8+($Z72:$AF72="J")*5+($Z72:$AF72="E")*4+($Z72:$AF72="P")*6+($Z72:$AF72="R")*6)</f>
        <v/>
      </c>
      <c r="BI72" s="110">
        <f>SUMPRODUCT(($AG72:$AM72="M")*6+($AG72:$AM72="T")*6+($AG72:$AM72="D")*12+($AG72:$AM72="N")*12+($AG72:$AM72="NT")*6+($AG72:$AM72="C")*10+($AG72:$AM72="A")*8+($AG72:$AM72="J")*5+($AG72:$AM72="E")*4+($AG72:$AM72="P")*6+($AG72:$AM72="R")*6)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123">
        <f>IFERROR(INDEX(ABR!AI$8:AI$73,MATCH($A73,ABR!$A$8:$A$73,0))&amp;"","")</f>
        <v/>
      </c>
      <c r="F73" s="123">
        <f>IFERROR(INDEX(ABR!AJ$8:AJ$73,MATCH($A73,ABR!$A$8:$A$73,0))&amp;"","")</f>
        <v/>
      </c>
      <c r="G73" s="123">
        <f>IFERROR(INDEX(ABR!AK$8:AK$73,MATCH($A73,ABR!$A$8:$A$73,0))&amp;"","")</f>
        <v/>
      </c>
      <c r="H73" s="123">
        <f>IFERROR(INDEX(ABR!AL$8:AL$73,MATCH($A73,ABR!$A$8:$A$73,0))&amp;"","")</f>
        <v/>
      </c>
      <c r="I73" s="115" t="inlineStr">
        <is>
          <t>D</t>
        </is>
      </c>
      <c r="J73" s="107" t="n"/>
      <c r="K73" s="107" t="n"/>
      <c r="L73" s="107" t="n"/>
      <c r="M73" s="107" t="n"/>
      <c r="N73" s="107" t="n"/>
      <c r="O73" s="116" t="inlineStr">
        <is>
          <t>N</t>
        </is>
      </c>
      <c r="P73" s="117" t="inlineStr">
        <is>
          <t>T</t>
        </is>
      </c>
      <c r="Q73" s="115" t="inlineStr">
        <is>
          <t>D</t>
        </is>
      </c>
      <c r="R73" s="107" t="n"/>
      <c r="S73" s="107" t="n"/>
      <c r="T73" s="107" t="n"/>
      <c r="U73" s="107" t="n"/>
      <c r="V73" s="117" t="inlineStr">
        <is>
          <t>T</t>
        </is>
      </c>
      <c r="W73" s="116" t="inlineStr">
        <is>
          <t>N</t>
        </is>
      </c>
      <c r="X73" s="116" t="inlineStr">
        <is>
          <t>N</t>
        </is>
      </c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16" t="inlineStr">
        <is>
          <t>N</t>
        </is>
      </c>
      <c r="AI73" s="107" t="n"/>
      <c r="AJ73" s="107" t="n"/>
      <c r="AK73" s="115" t="inlineStr">
        <is>
          <t>D</t>
        </is>
      </c>
      <c r="AL73" s="107" t="n"/>
      <c r="AM73" s="107" t="n"/>
      <c r="AN73" s="96" t="n"/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SUMPRODUCT(($E73:$K73="M")*6+($E73:$K73="T")*6+($E73:$K73="D")*12+($E73:$K73="N")*12+($E73:$K73="NT")*6+($E73:$K73="C")*10+($E73:$K73="A")*8+($E73:$K73="J")*5+($E73:$K73="E")*4+($E73:$K73="P")*6+($E73:$K73="R")*6)</f>
        <v/>
      </c>
      <c r="BF73" s="110">
        <f>SUMPRODUCT(($L73:$R73="M")*6+($L73:$R73="T")*6+($L73:$R73="D")*12+($L73:$R73="N")*12+($L73:$R73="NT")*6+($L73:$R73="C")*10+($L73:$R73="A")*8+($L73:$R73="J")*5+($L73:$R73="E")*4+($L73:$R73="P")*6+($L73:$R73="R")*6)</f>
        <v/>
      </c>
      <c r="BG73" s="110">
        <f>SUMPRODUCT(($S73:$Y73="M")*6+($S73:$Y73="T")*6+($S73:$Y73="D")*12+($S73:$Y73="N")*12+($S73:$Y73="NT")*6+($S73:$Y73="C")*10+($S73:$Y73="A")*8+($S73:$Y73="J")*5+($S73:$Y73="E")*4+($S73:$Y73="P")*6+($S73:$Y73="R")*6)</f>
        <v/>
      </c>
      <c r="BH73" s="110">
        <f>SUMPRODUCT(($Z73:$AF73="M")*6+($Z73:$AF73="T")*6+($Z73:$AF73="D")*12+($Z73:$AF73="N")*12+($Z73:$AF73="NT")*6+($Z73:$AF73="C")*10+($Z73:$AF73="A")*8+($Z73:$AF73="J")*5+($Z73:$AF73="E")*4+($Z73:$AF73="P")*6+($Z73:$AF73="R")*6)</f>
        <v/>
      </c>
      <c r="BI73" s="110">
        <f>SUMPRODUCT(($AG73:$AM73="M")*6+($AG73:$AM73="T")*6+($AG73:$AM73="D")*12+($AG73:$AM73="N")*12+($AG73:$AM73="NT")*6+($AG73:$AM73="C")*10+($AG73:$AM73="A")*8+($AG73:$AM73="J")*5+($AG73:$AM73="E")*4+($AG73:$AM73="P")*6+($AG73:$AM73="R")*6)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122">
        <f>MAX(0,CONFIG!$B$9-E75)</f>
        <v/>
      </c>
      <c r="F78" s="122">
        <f>MAX(0,CONFIG!$B$9-F75)</f>
        <v/>
      </c>
      <c r="G78" s="122">
        <f>MAX(0,CONFIG!$B$9-G75)</f>
        <v/>
      </c>
      <c r="H78" s="122">
        <f>MAX(0,CONFIG!$B$9-H75)</f>
        <v/>
      </c>
      <c r="I78" s="122">
        <f>MAX(0,CONFIG!$B$9-I75)</f>
        <v/>
      </c>
      <c r="J78" s="122">
        <f>MAX(0,CONFIG!$B$10-J75)</f>
        <v/>
      </c>
      <c r="K78" s="122">
        <f>MAX(0,CONFIG!$B$11-K75)</f>
        <v/>
      </c>
      <c r="L78" s="122">
        <f>MAX(0,CONFIG!$B$9-L75)</f>
        <v/>
      </c>
      <c r="M78" s="122">
        <f>MAX(0,CONFIG!$B$9-M75)</f>
        <v/>
      </c>
      <c r="N78" s="122">
        <f>MAX(0,CONFIG!$B$9-N75)</f>
        <v/>
      </c>
      <c r="O78" s="122">
        <f>MAX(0,CONFIG!$B$9-O75)</f>
        <v/>
      </c>
      <c r="P78" s="122">
        <f>MAX(0,CONFIG!$B$9-P75)</f>
        <v/>
      </c>
      <c r="Q78" s="122">
        <f>MAX(0,CONFIG!$B$10-Q75)</f>
        <v/>
      </c>
      <c r="R78" s="122">
        <f>MAX(0,CONFIG!$B$11-R75)</f>
        <v/>
      </c>
      <c r="S78" s="122">
        <f>MAX(0,CONFIG!$B$9-S75)</f>
        <v/>
      </c>
      <c r="T78" s="122">
        <f>MAX(0,CONFIG!$B$9-T75)</f>
        <v/>
      </c>
      <c r="U78" s="122">
        <f>MAX(0,CONFIG!$B$9-U75)</f>
        <v/>
      </c>
      <c r="V78" s="122">
        <f>MAX(0,CONFIG!$B$9-V75)</f>
        <v/>
      </c>
      <c r="W78" s="122">
        <f>MAX(0,CONFIG!$B$9-W75)</f>
        <v/>
      </c>
      <c r="X78" s="122">
        <f>MAX(0,CONFIG!$B$10-X75)</f>
        <v/>
      </c>
      <c r="Y78" s="122">
        <f>MAX(0,CONFIG!$B$11-Y75)</f>
        <v/>
      </c>
      <c r="Z78" s="122">
        <f>MAX(0,CONFIG!$B$9-Z75)</f>
        <v/>
      </c>
      <c r="AA78" s="122">
        <f>MAX(0,CONFIG!$B$9-AA75)</f>
        <v/>
      </c>
      <c r="AB78" s="122">
        <f>MAX(0,CONFIG!$B$9-AB75)</f>
        <v/>
      </c>
      <c r="AC78" s="122">
        <f>MAX(0,CONFIG!$B$9-AC75)</f>
        <v/>
      </c>
      <c r="AD78" s="122">
        <f>MAX(0,CONFIG!$B$9-AD75)</f>
        <v/>
      </c>
      <c r="AE78" s="122">
        <f>MAX(0,CONFIG!$B$10-AE75)</f>
        <v/>
      </c>
      <c r="AF78" s="122">
        <f>MAX(0,CONFIG!$B$11-AF75)</f>
        <v/>
      </c>
      <c r="AG78" s="122">
        <f>MAX(0,CONFIG!$B$9-AG75)</f>
        <v/>
      </c>
      <c r="AH78" s="122">
        <f>MAX(0,CONFIG!$B$9-AH75)</f>
        <v/>
      </c>
      <c r="AI78" s="122">
        <f>MAX(0,CONFIG!$B$9-AI75)</f>
        <v/>
      </c>
      <c r="AJ78" s="122">
        <f>MAX(0,CONFIG!$B$9-AJ75)</f>
        <v/>
      </c>
      <c r="AK78" s="122">
        <f>MAX(0,CONFIG!$B$9-AK75)</f>
        <v/>
      </c>
      <c r="AL78" s="122">
        <f>MAX(0,CONFIG!$B$10-AL75)</f>
        <v/>
      </c>
      <c r="AM78" s="122">
        <f>MAX(0,CONFIG!$B$11-AM75)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122">
        <f>MAX(0,CONFIG!$C$9-E76)</f>
        <v/>
      </c>
      <c r="F79" s="122">
        <f>MAX(0,CONFIG!$C$9-F76)</f>
        <v/>
      </c>
      <c r="G79" s="122">
        <f>MAX(0,CONFIG!$C$9-G76)</f>
        <v/>
      </c>
      <c r="H79" s="122">
        <f>MAX(0,CONFIG!$C$9-H76)</f>
        <v/>
      </c>
      <c r="I79" s="122">
        <f>MAX(0,CONFIG!$C$9-I76)</f>
        <v/>
      </c>
      <c r="J79" s="122">
        <f>MAX(0,CONFIG!$C$10-J76)</f>
        <v/>
      </c>
      <c r="K79" s="122">
        <f>MAX(0,CONFIG!$C$11-K76)</f>
        <v/>
      </c>
      <c r="L79" s="122">
        <f>MAX(0,CONFIG!$C$9-L76)</f>
        <v/>
      </c>
      <c r="M79" s="122">
        <f>MAX(0,CONFIG!$C$9-M76)</f>
        <v/>
      </c>
      <c r="N79" s="122">
        <f>MAX(0,CONFIG!$C$9-N76)</f>
        <v/>
      </c>
      <c r="O79" s="122">
        <f>MAX(0,CONFIG!$C$9-O76)</f>
        <v/>
      </c>
      <c r="P79" s="122">
        <f>MAX(0,CONFIG!$C$9-P76)</f>
        <v/>
      </c>
      <c r="Q79" s="122">
        <f>MAX(0,CONFIG!$C$10-Q76)</f>
        <v/>
      </c>
      <c r="R79" s="122">
        <f>MAX(0,CONFIG!$C$11-R76)</f>
        <v/>
      </c>
      <c r="S79" s="122">
        <f>MAX(0,CONFIG!$C$9-S76)</f>
        <v/>
      </c>
      <c r="T79" s="122">
        <f>MAX(0,CONFIG!$C$9-T76)</f>
        <v/>
      </c>
      <c r="U79" s="122">
        <f>MAX(0,CONFIG!$C$9-U76)</f>
        <v/>
      </c>
      <c r="V79" s="122">
        <f>MAX(0,CONFIG!$C$9-V76)</f>
        <v/>
      </c>
      <c r="W79" s="122">
        <f>MAX(0,CONFIG!$C$9-W76)</f>
        <v/>
      </c>
      <c r="X79" s="122">
        <f>MAX(0,CONFIG!$C$10-X76)</f>
        <v/>
      </c>
      <c r="Y79" s="122">
        <f>MAX(0,CONFIG!$C$11-Y76)</f>
        <v/>
      </c>
      <c r="Z79" s="122">
        <f>MAX(0,CONFIG!$C$9-Z76)</f>
        <v/>
      </c>
      <c r="AA79" s="122">
        <f>MAX(0,CONFIG!$C$9-AA76)</f>
        <v/>
      </c>
      <c r="AB79" s="122">
        <f>MAX(0,CONFIG!$C$9-AB76)</f>
        <v/>
      </c>
      <c r="AC79" s="122">
        <f>MAX(0,CONFIG!$C$9-AC76)</f>
        <v/>
      </c>
      <c r="AD79" s="122">
        <f>MAX(0,CONFIG!$C$9-AD76)</f>
        <v/>
      </c>
      <c r="AE79" s="122">
        <f>MAX(0,CONFIG!$C$10-AE76)</f>
        <v/>
      </c>
      <c r="AF79" s="122">
        <f>MAX(0,CONFIG!$C$11-AF76)</f>
        <v/>
      </c>
      <c r="AG79" s="122">
        <f>MAX(0,CONFIG!$C$9-AG76)</f>
        <v/>
      </c>
      <c r="AH79" s="122">
        <f>MAX(0,CONFIG!$C$9-AH76)</f>
        <v/>
      </c>
      <c r="AI79" s="122">
        <f>MAX(0,CONFIG!$C$9-AI76)</f>
        <v/>
      </c>
      <c r="AJ79" s="122">
        <f>MAX(0,CONFIG!$C$9-AJ76)</f>
        <v/>
      </c>
      <c r="AK79" s="122">
        <f>MAX(0,CONFIG!$C$9-AK76)</f>
        <v/>
      </c>
      <c r="AL79" s="122">
        <f>MAX(0,CONFIG!$C$10-AL76)</f>
        <v/>
      </c>
      <c r="AM79" s="122">
        <f>MAX(0,CONFIG!$C$11-AM76)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122">
        <f>MAX(0,CONFIG!$D$9-E77)</f>
        <v/>
      </c>
      <c r="F80" s="122">
        <f>MAX(0,CONFIG!$D$9-F77)</f>
        <v/>
      </c>
      <c r="G80" s="122">
        <f>MAX(0,CONFIG!$D$9-G77)</f>
        <v/>
      </c>
      <c r="H80" s="122">
        <f>MAX(0,CONFIG!$D$9-H77)</f>
        <v/>
      </c>
      <c r="I80" s="122">
        <f>MAX(0,CONFIG!$D$9-I77)</f>
        <v/>
      </c>
      <c r="J80" s="122">
        <f>MAX(0,CONFIG!$D$10-J77)</f>
        <v/>
      </c>
      <c r="K80" s="122">
        <f>MAX(0,CONFIG!$D$11-K77)</f>
        <v/>
      </c>
      <c r="L80" s="122">
        <f>MAX(0,CONFIG!$D$9-L77)</f>
        <v/>
      </c>
      <c r="M80" s="122">
        <f>MAX(0,CONFIG!$D$9-M77)</f>
        <v/>
      </c>
      <c r="N80" s="122">
        <f>MAX(0,CONFIG!$D$9-N77)</f>
        <v/>
      </c>
      <c r="O80" s="122">
        <f>MAX(0,CONFIG!$D$9-O77)</f>
        <v/>
      </c>
      <c r="P80" s="122">
        <f>MAX(0,CONFIG!$D$9-P77)</f>
        <v/>
      </c>
      <c r="Q80" s="122">
        <f>MAX(0,CONFIG!$D$10-Q77)</f>
        <v/>
      </c>
      <c r="R80" s="122">
        <f>MAX(0,CONFIG!$D$11-R77)</f>
        <v/>
      </c>
      <c r="S80" s="122">
        <f>MAX(0,CONFIG!$D$9-S77)</f>
        <v/>
      </c>
      <c r="T80" s="122">
        <f>MAX(0,CONFIG!$D$9-T77)</f>
        <v/>
      </c>
      <c r="U80" s="122">
        <f>MAX(0,CONFIG!$D$9-U77)</f>
        <v/>
      </c>
      <c r="V80" s="122">
        <f>MAX(0,CONFIG!$D$9-V77)</f>
        <v/>
      </c>
      <c r="W80" s="122">
        <f>MAX(0,CONFIG!$D$9-W77)</f>
        <v/>
      </c>
      <c r="X80" s="122">
        <f>MAX(0,CONFIG!$D$10-X77)</f>
        <v/>
      </c>
      <c r="Y80" s="122">
        <f>MAX(0,CONFIG!$D$11-Y77)</f>
        <v/>
      </c>
      <c r="Z80" s="122">
        <f>MAX(0,CONFIG!$D$9-Z77)</f>
        <v/>
      </c>
      <c r="AA80" s="122">
        <f>MAX(0,CONFIG!$D$9-AA77)</f>
        <v/>
      </c>
      <c r="AB80" s="122">
        <f>MAX(0,CONFIG!$D$9-AB77)</f>
        <v/>
      </c>
      <c r="AC80" s="122">
        <f>MAX(0,CONFIG!$D$9-AC77)</f>
        <v/>
      </c>
      <c r="AD80" s="122">
        <f>MAX(0,CONFIG!$D$9-AD77)</f>
        <v/>
      </c>
      <c r="AE80" s="122">
        <f>MAX(0,CONFIG!$D$10-AE77)</f>
        <v/>
      </c>
      <c r="AF80" s="122">
        <f>MAX(0,CONFIG!$D$11-AF77)</f>
        <v/>
      </c>
      <c r="AG80" s="122">
        <f>MAX(0,CONFIG!$D$9-AG77)</f>
        <v/>
      </c>
      <c r="AH80" s="122">
        <f>MAX(0,CONFIG!$D$9-AH77)</f>
        <v/>
      </c>
      <c r="AI80" s="122">
        <f>MAX(0,CONFIG!$D$9-AI77)</f>
        <v/>
      </c>
      <c r="AJ80" s="122">
        <f>MAX(0,CONFIG!$D$9-AJ77)</f>
        <v/>
      </c>
      <c r="AK80" s="122">
        <f>MAX(0,CONFIG!$D$9-AK77)</f>
        <v/>
      </c>
      <c r="AL80" s="122">
        <f>MAX(0,CONFIG!$D$10-AL77)</f>
        <v/>
      </c>
      <c r="AM80" s="122">
        <f>MAX(0,CONFIG!$D$11-AM77)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2.5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6" t="n"/>
      <c r="I2" s="99" t="n">
        <v>1</v>
      </c>
      <c r="J2" s="99" t="n">
        <v>2</v>
      </c>
      <c r="K2" s="99" t="n">
        <v>3</v>
      </c>
      <c r="L2" s="98" t="n">
        <v>4</v>
      </c>
      <c r="M2" s="99" t="n">
        <v>5</v>
      </c>
      <c r="N2" s="100" t="n">
        <v>6</v>
      </c>
      <c r="O2" s="100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100" t="n">
        <v>13</v>
      </c>
      <c r="V2" s="100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100" t="n">
        <v>20</v>
      </c>
      <c r="AC2" s="100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100" t="n">
        <v>27</v>
      </c>
      <c r="AJ2" s="100" t="n">
        <v>28</v>
      </c>
      <c r="AK2" s="99" t="n">
        <v>29</v>
      </c>
      <c r="AL2" s="99" t="n">
        <v>30</v>
      </c>
      <c r="AM2" s="96" t="n"/>
      <c r="AN2" s="97" t="inlineStr">
        <is>
          <t>01/07</t>
        </is>
      </c>
      <c r="AO2" s="97" t="inlineStr">
        <is>
          <t>02/07</t>
        </is>
      </c>
      <c r="AP2" s="97" t="inlineStr">
        <is>
          <t>03/07</t>
        </is>
      </c>
      <c r="AQ2" s="101" t="inlineStr">
        <is>
          <t>04/07</t>
        </is>
      </c>
      <c r="AR2" s="101" t="inlineStr">
        <is>
          <t>05/07</t>
        </is>
      </c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96" t="n"/>
      <c r="I3" s="102" t="inlineStr">
        <is>
          <t>seg</t>
        </is>
      </c>
      <c r="J3" s="102" t="inlineStr">
        <is>
          <t>ter</t>
        </is>
      </c>
      <c r="K3" s="102" t="inlineStr">
        <is>
          <t>qua</t>
        </is>
      </c>
      <c r="L3" s="103" t="inlineStr">
        <is>
          <t>corp</t>
        </is>
      </c>
      <c r="M3" s="102" t="inlineStr">
        <is>
          <t>sex</t>
        </is>
      </c>
      <c r="N3" s="104" t="inlineStr">
        <is>
          <t>sáb</t>
        </is>
      </c>
      <c r="O3" s="104" t="inlineStr">
        <is>
          <t>dom</t>
        </is>
      </c>
      <c r="P3" s="102" t="inlineStr">
        <is>
          <t>seg</t>
        </is>
      </c>
      <c r="Q3" s="102" t="inlineStr">
        <is>
          <t>ter</t>
        </is>
      </c>
      <c r="R3" s="102" t="inlineStr">
        <is>
          <t>qua</t>
        </is>
      </c>
      <c r="S3" s="102" t="inlineStr">
        <is>
          <t>qui</t>
        </is>
      </c>
      <c r="T3" s="102" t="inlineStr">
        <is>
          <t>sex</t>
        </is>
      </c>
      <c r="U3" s="104" t="inlineStr">
        <is>
          <t>sáb</t>
        </is>
      </c>
      <c r="V3" s="104" t="inlineStr">
        <is>
          <t>dom</t>
        </is>
      </c>
      <c r="W3" s="102" t="inlineStr">
        <is>
          <t>seg</t>
        </is>
      </c>
      <c r="X3" s="102" t="inlineStr">
        <is>
          <t>ter</t>
        </is>
      </c>
      <c r="Y3" s="102" t="inlineStr">
        <is>
          <t>qua</t>
        </is>
      </c>
      <c r="Z3" s="102" t="inlineStr">
        <is>
          <t>qui</t>
        </is>
      </c>
      <c r="AA3" s="102" t="inlineStr">
        <is>
          <t>sex</t>
        </is>
      </c>
      <c r="AB3" s="104" t="inlineStr">
        <is>
          <t>sáb</t>
        </is>
      </c>
      <c r="AC3" s="104" t="inlineStr">
        <is>
          <t>dom</t>
        </is>
      </c>
      <c r="AD3" s="102" t="inlineStr">
        <is>
          <t>seg</t>
        </is>
      </c>
      <c r="AE3" s="102" t="inlineStr">
        <is>
          <t>ter</t>
        </is>
      </c>
      <c r="AF3" s="102" t="inlineStr">
        <is>
          <t>qua</t>
        </is>
      </c>
      <c r="AG3" s="102" t="inlineStr">
        <is>
          <t>qui</t>
        </is>
      </c>
      <c r="AH3" s="102" t="inlineStr">
        <is>
          <t>sex</t>
        </is>
      </c>
      <c r="AI3" s="104" t="inlineStr">
        <is>
          <t>sáb</t>
        </is>
      </c>
      <c r="AJ3" s="104" t="inlineStr">
        <is>
          <t>dom</t>
        </is>
      </c>
      <c r="AK3" s="102" t="inlineStr">
        <is>
          <t>seg</t>
        </is>
      </c>
      <c r="AL3" s="102" t="inlineStr">
        <is>
          <t>ter</t>
        </is>
      </c>
      <c r="AM3" s="96" t="n"/>
      <c r="AN3" s="102" t="inlineStr">
        <is>
          <t>qua</t>
        </is>
      </c>
      <c r="AO3" s="102" t="inlineStr">
        <is>
          <t>qui</t>
        </is>
      </c>
      <c r="AP3" s="102" t="inlineStr">
        <is>
          <t>sex</t>
        </is>
      </c>
      <c r="AQ3" s="104" t="inlineStr">
        <is>
          <t>sáb</t>
        </is>
      </c>
      <c r="AR3" s="104" t="inlineStr">
        <is>
          <t>dom</t>
        </is>
      </c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1</v>
      </c>
      <c r="AJ4" s="39" t="n">
        <v>1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1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8" t="inlineStr">
        <is>
          <t>M</t>
        </is>
      </c>
      <c r="N8" s="107" t="n"/>
      <c r="O8" s="107" t="n"/>
      <c r="P8" s="108" t="inlineStr">
        <is>
          <t>M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08" t="inlineStr">
        <is>
          <t>M</t>
        </is>
      </c>
      <c r="X8" s="108" t="inlineStr">
        <is>
          <t>M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08" t="inlineStr">
        <is>
          <t>M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7" t="n"/>
      <c r="AJ8" s="107" t="n"/>
      <c r="AK8" s="108" t="inlineStr">
        <is>
          <t>M</t>
        </is>
      </c>
      <c r="AL8" s="108" t="inlineStr">
        <is>
          <t>M</t>
        </is>
      </c>
      <c r="AM8" s="96" t="n"/>
      <c r="AN8" s="123">
        <f>IFERROR(INDEX(JUL!I$8:I$73,MATCH($A8,JUL!$A$8:$A$73,0))&amp;"","")</f>
        <v/>
      </c>
      <c r="AO8" s="123">
        <f>IFERROR(INDEX(JUL!J$8:J$73,MATCH($A8,JUL!$A$8:$A$73,0))&amp;"","")</f>
        <v/>
      </c>
      <c r="AP8" s="123">
        <f>IFERROR(INDEX(JUL!K$8:K$73,MATCH($A8,JUL!$A$8:$A$73,0))&amp;"","")</f>
        <v/>
      </c>
      <c r="AQ8" s="109">
        <f>IFERROR(INDEX(JUL!L$8:L$73,MATCH($A8,JUL!$A$8:$A$73,0))&amp;"","")</f>
        <v/>
      </c>
      <c r="AR8" s="109">
        <f>IFERROR(INDEX(JUL!M$8:M$73,MATCH($A8,JUL!$A$8:$A$73,0))&amp;"","")</f>
        <v/>
      </c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SUMPRODUCT(($I8:$O8="M")*6+($I8:$O8="T")*6+($I8:$O8="D")*12+($I8:$O8="N")*12+($I8:$O8="NT")*6+($I8:$O8="C")*10+($I8:$O8="A")*8+($I8:$O8="J")*5+($I8:$O8="E")*4+($I8:$O8="P")*6+($I8:$O8="R")*6)</f>
        <v/>
      </c>
      <c r="BF8" s="110">
        <f>SUMPRODUCT(($P8:$V8="M")*6+($P8:$V8="T")*6+($P8:$V8="D")*12+($P8:$V8="N")*12+($P8:$V8="NT")*6+($P8:$V8="C")*10+($P8:$V8="A")*8+($P8:$V8="J")*5+($P8:$V8="E")*4+($P8:$V8="P")*6+($P8:$V8="R")*6)</f>
        <v/>
      </c>
      <c r="BG8" s="110">
        <f>SUMPRODUCT(($W8:$AC8="M")*6+($W8:$AC8="T")*6+($W8:$AC8="D")*12+($W8:$AC8="N")*12+($W8:$AC8="NT")*6+($W8:$AC8="C")*10+($W8:$AC8="A")*8+($W8:$AC8="J")*5+($W8:$AC8="E")*4+($W8:$AC8="P")*6+($W8:$AC8="R")*6)</f>
        <v/>
      </c>
      <c r="BH8" s="110">
        <f>SUMPRODUCT(($AD8:$AJ8="M")*6+($AD8:$AJ8="T")*6+($AD8:$AJ8="D")*12+($AD8:$AJ8="N")*12+($AD8:$AJ8="NT")*6+($AD8:$AJ8="C")*10+($AD8:$AJ8="A")*8+($AD8:$AJ8="J")*5+($AD8:$AJ8="E")*4+($AD8:$AJ8="P")*6+($AD8:$AJ8="R")*6)</f>
        <v/>
      </c>
      <c r="BI8" s="110">
        <f>SUMPRODUCT(($AK8:$AL8="M")*6+($AK8:$AL8="T")*6+($AK8:$AL8="D")*12+($AK8:$AL8="N")*12+($AK8:$AL8="NT")*6+($AK8:$AL8="C")*10+($AK8:$AL8="A")*8+($AK8:$AL8="J")*5+($AK8:$AL8="E")*4+($AK8:$AL8="P")*6+($AK8:$AL8="R")*6)+SUMPRODUCT(($AN8:$AR8="M")*6+($AN8:$AR8="T")*6+($AN8:$AR8="D")*12+($AN8:$AR8="N")*12+($AN8:$AR8="NT")*6+($AN8:$AR8="C")*10+($AN8:$AR8="A")*8+($AN8:$AR8="J")*5+($AN8:$AR8="E")*4+($AN8:$AR8="P")*6+($AN8:$AR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07" t="n"/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96" t="n"/>
      <c r="AN9" s="123">
        <f>IFERROR(INDEX(JUL!I$8:I$73,MATCH($A9,JUL!$A$8:$A$73,0))&amp;"","")</f>
        <v/>
      </c>
      <c r="AO9" s="123">
        <f>IFERROR(INDEX(JUL!J$8:J$73,MATCH($A9,JUL!$A$8:$A$73,0))&amp;"","")</f>
        <v/>
      </c>
      <c r="AP9" s="123">
        <f>IFERROR(INDEX(JUL!K$8:K$73,MATCH($A9,JUL!$A$8:$A$73,0))&amp;"","")</f>
        <v/>
      </c>
      <c r="AQ9" s="109">
        <f>IFERROR(INDEX(JUL!L$8:L$73,MATCH($A9,JUL!$A$8:$A$73,0))&amp;"","")</f>
        <v/>
      </c>
      <c r="AR9" s="109">
        <f>IFERROR(INDEX(JUL!M$8:M$73,MATCH($A9,JUL!$A$8:$A$73,0))&amp;"","")</f>
        <v/>
      </c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SUMPRODUCT(($I9:$O9="M")*6+($I9:$O9="T")*6+($I9:$O9="D")*12+($I9:$O9="N")*12+($I9:$O9="NT")*6+($I9:$O9="C")*10+($I9:$O9="A")*8+($I9:$O9="J")*5+($I9:$O9="E")*4+($I9:$O9="P")*6+($I9:$O9="R")*6)</f>
        <v/>
      </c>
      <c r="BF9" s="110">
        <f>SUMPRODUCT(($P9:$V9="M")*6+($P9:$V9="T")*6+($P9:$V9="D")*12+($P9:$V9="N")*12+($P9:$V9="NT")*6+($P9:$V9="C")*10+($P9:$V9="A")*8+($P9:$V9="J")*5+($P9:$V9="E")*4+($P9:$V9="P")*6+($P9:$V9="R")*6)</f>
        <v/>
      </c>
      <c r="BG9" s="110">
        <f>SUMPRODUCT(($W9:$AC9="M")*6+($W9:$AC9="T")*6+($W9:$AC9="D")*12+($W9:$AC9="N")*12+($W9:$AC9="NT")*6+($W9:$AC9="C")*10+($W9:$AC9="A")*8+($W9:$AC9="J")*5+($W9:$AC9="E")*4+($W9:$AC9="P")*6+($W9:$AC9="R")*6)</f>
        <v/>
      </c>
      <c r="BH9" s="110">
        <f>SUMPRODUCT(($AD9:$AJ9="M")*6+($AD9:$AJ9="T")*6+($AD9:$AJ9="D")*12+($AD9:$AJ9="N")*12+($AD9:$AJ9="NT")*6+($AD9:$AJ9="C")*10+($AD9:$AJ9="A")*8+($AD9:$AJ9="J")*5+($AD9:$AJ9="E")*4+($AD9:$AJ9="P")*6+($AD9:$AJ9="R")*6)</f>
        <v/>
      </c>
      <c r="BI9" s="110">
        <f>SUMPRODUCT(($AK9:$AL9="M")*6+($AK9:$AL9="T")*6+($AK9:$AL9="D")*12+($AK9:$AL9="N")*12+($AK9:$AL9="NT")*6+($AK9:$AL9="C")*10+($AK9:$AL9="A")*8+($AK9:$AL9="J")*5+($AK9:$AL9="E")*4+($AK9:$AL9="P")*6+($AK9:$AL9="R")*6)+SUMPRODUCT(($AN9:$AR9="M")*6+($AN9:$AR9="T")*6+($AN9:$AR9="D")*12+($AN9:$AR9="N")*12+($AN9:$AR9="NT")*6+($AN9:$AR9="C")*10+($AN9:$AR9="A")*8+($AN9:$AR9="J")*5+($AN9:$AR9="E")*4+($AN9:$AR9="P")*6+($AN9:$AR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3">
        <f>IFERROR(INDEX(JUL!I$8:I$73,MATCH($A10,JUL!$A$8:$A$73,0))&amp;"","")</f>
        <v/>
      </c>
      <c r="AO10" s="123">
        <f>IFERROR(INDEX(JUL!J$8:J$73,MATCH($A10,JUL!$A$8:$A$73,0))&amp;"","")</f>
        <v/>
      </c>
      <c r="AP10" s="123">
        <f>IFERROR(INDEX(JUL!K$8:K$73,MATCH($A10,JUL!$A$8:$A$73,0))&amp;"","")</f>
        <v/>
      </c>
      <c r="AQ10" s="109">
        <f>IFERROR(INDEX(JUL!L$8:L$73,MATCH($A10,JUL!$A$8:$A$73,0))&amp;"","")</f>
        <v/>
      </c>
      <c r="AR10" s="109">
        <f>IFERROR(INDEX(JUL!M$8:M$73,MATCH($A10,JUL!$A$8:$A$73,0))&amp;"","")</f>
        <v/>
      </c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SUMPRODUCT(($I10:$O10="M")*6+($I10:$O10="T")*6+($I10:$O10="D")*12+($I10:$O10="N")*12+($I10:$O10="NT")*6+($I10:$O10="C")*10+($I10:$O10="A")*8+($I10:$O10="J")*5+($I10:$O10="E")*4+($I10:$O10="P")*6+($I10:$O10="R")*6)</f>
        <v/>
      </c>
      <c r="BF10" s="110">
        <f>SUMPRODUCT(($P10:$V10="M")*6+($P10:$V10="T")*6+($P10:$V10="D")*12+($P10:$V10="N")*12+($P10:$V10="NT")*6+($P10:$V10="C")*10+($P10:$V10="A")*8+($P10:$V10="J")*5+($P10:$V10="E")*4+($P10:$V10="P")*6+($P10:$V10="R")*6)</f>
        <v/>
      </c>
      <c r="BG10" s="110">
        <f>SUMPRODUCT(($W10:$AC10="M")*6+($W10:$AC10="T")*6+($W10:$AC10="D")*12+($W10:$AC10="N")*12+($W10:$AC10="NT")*6+($W10:$AC10="C")*10+($W10:$AC10="A")*8+($W10:$AC10="J")*5+($W10:$AC10="E")*4+($W10:$AC10="P")*6+($W10:$AC10="R")*6)</f>
        <v/>
      </c>
      <c r="BH10" s="110">
        <f>SUMPRODUCT(($AD10:$AJ10="M")*6+($AD10:$AJ10="T")*6+($AD10:$AJ10="D")*12+($AD10:$AJ10="N")*12+($AD10:$AJ10="NT")*6+($AD10:$AJ10="C")*10+($AD10:$AJ10="A")*8+($AD10:$AJ10="J")*5+($AD10:$AJ10="E")*4+($AD10:$AJ10="P")*6+($AD10:$AJ10="R")*6)</f>
        <v/>
      </c>
      <c r="BI10" s="110">
        <f>SUMPRODUCT(($AK10:$AL10="M")*6+($AK10:$AL10="T")*6+($AK10:$AL10="D")*12+($AK10:$AL10="N")*12+($AK10:$AL10="NT")*6+($AK10:$AL10="C")*10+($AK10:$AL10="A")*8+($AK10:$AL10="J")*5+($AK10:$AL10="E")*4+($AK10:$AL10="P")*6+($AK10:$AL10="R")*6)+SUMPRODUCT(($AN10:$AR10="M")*6+($AN10:$AR10="T")*6+($AN10:$AR10="D")*12+($AN10:$AR10="N")*12+($AN10:$AR10="NT")*6+($AN10:$AR10="C")*10+($AN10:$AR10="A")*8+($AN10:$AR10="J")*5+($AN10:$AR10="E")*4+($AN10:$AR10="P")*6+($AN10:$AR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16" t="inlineStr">
        <is>
          <t>N</t>
        </is>
      </c>
      <c r="O11" s="107" t="n"/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16" t="inlineStr">
        <is>
          <t>N</t>
        </is>
      </c>
      <c r="V11" s="107" t="n"/>
      <c r="W11" s="108" t="inlineStr">
        <is>
          <t>M</t>
        </is>
      </c>
      <c r="X11" s="116" t="inlineStr">
        <is>
          <t>N</t>
        </is>
      </c>
      <c r="Y11" s="107" t="n"/>
      <c r="Z11" s="108" t="inlineStr">
        <is>
          <t>M</t>
        </is>
      </c>
      <c r="AA11" s="107" t="n"/>
      <c r="AB11" s="107" t="n"/>
      <c r="AC11" s="107" t="n"/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6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23">
        <f>IFERROR(INDEX(JUL!I$8:I$73,MATCH($A11,JUL!$A$8:$A$73,0))&amp;"","")</f>
        <v/>
      </c>
      <c r="AO11" s="123">
        <f>IFERROR(INDEX(JUL!J$8:J$73,MATCH($A11,JUL!$A$8:$A$73,0))&amp;"","")</f>
        <v/>
      </c>
      <c r="AP11" s="123">
        <f>IFERROR(INDEX(JUL!K$8:K$73,MATCH($A11,JUL!$A$8:$A$73,0))&amp;"","")</f>
        <v/>
      </c>
      <c r="AQ11" s="109">
        <f>IFERROR(INDEX(JUL!L$8:L$73,MATCH($A11,JUL!$A$8:$A$73,0))&amp;"","")</f>
        <v/>
      </c>
      <c r="AR11" s="109">
        <f>IFERROR(INDEX(JUL!M$8:M$73,MATCH($A11,JUL!$A$8:$A$73,0))&amp;"","")</f>
        <v/>
      </c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SUMPRODUCT(($I11:$O11="M")*6+($I11:$O11="T")*6+($I11:$O11="D")*12+($I11:$O11="N")*12+($I11:$O11="NT")*6+($I11:$O11="C")*10+($I11:$O11="A")*8+($I11:$O11="J")*5+($I11:$O11="E")*4+($I11:$O11="P")*6+($I11:$O11="R")*6)</f>
        <v/>
      </c>
      <c r="BF11" s="110">
        <f>SUMPRODUCT(($P11:$V11="M")*6+($P11:$V11="T")*6+($P11:$V11="D")*12+($P11:$V11="N")*12+($P11:$V11="NT")*6+($P11:$V11="C")*10+($P11:$V11="A")*8+($P11:$V11="J")*5+($P11:$V11="E")*4+($P11:$V11="P")*6+($P11:$V11="R")*6)</f>
        <v/>
      </c>
      <c r="BG11" s="110">
        <f>SUMPRODUCT(($W11:$AC11="M")*6+($W11:$AC11="T")*6+($W11:$AC11="D")*12+($W11:$AC11="N")*12+($W11:$AC11="NT")*6+($W11:$AC11="C")*10+($W11:$AC11="A")*8+($W11:$AC11="J")*5+($W11:$AC11="E")*4+($W11:$AC11="P")*6+($W11:$AC11="R")*6)</f>
        <v/>
      </c>
      <c r="BH11" s="110">
        <f>SUMPRODUCT(($AD11:$AJ11="M")*6+($AD11:$AJ11="T")*6+($AD11:$AJ11="D")*12+($AD11:$AJ11="N")*12+($AD11:$AJ11="NT")*6+($AD11:$AJ11="C")*10+($AD11:$AJ11="A")*8+($AD11:$AJ11="J")*5+($AD11:$AJ11="E")*4+($AD11:$AJ11="P")*6+($AD11:$AJ11="R")*6)</f>
        <v/>
      </c>
      <c r="BI11" s="110">
        <f>SUMPRODUCT(($AK11:$AL11="M")*6+($AK11:$AL11="T")*6+($AK11:$AL11="D")*12+($AK11:$AL11="N")*12+($AK11:$AL11="NT")*6+($AK11:$AL11="C")*10+($AK11:$AL11="A")*8+($AK11:$AL11="J")*5+($AK11:$AL11="E")*4+($AK11:$AL11="P")*6+($AK11:$AL11="R")*6)+SUMPRODUCT(($AN11:$AR11="M")*6+($AN11:$AR11="T")*6+($AN11:$AR11="D")*12+($AN11:$AR11="N")*12+($AN11:$AR11="NT")*6+($AN11:$AR11="C")*10+($AN11:$AR11="A")*8+($AN11:$AR11="J")*5+($AN11:$AR11="E")*4+($AN11:$AR11="P")*6+($AN11:$AR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15" t="inlineStr">
        <is>
          <t>D</t>
        </is>
      </c>
      <c r="J12" s="115" t="inlineStr">
        <is>
          <t>D</t>
        </is>
      </c>
      <c r="K12" s="115" t="inlineStr">
        <is>
          <t>D</t>
        </is>
      </c>
      <c r="L12" s="107" t="n"/>
      <c r="M12" s="107" t="n"/>
      <c r="N12" s="107" t="n"/>
      <c r="O12" s="107" t="n"/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7" t="n"/>
      <c r="V12" s="115" t="inlineStr">
        <is>
          <t>D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5" t="inlineStr">
        <is>
          <t>D</t>
        </is>
      </c>
      <c r="AA12" s="108" t="inlineStr">
        <is>
          <t>M</t>
        </is>
      </c>
      <c r="AB12" s="107" t="n"/>
      <c r="AC12" s="107" t="n"/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7" t="n"/>
      <c r="AJ12" s="115" t="inlineStr">
        <is>
          <t>D</t>
        </is>
      </c>
      <c r="AK12" s="108" t="inlineStr">
        <is>
          <t>M</t>
        </is>
      </c>
      <c r="AL12" s="115" t="inlineStr">
        <is>
          <t>D</t>
        </is>
      </c>
      <c r="AM12" s="96" t="n"/>
      <c r="AN12" s="123">
        <f>IFERROR(INDEX(JUL!I$8:I$73,MATCH($A12,JUL!$A$8:$A$73,0))&amp;"","")</f>
        <v/>
      </c>
      <c r="AO12" s="123">
        <f>IFERROR(INDEX(JUL!J$8:J$73,MATCH($A12,JUL!$A$8:$A$73,0))&amp;"","")</f>
        <v/>
      </c>
      <c r="AP12" s="123">
        <f>IFERROR(INDEX(JUL!K$8:K$73,MATCH($A12,JUL!$A$8:$A$73,0))&amp;"","")</f>
        <v/>
      </c>
      <c r="AQ12" s="109">
        <f>IFERROR(INDEX(JUL!L$8:L$73,MATCH($A12,JUL!$A$8:$A$73,0))&amp;"","")</f>
        <v/>
      </c>
      <c r="AR12" s="109">
        <f>IFERROR(INDEX(JUL!M$8:M$73,MATCH($A12,JUL!$A$8:$A$73,0))&amp;"","")</f>
        <v/>
      </c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SUMPRODUCT(($I12:$O12="M")*6+($I12:$O12="T")*6+($I12:$O12="D")*12+($I12:$O12="N")*12+($I12:$O12="NT")*6+($I12:$O12="C")*10+($I12:$O12="A")*8+($I12:$O12="J")*5+($I12:$O12="E")*4+($I12:$O12="P")*6+($I12:$O12="R")*6)</f>
        <v/>
      </c>
      <c r="BF12" s="110">
        <f>SUMPRODUCT(($P12:$V12="M")*6+($P12:$V12="T")*6+($P12:$V12="D")*12+($P12:$V12="N")*12+($P12:$V12="NT")*6+($P12:$V12="C")*10+($P12:$V12="A")*8+($P12:$V12="J")*5+($P12:$V12="E")*4+($P12:$V12="P")*6+($P12:$V12="R")*6)</f>
        <v/>
      </c>
      <c r="BG12" s="110">
        <f>SUMPRODUCT(($W12:$AC12="M")*6+($W12:$AC12="T")*6+($W12:$AC12="D")*12+($W12:$AC12="N")*12+($W12:$AC12="NT")*6+($W12:$AC12="C")*10+($W12:$AC12="A")*8+($W12:$AC12="J")*5+($W12:$AC12="E")*4+($W12:$AC12="P")*6+($W12:$AC12="R")*6)</f>
        <v/>
      </c>
      <c r="BH12" s="110">
        <f>SUMPRODUCT(($AD12:$AJ12="M")*6+($AD12:$AJ12="T")*6+($AD12:$AJ12="D")*12+($AD12:$AJ12="N")*12+($AD12:$AJ12="NT")*6+($AD12:$AJ12="C")*10+($AD12:$AJ12="A")*8+($AD12:$AJ12="J")*5+($AD12:$AJ12="E")*4+($AD12:$AJ12="P")*6+($AD12:$AJ12="R")*6)</f>
        <v/>
      </c>
      <c r="BI12" s="110">
        <f>SUMPRODUCT(($AK12:$AL12="M")*6+($AK12:$AL12="T")*6+($AK12:$AL12="D")*12+($AK12:$AL12="N")*12+($AK12:$AL12="NT")*6+($AK12:$AL12="C")*10+($AK12:$AL12="A")*8+($AK12:$AL12="J")*5+($AK12:$AL12="E")*4+($AK12:$AL12="P")*6+($AK12:$AL12="R")*6)+SUMPRODUCT(($AN12:$AR12="M")*6+($AN12:$AR12="T")*6+($AN12:$AR12="D")*12+($AN12:$AR12="N")*12+($AN12:$AR12="NT")*6+($AN12:$AR12="C")*10+($AN12:$AR12="A")*8+($AN12:$AR12="J")*5+($AN12:$AR12="E")*4+($AN12:$AR12="P")*6+($AN12:$AR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16" t="inlineStr">
        <is>
          <t>N</t>
        </is>
      </c>
      <c r="O13" s="107" t="n"/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7" t="n"/>
      <c r="V13" s="107" t="n"/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16" t="inlineStr">
        <is>
          <t>N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7" t="n"/>
      <c r="AJ13" s="107" t="n"/>
      <c r="AK13" s="108" t="inlineStr">
        <is>
          <t>M</t>
        </is>
      </c>
      <c r="AL13" s="108" t="inlineStr">
        <is>
          <t>M</t>
        </is>
      </c>
      <c r="AM13" s="96" t="n"/>
      <c r="AN13" s="123">
        <f>IFERROR(INDEX(JUL!I$8:I$73,MATCH($A13,JUL!$A$8:$A$73,0))&amp;"","")</f>
        <v/>
      </c>
      <c r="AO13" s="123">
        <f>IFERROR(INDEX(JUL!J$8:J$73,MATCH($A13,JUL!$A$8:$A$73,0))&amp;"","")</f>
        <v/>
      </c>
      <c r="AP13" s="123">
        <f>IFERROR(INDEX(JUL!K$8:K$73,MATCH($A13,JUL!$A$8:$A$73,0))&amp;"","")</f>
        <v/>
      </c>
      <c r="AQ13" s="109">
        <f>IFERROR(INDEX(JUL!L$8:L$73,MATCH($A13,JUL!$A$8:$A$73,0))&amp;"","")</f>
        <v/>
      </c>
      <c r="AR13" s="109">
        <f>IFERROR(INDEX(JUL!M$8:M$73,MATCH($A13,JUL!$A$8:$A$73,0))&amp;"","")</f>
        <v/>
      </c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SUMPRODUCT(($I13:$O13="M")*6+($I13:$O13="T")*6+($I13:$O13="D")*12+($I13:$O13="N")*12+($I13:$O13="NT")*6+($I13:$O13="C")*10+($I13:$O13="A")*8+($I13:$O13="J")*5+($I13:$O13="E")*4+($I13:$O13="P")*6+($I13:$O13="R")*6)</f>
        <v/>
      </c>
      <c r="BF13" s="110">
        <f>SUMPRODUCT(($P13:$V13="M")*6+($P13:$V13="T")*6+($P13:$V13="D")*12+($P13:$V13="N")*12+($P13:$V13="NT")*6+($P13:$V13="C")*10+($P13:$V13="A")*8+($P13:$V13="J")*5+($P13:$V13="E")*4+($P13:$V13="P")*6+($P13:$V13="R")*6)</f>
        <v/>
      </c>
      <c r="BG13" s="110">
        <f>SUMPRODUCT(($W13:$AC13="M")*6+($W13:$AC13="T")*6+($W13:$AC13="D")*12+($W13:$AC13="N")*12+($W13:$AC13="NT")*6+($W13:$AC13="C")*10+($W13:$AC13="A")*8+($W13:$AC13="J")*5+($W13:$AC13="E")*4+($W13:$AC13="P")*6+($W13:$AC13="R")*6)</f>
        <v/>
      </c>
      <c r="BH13" s="110">
        <f>SUMPRODUCT(($AD13:$AJ13="M")*6+($AD13:$AJ13="T")*6+($AD13:$AJ13="D")*12+($AD13:$AJ13="N")*12+($AD13:$AJ13="NT")*6+($AD13:$AJ13="C")*10+($AD13:$AJ13="A")*8+($AD13:$AJ13="J")*5+($AD13:$AJ13="E")*4+($AD13:$AJ13="P")*6+($AD13:$AJ13="R")*6)</f>
        <v/>
      </c>
      <c r="BI13" s="110">
        <f>SUMPRODUCT(($AK13:$AL13="M")*6+($AK13:$AL13="T")*6+($AK13:$AL13="D")*12+($AK13:$AL13="N")*12+($AK13:$AL13="NT")*6+($AK13:$AL13="C")*10+($AK13:$AL13="A")*8+($AK13:$AL13="J")*5+($AK13:$AL13="E")*4+($AK13:$AL13="P")*6+($AK13:$AL13="R")*6)+SUMPRODUCT(($AN13:$AR13="M")*6+($AN13:$AR13="T")*6+($AN13:$AR13="D")*12+($AN13:$AR13="N")*12+($AN13:$AR13="NT")*6+($AN13:$AR13="C")*10+($AN13:$AR13="A")*8+($AN13:$AR13="J")*5+($AN13:$AR13="E")*4+($AN13:$AR13="P")*6+($AN13:$AR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7" t="n"/>
      <c r="N14" s="115" t="inlineStr">
        <is>
          <t>D</t>
        </is>
      </c>
      <c r="O14" s="107" t="n"/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15" t="inlineStr">
        <is>
          <t>D</t>
        </is>
      </c>
      <c r="V14" s="107" t="n"/>
      <c r="W14" s="117" t="inlineStr">
        <is>
          <t>T</t>
        </is>
      </c>
      <c r="X14" s="108" t="inlineStr">
        <is>
          <t>M</t>
        </is>
      </c>
      <c r="Y14" s="115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7" t="n"/>
      <c r="AC14" s="107" t="n"/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7" t="n"/>
      <c r="AH14" s="115" t="inlineStr">
        <is>
          <t>D</t>
        </is>
      </c>
      <c r="AI14" s="107" t="n"/>
      <c r="AJ14" s="107" t="n"/>
      <c r="AK14" s="107" t="n"/>
      <c r="AL14" s="107" t="n"/>
      <c r="AM14" s="96" t="n"/>
      <c r="AN14" s="123">
        <f>IFERROR(INDEX(JUL!I$8:I$73,MATCH($A14,JUL!$A$8:$A$73,0))&amp;"","")</f>
        <v/>
      </c>
      <c r="AO14" s="123">
        <f>IFERROR(INDEX(JUL!J$8:J$73,MATCH($A14,JUL!$A$8:$A$73,0))&amp;"","")</f>
        <v/>
      </c>
      <c r="AP14" s="123">
        <f>IFERROR(INDEX(JUL!K$8:K$73,MATCH($A14,JUL!$A$8:$A$73,0))&amp;"","")</f>
        <v/>
      </c>
      <c r="AQ14" s="109">
        <f>IFERROR(INDEX(JUL!L$8:L$73,MATCH($A14,JUL!$A$8:$A$73,0))&amp;"","")</f>
        <v/>
      </c>
      <c r="AR14" s="109">
        <f>IFERROR(INDEX(JUL!M$8:M$73,MATCH($A14,JUL!$A$8:$A$73,0))&amp;"","")</f>
        <v/>
      </c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SUMPRODUCT(($I14:$O14="M")*6+($I14:$O14="T")*6+($I14:$O14="D")*12+($I14:$O14="N")*12+($I14:$O14="NT")*6+($I14:$O14="C")*10+($I14:$O14="A")*8+($I14:$O14="J")*5+($I14:$O14="E")*4+($I14:$O14="P")*6+($I14:$O14="R")*6)</f>
        <v/>
      </c>
      <c r="BF14" s="110">
        <f>SUMPRODUCT(($P14:$V14="M")*6+($P14:$V14="T")*6+($P14:$V14="D")*12+($P14:$V14="N")*12+($P14:$V14="NT")*6+($P14:$V14="C")*10+($P14:$V14="A")*8+($P14:$V14="J")*5+($P14:$V14="E")*4+($P14:$V14="P")*6+($P14:$V14="R")*6)</f>
        <v/>
      </c>
      <c r="BG14" s="110">
        <f>SUMPRODUCT(($W14:$AC14="M")*6+($W14:$AC14="T")*6+($W14:$AC14="D")*12+($W14:$AC14="N")*12+($W14:$AC14="NT")*6+($W14:$AC14="C")*10+($W14:$AC14="A")*8+($W14:$AC14="J")*5+($W14:$AC14="E")*4+($W14:$AC14="P")*6+($W14:$AC14="R")*6)</f>
        <v/>
      </c>
      <c r="BH14" s="110">
        <f>SUMPRODUCT(($AD14:$AJ14="M")*6+($AD14:$AJ14="T")*6+($AD14:$AJ14="D")*12+($AD14:$AJ14="N")*12+($AD14:$AJ14="NT")*6+($AD14:$AJ14="C")*10+($AD14:$AJ14="A")*8+($AD14:$AJ14="J")*5+($AD14:$AJ14="E")*4+($AD14:$AJ14="P")*6+($AD14:$AJ14="R")*6)</f>
        <v/>
      </c>
      <c r="BI14" s="110">
        <f>SUMPRODUCT(($AK14:$AL14="M")*6+($AK14:$AL14="T")*6+($AK14:$AL14="D")*12+($AK14:$AL14="N")*12+($AK14:$AL14="NT")*6+($AK14:$AL14="C")*10+($AK14:$AL14="A")*8+($AK14:$AL14="J")*5+($AK14:$AL14="E")*4+($AK14:$AL14="P")*6+($AK14:$AL14="R")*6)+SUMPRODUCT(($AN14:$AR14="M")*6+($AN14:$AR14="T")*6+($AN14:$AR14="D")*12+($AN14:$AR14="N")*12+($AN14:$AR14="NT")*6+($AN14:$AR14="C")*10+($AN14:$AR14="A")*8+($AN14:$AR14="J")*5+($AN14:$AR14="E")*4+($AN14:$AR14="P")*6+($AN14:$AR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8" t="inlineStr">
        <is>
          <t>M</t>
        </is>
      </c>
      <c r="J15" s="108" t="inlineStr">
        <is>
          <t>M</t>
        </is>
      </c>
      <c r="K15" s="115" t="inlineStr">
        <is>
          <t>D</t>
        </is>
      </c>
      <c r="L15" s="108" t="inlineStr">
        <is>
          <t>M</t>
        </is>
      </c>
      <c r="M15" s="108" t="inlineStr">
        <is>
          <t>M</t>
        </is>
      </c>
      <c r="N15" s="107" t="n"/>
      <c r="O15" s="107" t="n"/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6" t="inlineStr">
        <is>
          <t>N</t>
        </is>
      </c>
      <c r="V15" s="107" t="n"/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15" t="inlineStr">
        <is>
          <t>D</t>
        </is>
      </c>
      <c r="AB15" s="107" t="n"/>
      <c r="AC15" s="107" t="n"/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6" t="inlineStr">
        <is>
          <t>N</t>
        </is>
      </c>
      <c r="AJ15" s="107" t="n"/>
      <c r="AK15" s="108" t="inlineStr">
        <is>
          <t>M</t>
        </is>
      </c>
      <c r="AL15" s="108" t="inlineStr">
        <is>
          <t>M</t>
        </is>
      </c>
      <c r="AM15" s="96" t="n"/>
      <c r="AN15" s="123">
        <f>IFERROR(INDEX(JUL!I$8:I$73,MATCH($A15,JUL!$A$8:$A$73,0))&amp;"","")</f>
        <v/>
      </c>
      <c r="AO15" s="123">
        <f>IFERROR(INDEX(JUL!J$8:J$73,MATCH($A15,JUL!$A$8:$A$73,0))&amp;"","")</f>
        <v/>
      </c>
      <c r="AP15" s="123">
        <f>IFERROR(INDEX(JUL!K$8:K$73,MATCH($A15,JUL!$A$8:$A$73,0))&amp;"","")</f>
        <v/>
      </c>
      <c r="AQ15" s="109">
        <f>IFERROR(INDEX(JUL!L$8:L$73,MATCH($A15,JUL!$A$8:$A$73,0))&amp;"","")</f>
        <v/>
      </c>
      <c r="AR15" s="109">
        <f>IFERROR(INDEX(JUL!M$8:M$73,MATCH($A15,JUL!$A$8:$A$73,0))&amp;"","")</f>
        <v/>
      </c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SUMPRODUCT(($I15:$O15="M")*6+($I15:$O15="T")*6+($I15:$O15="D")*12+($I15:$O15="N")*12+($I15:$O15="NT")*6+($I15:$O15="C")*10+($I15:$O15="A")*8+($I15:$O15="J")*5+($I15:$O15="E")*4+($I15:$O15="P")*6+($I15:$O15="R")*6)</f>
        <v/>
      </c>
      <c r="BF15" s="110">
        <f>SUMPRODUCT(($P15:$V15="M")*6+($P15:$V15="T")*6+($P15:$V15="D")*12+($P15:$V15="N")*12+($P15:$V15="NT")*6+($P15:$V15="C")*10+($P15:$V15="A")*8+($P15:$V15="J")*5+($P15:$V15="E")*4+($P15:$V15="P")*6+($P15:$V15="R")*6)</f>
        <v/>
      </c>
      <c r="BG15" s="110">
        <f>SUMPRODUCT(($W15:$AC15="M")*6+($W15:$AC15="T")*6+($W15:$AC15="D")*12+($W15:$AC15="N")*12+($W15:$AC15="NT")*6+($W15:$AC15="C")*10+($W15:$AC15="A")*8+($W15:$AC15="J")*5+($W15:$AC15="E")*4+($W15:$AC15="P")*6+($W15:$AC15="R")*6)</f>
        <v/>
      </c>
      <c r="BH15" s="110">
        <f>SUMPRODUCT(($AD15:$AJ15="M")*6+($AD15:$AJ15="T")*6+($AD15:$AJ15="D")*12+($AD15:$AJ15="N")*12+($AD15:$AJ15="NT")*6+($AD15:$AJ15="C")*10+($AD15:$AJ15="A")*8+($AD15:$AJ15="J")*5+($AD15:$AJ15="E")*4+($AD15:$AJ15="P")*6+($AD15:$AJ15="R")*6)</f>
        <v/>
      </c>
      <c r="BI15" s="110">
        <f>SUMPRODUCT(($AK15:$AL15="M")*6+($AK15:$AL15="T")*6+($AK15:$AL15="D")*12+($AK15:$AL15="N")*12+($AK15:$AL15="NT")*6+($AK15:$AL15="C")*10+($AK15:$AL15="A")*8+($AK15:$AL15="J")*5+($AK15:$AL15="E")*4+($AK15:$AL15="P")*6+($AK15:$AL15="R")*6)+SUMPRODUCT(($AN15:$AR15="M")*6+($AN15:$AR15="T")*6+($AN15:$AR15="D")*12+($AN15:$AR15="N")*12+($AN15:$AR15="NT")*6+($AN15:$AR15="C")*10+($AN15:$AR15="A")*8+($AN15:$AR15="J")*5+($AN15:$AR15="E")*4+($AN15:$AR15="P")*6+($AN15:$AR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17" t="inlineStr">
        <is>
          <t>T</t>
        </is>
      </c>
      <c r="J16" s="107" t="n"/>
      <c r="K16" s="107" t="n"/>
      <c r="L16" s="115" t="inlineStr">
        <is>
          <t>D</t>
        </is>
      </c>
      <c r="M16" s="115" t="inlineStr">
        <is>
          <t>D</t>
        </is>
      </c>
      <c r="N16" s="107" t="n"/>
      <c r="O16" s="107" t="n"/>
      <c r="P16" s="115" t="inlineStr">
        <is>
          <t>D</t>
        </is>
      </c>
      <c r="Q16" s="107" t="n"/>
      <c r="R16" s="107" t="n"/>
      <c r="S16" s="107" t="n"/>
      <c r="T16" s="115" t="inlineStr">
        <is>
          <t>D</t>
        </is>
      </c>
      <c r="U16" s="107" t="n"/>
      <c r="V16" s="117" t="inlineStr">
        <is>
          <t>T</t>
        </is>
      </c>
      <c r="W16" s="115" t="inlineStr">
        <is>
          <t>D</t>
        </is>
      </c>
      <c r="X16" s="107" t="n"/>
      <c r="Y16" s="107" t="n"/>
      <c r="Z16" s="107" t="n"/>
      <c r="AA16" s="115" t="inlineStr">
        <is>
          <t>D</t>
        </is>
      </c>
      <c r="AB16" s="107" t="n"/>
      <c r="AC16" s="108" t="inlineStr">
        <is>
          <t>M</t>
        </is>
      </c>
      <c r="AD16" s="107" t="n"/>
      <c r="AE16" s="107" t="n"/>
      <c r="AF16" s="107" t="n"/>
      <c r="AG16" s="107" t="n"/>
      <c r="AH16" s="115" t="inlineStr">
        <is>
          <t>D</t>
        </is>
      </c>
      <c r="AI16" s="117" t="inlineStr">
        <is>
          <t>T</t>
        </is>
      </c>
      <c r="AJ16" s="115" t="inlineStr">
        <is>
          <t>D</t>
        </is>
      </c>
      <c r="AK16" s="115" t="inlineStr">
        <is>
          <t>D</t>
        </is>
      </c>
      <c r="AL16" s="107" t="n"/>
      <c r="AM16" s="96" t="n"/>
      <c r="AN16" s="123">
        <f>IFERROR(INDEX(JUL!I$8:I$73,MATCH($A16,JUL!$A$8:$A$73,0))&amp;"","")</f>
        <v/>
      </c>
      <c r="AO16" s="123">
        <f>IFERROR(INDEX(JUL!J$8:J$73,MATCH($A16,JUL!$A$8:$A$73,0))&amp;"","")</f>
        <v/>
      </c>
      <c r="AP16" s="123">
        <f>IFERROR(INDEX(JUL!K$8:K$73,MATCH($A16,JUL!$A$8:$A$73,0))&amp;"","")</f>
        <v/>
      </c>
      <c r="AQ16" s="109">
        <f>IFERROR(INDEX(JUL!L$8:L$73,MATCH($A16,JUL!$A$8:$A$73,0))&amp;"","")</f>
        <v/>
      </c>
      <c r="AR16" s="109">
        <f>IFERROR(INDEX(JUL!M$8:M$73,MATCH($A16,JUL!$A$8:$A$73,0))&amp;"","")</f>
        <v/>
      </c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SUMPRODUCT(($I16:$O16="M")*6+($I16:$O16="T")*6+($I16:$O16="D")*12+($I16:$O16="N")*12+($I16:$O16="NT")*6+($I16:$O16="C")*10+($I16:$O16="A")*8+($I16:$O16="J")*5+($I16:$O16="E")*4+($I16:$O16="P")*6+($I16:$O16="R")*6)</f>
        <v/>
      </c>
      <c r="BF16" s="110">
        <f>SUMPRODUCT(($P16:$V16="M")*6+($P16:$V16="T")*6+($P16:$V16="D")*12+($P16:$V16="N")*12+($P16:$V16="NT")*6+($P16:$V16="C")*10+($P16:$V16="A")*8+($P16:$V16="J")*5+($P16:$V16="E")*4+($P16:$V16="P")*6+($P16:$V16="R")*6)</f>
        <v/>
      </c>
      <c r="BG16" s="110">
        <f>SUMPRODUCT(($W16:$AC16="M")*6+($W16:$AC16="T")*6+($W16:$AC16="D")*12+($W16:$AC16="N")*12+($W16:$AC16="NT")*6+($W16:$AC16="C")*10+($W16:$AC16="A")*8+($W16:$AC16="J")*5+($W16:$AC16="E")*4+($W16:$AC16="P")*6+($W16:$AC16="R")*6)</f>
        <v/>
      </c>
      <c r="BH16" s="110">
        <f>SUMPRODUCT(($AD16:$AJ16="M")*6+($AD16:$AJ16="T")*6+($AD16:$AJ16="D")*12+($AD16:$AJ16="N")*12+($AD16:$AJ16="NT")*6+($AD16:$AJ16="C")*10+($AD16:$AJ16="A")*8+($AD16:$AJ16="J")*5+($AD16:$AJ16="E")*4+($AD16:$AJ16="P")*6+($AD16:$AJ16="R")*6)</f>
        <v/>
      </c>
      <c r="BI16" s="110">
        <f>SUMPRODUCT(($AK16:$AL16="M")*6+($AK16:$AL16="T")*6+($AK16:$AL16="D")*12+($AK16:$AL16="N")*12+($AK16:$AL16="NT")*6+($AK16:$AL16="C")*10+($AK16:$AL16="A")*8+($AK16:$AL16="J")*5+($AK16:$AL16="E")*4+($AK16:$AL16="P")*6+($AK16:$AL16="R")*6)+SUMPRODUCT(($AN16:$AR16="M")*6+($AN16:$AR16="T")*6+($AN16:$AR16="D")*12+($AN16:$AR16="N")*12+($AN16:$AR16="NT")*6+($AN16:$AR16="C")*10+($AN16:$AR16="A")*8+($AN16:$AR16="J")*5+($AN16:$AR16="E")*4+($AN16:$AR16="P")*6+($AN16:$AR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17" t="inlineStr">
        <is>
          <t>T</t>
        </is>
      </c>
      <c r="J17" s="116" t="inlineStr">
        <is>
          <t>N</t>
        </is>
      </c>
      <c r="K17" s="117" t="inlineStr">
        <is>
          <t>T</t>
        </is>
      </c>
      <c r="L17" s="107" t="n"/>
      <c r="M17" s="108" t="inlineStr">
        <is>
          <t>M</t>
        </is>
      </c>
      <c r="N17" s="107" t="n"/>
      <c r="O17" s="107" t="n"/>
      <c r="P17" s="115" t="inlineStr">
        <is>
          <t>D</t>
        </is>
      </c>
      <c r="Q17" s="116" t="inlineStr">
        <is>
          <t>N</t>
        </is>
      </c>
      <c r="R17" s="107" t="n"/>
      <c r="S17" s="117" t="inlineStr">
        <is>
          <t>T</t>
        </is>
      </c>
      <c r="T17" s="117" t="inlineStr">
        <is>
          <t>T</t>
        </is>
      </c>
      <c r="U17" s="116" t="inlineStr">
        <is>
          <t>N</t>
        </is>
      </c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16" t="inlineStr">
        <is>
          <t>N</t>
        </is>
      </c>
      <c r="AM17" s="96" t="n"/>
      <c r="AN17" s="123">
        <f>IFERROR(INDEX(JUL!I$8:I$73,MATCH($A17,JUL!$A$8:$A$73,0))&amp;"","")</f>
        <v/>
      </c>
      <c r="AO17" s="123">
        <f>IFERROR(INDEX(JUL!J$8:J$73,MATCH($A17,JUL!$A$8:$A$73,0))&amp;"","")</f>
        <v/>
      </c>
      <c r="AP17" s="123">
        <f>IFERROR(INDEX(JUL!K$8:K$73,MATCH($A17,JUL!$A$8:$A$73,0))&amp;"","")</f>
        <v/>
      </c>
      <c r="AQ17" s="109">
        <f>IFERROR(INDEX(JUL!L$8:L$73,MATCH($A17,JUL!$A$8:$A$73,0))&amp;"","")</f>
        <v/>
      </c>
      <c r="AR17" s="109">
        <f>IFERROR(INDEX(JUL!M$8:M$73,MATCH($A17,JUL!$A$8:$A$73,0))&amp;"","")</f>
        <v/>
      </c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SUMPRODUCT(($I17:$O17="M")*6+($I17:$O17="T")*6+($I17:$O17="D")*12+($I17:$O17="N")*12+($I17:$O17="NT")*6+($I17:$O17="C")*10+($I17:$O17="A")*8+($I17:$O17="J")*5+($I17:$O17="E")*4+($I17:$O17="P")*6+($I17:$O17="R")*6)</f>
        <v/>
      </c>
      <c r="BF17" s="110">
        <f>SUMPRODUCT(($P17:$V17="M")*6+($P17:$V17="T")*6+($P17:$V17="D")*12+($P17:$V17="N")*12+($P17:$V17="NT")*6+($P17:$V17="C")*10+($P17:$V17="A")*8+($P17:$V17="J")*5+($P17:$V17="E")*4+($P17:$V17="P")*6+($P17:$V17="R")*6)</f>
        <v/>
      </c>
      <c r="BG17" s="110">
        <f>SUMPRODUCT(($W17:$AC17="M")*6+($W17:$AC17="T")*6+($W17:$AC17="D")*12+($W17:$AC17="N")*12+($W17:$AC17="NT")*6+($W17:$AC17="C")*10+($W17:$AC17="A")*8+($W17:$AC17="J")*5+($W17:$AC17="E")*4+($W17:$AC17="P")*6+($W17:$AC17="R")*6)</f>
        <v/>
      </c>
      <c r="BH17" s="110">
        <f>SUMPRODUCT(($AD17:$AJ17="M")*6+($AD17:$AJ17="T")*6+($AD17:$AJ17="D")*12+($AD17:$AJ17="N")*12+($AD17:$AJ17="NT")*6+($AD17:$AJ17="C")*10+($AD17:$AJ17="A")*8+($AD17:$AJ17="J")*5+($AD17:$AJ17="E")*4+($AD17:$AJ17="P")*6+($AD17:$AJ17="R")*6)</f>
        <v/>
      </c>
      <c r="BI17" s="110">
        <f>SUMPRODUCT(($AK17:$AL17="M")*6+($AK17:$AL17="T")*6+($AK17:$AL17="D")*12+($AK17:$AL17="N")*12+($AK17:$AL17="NT")*6+($AK17:$AL17="C")*10+($AK17:$AL17="A")*8+($AK17:$AL17="J")*5+($AK17:$AL17="E")*4+($AK17:$AL17="P")*6+($AK17:$AL17="R")*6)+SUMPRODUCT(($AN17:$AR17="M")*6+($AN17:$AR17="T")*6+($AN17:$AR17="D")*12+($AN17:$AR17="N")*12+($AN17:$AR17="NT")*6+($AN17:$AR17="C")*10+($AN17:$AR17="A")*8+($AN17:$AR17="J")*5+($AN17:$AR17="E")*4+($AN17:$AR17="P")*6+($AN17:$AR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07" t="n"/>
      <c r="K18" s="115" t="inlineStr">
        <is>
          <t>D</t>
        </is>
      </c>
      <c r="L18" s="107" t="n"/>
      <c r="M18" s="107" t="n"/>
      <c r="N18" s="115" t="inlineStr">
        <is>
          <t>D</t>
        </is>
      </c>
      <c r="O18" s="116" t="inlineStr">
        <is>
          <t>N</t>
        </is>
      </c>
      <c r="P18" s="107" t="n"/>
      <c r="Q18" s="107" t="n"/>
      <c r="R18" s="115" t="inlineStr">
        <is>
          <t>D</t>
        </is>
      </c>
      <c r="S18" s="107" t="n"/>
      <c r="T18" s="115" t="inlineStr">
        <is>
          <t>D</t>
        </is>
      </c>
      <c r="U18" s="107" t="n"/>
      <c r="V18" s="115" t="inlineStr">
        <is>
          <t>D</t>
        </is>
      </c>
      <c r="W18" s="115" t="inlineStr">
        <is>
          <t>D</t>
        </is>
      </c>
      <c r="X18" s="115" t="inlineStr">
        <is>
          <t>D</t>
        </is>
      </c>
      <c r="Y18" s="115" t="inlineStr">
        <is>
          <t>D</t>
        </is>
      </c>
      <c r="Z18" s="107" t="n"/>
      <c r="AA18" s="107" t="n"/>
      <c r="AB18" s="107" t="n"/>
      <c r="AC18" s="107" t="n"/>
      <c r="AD18" s="115" t="inlineStr">
        <is>
          <t>D</t>
        </is>
      </c>
      <c r="AE18" s="115" t="inlineStr">
        <is>
          <t>D</t>
        </is>
      </c>
      <c r="AF18" s="115" t="inlineStr">
        <is>
          <t>D</t>
        </is>
      </c>
      <c r="AG18" s="107" t="n"/>
      <c r="AH18" s="107" t="n"/>
      <c r="AI18" s="107" t="n"/>
      <c r="AJ18" s="107" t="n"/>
      <c r="AK18" s="115" t="inlineStr">
        <is>
          <t>D</t>
        </is>
      </c>
      <c r="AL18" s="107" t="n"/>
      <c r="AM18" s="96" t="n"/>
      <c r="AN18" s="123">
        <f>IFERROR(INDEX(JUL!I$8:I$73,MATCH($A18,JUL!$A$8:$A$73,0))&amp;"","")</f>
        <v/>
      </c>
      <c r="AO18" s="123">
        <f>IFERROR(INDEX(JUL!J$8:J$73,MATCH($A18,JUL!$A$8:$A$73,0))&amp;"","")</f>
        <v/>
      </c>
      <c r="AP18" s="123">
        <f>IFERROR(INDEX(JUL!K$8:K$73,MATCH($A18,JUL!$A$8:$A$73,0))&amp;"","")</f>
        <v/>
      </c>
      <c r="AQ18" s="109">
        <f>IFERROR(INDEX(JUL!L$8:L$73,MATCH($A18,JUL!$A$8:$A$73,0))&amp;"","")</f>
        <v/>
      </c>
      <c r="AR18" s="109">
        <f>IFERROR(INDEX(JUL!M$8:M$73,MATCH($A18,JUL!$A$8:$A$73,0))&amp;"","")</f>
        <v/>
      </c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SUMPRODUCT(($I18:$O18="M")*6+($I18:$O18="T")*6+($I18:$O18="D")*12+($I18:$O18="N")*12+($I18:$O18="NT")*6+($I18:$O18="C")*10+($I18:$O18="A")*8+($I18:$O18="J")*5+($I18:$O18="E")*4+($I18:$O18="P")*6+($I18:$O18="R")*6)</f>
        <v/>
      </c>
      <c r="BF18" s="110">
        <f>SUMPRODUCT(($P18:$V18="M")*6+($P18:$V18="T")*6+($P18:$V18="D")*12+($P18:$V18="N")*12+($P18:$V18="NT")*6+($P18:$V18="C")*10+($P18:$V18="A")*8+($P18:$V18="J")*5+($P18:$V18="E")*4+($P18:$V18="P")*6+($P18:$V18="R")*6)</f>
        <v/>
      </c>
      <c r="BG18" s="110">
        <f>SUMPRODUCT(($W18:$AC18="M")*6+($W18:$AC18="T")*6+($W18:$AC18="D")*12+($W18:$AC18="N")*12+($W18:$AC18="NT")*6+($W18:$AC18="C")*10+($W18:$AC18="A")*8+($W18:$AC18="J")*5+($W18:$AC18="E")*4+($W18:$AC18="P")*6+($W18:$AC18="R")*6)</f>
        <v/>
      </c>
      <c r="BH18" s="110">
        <f>SUMPRODUCT(($AD18:$AJ18="M")*6+($AD18:$AJ18="T")*6+($AD18:$AJ18="D")*12+($AD18:$AJ18="N")*12+($AD18:$AJ18="NT")*6+($AD18:$AJ18="C")*10+($AD18:$AJ18="A")*8+($AD18:$AJ18="J")*5+($AD18:$AJ18="E")*4+($AD18:$AJ18="P")*6+($AD18:$AJ18="R")*6)</f>
        <v/>
      </c>
      <c r="BI18" s="110">
        <f>SUMPRODUCT(($AK18:$AL18="M")*6+($AK18:$AL18="T")*6+($AK18:$AL18="D")*12+($AK18:$AL18="N")*12+($AK18:$AL18="NT")*6+($AK18:$AL18="C")*10+($AK18:$AL18="A")*8+($AK18:$AL18="J")*5+($AK18:$AL18="E")*4+($AK18:$AL18="P")*6+($AK18:$AL18="R")*6)+SUMPRODUCT(($AN18:$AR18="M")*6+($AN18:$AR18="T")*6+($AN18:$AR18="D")*12+($AN18:$AR18="N")*12+($AN18:$AR18="NT")*6+($AN18:$AR18="C")*10+($AN18:$AR18="A")*8+($AN18:$AR18="J")*5+($AN18:$AR18="E")*4+($AN18:$AR18="P")*6+($AN18:$AR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16" t="inlineStr">
        <is>
          <t>N</t>
        </is>
      </c>
      <c r="Z19" s="107" t="n"/>
      <c r="AA19" s="107" t="n"/>
      <c r="AB19" s="107" t="n"/>
      <c r="AC19" s="116" t="inlineStr">
        <is>
          <t>N</t>
        </is>
      </c>
      <c r="AD19" s="107" t="n"/>
      <c r="AE19" s="107" t="n"/>
      <c r="AF19" s="116" t="inlineStr">
        <is>
          <t>N</t>
        </is>
      </c>
      <c r="AG19" s="116" t="inlineStr">
        <is>
          <t>N</t>
        </is>
      </c>
      <c r="AH19" s="107" t="n"/>
      <c r="AI19" s="107" t="n"/>
      <c r="AJ19" s="116" t="inlineStr">
        <is>
          <t>N</t>
        </is>
      </c>
      <c r="AK19" s="116" t="inlineStr">
        <is>
          <t>N</t>
        </is>
      </c>
      <c r="AL19" s="107" t="n"/>
      <c r="AM19" s="96" t="n"/>
      <c r="AN19" s="123">
        <f>IFERROR(INDEX(JUL!I$8:I$73,MATCH($A19,JUL!$A$8:$A$73,0))&amp;"","")</f>
        <v/>
      </c>
      <c r="AO19" s="123">
        <f>IFERROR(INDEX(JUL!J$8:J$73,MATCH($A19,JUL!$A$8:$A$73,0))&amp;"","")</f>
        <v/>
      </c>
      <c r="AP19" s="123">
        <f>IFERROR(INDEX(JUL!K$8:K$73,MATCH($A19,JUL!$A$8:$A$73,0))&amp;"","")</f>
        <v/>
      </c>
      <c r="AQ19" s="109">
        <f>IFERROR(INDEX(JUL!L$8:L$73,MATCH($A19,JUL!$A$8:$A$73,0))&amp;"","")</f>
        <v/>
      </c>
      <c r="AR19" s="109">
        <f>IFERROR(INDEX(JUL!M$8:M$73,MATCH($A19,JUL!$A$8:$A$73,0))&amp;"","")</f>
        <v/>
      </c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SUMPRODUCT(($I19:$O19="M")*6+($I19:$O19="T")*6+($I19:$O19="D")*12+($I19:$O19="N")*12+($I19:$O19="NT")*6+($I19:$O19="C")*10+($I19:$O19="A")*8+($I19:$O19="J")*5+($I19:$O19="E")*4+($I19:$O19="P")*6+($I19:$O19="R")*6)</f>
        <v/>
      </c>
      <c r="BF19" s="110">
        <f>SUMPRODUCT(($P19:$V19="M")*6+($P19:$V19="T")*6+($P19:$V19="D")*12+($P19:$V19="N")*12+($P19:$V19="NT")*6+($P19:$V19="C")*10+($P19:$V19="A")*8+($P19:$V19="J")*5+($P19:$V19="E")*4+($P19:$V19="P")*6+($P19:$V19="R")*6)</f>
        <v/>
      </c>
      <c r="BG19" s="110">
        <f>SUMPRODUCT(($W19:$AC19="M")*6+($W19:$AC19="T")*6+($W19:$AC19="D")*12+($W19:$AC19="N")*12+($W19:$AC19="NT")*6+($W19:$AC19="C")*10+($W19:$AC19="A")*8+($W19:$AC19="J")*5+($W19:$AC19="E")*4+($W19:$AC19="P")*6+($W19:$AC19="R")*6)</f>
        <v/>
      </c>
      <c r="BH19" s="110">
        <f>SUMPRODUCT(($AD19:$AJ19="M")*6+($AD19:$AJ19="T")*6+($AD19:$AJ19="D")*12+($AD19:$AJ19="N")*12+($AD19:$AJ19="NT")*6+($AD19:$AJ19="C")*10+($AD19:$AJ19="A")*8+($AD19:$AJ19="J")*5+($AD19:$AJ19="E")*4+($AD19:$AJ19="P")*6+($AD19:$AJ19="R")*6)</f>
        <v/>
      </c>
      <c r="BI19" s="110">
        <f>SUMPRODUCT(($AK19:$AL19="M")*6+($AK19:$AL19="T")*6+($AK19:$AL19="D")*12+($AK19:$AL19="N")*12+($AK19:$AL19="NT")*6+($AK19:$AL19="C")*10+($AK19:$AL19="A")*8+($AK19:$AL19="J")*5+($AK19:$AL19="E")*4+($AK19:$AL19="P")*6+($AK19:$AL19="R")*6)+SUMPRODUCT(($AN19:$AR19="M")*6+($AN19:$AR19="T")*6+($AN19:$AR19="D")*12+($AN19:$AR19="N")*12+($AN19:$AR19="NT")*6+($AN19:$AR19="C")*10+($AN19:$AR19="A")*8+($AN19:$AR19="J")*5+($AN19:$AR19="E")*4+($AN19:$AR19="P")*6+($AN19:$AR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6" t="inlineStr">
        <is>
          <t>N</t>
        </is>
      </c>
      <c r="K20" s="116" t="inlineStr">
        <is>
          <t>N</t>
        </is>
      </c>
      <c r="L20" s="116" t="inlineStr">
        <is>
          <t>N</t>
        </is>
      </c>
      <c r="M20" s="107" t="n"/>
      <c r="N20" s="107" t="n"/>
      <c r="O20" s="107" t="n"/>
      <c r="P20" s="107" t="n"/>
      <c r="Q20" s="116" t="inlineStr">
        <is>
          <t>N</t>
        </is>
      </c>
      <c r="R20" s="116" t="inlineStr">
        <is>
          <t>N</t>
        </is>
      </c>
      <c r="S20" s="107" t="n"/>
      <c r="T20" s="116" t="inlineStr">
        <is>
          <t>N</t>
        </is>
      </c>
      <c r="U20" s="107" t="n"/>
      <c r="V20" s="107" t="n"/>
      <c r="W20" s="107" t="n"/>
      <c r="X20" s="116" t="inlineStr">
        <is>
          <t>N</t>
        </is>
      </c>
      <c r="Y20" s="107" t="n"/>
      <c r="Z20" s="116" t="inlineStr">
        <is>
          <t>N</t>
        </is>
      </c>
      <c r="AA20" s="107" t="n"/>
      <c r="AB20" s="107" t="n"/>
      <c r="AC20" s="116" t="inlineStr">
        <is>
          <t>N</t>
        </is>
      </c>
      <c r="AD20" s="107" t="n"/>
      <c r="AE20" s="116" t="inlineStr">
        <is>
          <t>N</t>
        </is>
      </c>
      <c r="AF20" s="107" t="n"/>
      <c r="AG20" s="107" t="n"/>
      <c r="AH20" s="107" t="n"/>
      <c r="AI20" s="116" t="inlineStr">
        <is>
          <t>N</t>
        </is>
      </c>
      <c r="AJ20" s="116" t="inlineStr">
        <is>
          <t>N</t>
        </is>
      </c>
      <c r="AK20" s="107" t="n"/>
      <c r="AL20" s="116" t="inlineStr">
        <is>
          <t>N</t>
        </is>
      </c>
      <c r="AM20" s="96" t="n"/>
      <c r="AN20" s="123">
        <f>IFERROR(INDEX(JUL!I$8:I$73,MATCH($A20,JUL!$A$8:$A$73,0))&amp;"","")</f>
        <v/>
      </c>
      <c r="AO20" s="123">
        <f>IFERROR(INDEX(JUL!J$8:J$73,MATCH($A20,JUL!$A$8:$A$73,0))&amp;"","")</f>
        <v/>
      </c>
      <c r="AP20" s="123">
        <f>IFERROR(INDEX(JUL!K$8:K$73,MATCH($A20,JUL!$A$8:$A$73,0))&amp;"","")</f>
        <v/>
      </c>
      <c r="AQ20" s="109">
        <f>IFERROR(INDEX(JUL!L$8:L$73,MATCH($A20,JUL!$A$8:$A$73,0))&amp;"","")</f>
        <v/>
      </c>
      <c r="AR20" s="109">
        <f>IFERROR(INDEX(JUL!M$8:M$73,MATCH($A20,JUL!$A$8:$A$73,0))&amp;"","")</f>
        <v/>
      </c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SUMPRODUCT(($I20:$O20="M")*6+($I20:$O20="T")*6+($I20:$O20="D")*12+($I20:$O20="N")*12+($I20:$O20="NT")*6+($I20:$O20="C")*10+($I20:$O20="A")*8+($I20:$O20="J")*5+($I20:$O20="E")*4+($I20:$O20="P")*6+($I20:$O20="R")*6)</f>
        <v/>
      </c>
      <c r="BF20" s="110">
        <f>SUMPRODUCT(($P20:$V20="M")*6+($P20:$V20="T")*6+($P20:$V20="D")*12+($P20:$V20="N")*12+($P20:$V20="NT")*6+($P20:$V20="C")*10+($P20:$V20="A")*8+($P20:$V20="J")*5+($P20:$V20="E")*4+($P20:$V20="P")*6+($P20:$V20="R")*6)</f>
        <v/>
      </c>
      <c r="BG20" s="110">
        <f>SUMPRODUCT(($W20:$AC20="M")*6+($W20:$AC20="T")*6+($W20:$AC20="D")*12+($W20:$AC20="N")*12+($W20:$AC20="NT")*6+($W20:$AC20="C")*10+($W20:$AC20="A")*8+($W20:$AC20="J")*5+($W20:$AC20="E")*4+($W20:$AC20="P")*6+($W20:$AC20="R")*6)</f>
        <v/>
      </c>
      <c r="BH20" s="110">
        <f>SUMPRODUCT(($AD20:$AJ20="M")*6+($AD20:$AJ20="T")*6+($AD20:$AJ20="D")*12+($AD20:$AJ20="N")*12+($AD20:$AJ20="NT")*6+($AD20:$AJ20="C")*10+($AD20:$AJ20="A")*8+($AD20:$AJ20="J")*5+($AD20:$AJ20="E")*4+($AD20:$AJ20="P")*6+($AD20:$AJ20="R")*6)</f>
        <v/>
      </c>
      <c r="BI20" s="110">
        <f>SUMPRODUCT(($AK20:$AL20="M")*6+($AK20:$AL20="T")*6+($AK20:$AL20="D")*12+($AK20:$AL20="N")*12+($AK20:$AL20="NT")*6+($AK20:$AL20="C")*10+($AK20:$AL20="A")*8+($AK20:$AL20="J")*5+($AK20:$AL20="E")*4+($AK20:$AL20="P")*6+($AK20:$AL20="R")*6)+SUMPRODUCT(($AN20:$AR20="M")*6+($AN20:$AR20="T")*6+($AN20:$AR20="D")*12+($AN20:$AR20="N")*12+($AN20:$AR20="NT")*6+($AN20:$AR20="C")*10+($AN20:$AR20="A")*8+($AN20:$AR20="J")*5+($AN20:$AR20="E")*4+($AN20:$AR20="P")*6+($AN20:$AR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17" t="inlineStr">
        <is>
          <t>T</t>
        </is>
      </c>
      <c r="J21" s="107" t="n"/>
      <c r="K21" s="107" t="n"/>
      <c r="L21" s="116" t="inlineStr">
        <is>
          <t>N</t>
        </is>
      </c>
      <c r="M21" s="107" t="n"/>
      <c r="N21" s="108" t="inlineStr">
        <is>
          <t>M</t>
        </is>
      </c>
      <c r="O21" s="116" t="inlineStr">
        <is>
          <t>N</t>
        </is>
      </c>
      <c r="P21" s="117" t="inlineStr">
        <is>
          <t>T</t>
        </is>
      </c>
      <c r="Q21" s="117" t="inlineStr">
        <is>
          <t>T</t>
        </is>
      </c>
      <c r="R21" s="107" t="n"/>
      <c r="S21" s="116" t="inlineStr">
        <is>
          <t>N</t>
        </is>
      </c>
      <c r="T21" s="116" t="inlineStr">
        <is>
          <t>N</t>
        </is>
      </c>
      <c r="U21" s="107" t="n"/>
      <c r="V21" s="107" t="n"/>
      <c r="W21" s="115" t="inlineStr">
        <is>
          <t>D</t>
        </is>
      </c>
      <c r="X21" s="107" t="n"/>
      <c r="Y21" s="107" t="n"/>
      <c r="Z21" s="116" t="inlineStr">
        <is>
          <t>N</t>
        </is>
      </c>
      <c r="AA21" s="107" t="n"/>
      <c r="AB21" s="115" t="inlineStr">
        <is>
          <t>D</t>
        </is>
      </c>
      <c r="AC21" s="107" t="n"/>
      <c r="AD21" s="117" t="inlineStr">
        <is>
          <t>T</t>
        </is>
      </c>
      <c r="AE21" s="117" t="inlineStr">
        <is>
          <t>T</t>
        </is>
      </c>
      <c r="AF21" s="108" t="inlineStr">
        <is>
          <t>M</t>
        </is>
      </c>
      <c r="AG21" s="116" t="inlineStr">
        <is>
          <t>N</t>
        </is>
      </c>
      <c r="AH21" s="107" t="n"/>
      <c r="AI21" s="108" t="inlineStr">
        <is>
          <t>M</t>
        </is>
      </c>
      <c r="AJ21" s="107" t="n"/>
      <c r="AK21" s="115" t="inlineStr">
        <is>
          <t>D</t>
        </is>
      </c>
      <c r="AL21" s="115" t="inlineStr">
        <is>
          <t>D</t>
        </is>
      </c>
      <c r="AM21" s="96" t="n"/>
      <c r="AN21" s="123">
        <f>IFERROR(INDEX(JUL!I$8:I$73,MATCH($A21,JUL!$A$8:$A$73,0))&amp;"","")</f>
        <v/>
      </c>
      <c r="AO21" s="123">
        <f>IFERROR(INDEX(JUL!J$8:J$73,MATCH($A21,JUL!$A$8:$A$73,0))&amp;"","")</f>
        <v/>
      </c>
      <c r="AP21" s="123">
        <f>IFERROR(INDEX(JUL!K$8:K$73,MATCH($A21,JUL!$A$8:$A$73,0))&amp;"","")</f>
        <v/>
      </c>
      <c r="AQ21" s="109">
        <f>IFERROR(INDEX(JUL!L$8:L$73,MATCH($A21,JUL!$A$8:$A$73,0))&amp;"","")</f>
        <v/>
      </c>
      <c r="AR21" s="109">
        <f>IFERROR(INDEX(JUL!M$8:M$73,MATCH($A21,JUL!$A$8:$A$73,0))&amp;"","")</f>
        <v/>
      </c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SUMPRODUCT(($I21:$O21="M")*6+($I21:$O21="T")*6+($I21:$O21="D")*12+($I21:$O21="N")*12+($I21:$O21="NT")*6+($I21:$O21="C")*10+($I21:$O21="A")*8+($I21:$O21="J")*5+($I21:$O21="E")*4+($I21:$O21="P")*6+($I21:$O21="R")*6)</f>
        <v/>
      </c>
      <c r="BF21" s="110">
        <f>SUMPRODUCT(($P21:$V21="M")*6+($P21:$V21="T")*6+($P21:$V21="D")*12+($P21:$V21="N")*12+($P21:$V21="NT")*6+($P21:$V21="C")*10+($P21:$V21="A")*8+($P21:$V21="J")*5+($P21:$V21="E")*4+($P21:$V21="P")*6+($P21:$V21="R")*6)</f>
        <v/>
      </c>
      <c r="BG21" s="110">
        <f>SUMPRODUCT(($W21:$AC21="M")*6+($W21:$AC21="T")*6+($W21:$AC21="D")*12+($W21:$AC21="N")*12+($W21:$AC21="NT")*6+($W21:$AC21="C")*10+($W21:$AC21="A")*8+($W21:$AC21="J")*5+($W21:$AC21="E")*4+($W21:$AC21="P")*6+($W21:$AC21="R")*6)</f>
        <v/>
      </c>
      <c r="BH21" s="110">
        <f>SUMPRODUCT(($AD21:$AJ21="M")*6+($AD21:$AJ21="T")*6+($AD21:$AJ21="D")*12+($AD21:$AJ21="N")*12+($AD21:$AJ21="NT")*6+($AD21:$AJ21="C")*10+($AD21:$AJ21="A")*8+($AD21:$AJ21="J")*5+($AD21:$AJ21="E")*4+($AD21:$AJ21="P")*6+($AD21:$AJ21="R")*6)</f>
        <v/>
      </c>
      <c r="BI21" s="110">
        <f>SUMPRODUCT(($AK21:$AL21="M")*6+($AK21:$AL21="T")*6+($AK21:$AL21="D")*12+($AK21:$AL21="N")*12+($AK21:$AL21="NT")*6+($AK21:$AL21="C")*10+($AK21:$AL21="A")*8+($AK21:$AL21="J")*5+($AK21:$AL21="E")*4+($AK21:$AL21="P")*6+($AK21:$AL21="R")*6)+SUMPRODUCT(($AN21:$AR21="M")*6+($AN21:$AR21="T")*6+($AN21:$AR21="D")*12+($AN21:$AR21="N")*12+($AN21:$AR21="NT")*6+($AN21:$AR21="C")*10+($AN21:$AR21="A")*8+($AN21:$AR21="J")*5+($AN21:$AR21="E")*4+($AN21:$AR21="P")*6+($AN21:$AR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5" t="inlineStr">
        <is>
          <t>D</t>
        </is>
      </c>
      <c r="K22" s="115" t="inlineStr">
        <is>
          <t>D</t>
        </is>
      </c>
      <c r="L22" s="107" t="n"/>
      <c r="M22" s="107" t="n"/>
      <c r="N22" s="107" t="n"/>
      <c r="O22" s="107" t="n"/>
      <c r="P22" s="107" t="n"/>
      <c r="Q22" s="117" t="inlineStr">
        <is>
          <t>T</t>
        </is>
      </c>
      <c r="R22" s="107" t="n"/>
      <c r="S22" s="115" t="inlineStr">
        <is>
          <t>D</t>
        </is>
      </c>
      <c r="T22" s="107" t="n"/>
      <c r="U22" s="117" t="inlineStr">
        <is>
          <t>T</t>
        </is>
      </c>
      <c r="V22" s="116" t="inlineStr">
        <is>
          <t>N</t>
        </is>
      </c>
      <c r="W22" s="107" t="n"/>
      <c r="X22" s="115" t="inlineStr">
        <is>
          <t>D</t>
        </is>
      </c>
      <c r="Y22" s="108" t="inlineStr">
        <is>
          <t>M</t>
        </is>
      </c>
      <c r="Z22" s="115" t="inlineStr">
        <is>
          <t>D</t>
        </is>
      </c>
      <c r="AA22" s="108" t="inlineStr">
        <is>
          <t>M</t>
        </is>
      </c>
      <c r="AB22" s="107" t="n"/>
      <c r="AC22" s="107" t="n"/>
      <c r="AD22" s="107" t="n"/>
      <c r="AE22" s="115" t="inlineStr">
        <is>
          <t>D</t>
        </is>
      </c>
      <c r="AF22" s="116" t="inlineStr">
        <is>
          <t>N</t>
        </is>
      </c>
      <c r="AG22" s="107" t="n"/>
      <c r="AH22" s="108" t="inlineStr">
        <is>
          <t>M</t>
        </is>
      </c>
      <c r="AI22" s="117" t="inlineStr">
        <is>
          <t>T</t>
        </is>
      </c>
      <c r="AJ22" s="115" t="inlineStr">
        <is>
          <t>D</t>
        </is>
      </c>
      <c r="AK22" s="107" t="n"/>
      <c r="AL22" s="115" t="inlineStr">
        <is>
          <t>D</t>
        </is>
      </c>
      <c r="AM22" s="96" t="n"/>
      <c r="AN22" s="123">
        <f>IFERROR(INDEX(JUL!I$8:I$73,MATCH($A22,JUL!$A$8:$A$73,0))&amp;"","")</f>
        <v/>
      </c>
      <c r="AO22" s="123">
        <f>IFERROR(INDEX(JUL!J$8:J$73,MATCH($A22,JUL!$A$8:$A$73,0))&amp;"","")</f>
        <v/>
      </c>
      <c r="AP22" s="123">
        <f>IFERROR(INDEX(JUL!K$8:K$73,MATCH($A22,JUL!$A$8:$A$73,0))&amp;"","")</f>
        <v/>
      </c>
      <c r="AQ22" s="109">
        <f>IFERROR(INDEX(JUL!L$8:L$73,MATCH($A22,JUL!$A$8:$A$73,0))&amp;"","")</f>
        <v/>
      </c>
      <c r="AR22" s="109">
        <f>IFERROR(INDEX(JUL!M$8:M$73,MATCH($A22,JUL!$A$8:$A$73,0))&amp;"","")</f>
        <v/>
      </c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SUMPRODUCT(($I22:$O22="M")*6+($I22:$O22="T")*6+($I22:$O22="D")*12+($I22:$O22="N")*12+($I22:$O22="NT")*6+($I22:$O22="C")*10+($I22:$O22="A")*8+($I22:$O22="J")*5+($I22:$O22="E")*4+($I22:$O22="P")*6+($I22:$O22="R")*6)</f>
        <v/>
      </c>
      <c r="BF22" s="110">
        <f>SUMPRODUCT(($P22:$V22="M")*6+($P22:$V22="T")*6+($P22:$V22="D")*12+($P22:$V22="N")*12+($P22:$V22="NT")*6+($P22:$V22="C")*10+($P22:$V22="A")*8+($P22:$V22="J")*5+($P22:$V22="E")*4+($P22:$V22="P")*6+($P22:$V22="R")*6)</f>
        <v/>
      </c>
      <c r="BG22" s="110">
        <f>SUMPRODUCT(($W22:$AC22="M")*6+($W22:$AC22="T")*6+($W22:$AC22="D")*12+($W22:$AC22="N")*12+($W22:$AC22="NT")*6+($W22:$AC22="C")*10+($W22:$AC22="A")*8+($W22:$AC22="J")*5+($W22:$AC22="E")*4+($W22:$AC22="P")*6+($W22:$AC22="R")*6)</f>
        <v/>
      </c>
      <c r="BH22" s="110">
        <f>SUMPRODUCT(($AD22:$AJ22="M")*6+($AD22:$AJ22="T")*6+($AD22:$AJ22="D")*12+($AD22:$AJ22="N")*12+($AD22:$AJ22="NT")*6+($AD22:$AJ22="C")*10+($AD22:$AJ22="A")*8+($AD22:$AJ22="J")*5+($AD22:$AJ22="E")*4+($AD22:$AJ22="P")*6+($AD22:$AJ22="R")*6)</f>
        <v/>
      </c>
      <c r="BI22" s="110">
        <f>SUMPRODUCT(($AK22:$AL22="M")*6+($AK22:$AL22="T")*6+($AK22:$AL22="D")*12+($AK22:$AL22="N")*12+($AK22:$AL22="NT")*6+($AK22:$AL22="C")*10+($AK22:$AL22="A")*8+($AK22:$AL22="J")*5+($AK22:$AL22="E")*4+($AK22:$AL22="P")*6+($AK22:$AL22="R")*6)+SUMPRODUCT(($AN22:$AR22="M")*6+($AN22:$AR22="T")*6+($AN22:$AR22="D")*12+($AN22:$AR22="N")*12+($AN22:$AR22="NT")*6+($AN22:$AR22="C")*10+($AN22:$AR22="A")*8+($AN22:$AR22="J")*5+($AN22:$AR22="E")*4+($AN22:$AR22="P")*6+($AN22:$AR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15" t="inlineStr">
        <is>
          <t>D</t>
        </is>
      </c>
      <c r="K23" s="107" t="n"/>
      <c r="L23" s="115" t="inlineStr">
        <is>
          <t>D</t>
        </is>
      </c>
      <c r="M23" s="107" t="n"/>
      <c r="N23" s="115" t="inlineStr">
        <is>
          <t>D</t>
        </is>
      </c>
      <c r="O23" s="115" t="inlineStr">
        <is>
          <t>D</t>
        </is>
      </c>
      <c r="P23" s="107" t="n"/>
      <c r="Q23" s="115" t="inlineStr">
        <is>
          <t>D</t>
        </is>
      </c>
      <c r="R23" s="107" t="n"/>
      <c r="S23" s="115" t="inlineStr">
        <is>
          <t>D</t>
        </is>
      </c>
      <c r="T23" s="107" t="n"/>
      <c r="U23" s="107" t="n"/>
      <c r="V23" s="107" t="n"/>
      <c r="W23" s="107" t="n"/>
      <c r="X23" s="115" t="inlineStr">
        <is>
          <t>D</t>
        </is>
      </c>
      <c r="Y23" s="107" t="n"/>
      <c r="Z23" s="115" t="inlineStr">
        <is>
          <t>D</t>
        </is>
      </c>
      <c r="AA23" s="107" t="n"/>
      <c r="AB23" s="115" t="inlineStr">
        <is>
          <t>D</t>
        </is>
      </c>
      <c r="AC23" s="107" t="n"/>
      <c r="AD23" s="115" t="inlineStr">
        <is>
          <t>D</t>
        </is>
      </c>
      <c r="AE23" s="115" t="inlineStr">
        <is>
          <t>D</t>
        </is>
      </c>
      <c r="AF23" s="107" t="n"/>
      <c r="AG23" s="115" t="inlineStr">
        <is>
          <t>D</t>
        </is>
      </c>
      <c r="AH23" s="107" t="n"/>
      <c r="AI23" s="107" t="n"/>
      <c r="AJ23" s="107" t="n"/>
      <c r="AK23" s="115" t="inlineStr">
        <is>
          <t>D</t>
        </is>
      </c>
      <c r="AL23" s="108" t="inlineStr">
        <is>
          <t>M</t>
        </is>
      </c>
      <c r="AM23" s="96" t="n"/>
      <c r="AN23" s="123">
        <f>IFERROR(INDEX(JUL!I$8:I$73,MATCH($A23,JUL!$A$8:$A$73,0))&amp;"","")</f>
        <v/>
      </c>
      <c r="AO23" s="123">
        <f>IFERROR(INDEX(JUL!J$8:J$73,MATCH($A23,JUL!$A$8:$A$73,0))&amp;"","")</f>
        <v/>
      </c>
      <c r="AP23" s="123">
        <f>IFERROR(INDEX(JUL!K$8:K$73,MATCH($A23,JUL!$A$8:$A$73,0))&amp;"","")</f>
        <v/>
      </c>
      <c r="AQ23" s="109">
        <f>IFERROR(INDEX(JUL!L$8:L$73,MATCH($A23,JUL!$A$8:$A$73,0))&amp;"","")</f>
        <v/>
      </c>
      <c r="AR23" s="109">
        <f>IFERROR(INDEX(JUL!M$8:M$73,MATCH($A23,JUL!$A$8:$A$73,0))&amp;"","")</f>
        <v/>
      </c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SUMPRODUCT(($I23:$O23="M")*6+($I23:$O23="T")*6+($I23:$O23="D")*12+($I23:$O23="N")*12+($I23:$O23="NT")*6+($I23:$O23="C")*10+($I23:$O23="A")*8+($I23:$O23="J")*5+($I23:$O23="E")*4+($I23:$O23="P")*6+($I23:$O23="R")*6)</f>
        <v/>
      </c>
      <c r="BF23" s="110">
        <f>SUMPRODUCT(($P23:$V23="M")*6+($P23:$V23="T")*6+($P23:$V23="D")*12+($P23:$V23="N")*12+($P23:$V23="NT")*6+($P23:$V23="C")*10+($P23:$V23="A")*8+($P23:$V23="J")*5+($P23:$V23="E")*4+($P23:$V23="P")*6+($P23:$V23="R")*6)</f>
        <v/>
      </c>
      <c r="BG23" s="110">
        <f>SUMPRODUCT(($W23:$AC23="M")*6+($W23:$AC23="T")*6+($W23:$AC23="D")*12+($W23:$AC23="N")*12+($W23:$AC23="NT")*6+($W23:$AC23="C")*10+($W23:$AC23="A")*8+($W23:$AC23="J")*5+($W23:$AC23="E")*4+($W23:$AC23="P")*6+($W23:$AC23="R")*6)</f>
        <v/>
      </c>
      <c r="BH23" s="110">
        <f>SUMPRODUCT(($AD23:$AJ23="M")*6+($AD23:$AJ23="T")*6+($AD23:$AJ23="D")*12+($AD23:$AJ23="N")*12+($AD23:$AJ23="NT")*6+($AD23:$AJ23="C")*10+($AD23:$AJ23="A")*8+($AD23:$AJ23="J")*5+($AD23:$AJ23="E")*4+($AD23:$AJ23="P")*6+($AD23:$AJ23="R")*6)</f>
        <v/>
      </c>
      <c r="BI23" s="110">
        <f>SUMPRODUCT(($AK23:$AL23="M")*6+($AK23:$AL23="T")*6+($AK23:$AL23="D")*12+($AK23:$AL23="N")*12+($AK23:$AL23="NT")*6+($AK23:$AL23="C")*10+($AK23:$AL23="A")*8+($AK23:$AL23="J")*5+($AK23:$AL23="E")*4+($AK23:$AL23="P")*6+($AK23:$AL23="R")*6)+SUMPRODUCT(($AN23:$AR23="M")*6+($AN23:$AR23="T")*6+($AN23:$AR23="D")*12+($AN23:$AR23="N")*12+($AN23:$AR23="NT")*6+($AN23:$AR23="C")*10+($AN23:$AR23="A")*8+($AN23:$AR23="J")*5+($AN23:$AR23="E")*4+($AN23:$AR23="P")*6+($AN23:$AR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15" t="inlineStr">
        <is>
          <t>D</t>
        </is>
      </c>
      <c r="K24" s="107" t="n"/>
      <c r="L24" s="107" t="n"/>
      <c r="M24" s="116" t="inlineStr">
        <is>
          <t>N</t>
        </is>
      </c>
      <c r="N24" s="107" t="n"/>
      <c r="O24" s="115" t="inlineStr">
        <is>
          <t>D</t>
        </is>
      </c>
      <c r="P24" s="107" t="n"/>
      <c r="Q24" s="115" t="inlineStr">
        <is>
          <t>D</t>
        </is>
      </c>
      <c r="R24" s="108" t="inlineStr">
        <is>
          <t>M</t>
        </is>
      </c>
      <c r="S24" s="115" t="inlineStr">
        <is>
          <t>D</t>
        </is>
      </c>
      <c r="T24" s="117" t="inlineStr">
        <is>
          <t>T</t>
        </is>
      </c>
      <c r="U24" s="107" t="n"/>
      <c r="V24" s="107" t="n"/>
      <c r="W24" s="107" t="n"/>
      <c r="X24" s="115" t="inlineStr">
        <is>
          <t>D</t>
        </is>
      </c>
      <c r="Y24" s="107" t="n"/>
      <c r="Z24" s="115" t="inlineStr">
        <is>
          <t>D</t>
        </is>
      </c>
      <c r="AA24" s="107" t="n"/>
      <c r="AB24" s="116" t="inlineStr">
        <is>
          <t>N</t>
        </is>
      </c>
      <c r="AC24" s="107" t="n"/>
      <c r="AD24" s="107" t="n"/>
      <c r="AE24" s="115" t="inlineStr">
        <is>
          <t>D</t>
        </is>
      </c>
      <c r="AF24" s="107" t="n"/>
      <c r="AG24" s="115" t="inlineStr">
        <is>
          <t>D</t>
        </is>
      </c>
      <c r="AH24" s="107" t="n"/>
      <c r="AI24" s="116" t="inlineStr">
        <is>
          <t>N</t>
        </is>
      </c>
      <c r="AJ24" s="107" t="n"/>
      <c r="AK24" s="115" t="inlineStr">
        <is>
          <t>D</t>
        </is>
      </c>
      <c r="AL24" s="107" t="n"/>
      <c r="AM24" s="96" t="n"/>
      <c r="AN24" s="123">
        <f>IFERROR(INDEX(JUL!I$8:I$73,MATCH($A24,JUL!$A$8:$A$73,0))&amp;"","")</f>
        <v/>
      </c>
      <c r="AO24" s="123">
        <f>IFERROR(INDEX(JUL!J$8:J$73,MATCH($A24,JUL!$A$8:$A$73,0))&amp;"","")</f>
        <v/>
      </c>
      <c r="AP24" s="123">
        <f>IFERROR(INDEX(JUL!K$8:K$73,MATCH($A24,JUL!$A$8:$A$73,0))&amp;"","")</f>
        <v/>
      </c>
      <c r="AQ24" s="109">
        <f>IFERROR(INDEX(JUL!L$8:L$73,MATCH($A24,JUL!$A$8:$A$73,0))&amp;"","")</f>
        <v/>
      </c>
      <c r="AR24" s="109">
        <f>IFERROR(INDEX(JUL!M$8:M$73,MATCH($A24,JUL!$A$8:$A$73,0))&amp;"","")</f>
        <v/>
      </c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SUMPRODUCT(($I24:$O24="M")*6+($I24:$O24="T")*6+($I24:$O24="D")*12+($I24:$O24="N")*12+($I24:$O24="NT")*6+($I24:$O24="C")*10+($I24:$O24="A")*8+($I24:$O24="J")*5+($I24:$O24="E")*4+($I24:$O24="P")*6+($I24:$O24="R")*6)</f>
        <v/>
      </c>
      <c r="BF24" s="110">
        <f>SUMPRODUCT(($P24:$V24="M")*6+($P24:$V24="T")*6+($P24:$V24="D")*12+($P24:$V24="N")*12+($P24:$V24="NT")*6+($P24:$V24="C")*10+($P24:$V24="A")*8+($P24:$V24="J")*5+($P24:$V24="E")*4+($P24:$V24="P")*6+($P24:$V24="R")*6)</f>
        <v/>
      </c>
      <c r="BG24" s="110">
        <f>SUMPRODUCT(($W24:$AC24="M")*6+($W24:$AC24="T")*6+($W24:$AC24="D")*12+($W24:$AC24="N")*12+($W24:$AC24="NT")*6+($W24:$AC24="C")*10+($W24:$AC24="A")*8+($W24:$AC24="J")*5+($W24:$AC24="E")*4+($W24:$AC24="P")*6+($W24:$AC24="R")*6)</f>
        <v/>
      </c>
      <c r="BH24" s="110">
        <f>SUMPRODUCT(($AD24:$AJ24="M")*6+($AD24:$AJ24="T")*6+($AD24:$AJ24="D")*12+($AD24:$AJ24="N")*12+($AD24:$AJ24="NT")*6+($AD24:$AJ24="C")*10+($AD24:$AJ24="A")*8+($AD24:$AJ24="J")*5+($AD24:$AJ24="E")*4+($AD24:$AJ24="P")*6+($AD24:$AJ24="R")*6)</f>
        <v/>
      </c>
      <c r="BI24" s="110">
        <f>SUMPRODUCT(($AK24:$AL24="M")*6+($AK24:$AL24="T")*6+($AK24:$AL24="D")*12+($AK24:$AL24="N")*12+($AK24:$AL24="NT")*6+($AK24:$AL24="C")*10+($AK24:$AL24="A")*8+($AK24:$AL24="J")*5+($AK24:$AL24="E")*4+($AK24:$AL24="P")*6+($AK24:$AL24="R")*6)+SUMPRODUCT(($AN24:$AR24="M")*6+($AN24:$AR24="T")*6+($AN24:$AR24="D")*12+($AN24:$AR24="N")*12+($AN24:$AR24="NT")*6+($AN24:$AR24="C")*10+($AN24:$AR24="A")*8+($AN24:$AR24="J")*5+($AN24:$AR24="E")*4+($AN24:$AR24="P")*6+($AN24:$AR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16" t="inlineStr">
        <is>
          <t>N</t>
        </is>
      </c>
      <c r="Y25" s="116" t="inlineStr">
        <is>
          <t>N</t>
        </is>
      </c>
      <c r="Z25" s="107" t="n"/>
      <c r="AA25" s="107" t="n"/>
      <c r="AB25" s="107" t="n"/>
      <c r="AC25" s="116" t="inlineStr">
        <is>
          <t>N</t>
        </is>
      </c>
      <c r="AD25" s="107" t="n"/>
      <c r="AE25" s="116" t="inlineStr">
        <is>
          <t>N</t>
        </is>
      </c>
      <c r="AF25" s="116" t="inlineStr">
        <is>
          <t>N</t>
        </is>
      </c>
      <c r="AG25" s="107" t="n"/>
      <c r="AH25" s="107" t="n"/>
      <c r="AI25" s="107" t="n"/>
      <c r="AJ25" s="116" t="inlineStr">
        <is>
          <t>N</t>
        </is>
      </c>
      <c r="AK25" s="116" t="inlineStr">
        <is>
          <t>N</t>
        </is>
      </c>
      <c r="AL25" s="107" t="n"/>
      <c r="AM25" s="96" t="n"/>
      <c r="AN25" s="123">
        <f>IFERROR(INDEX(JUL!I$8:I$73,MATCH($A25,JUL!$A$8:$A$73,0))&amp;"","")</f>
        <v/>
      </c>
      <c r="AO25" s="123">
        <f>IFERROR(INDEX(JUL!J$8:J$73,MATCH($A25,JUL!$A$8:$A$73,0))&amp;"","")</f>
        <v/>
      </c>
      <c r="AP25" s="123">
        <f>IFERROR(INDEX(JUL!K$8:K$73,MATCH($A25,JUL!$A$8:$A$73,0))&amp;"","")</f>
        <v/>
      </c>
      <c r="AQ25" s="109">
        <f>IFERROR(INDEX(JUL!L$8:L$73,MATCH($A25,JUL!$A$8:$A$73,0))&amp;"","")</f>
        <v/>
      </c>
      <c r="AR25" s="109">
        <f>IFERROR(INDEX(JUL!M$8:M$73,MATCH($A25,JUL!$A$8:$A$73,0))&amp;"","")</f>
        <v/>
      </c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SUMPRODUCT(($I25:$O25="M")*6+($I25:$O25="T")*6+($I25:$O25="D")*12+($I25:$O25="N")*12+($I25:$O25="NT")*6+($I25:$O25="C")*10+($I25:$O25="A")*8+($I25:$O25="J")*5+($I25:$O25="E")*4+($I25:$O25="P")*6+($I25:$O25="R")*6)</f>
        <v/>
      </c>
      <c r="BF25" s="110">
        <f>SUMPRODUCT(($P25:$V25="M")*6+($P25:$V25="T")*6+($P25:$V25="D")*12+($P25:$V25="N")*12+($P25:$V25="NT")*6+($P25:$V25="C")*10+($P25:$V25="A")*8+($P25:$V25="J")*5+($P25:$V25="E")*4+($P25:$V25="P")*6+($P25:$V25="R")*6)</f>
        <v/>
      </c>
      <c r="BG25" s="110">
        <f>SUMPRODUCT(($W25:$AC25="M")*6+($W25:$AC25="T")*6+($W25:$AC25="D")*12+($W25:$AC25="N")*12+($W25:$AC25="NT")*6+($W25:$AC25="C")*10+($W25:$AC25="A")*8+($W25:$AC25="J")*5+($W25:$AC25="E")*4+($W25:$AC25="P")*6+($W25:$AC25="R")*6)</f>
        <v/>
      </c>
      <c r="BH25" s="110">
        <f>SUMPRODUCT(($AD25:$AJ25="M")*6+($AD25:$AJ25="T")*6+($AD25:$AJ25="D")*12+($AD25:$AJ25="N")*12+($AD25:$AJ25="NT")*6+($AD25:$AJ25="C")*10+($AD25:$AJ25="A")*8+($AD25:$AJ25="J")*5+($AD25:$AJ25="E")*4+($AD25:$AJ25="P")*6+($AD25:$AJ25="R")*6)</f>
        <v/>
      </c>
      <c r="BI25" s="110">
        <f>SUMPRODUCT(($AK25:$AL25="M")*6+($AK25:$AL25="T")*6+($AK25:$AL25="D")*12+($AK25:$AL25="N")*12+($AK25:$AL25="NT")*6+($AK25:$AL25="C")*10+($AK25:$AL25="A")*8+($AK25:$AL25="J")*5+($AK25:$AL25="E")*4+($AK25:$AL25="P")*6+($AK25:$AL25="R")*6)+SUMPRODUCT(($AN25:$AR25="M")*6+($AN25:$AR25="T")*6+($AN25:$AR25="D")*12+($AN25:$AR25="N")*12+($AN25:$AR25="NT")*6+($AN25:$AR25="C")*10+($AN25:$AR25="A")*8+($AN25:$AR25="J")*5+($AN25:$AR25="E")*4+($AN25:$AR25="P")*6+($AN25:$AR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7" t="inlineStr">
        <is>
          <t>T</t>
        </is>
      </c>
      <c r="K26" s="107" t="n"/>
      <c r="L26" s="116" t="inlineStr">
        <is>
          <t>N</t>
        </is>
      </c>
      <c r="M26" s="107" t="n"/>
      <c r="N26" s="108" t="inlineStr">
        <is>
          <t>M</t>
        </is>
      </c>
      <c r="O26" s="116" t="inlineStr">
        <is>
          <t>N</t>
        </is>
      </c>
      <c r="P26" s="107" t="n"/>
      <c r="Q26" s="116" t="inlineStr">
        <is>
          <t>N</t>
        </is>
      </c>
      <c r="R26" s="107" t="n"/>
      <c r="S26" s="107" t="n"/>
      <c r="T26" s="115" t="inlineStr">
        <is>
          <t>D</t>
        </is>
      </c>
      <c r="U26" s="107" t="n"/>
      <c r="V26" s="116" t="inlineStr">
        <is>
          <t>N</t>
        </is>
      </c>
      <c r="W26" s="117" t="inlineStr">
        <is>
          <t>T</t>
        </is>
      </c>
      <c r="X26" s="115" t="inlineStr">
        <is>
          <t>D</t>
        </is>
      </c>
      <c r="Y26" s="107" t="n"/>
      <c r="Z26" s="116" t="inlineStr">
        <is>
          <t>N</t>
        </is>
      </c>
      <c r="AA26" s="117" t="inlineStr">
        <is>
          <t>T</t>
        </is>
      </c>
      <c r="AB26" s="107" t="n"/>
      <c r="AC26" s="107" t="n"/>
      <c r="AD26" s="107" t="n"/>
      <c r="AE26" s="116" t="inlineStr">
        <is>
          <t>N</t>
        </is>
      </c>
      <c r="AF26" s="107" t="n"/>
      <c r="AG26" s="115" t="inlineStr">
        <is>
          <t>D</t>
        </is>
      </c>
      <c r="AH26" s="116" t="inlineStr">
        <is>
          <t>N</t>
        </is>
      </c>
      <c r="AI26" s="107" t="n"/>
      <c r="AJ26" s="107" t="n"/>
      <c r="AK26" s="116" t="inlineStr">
        <is>
          <t>N</t>
        </is>
      </c>
      <c r="AL26" s="107" t="n"/>
      <c r="AM26" s="96" t="n"/>
      <c r="AN26" s="123">
        <f>IFERROR(INDEX(JUL!I$8:I$73,MATCH($A26,JUL!$A$8:$A$73,0))&amp;"","")</f>
        <v/>
      </c>
      <c r="AO26" s="123">
        <f>IFERROR(INDEX(JUL!J$8:J$73,MATCH($A26,JUL!$A$8:$A$73,0))&amp;"","")</f>
        <v/>
      </c>
      <c r="AP26" s="123">
        <f>IFERROR(INDEX(JUL!K$8:K$73,MATCH($A26,JUL!$A$8:$A$73,0))&amp;"","")</f>
        <v/>
      </c>
      <c r="AQ26" s="109">
        <f>IFERROR(INDEX(JUL!L$8:L$73,MATCH($A26,JUL!$A$8:$A$73,0))&amp;"","")</f>
        <v/>
      </c>
      <c r="AR26" s="109">
        <f>IFERROR(INDEX(JUL!M$8:M$73,MATCH($A26,JUL!$A$8:$A$73,0))&amp;"","")</f>
        <v/>
      </c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SUMPRODUCT(($I26:$O26="M")*6+($I26:$O26="T")*6+($I26:$O26="D")*12+($I26:$O26="N")*12+($I26:$O26="NT")*6+($I26:$O26="C")*10+($I26:$O26="A")*8+($I26:$O26="J")*5+($I26:$O26="E")*4+($I26:$O26="P")*6+($I26:$O26="R")*6)</f>
        <v/>
      </c>
      <c r="BF26" s="110">
        <f>SUMPRODUCT(($P26:$V26="M")*6+($P26:$V26="T")*6+($P26:$V26="D")*12+($P26:$V26="N")*12+($P26:$V26="NT")*6+($P26:$V26="C")*10+($P26:$V26="A")*8+($P26:$V26="J")*5+($P26:$V26="E")*4+($P26:$V26="P")*6+($P26:$V26="R")*6)</f>
        <v/>
      </c>
      <c r="BG26" s="110">
        <f>SUMPRODUCT(($W26:$AC26="M")*6+($W26:$AC26="T")*6+($W26:$AC26="D")*12+($W26:$AC26="N")*12+($W26:$AC26="NT")*6+($W26:$AC26="C")*10+($W26:$AC26="A")*8+($W26:$AC26="J")*5+($W26:$AC26="E")*4+($W26:$AC26="P")*6+($W26:$AC26="R")*6)</f>
        <v/>
      </c>
      <c r="BH26" s="110">
        <f>SUMPRODUCT(($AD26:$AJ26="M")*6+($AD26:$AJ26="T")*6+($AD26:$AJ26="D")*12+($AD26:$AJ26="N")*12+($AD26:$AJ26="NT")*6+($AD26:$AJ26="C")*10+($AD26:$AJ26="A")*8+($AD26:$AJ26="J")*5+($AD26:$AJ26="E")*4+($AD26:$AJ26="P")*6+($AD26:$AJ26="R")*6)</f>
        <v/>
      </c>
      <c r="BI26" s="110">
        <f>SUMPRODUCT(($AK26:$AL26="M")*6+($AK26:$AL26="T")*6+($AK26:$AL26="D")*12+($AK26:$AL26="N")*12+($AK26:$AL26="NT")*6+($AK26:$AL26="C")*10+($AK26:$AL26="A")*8+($AK26:$AL26="J")*5+($AK26:$AL26="E")*4+($AK26:$AL26="P")*6+($AK26:$AL26="R")*6)+SUMPRODUCT(($AN26:$AR26="M")*6+($AN26:$AR26="T")*6+($AN26:$AR26="D")*12+($AN26:$AR26="N")*12+($AN26:$AR26="NT")*6+($AN26:$AR26="C")*10+($AN26:$AR26="A")*8+($AN26:$AR26="J")*5+($AN26:$AR26="E")*4+($AN26:$AR26="P")*6+($AN26:$AR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8" t="inlineStr">
        <is>
          <t>M</t>
        </is>
      </c>
      <c r="J27" s="107" t="n"/>
      <c r="K27" s="107" t="n"/>
      <c r="L27" s="116" t="inlineStr">
        <is>
          <t>N</t>
        </is>
      </c>
      <c r="M27" s="107" t="n"/>
      <c r="N27" s="116" t="inlineStr">
        <is>
          <t>N</t>
        </is>
      </c>
      <c r="O27" s="107" t="n"/>
      <c r="P27" s="108" t="inlineStr">
        <is>
          <t>M</t>
        </is>
      </c>
      <c r="Q27" s="116" t="inlineStr">
        <is>
          <t>N</t>
        </is>
      </c>
      <c r="R27" s="107" t="n"/>
      <c r="S27" s="116" t="inlineStr">
        <is>
          <t>N</t>
        </is>
      </c>
      <c r="T27" s="107" t="n"/>
      <c r="U27" s="107" t="n"/>
      <c r="V27" s="107" t="n"/>
      <c r="W27" s="107" t="n"/>
      <c r="X27" s="116" t="inlineStr">
        <is>
          <t>N</t>
        </is>
      </c>
      <c r="Y27" s="107" t="n"/>
      <c r="Z27" s="116" t="inlineStr">
        <is>
          <t>N</t>
        </is>
      </c>
      <c r="AA27" s="107" t="n"/>
      <c r="AB27" s="107" t="n"/>
      <c r="AC27" s="107" t="n"/>
      <c r="AD27" s="107" t="n"/>
      <c r="AE27" s="116" t="inlineStr">
        <is>
          <t>N</t>
        </is>
      </c>
      <c r="AF27" s="107" t="n"/>
      <c r="AG27" s="116" t="inlineStr">
        <is>
          <t>N</t>
        </is>
      </c>
      <c r="AH27" s="107" t="n"/>
      <c r="AI27" s="107" t="n"/>
      <c r="AJ27" s="116" t="inlineStr">
        <is>
          <t>N</t>
        </is>
      </c>
      <c r="AK27" s="107" t="n"/>
      <c r="AL27" s="118" t="inlineStr">
        <is>
          <t>NT</t>
        </is>
      </c>
      <c r="AM27" s="96" t="n"/>
      <c r="AN27" s="123">
        <f>IFERROR(INDEX(JUL!I$8:I$73,MATCH($A27,JUL!$A$8:$A$73,0))&amp;"","")</f>
        <v/>
      </c>
      <c r="AO27" s="123">
        <f>IFERROR(INDEX(JUL!J$8:J$73,MATCH($A27,JUL!$A$8:$A$73,0))&amp;"","")</f>
        <v/>
      </c>
      <c r="AP27" s="123">
        <f>IFERROR(INDEX(JUL!K$8:K$73,MATCH($A27,JUL!$A$8:$A$73,0))&amp;"","")</f>
        <v/>
      </c>
      <c r="AQ27" s="109">
        <f>IFERROR(INDEX(JUL!L$8:L$73,MATCH($A27,JUL!$A$8:$A$73,0))&amp;"","")</f>
        <v/>
      </c>
      <c r="AR27" s="109">
        <f>IFERROR(INDEX(JUL!M$8:M$73,MATCH($A27,JUL!$A$8:$A$73,0))&amp;"","")</f>
        <v/>
      </c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SUMPRODUCT(($I27:$O27="M")*6+($I27:$O27="T")*6+($I27:$O27="D")*12+($I27:$O27="N")*12+($I27:$O27="NT")*6+($I27:$O27="C")*10+($I27:$O27="A")*8+($I27:$O27="J")*5+($I27:$O27="E")*4+($I27:$O27="P")*6+($I27:$O27="R")*6)</f>
        <v/>
      </c>
      <c r="BF27" s="110">
        <f>SUMPRODUCT(($P27:$V27="M")*6+($P27:$V27="T")*6+($P27:$V27="D")*12+($P27:$V27="N")*12+($P27:$V27="NT")*6+($P27:$V27="C")*10+($P27:$V27="A")*8+($P27:$V27="J")*5+($P27:$V27="E")*4+($P27:$V27="P")*6+($P27:$V27="R")*6)</f>
        <v/>
      </c>
      <c r="BG27" s="110">
        <f>SUMPRODUCT(($W27:$AC27="M")*6+($W27:$AC27="T")*6+($W27:$AC27="D")*12+($W27:$AC27="N")*12+($W27:$AC27="NT")*6+($W27:$AC27="C")*10+($W27:$AC27="A")*8+($W27:$AC27="J")*5+($W27:$AC27="E")*4+($W27:$AC27="P")*6+($W27:$AC27="R")*6)</f>
        <v/>
      </c>
      <c r="BH27" s="110">
        <f>SUMPRODUCT(($AD27:$AJ27="M")*6+($AD27:$AJ27="T")*6+($AD27:$AJ27="D")*12+($AD27:$AJ27="N")*12+($AD27:$AJ27="NT")*6+($AD27:$AJ27="C")*10+($AD27:$AJ27="A")*8+($AD27:$AJ27="J")*5+($AD27:$AJ27="E")*4+($AD27:$AJ27="P")*6+($AD27:$AJ27="R")*6)</f>
        <v/>
      </c>
      <c r="BI27" s="110">
        <f>SUMPRODUCT(($AK27:$AL27="M")*6+($AK27:$AL27="T")*6+($AK27:$AL27="D")*12+($AK27:$AL27="N")*12+($AK27:$AL27="NT")*6+($AK27:$AL27="C")*10+($AK27:$AL27="A")*8+($AK27:$AL27="J")*5+($AK27:$AL27="E")*4+($AK27:$AL27="P")*6+($AK27:$AL27="R")*6)+SUMPRODUCT(($AN27:$AR27="M")*6+($AN27:$AR27="T")*6+($AN27:$AR27="D")*12+($AN27:$AR27="N")*12+($AN27:$AR27="NT")*6+($AN27:$AR27="C")*10+($AN27:$AR27="A")*8+($AN27:$AR27="J")*5+($AN27:$AR27="E")*4+($AN27:$AR27="P")*6+($AN27:$AR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15" t="inlineStr">
        <is>
          <t>D</t>
        </is>
      </c>
      <c r="J28" s="107" t="n"/>
      <c r="K28" s="107" t="n"/>
      <c r="L28" s="107" t="n"/>
      <c r="M28" s="116" t="inlineStr">
        <is>
          <t>N</t>
        </is>
      </c>
      <c r="N28" s="107" t="n"/>
      <c r="O28" s="115" t="inlineStr">
        <is>
          <t>D</t>
        </is>
      </c>
      <c r="P28" s="107" t="n"/>
      <c r="Q28" s="117" t="inlineStr">
        <is>
          <t>T</t>
        </is>
      </c>
      <c r="R28" s="117" t="inlineStr">
        <is>
          <t>T</t>
        </is>
      </c>
      <c r="S28" s="116" t="inlineStr">
        <is>
          <t>N</t>
        </is>
      </c>
      <c r="T28" s="107" t="n"/>
      <c r="U28" s="108" t="inlineStr">
        <is>
          <t>M</t>
        </is>
      </c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23">
        <f>IFERROR(INDEX(JUL!I$8:I$73,MATCH($A28,JUL!$A$8:$A$73,0))&amp;"","")</f>
        <v/>
      </c>
      <c r="AO28" s="123">
        <f>IFERROR(INDEX(JUL!J$8:J$73,MATCH($A28,JUL!$A$8:$A$73,0))&amp;"","")</f>
        <v/>
      </c>
      <c r="AP28" s="123">
        <f>IFERROR(INDEX(JUL!K$8:K$73,MATCH($A28,JUL!$A$8:$A$73,0))&amp;"","")</f>
        <v/>
      </c>
      <c r="AQ28" s="109">
        <f>IFERROR(INDEX(JUL!L$8:L$73,MATCH($A28,JUL!$A$8:$A$73,0))&amp;"","")</f>
        <v/>
      </c>
      <c r="AR28" s="109">
        <f>IFERROR(INDEX(JUL!M$8:M$73,MATCH($A28,JUL!$A$8:$A$73,0))&amp;"","")</f>
        <v/>
      </c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SUMPRODUCT(($I28:$O28="M")*6+($I28:$O28="T")*6+($I28:$O28="D")*12+($I28:$O28="N")*12+($I28:$O28="NT")*6+($I28:$O28="C")*10+($I28:$O28="A")*8+($I28:$O28="J")*5+($I28:$O28="E")*4+($I28:$O28="P")*6+($I28:$O28="R")*6)</f>
        <v/>
      </c>
      <c r="BF28" s="110">
        <f>SUMPRODUCT(($P28:$V28="M")*6+($P28:$V28="T")*6+($P28:$V28="D")*12+($P28:$V28="N")*12+($P28:$V28="NT")*6+($P28:$V28="C")*10+($P28:$V28="A")*8+($P28:$V28="J")*5+($P28:$V28="E")*4+($P28:$V28="P")*6+($P28:$V28="R")*6)</f>
        <v/>
      </c>
      <c r="BG28" s="110">
        <f>SUMPRODUCT(($W28:$AC28="M")*6+($W28:$AC28="T")*6+($W28:$AC28="D")*12+($W28:$AC28="N")*12+($W28:$AC28="NT")*6+($W28:$AC28="C")*10+($W28:$AC28="A")*8+($W28:$AC28="J")*5+($W28:$AC28="E")*4+($W28:$AC28="P")*6+($W28:$AC28="R")*6)</f>
        <v/>
      </c>
      <c r="BH28" s="110">
        <f>SUMPRODUCT(($AD28:$AJ28="M")*6+($AD28:$AJ28="T")*6+($AD28:$AJ28="D")*12+($AD28:$AJ28="N")*12+($AD28:$AJ28="NT")*6+($AD28:$AJ28="C")*10+($AD28:$AJ28="A")*8+($AD28:$AJ28="J")*5+($AD28:$AJ28="E")*4+($AD28:$AJ28="P")*6+($AD28:$AJ28="R")*6)</f>
        <v/>
      </c>
      <c r="BI28" s="110">
        <f>SUMPRODUCT(($AK28:$AL28="M")*6+($AK28:$AL28="T")*6+($AK28:$AL28="D")*12+($AK28:$AL28="N")*12+($AK28:$AL28="NT")*6+($AK28:$AL28="C")*10+($AK28:$AL28="A")*8+($AK28:$AL28="J")*5+($AK28:$AL28="E")*4+($AK28:$AL28="P")*6+($AK28:$AL28="R")*6)+SUMPRODUCT(($AN28:$AR28="M")*6+($AN28:$AR28="T")*6+($AN28:$AR28="D")*12+($AN28:$AR28="N")*12+($AN28:$AR28="NT")*6+($AN28:$AR28="C")*10+($AN28:$AR28="A")*8+($AN28:$AR28="J")*5+($AN28:$AR28="E")*4+($AN28:$AR28="P")*6+($AN28:$AR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16" t="inlineStr">
        <is>
          <t>N</t>
        </is>
      </c>
      <c r="J29" s="107" t="n"/>
      <c r="K29" s="108" t="inlineStr">
        <is>
          <t>M</t>
        </is>
      </c>
      <c r="L29" s="108" t="inlineStr">
        <is>
          <t>M</t>
        </is>
      </c>
      <c r="M29" s="107" t="n"/>
      <c r="N29" s="108" t="inlineStr">
        <is>
          <t>M</t>
        </is>
      </c>
      <c r="O29" s="107" t="n"/>
      <c r="P29" s="116" t="inlineStr">
        <is>
          <t>N</t>
        </is>
      </c>
      <c r="Q29" s="107" t="n"/>
      <c r="R29" s="108" t="inlineStr">
        <is>
          <t>M</t>
        </is>
      </c>
      <c r="S29" s="108" t="inlineStr">
        <is>
          <t>M</t>
        </is>
      </c>
      <c r="T29" s="107" t="n"/>
      <c r="U29" s="108" t="inlineStr">
        <is>
          <t>M</t>
        </is>
      </c>
      <c r="V29" s="107" t="n"/>
      <c r="W29" s="116" t="inlineStr">
        <is>
          <t>N</t>
        </is>
      </c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8" t="inlineStr">
        <is>
          <t>M</t>
        </is>
      </c>
      <c r="AC29" s="107" t="n"/>
      <c r="AD29" s="116" t="inlineStr">
        <is>
          <t>N</t>
        </is>
      </c>
      <c r="AE29" s="107" t="n"/>
      <c r="AF29" s="108" t="inlineStr">
        <is>
          <t>M</t>
        </is>
      </c>
      <c r="AG29" s="108" t="inlineStr">
        <is>
          <t>M</t>
        </is>
      </c>
      <c r="AH29" s="107" t="n"/>
      <c r="AI29" s="108" t="inlineStr">
        <is>
          <t>M</t>
        </is>
      </c>
      <c r="AJ29" s="107" t="n"/>
      <c r="AK29" s="107" t="n"/>
      <c r="AL29" s="107" t="n"/>
      <c r="AM29" s="96" t="n"/>
      <c r="AN29" s="123">
        <f>IFERROR(INDEX(JUL!I$8:I$73,MATCH($A29,JUL!$A$8:$A$73,0))&amp;"","")</f>
        <v/>
      </c>
      <c r="AO29" s="123">
        <f>IFERROR(INDEX(JUL!J$8:J$73,MATCH($A29,JUL!$A$8:$A$73,0))&amp;"","")</f>
        <v/>
      </c>
      <c r="AP29" s="123">
        <f>IFERROR(INDEX(JUL!K$8:K$73,MATCH($A29,JUL!$A$8:$A$73,0))&amp;"","")</f>
        <v/>
      </c>
      <c r="AQ29" s="109">
        <f>IFERROR(INDEX(JUL!L$8:L$73,MATCH($A29,JUL!$A$8:$A$73,0))&amp;"","")</f>
        <v/>
      </c>
      <c r="AR29" s="109">
        <f>IFERROR(INDEX(JUL!M$8:M$73,MATCH($A29,JUL!$A$8:$A$73,0))&amp;"","")</f>
        <v/>
      </c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SUMPRODUCT(($I29:$O29="M")*6+($I29:$O29="T")*6+($I29:$O29="D")*12+($I29:$O29="N")*12+($I29:$O29="NT")*6+($I29:$O29="C")*10+($I29:$O29="A")*8+($I29:$O29="J")*5+($I29:$O29="E")*4+($I29:$O29="P")*6+($I29:$O29="R")*6)</f>
        <v/>
      </c>
      <c r="BF29" s="110">
        <f>SUMPRODUCT(($P29:$V29="M")*6+($P29:$V29="T")*6+($P29:$V29="D")*12+($P29:$V29="N")*12+($P29:$V29="NT")*6+($P29:$V29="C")*10+($P29:$V29="A")*8+($P29:$V29="J")*5+($P29:$V29="E")*4+($P29:$V29="P")*6+($P29:$V29="R")*6)</f>
        <v/>
      </c>
      <c r="BG29" s="110">
        <f>SUMPRODUCT(($W29:$AC29="M")*6+($W29:$AC29="T")*6+($W29:$AC29="D")*12+($W29:$AC29="N")*12+($W29:$AC29="NT")*6+($W29:$AC29="C")*10+($W29:$AC29="A")*8+($W29:$AC29="J")*5+($W29:$AC29="E")*4+($W29:$AC29="P")*6+($W29:$AC29="R")*6)</f>
        <v/>
      </c>
      <c r="BH29" s="110">
        <f>SUMPRODUCT(($AD29:$AJ29="M")*6+($AD29:$AJ29="T")*6+($AD29:$AJ29="D")*12+($AD29:$AJ29="N")*12+($AD29:$AJ29="NT")*6+($AD29:$AJ29="C")*10+($AD29:$AJ29="A")*8+($AD29:$AJ29="J")*5+($AD29:$AJ29="E")*4+($AD29:$AJ29="P")*6+($AD29:$AJ29="R")*6)</f>
        <v/>
      </c>
      <c r="BI29" s="110">
        <f>SUMPRODUCT(($AK29:$AL29="M")*6+($AK29:$AL29="T")*6+($AK29:$AL29="D")*12+($AK29:$AL29="N")*12+($AK29:$AL29="NT")*6+($AK29:$AL29="C")*10+($AK29:$AL29="A")*8+($AK29:$AL29="J")*5+($AK29:$AL29="E")*4+($AK29:$AL29="P")*6+($AK29:$AL29="R")*6)+SUMPRODUCT(($AN29:$AR29="M")*6+($AN29:$AR29="T")*6+($AN29:$AR29="D")*12+($AN29:$AR29="N")*12+($AN29:$AR29="NT")*6+($AN29:$AR29="C")*10+($AN29:$AR29="A")*8+($AN29:$AR29="J")*5+($AN29:$AR29="E")*4+($AN29:$AR29="P")*6+($AN29:$AR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17" t="inlineStr">
        <is>
          <t>T</t>
        </is>
      </c>
      <c r="K30" s="115" t="inlineStr">
        <is>
          <t>D</t>
        </is>
      </c>
      <c r="L30" s="117" t="inlineStr">
        <is>
          <t>T</t>
        </is>
      </c>
      <c r="M30" s="107" t="n"/>
      <c r="N30" s="107" t="n"/>
      <c r="O30" s="107" t="n"/>
      <c r="P30" s="107" t="n"/>
      <c r="Q30" s="107" t="n"/>
      <c r="R30" s="116" t="inlineStr">
        <is>
          <t>N</t>
        </is>
      </c>
      <c r="S30" s="107" t="n"/>
      <c r="T30" s="117" t="inlineStr">
        <is>
          <t>T</t>
        </is>
      </c>
      <c r="U30" s="107" t="n"/>
      <c r="V30" s="116" t="inlineStr">
        <is>
          <t>N</t>
        </is>
      </c>
      <c r="W30" s="107" t="n"/>
      <c r="X30" s="107" t="n"/>
      <c r="Y30" s="117" t="inlineStr">
        <is>
          <t>T</t>
        </is>
      </c>
      <c r="Z30" s="117" t="inlineStr">
        <is>
          <t>T</t>
        </is>
      </c>
      <c r="AA30" s="117" t="inlineStr">
        <is>
          <t>T</t>
        </is>
      </c>
      <c r="AB30" s="107" t="n"/>
      <c r="AC30" s="116" t="inlineStr">
        <is>
          <t>N</t>
        </is>
      </c>
      <c r="AD30" s="107" t="n"/>
      <c r="AE30" s="107" t="n"/>
      <c r="AF30" s="116" t="inlineStr">
        <is>
          <t>N</t>
        </is>
      </c>
      <c r="AG30" s="107" t="n"/>
      <c r="AH30" s="117" t="inlineStr">
        <is>
          <t>T</t>
        </is>
      </c>
      <c r="AI30" s="107" t="n"/>
      <c r="AJ30" s="116" t="inlineStr">
        <is>
          <t>N</t>
        </is>
      </c>
      <c r="AK30" s="107" t="n"/>
      <c r="AL30" s="107" t="n"/>
      <c r="AM30" s="96" t="n"/>
      <c r="AN30" s="123">
        <f>IFERROR(INDEX(JUL!I$8:I$73,MATCH($A30,JUL!$A$8:$A$73,0))&amp;"","")</f>
        <v/>
      </c>
      <c r="AO30" s="123">
        <f>IFERROR(INDEX(JUL!J$8:J$73,MATCH($A30,JUL!$A$8:$A$73,0))&amp;"","")</f>
        <v/>
      </c>
      <c r="AP30" s="123">
        <f>IFERROR(INDEX(JUL!K$8:K$73,MATCH($A30,JUL!$A$8:$A$73,0))&amp;"","")</f>
        <v/>
      </c>
      <c r="AQ30" s="109">
        <f>IFERROR(INDEX(JUL!L$8:L$73,MATCH($A30,JUL!$A$8:$A$73,0))&amp;"","")</f>
        <v/>
      </c>
      <c r="AR30" s="109">
        <f>IFERROR(INDEX(JUL!M$8:M$73,MATCH($A30,JUL!$A$8:$A$73,0))&amp;"","")</f>
        <v/>
      </c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SUMPRODUCT(($I30:$O30="M")*6+($I30:$O30="T")*6+($I30:$O30="D")*12+($I30:$O30="N")*12+($I30:$O30="NT")*6+($I30:$O30="C")*10+($I30:$O30="A")*8+($I30:$O30="J")*5+($I30:$O30="E")*4+($I30:$O30="P")*6+($I30:$O30="R")*6)</f>
        <v/>
      </c>
      <c r="BF30" s="110">
        <f>SUMPRODUCT(($P30:$V30="M")*6+($P30:$V30="T")*6+($P30:$V30="D")*12+($P30:$V30="N")*12+($P30:$V30="NT")*6+($P30:$V30="C")*10+($P30:$V30="A")*8+($P30:$V30="J")*5+($P30:$V30="E")*4+($P30:$V30="P")*6+($P30:$V30="R")*6)</f>
        <v/>
      </c>
      <c r="BG30" s="110">
        <f>SUMPRODUCT(($W30:$AC30="M")*6+($W30:$AC30="T")*6+($W30:$AC30="D")*12+($W30:$AC30="N")*12+($W30:$AC30="NT")*6+($W30:$AC30="C")*10+($W30:$AC30="A")*8+($W30:$AC30="J")*5+($W30:$AC30="E")*4+($W30:$AC30="P")*6+($W30:$AC30="R")*6)</f>
        <v/>
      </c>
      <c r="BH30" s="110">
        <f>SUMPRODUCT(($AD30:$AJ30="M")*6+($AD30:$AJ30="T")*6+($AD30:$AJ30="D")*12+($AD30:$AJ30="N")*12+($AD30:$AJ30="NT")*6+($AD30:$AJ30="C")*10+($AD30:$AJ30="A")*8+($AD30:$AJ30="J")*5+($AD30:$AJ30="E")*4+($AD30:$AJ30="P")*6+($AD30:$AJ30="R")*6)</f>
        <v/>
      </c>
      <c r="BI30" s="110">
        <f>SUMPRODUCT(($AK30:$AL30="M")*6+($AK30:$AL30="T")*6+($AK30:$AL30="D")*12+($AK30:$AL30="N")*12+($AK30:$AL30="NT")*6+($AK30:$AL30="C")*10+($AK30:$AL30="A")*8+($AK30:$AL30="J")*5+($AK30:$AL30="E")*4+($AK30:$AL30="P")*6+($AK30:$AL30="R")*6)+SUMPRODUCT(($AN30:$AR30="M")*6+($AN30:$AR30="T")*6+($AN30:$AR30="D")*12+($AN30:$AR30="N")*12+($AN30:$AR30="NT")*6+($AN30:$AR30="C")*10+($AN30:$AR30="A")*8+($AN30:$AR30="J")*5+($AN30:$AR30="E")*4+($AN30:$AR30="P")*6+($AN30:$AR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15" t="inlineStr">
        <is>
          <t>D</t>
        </is>
      </c>
      <c r="J31" s="107" t="n"/>
      <c r="K31" s="107" t="n"/>
      <c r="L31" s="107" t="n"/>
      <c r="M31" s="107" t="n"/>
      <c r="N31" s="115" t="inlineStr">
        <is>
          <t>D</t>
        </is>
      </c>
      <c r="O31" s="115" t="inlineStr">
        <is>
          <t>D</t>
        </is>
      </c>
      <c r="P31" s="107" t="n"/>
      <c r="Q31" s="115" t="inlineStr">
        <is>
          <t>D</t>
        </is>
      </c>
      <c r="R31" s="115" t="inlineStr">
        <is>
          <t>D</t>
        </is>
      </c>
      <c r="S31" s="108" t="inlineStr">
        <is>
          <t>M</t>
        </is>
      </c>
      <c r="T31" s="107" t="n"/>
      <c r="U31" s="107" t="n"/>
      <c r="V31" s="107" t="n"/>
      <c r="W31" s="117" t="inlineStr">
        <is>
          <t>T</t>
        </is>
      </c>
      <c r="X31" s="117" t="inlineStr">
        <is>
          <t>T</t>
        </is>
      </c>
      <c r="Y31" s="108" t="inlineStr">
        <is>
          <t>M</t>
        </is>
      </c>
      <c r="Z31" s="107" t="n"/>
      <c r="AA31" s="108" t="inlineStr">
        <is>
          <t>M</t>
        </is>
      </c>
      <c r="AB31" s="107" t="n"/>
      <c r="AC31" s="116" t="inlineStr">
        <is>
          <t>N</t>
        </is>
      </c>
      <c r="AD31" s="117" t="inlineStr">
        <is>
          <t>T</t>
        </is>
      </c>
      <c r="AE31" s="108" t="inlineStr">
        <is>
          <t>M</t>
        </is>
      </c>
      <c r="AF31" s="117" t="inlineStr">
        <is>
          <t>T</t>
        </is>
      </c>
      <c r="AG31" s="108" t="inlineStr">
        <is>
          <t>M</t>
        </is>
      </c>
      <c r="AH31" s="116" t="inlineStr">
        <is>
          <t>N</t>
        </is>
      </c>
      <c r="AI31" s="107" t="n"/>
      <c r="AJ31" s="107" t="n"/>
      <c r="AK31" s="116" t="inlineStr">
        <is>
          <t>N</t>
        </is>
      </c>
      <c r="AL31" s="117" t="inlineStr">
        <is>
          <t>T</t>
        </is>
      </c>
      <c r="AM31" s="96" t="n"/>
      <c r="AN31" s="123">
        <f>IFERROR(INDEX(JUL!I$8:I$73,MATCH($A31,JUL!$A$8:$A$73,0))&amp;"","")</f>
        <v/>
      </c>
      <c r="AO31" s="123">
        <f>IFERROR(INDEX(JUL!J$8:J$73,MATCH($A31,JUL!$A$8:$A$73,0))&amp;"","")</f>
        <v/>
      </c>
      <c r="AP31" s="123">
        <f>IFERROR(INDEX(JUL!K$8:K$73,MATCH($A31,JUL!$A$8:$A$73,0))&amp;"","")</f>
        <v/>
      </c>
      <c r="AQ31" s="109">
        <f>IFERROR(INDEX(JUL!L$8:L$73,MATCH($A31,JUL!$A$8:$A$73,0))&amp;"","")</f>
        <v/>
      </c>
      <c r="AR31" s="109">
        <f>IFERROR(INDEX(JUL!M$8:M$73,MATCH($A31,JUL!$A$8:$A$73,0))&amp;"","")</f>
        <v/>
      </c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SUMPRODUCT(($I31:$O31="M")*6+($I31:$O31="T")*6+($I31:$O31="D")*12+($I31:$O31="N")*12+($I31:$O31="NT")*6+($I31:$O31="C")*10+($I31:$O31="A")*8+($I31:$O31="J")*5+($I31:$O31="E")*4+($I31:$O31="P")*6+($I31:$O31="R")*6)</f>
        <v/>
      </c>
      <c r="BF31" s="110">
        <f>SUMPRODUCT(($P31:$V31="M")*6+($P31:$V31="T")*6+($P31:$V31="D")*12+($P31:$V31="N")*12+($P31:$V31="NT")*6+($P31:$V31="C")*10+($P31:$V31="A")*8+($P31:$V31="J")*5+($P31:$V31="E")*4+($P31:$V31="P")*6+($P31:$V31="R")*6)</f>
        <v/>
      </c>
      <c r="BG31" s="110">
        <f>SUMPRODUCT(($W31:$AC31="M")*6+($W31:$AC31="T")*6+($W31:$AC31="D")*12+($W31:$AC31="N")*12+($W31:$AC31="NT")*6+($W31:$AC31="C")*10+($W31:$AC31="A")*8+($W31:$AC31="J")*5+($W31:$AC31="E")*4+($W31:$AC31="P")*6+($W31:$AC31="R")*6)</f>
        <v/>
      </c>
      <c r="BH31" s="110">
        <f>SUMPRODUCT(($AD31:$AJ31="M")*6+($AD31:$AJ31="T")*6+($AD31:$AJ31="D")*12+($AD31:$AJ31="N")*12+($AD31:$AJ31="NT")*6+($AD31:$AJ31="C")*10+($AD31:$AJ31="A")*8+($AD31:$AJ31="J")*5+($AD31:$AJ31="E")*4+($AD31:$AJ31="P")*6+($AD31:$AJ31="R")*6)</f>
        <v/>
      </c>
      <c r="BI31" s="110">
        <f>SUMPRODUCT(($AK31:$AL31="M")*6+($AK31:$AL31="T")*6+($AK31:$AL31="D")*12+($AK31:$AL31="N")*12+($AK31:$AL31="NT")*6+($AK31:$AL31="C")*10+($AK31:$AL31="A")*8+($AK31:$AL31="J")*5+($AK31:$AL31="E")*4+($AK31:$AL31="P")*6+($AK31:$AL31="R")*6)+SUMPRODUCT(($AN31:$AR31="M")*6+($AN31:$AR31="T")*6+($AN31:$AR31="D")*12+($AN31:$AR31="N")*12+($AN31:$AR31="NT")*6+($AN31:$AR31="C")*10+($AN31:$AR31="A")*8+($AN31:$AR31="J")*5+($AN31:$AR31="E")*4+($AN31:$AR31="P")*6+($AN31:$AR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15" t="inlineStr">
        <is>
          <t>D</t>
        </is>
      </c>
      <c r="J32" s="117" t="inlineStr">
        <is>
          <t>T</t>
        </is>
      </c>
      <c r="K32" s="116" t="inlineStr">
        <is>
          <t>N</t>
        </is>
      </c>
      <c r="L32" s="107" t="n"/>
      <c r="M32" s="107" t="n"/>
      <c r="N32" s="107" t="n"/>
      <c r="O32" s="107" t="n"/>
      <c r="P32" s="116" t="inlineStr">
        <is>
          <t>N</t>
        </is>
      </c>
      <c r="Q32" s="117" t="inlineStr">
        <is>
          <t>T</t>
        </is>
      </c>
      <c r="R32" s="107" t="n"/>
      <c r="S32" s="107" t="n"/>
      <c r="T32" s="107" t="n"/>
      <c r="U32" s="107" t="n"/>
      <c r="V32" s="115" t="inlineStr">
        <is>
          <t>D</t>
        </is>
      </c>
      <c r="W32" s="116" t="inlineStr">
        <is>
          <t>N</t>
        </is>
      </c>
      <c r="X32" s="107" t="n"/>
      <c r="Y32" s="107" t="n"/>
      <c r="Z32" s="116" t="inlineStr">
        <is>
          <t>N</t>
        </is>
      </c>
      <c r="AA32" s="107" t="n"/>
      <c r="AB32" s="107" t="n"/>
      <c r="AC32" s="108" t="inlineStr">
        <is>
          <t>M</t>
        </is>
      </c>
      <c r="AD32" s="116" t="inlineStr">
        <is>
          <t>N</t>
        </is>
      </c>
      <c r="AE32" s="117" t="inlineStr">
        <is>
          <t>T</t>
        </is>
      </c>
      <c r="AF32" s="107" t="n"/>
      <c r="AG32" s="117" t="inlineStr">
        <is>
          <t>T</t>
        </is>
      </c>
      <c r="AH32" s="117" t="inlineStr">
        <is>
          <t>T</t>
        </is>
      </c>
      <c r="AI32" s="107" t="n"/>
      <c r="AJ32" s="107" t="n"/>
      <c r="AK32" s="115" t="inlineStr">
        <is>
          <t>D</t>
        </is>
      </c>
      <c r="AL32" s="107" t="n"/>
      <c r="AM32" s="96" t="n"/>
      <c r="AN32" s="123">
        <f>IFERROR(INDEX(JUL!I$8:I$73,MATCH($A32,JUL!$A$8:$A$73,0))&amp;"","")</f>
        <v/>
      </c>
      <c r="AO32" s="123">
        <f>IFERROR(INDEX(JUL!J$8:J$73,MATCH($A32,JUL!$A$8:$A$73,0))&amp;"","")</f>
        <v/>
      </c>
      <c r="AP32" s="123">
        <f>IFERROR(INDEX(JUL!K$8:K$73,MATCH($A32,JUL!$A$8:$A$73,0))&amp;"","")</f>
        <v/>
      </c>
      <c r="AQ32" s="109">
        <f>IFERROR(INDEX(JUL!L$8:L$73,MATCH($A32,JUL!$A$8:$A$73,0))&amp;"","")</f>
        <v/>
      </c>
      <c r="AR32" s="109">
        <f>IFERROR(INDEX(JUL!M$8:M$73,MATCH($A32,JUL!$A$8:$A$73,0))&amp;"","")</f>
        <v/>
      </c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SUMPRODUCT(($I32:$O32="M")*6+($I32:$O32="T")*6+($I32:$O32="D")*12+($I32:$O32="N")*12+($I32:$O32="NT")*6+($I32:$O32="C")*10+($I32:$O32="A")*8+($I32:$O32="J")*5+($I32:$O32="E")*4+($I32:$O32="P")*6+($I32:$O32="R")*6)</f>
        <v/>
      </c>
      <c r="BF32" s="110">
        <f>SUMPRODUCT(($P32:$V32="M")*6+($P32:$V32="T")*6+($P32:$V32="D")*12+($P32:$V32="N")*12+($P32:$V32="NT")*6+($P32:$V32="C")*10+($P32:$V32="A")*8+($P32:$V32="J")*5+($P32:$V32="E")*4+($P32:$V32="P")*6+($P32:$V32="R")*6)</f>
        <v/>
      </c>
      <c r="BG32" s="110">
        <f>SUMPRODUCT(($W32:$AC32="M")*6+($W32:$AC32="T")*6+($W32:$AC32="D")*12+($W32:$AC32="N")*12+($W32:$AC32="NT")*6+($W32:$AC32="C")*10+($W32:$AC32="A")*8+($W32:$AC32="J")*5+($W32:$AC32="E")*4+($W32:$AC32="P")*6+($W32:$AC32="R")*6)</f>
        <v/>
      </c>
      <c r="BH32" s="110">
        <f>SUMPRODUCT(($AD32:$AJ32="M")*6+($AD32:$AJ32="T")*6+($AD32:$AJ32="D")*12+($AD32:$AJ32="N")*12+($AD32:$AJ32="NT")*6+($AD32:$AJ32="C")*10+($AD32:$AJ32="A")*8+($AD32:$AJ32="J")*5+($AD32:$AJ32="E")*4+($AD32:$AJ32="P")*6+($AD32:$AJ32="R")*6)</f>
        <v/>
      </c>
      <c r="BI32" s="110">
        <f>SUMPRODUCT(($AK32:$AL32="M")*6+($AK32:$AL32="T")*6+($AK32:$AL32="D")*12+($AK32:$AL32="N")*12+($AK32:$AL32="NT")*6+($AK32:$AL32="C")*10+($AK32:$AL32="A")*8+($AK32:$AL32="J")*5+($AK32:$AL32="E")*4+($AK32:$AL32="P")*6+($AK32:$AL32="R")*6)+SUMPRODUCT(($AN32:$AR32="M")*6+($AN32:$AR32="T")*6+($AN32:$AR32="D")*12+($AN32:$AR32="N")*12+($AN32:$AR32="NT")*6+($AN32:$AR32="C")*10+($AN32:$AR32="A")*8+($AN32:$AR32="J")*5+($AN32:$AR32="E")*4+($AN32:$AR32="P")*6+($AN32:$AR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3">
        <f>IFERROR(INDEX(JUL!I$8:I$73,MATCH($A33,JUL!$A$8:$A$73,0))&amp;"","")</f>
        <v/>
      </c>
      <c r="AO33" s="123">
        <f>IFERROR(INDEX(JUL!J$8:J$73,MATCH($A33,JUL!$A$8:$A$73,0))&amp;"","")</f>
        <v/>
      </c>
      <c r="AP33" s="123">
        <f>IFERROR(INDEX(JUL!K$8:K$73,MATCH($A33,JUL!$A$8:$A$73,0))&amp;"","")</f>
        <v/>
      </c>
      <c r="AQ33" s="109">
        <f>IFERROR(INDEX(JUL!L$8:L$73,MATCH($A33,JUL!$A$8:$A$73,0))&amp;"","")</f>
        <v/>
      </c>
      <c r="AR33" s="109">
        <f>IFERROR(INDEX(JUL!M$8:M$73,MATCH($A33,JUL!$A$8:$A$73,0))&amp;"","")</f>
        <v/>
      </c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SUMPRODUCT(($I33:$O33="M")*6+($I33:$O33="T")*6+($I33:$O33="D")*12+($I33:$O33="N")*12+($I33:$O33="NT")*6+($I33:$O33="C")*10+($I33:$O33="A")*8+($I33:$O33="J")*5+($I33:$O33="E")*4+($I33:$O33="P")*6+($I33:$O33="R")*6)</f>
        <v/>
      </c>
      <c r="BF33" s="110">
        <f>SUMPRODUCT(($P33:$V33="M")*6+($P33:$V33="T")*6+($P33:$V33="D")*12+($P33:$V33="N")*12+($P33:$V33="NT")*6+($P33:$V33="C")*10+($P33:$V33="A")*8+($P33:$V33="J")*5+($P33:$V33="E")*4+($P33:$V33="P")*6+($P33:$V33="R")*6)</f>
        <v/>
      </c>
      <c r="BG33" s="110">
        <f>SUMPRODUCT(($W33:$AC33="M")*6+($W33:$AC33="T")*6+($W33:$AC33="D")*12+($W33:$AC33="N")*12+($W33:$AC33="NT")*6+($W33:$AC33="C")*10+($W33:$AC33="A")*8+($W33:$AC33="J")*5+($W33:$AC33="E")*4+($W33:$AC33="P")*6+($W33:$AC33="R")*6)</f>
        <v/>
      </c>
      <c r="BH33" s="110">
        <f>SUMPRODUCT(($AD33:$AJ33="M")*6+($AD33:$AJ33="T")*6+($AD33:$AJ33="D")*12+($AD33:$AJ33="N")*12+($AD33:$AJ33="NT")*6+($AD33:$AJ33="C")*10+($AD33:$AJ33="A")*8+($AD33:$AJ33="J")*5+($AD33:$AJ33="E")*4+($AD33:$AJ33="P")*6+($AD33:$AJ33="R")*6)</f>
        <v/>
      </c>
      <c r="BI33" s="110">
        <f>SUMPRODUCT(($AK33:$AL33="M")*6+($AK33:$AL33="T")*6+($AK33:$AL33="D")*12+($AK33:$AL33="N")*12+($AK33:$AL33="NT")*6+($AK33:$AL33="C")*10+($AK33:$AL33="A")*8+($AK33:$AL33="J")*5+($AK33:$AL33="E")*4+($AK33:$AL33="P")*6+($AK33:$AL33="R")*6)+SUMPRODUCT(($AN33:$AR33="M")*6+($AN33:$AR33="T")*6+($AN33:$AR33="D")*12+($AN33:$AR33="N")*12+($AN33:$AR33="NT")*6+($AN33:$AR33="C")*10+($AN33:$AR33="A")*8+($AN33:$AR33="J")*5+($AN33:$AR33="E")*4+($AN33:$AR33="P")*6+($AN33:$AR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5" t="inlineStr">
        <is>
          <t>D</t>
        </is>
      </c>
      <c r="K34" s="117" t="inlineStr">
        <is>
          <t>T</t>
        </is>
      </c>
      <c r="L34" s="115" t="inlineStr">
        <is>
          <t>D</t>
        </is>
      </c>
      <c r="M34" s="107" t="n"/>
      <c r="N34" s="107" t="n"/>
      <c r="O34" s="107" t="n"/>
      <c r="P34" s="107" t="n"/>
      <c r="Q34" s="115" t="inlineStr">
        <is>
          <t>D</t>
        </is>
      </c>
      <c r="R34" s="117" t="inlineStr">
        <is>
          <t>T</t>
        </is>
      </c>
      <c r="S34" s="117" t="inlineStr">
        <is>
          <t>T</t>
        </is>
      </c>
      <c r="T34" s="107" t="n"/>
      <c r="U34" s="107" t="n"/>
      <c r="V34" s="117" t="inlineStr">
        <is>
          <t>T</t>
        </is>
      </c>
      <c r="W34" s="107" t="n"/>
      <c r="X34" s="117" t="inlineStr">
        <is>
          <t>T</t>
        </is>
      </c>
      <c r="Y34" s="107" t="n"/>
      <c r="Z34" s="107" t="n"/>
      <c r="AA34" s="107" t="n"/>
      <c r="AB34" s="115" t="inlineStr">
        <is>
          <t>D</t>
        </is>
      </c>
      <c r="AC34" s="115" t="inlineStr">
        <is>
          <t>D</t>
        </is>
      </c>
      <c r="AD34" s="107" t="n"/>
      <c r="AE34" s="115" t="inlineStr">
        <is>
          <t>D</t>
        </is>
      </c>
      <c r="AF34" s="117" t="inlineStr">
        <is>
          <t>T</t>
        </is>
      </c>
      <c r="AG34" s="115" t="inlineStr">
        <is>
          <t>D</t>
        </is>
      </c>
      <c r="AH34" s="107" t="n"/>
      <c r="AI34" s="107" t="n"/>
      <c r="AJ34" s="107" t="n"/>
      <c r="AK34" s="107" t="n"/>
      <c r="AL34" s="115" t="inlineStr">
        <is>
          <t>D</t>
        </is>
      </c>
      <c r="AM34" s="96" t="n"/>
      <c r="AN34" s="123">
        <f>IFERROR(INDEX(JUL!I$8:I$73,MATCH($A34,JUL!$A$8:$A$73,0))&amp;"","")</f>
        <v/>
      </c>
      <c r="AO34" s="123">
        <f>IFERROR(INDEX(JUL!J$8:J$73,MATCH($A34,JUL!$A$8:$A$73,0))&amp;"","")</f>
        <v/>
      </c>
      <c r="AP34" s="123">
        <f>IFERROR(INDEX(JUL!K$8:K$73,MATCH($A34,JUL!$A$8:$A$73,0))&amp;"","")</f>
        <v/>
      </c>
      <c r="AQ34" s="109">
        <f>IFERROR(INDEX(JUL!L$8:L$73,MATCH($A34,JUL!$A$8:$A$73,0))&amp;"","")</f>
        <v/>
      </c>
      <c r="AR34" s="109">
        <f>IFERROR(INDEX(JUL!M$8:M$73,MATCH($A34,JUL!$A$8:$A$73,0))&amp;"","")</f>
        <v/>
      </c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SUMPRODUCT(($I34:$O34="M")*6+($I34:$O34="T")*6+($I34:$O34="D")*12+($I34:$O34="N")*12+($I34:$O34="NT")*6+($I34:$O34="C")*10+($I34:$O34="A")*8+($I34:$O34="J")*5+($I34:$O34="E")*4+($I34:$O34="P")*6+($I34:$O34="R")*6)</f>
        <v/>
      </c>
      <c r="BF34" s="110">
        <f>SUMPRODUCT(($P34:$V34="M")*6+($P34:$V34="T")*6+($P34:$V34="D")*12+($P34:$V34="N")*12+($P34:$V34="NT")*6+($P34:$V34="C")*10+($P34:$V34="A")*8+($P34:$V34="J")*5+($P34:$V34="E")*4+($P34:$V34="P")*6+($P34:$V34="R")*6)</f>
        <v/>
      </c>
      <c r="BG34" s="110">
        <f>SUMPRODUCT(($W34:$AC34="M")*6+($W34:$AC34="T")*6+($W34:$AC34="D")*12+($W34:$AC34="N")*12+($W34:$AC34="NT")*6+($W34:$AC34="C")*10+($W34:$AC34="A")*8+($W34:$AC34="J")*5+($W34:$AC34="E")*4+($W34:$AC34="P")*6+($W34:$AC34="R")*6)</f>
        <v/>
      </c>
      <c r="BH34" s="110">
        <f>SUMPRODUCT(($AD34:$AJ34="M")*6+($AD34:$AJ34="T")*6+($AD34:$AJ34="D")*12+($AD34:$AJ34="N")*12+($AD34:$AJ34="NT")*6+($AD34:$AJ34="C")*10+($AD34:$AJ34="A")*8+($AD34:$AJ34="J")*5+($AD34:$AJ34="E")*4+($AD34:$AJ34="P")*6+($AD34:$AJ34="R")*6)</f>
        <v/>
      </c>
      <c r="BI34" s="110">
        <f>SUMPRODUCT(($AK34:$AL34="M")*6+($AK34:$AL34="T")*6+($AK34:$AL34="D")*12+($AK34:$AL34="N")*12+($AK34:$AL34="NT")*6+($AK34:$AL34="C")*10+($AK34:$AL34="A")*8+($AK34:$AL34="J")*5+($AK34:$AL34="E")*4+($AK34:$AL34="P")*6+($AK34:$AL34="R")*6)+SUMPRODUCT(($AN34:$AR34="M")*6+($AN34:$AR34="T")*6+($AN34:$AR34="D")*12+($AN34:$AR34="N")*12+($AN34:$AR34="NT")*6+($AN34:$AR34="C")*10+($AN34:$AR34="A")*8+($AN34:$AR34="J")*5+($AN34:$AR34="E")*4+($AN34:$AR34="P")*6+($AN34:$AR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16" t="inlineStr">
        <is>
          <t>N</t>
        </is>
      </c>
      <c r="J35" s="107" t="n"/>
      <c r="K35" s="116" t="inlineStr">
        <is>
          <t>N</t>
        </is>
      </c>
      <c r="L35" s="107" t="n"/>
      <c r="M35" s="108" t="inlineStr">
        <is>
          <t>M</t>
        </is>
      </c>
      <c r="N35" s="107" t="n"/>
      <c r="O35" s="107" t="n"/>
      <c r="P35" s="117" t="inlineStr">
        <is>
          <t>T</t>
        </is>
      </c>
      <c r="Q35" s="117" t="inlineStr">
        <is>
          <t>T</t>
        </is>
      </c>
      <c r="R35" s="107" t="n"/>
      <c r="S35" s="117" t="inlineStr">
        <is>
          <t>T</t>
        </is>
      </c>
      <c r="T35" s="107" t="n"/>
      <c r="U35" s="107" t="n"/>
      <c r="V35" s="116" t="inlineStr">
        <is>
          <t>N</t>
        </is>
      </c>
      <c r="W35" s="116" t="inlineStr">
        <is>
          <t>N</t>
        </is>
      </c>
      <c r="X35" s="107" t="n"/>
      <c r="Y35" s="107" t="n"/>
      <c r="Z35" s="117" t="inlineStr">
        <is>
          <t>T</t>
        </is>
      </c>
      <c r="AA35" s="116" t="inlineStr">
        <is>
          <t>N</t>
        </is>
      </c>
      <c r="AB35" s="107" t="n"/>
      <c r="AC35" s="107" t="n"/>
      <c r="AD35" s="107" t="n"/>
      <c r="AE35" s="107" t="n"/>
      <c r="AF35" s="107" t="n"/>
      <c r="AG35" s="116" t="inlineStr">
        <is>
          <t>N</t>
        </is>
      </c>
      <c r="AH35" s="107" t="n"/>
      <c r="AI35" s="117" t="inlineStr">
        <is>
          <t>T</t>
        </is>
      </c>
      <c r="AJ35" s="116" t="inlineStr">
        <is>
          <t>N</t>
        </is>
      </c>
      <c r="AK35" s="107" t="n"/>
      <c r="AL35" s="117" t="inlineStr">
        <is>
          <t>T</t>
        </is>
      </c>
      <c r="AM35" s="96" t="n"/>
      <c r="AN35" s="123">
        <f>IFERROR(INDEX(JUL!I$8:I$73,MATCH($A35,JUL!$A$8:$A$73,0))&amp;"","")</f>
        <v/>
      </c>
      <c r="AO35" s="123">
        <f>IFERROR(INDEX(JUL!J$8:J$73,MATCH($A35,JUL!$A$8:$A$73,0))&amp;"","")</f>
        <v/>
      </c>
      <c r="AP35" s="123">
        <f>IFERROR(INDEX(JUL!K$8:K$73,MATCH($A35,JUL!$A$8:$A$73,0))&amp;"","")</f>
        <v/>
      </c>
      <c r="AQ35" s="109">
        <f>IFERROR(INDEX(JUL!L$8:L$73,MATCH($A35,JUL!$A$8:$A$73,0))&amp;"","")</f>
        <v/>
      </c>
      <c r="AR35" s="109">
        <f>IFERROR(INDEX(JUL!M$8:M$73,MATCH($A35,JUL!$A$8:$A$73,0))&amp;"","")</f>
        <v/>
      </c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SUMPRODUCT(($I35:$O35="M")*6+($I35:$O35="T")*6+($I35:$O35="D")*12+($I35:$O35="N")*12+($I35:$O35="NT")*6+($I35:$O35="C")*10+($I35:$O35="A")*8+($I35:$O35="J")*5+($I35:$O35="E")*4+($I35:$O35="P")*6+($I35:$O35="R")*6)</f>
        <v/>
      </c>
      <c r="BF35" s="110">
        <f>SUMPRODUCT(($P35:$V35="M")*6+($P35:$V35="T")*6+($P35:$V35="D")*12+($P35:$V35="N")*12+($P35:$V35="NT")*6+($P35:$V35="C")*10+($P35:$V35="A")*8+($P35:$V35="J")*5+($P35:$V35="E")*4+($P35:$V35="P")*6+($P35:$V35="R")*6)</f>
        <v/>
      </c>
      <c r="BG35" s="110">
        <f>SUMPRODUCT(($W35:$AC35="M")*6+($W35:$AC35="T")*6+($W35:$AC35="D")*12+($W35:$AC35="N")*12+($W35:$AC35="NT")*6+($W35:$AC35="C")*10+($W35:$AC35="A")*8+($W35:$AC35="J")*5+($W35:$AC35="E")*4+($W35:$AC35="P")*6+($W35:$AC35="R")*6)</f>
        <v/>
      </c>
      <c r="BH35" s="110">
        <f>SUMPRODUCT(($AD35:$AJ35="M")*6+($AD35:$AJ35="T")*6+($AD35:$AJ35="D")*12+($AD35:$AJ35="N")*12+($AD35:$AJ35="NT")*6+($AD35:$AJ35="C")*10+($AD35:$AJ35="A")*8+($AD35:$AJ35="J")*5+($AD35:$AJ35="E")*4+($AD35:$AJ35="P")*6+($AD35:$AJ35="R")*6)</f>
        <v/>
      </c>
      <c r="BI35" s="110">
        <f>SUMPRODUCT(($AK35:$AL35="M")*6+($AK35:$AL35="T")*6+($AK35:$AL35="D")*12+($AK35:$AL35="N")*12+($AK35:$AL35="NT")*6+($AK35:$AL35="C")*10+($AK35:$AL35="A")*8+($AK35:$AL35="J")*5+($AK35:$AL35="E")*4+($AK35:$AL35="P")*6+($AK35:$AL35="R")*6)+SUMPRODUCT(($AN35:$AR35="M")*6+($AN35:$AR35="T")*6+($AN35:$AR35="D")*12+($AN35:$AR35="N")*12+($AN35:$AR35="NT")*6+($AN35:$AR35="C")*10+($AN35:$AR35="A")*8+($AN35:$AR35="J")*5+($AN35:$AR35="E")*4+($AN35:$AR35="P")*6+($AN35:$AR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6" t="inlineStr">
        <is>
          <t>N</t>
        </is>
      </c>
      <c r="K36" s="107" t="n"/>
      <c r="L36" s="107" t="n"/>
      <c r="M36" s="117" t="inlineStr">
        <is>
          <t>T</t>
        </is>
      </c>
      <c r="N36" s="107" t="n"/>
      <c r="O36" s="115" t="inlineStr">
        <is>
          <t>D</t>
        </is>
      </c>
      <c r="P36" s="107" t="n"/>
      <c r="Q36" s="107" t="n"/>
      <c r="R36" s="107" t="n"/>
      <c r="S36" s="117" t="inlineStr">
        <is>
          <t>T</t>
        </is>
      </c>
      <c r="T36" s="117" t="inlineStr">
        <is>
          <t>T</t>
        </is>
      </c>
      <c r="U36" s="115" t="inlineStr">
        <is>
          <t>D</t>
        </is>
      </c>
      <c r="V36" s="108" t="inlineStr">
        <is>
          <t>M</t>
        </is>
      </c>
      <c r="W36" s="107" t="n"/>
      <c r="X36" s="116" t="inlineStr">
        <is>
          <t>N</t>
        </is>
      </c>
      <c r="Y36" s="107" t="n"/>
      <c r="Z36" s="117" t="inlineStr">
        <is>
          <t>T</t>
        </is>
      </c>
      <c r="AA36" s="115" t="inlineStr">
        <is>
          <t>D</t>
        </is>
      </c>
      <c r="AB36" s="107" t="n"/>
      <c r="AC36" s="107" t="n"/>
      <c r="AD36" s="107" t="n"/>
      <c r="AE36" s="107" t="n"/>
      <c r="AF36" s="115" t="inlineStr">
        <is>
          <t>D</t>
        </is>
      </c>
      <c r="AG36" s="117" t="inlineStr">
        <is>
          <t>T</t>
        </is>
      </c>
      <c r="AH36" s="116" t="inlineStr">
        <is>
          <t>N</t>
        </is>
      </c>
      <c r="AI36" s="107" t="n"/>
      <c r="AJ36" s="107" t="n"/>
      <c r="AK36" s="107" t="n"/>
      <c r="AL36" s="116" t="inlineStr">
        <is>
          <t>N</t>
        </is>
      </c>
      <c r="AM36" s="96" t="n"/>
      <c r="AN36" s="123">
        <f>IFERROR(INDEX(JUL!I$8:I$73,MATCH($A36,JUL!$A$8:$A$73,0))&amp;"","")</f>
        <v/>
      </c>
      <c r="AO36" s="123">
        <f>IFERROR(INDEX(JUL!J$8:J$73,MATCH($A36,JUL!$A$8:$A$73,0))&amp;"","")</f>
        <v/>
      </c>
      <c r="AP36" s="123">
        <f>IFERROR(INDEX(JUL!K$8:K$73,MATCH($A36,JUL!$A$8:$A$73,0))&amp;"","")</f>
        <v/>
      </c>
      <c r="AQ36" s="109">
        <f>IFERROR(INDEX(JUL!L$8:L$73,MATCH($A36,JUL!$A$8:$A$73,0))&amp;"","")</f>
        <v/>
      </c>
      <c r="AR36" s="109">
        <f>IFERROR(INDEX(JUL!M$8:M$73,MATCH($A36,JUL!$A$8:$A$73,0))&amp;"","")</f>
        <v/>
      </c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SUMPRODUCT(($I36:$O36="M")*6+($I36:$O36="T")*6+($I36:$O36="D")*12+($I36:$O36="N")*12+($I36:$O36="NT")*6+($I36:$O36="C")*10+($I36:$O36="A")*8+($I36:$O36="J")*5+($I36:$O36="E")*4+($I36:$O36="P")*6+($I36:$O36="R")*6)</f>
        <v/>
      </c>
      <c r="BF36" s="110">
        <f>SUMPRODUCT(($P36:$V36="M")*6+($P36:$V36="T")*6+($P36:$V36="D")*12+($P36:$V36="N")*12+($P36:$V36="NT")*6+($P36:$V36="C")*10+($P36:$V36="A")*8+($P36:$V36="J")*5+($P36:$V36="E")*4+($P36:$V36="P")*6+($P36:$V36="R")*6)</f>
        <v/>
      </c>
      <c r="BG36" s="110">
        <f>SUMPRODUCT(($W36:$AC36="M")*6+($W36:$AC36="T")*6+($W36:$AC36="D")*12+($W36:$AC36="N")*12+($W36:$AC36="NT")*6+($W36:$AC36="C")*10+($W36:$AC36="A")*8+($W36:$AC36="J")*5+($W36:$AC36="E")*4+($W36:$AC36="P")*6+($W36:$AC36="R")*6)</f>
        <v/>
      </c>
      <c r="BH36" s="110">
        <f>SUMPRODUCT(($AD36:$AJ36="M")*6+($AD36:$AJ36="T")*6+($AD36:$AJ36="D")*12+($AD36:$AJ36="N")*12+($AD36:$AJ36="NT")*6+($AD36:$AJ36="C")*10+($AD36:$AJ36="A")*8+($AD36:$AJ36="J")*5+($AD36:$AJ36="E")*4+($AD36:$AJ36="P")*6+($AD36:$AJ36="R")*6)</f>
        <v/>
      </c>
      <c r="BI36" s="110">
        <f>SUMPRODUCT(($AK36:$AL36="M")*6+($AK36:$AL36="T")*6+($AK36:$AL36="D")*12+($AK36:$AL36="N")*12+($AK36:$AL36="NT")*6+($AK36:$AL36="C")*10+($AK36:$AL36="A")*8+($AK36:$AL36="J")*5+($AK36:$AL36="E")*4+($AK36:$AL36="P")*6+($AK36:$AL36="R")*6)+SUMPRODUCT(($AN36:$AR36="M")*6+($AN36:$AR36="T")*6+($AN36:$AR36="D")*12+($AN36:$AR36="N")*12+($AN36:$AR36="NT")*6+($AN36:$AR36="C")*10+($AN36:$AR36="A")*8+($AN36:$AR36="J")*5+($AN36:$AR36="E")*4+($AN36:$AR36="P")*6+($AN36:$AR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8" t="inlineStr">
        <is>
          <t>M</t>
        </is>
      </c>
      <c r="J37" s="108" t="inlineStr">
        <is>
          <t>M</t>
        </is>
      </c>
      <c r="K37" s="107" t="n"/>
      <c r="L37" s="108" t="inlineStr">
        <is>
          <t>M</t>
        </is>
      </c>
      <c r="M37" s="116" t="inlineStr">
        <is>
          <t>N</t>
        </is>
      </c>
      <c r="N37" s="107" t="n"/>
      <c r="O37" s="107" t="n"/>
      <c r="P37" s="108" t="inlineStr">
        <is>
          <t>M</t>
        </is>
      </c>
      <c r="Q37" s="108" t="inlineStr">
        <is>
          <t>M</t>
        </is>
      </c>
      <c r="R37" s="107" t="n"/>
      <c r="S37" s="107" t="n"/>
      <c r="T37" s="108" t="inlineStr">
        <is>
          <t>M</t>
        </is>
      </c>
      <c r="U37" s="107" t="n"/>
      <c r="V37" s="116" t="inlineStr">
        <is>
          <t>N</t>
        </is>
      </c>
      <c r="W37" s="108" t="inlineStr">
        <is>
          <t>M</t>
        </is>
      </c>
      <c r="X37" s="108" t="inlineStr">
        <is>
          <t>M</t>
        </is>
      </c>
      <c r="Y37" s="116" t="inlineStr">
        <is>
          <t>N</t>
        </is>
      </c>
      <c r="Z37" s="107" t="n"/>
      <c r="AA37" s="108" t="inlineStr">
        <is>
          <t>M</t>
        </is>
      </c>
      <c r="AB37" s="107" t="n"/>
      <c r="AC37" s="107" t="n"/>
      <c r="AD37" s="108" t="inlineStr">
        <is>
          <t>M</t>
        </is>
      </c>
      <c r="AE37" s="108" t="inlineStr">
        <is>
          <t>M</t>
        </is>
      </c>
      <c r="AF37" s="107" t="n"/>
      <c r="AG37" s="107" t="n"/>
      <c r="AH37" s="107" t="n"/>
      <c r="AI37" s="108" t="inlineStr">
        <is>
          <t>M</t>
        </is>
      </c>
      <c r="AJ37" s="116" t="inlineStr">
        <is>
          <t>N</t>
        </is>
      </c>
      <c r="AK37" s="107" t="n"/>
      <c r="AL37" s="108" t="inlineStr">
        <is>
          <t>M</t>
        </is>
      </c>
      <c r="AM37" s="96" t="n"/>
      <c r="AN37" s="123">
        <f>IFERROR(INDEX(JUL!I$8:I$73,MATCH($A37,JUL!$A$8:$A$73,0))&amp;"","")</f>
        <v/>
      </c>
      <c r="AO37" s="123">
        <f>IFERROR(INDEX(JUL!J$8:J$73,MATCH($A37,JUL!$A$8:$A$73,0))&amp;"","")</f>
        <v/>
      </c>
      <c r="AP37" s="123">
        <f>IFERROR(INDEX(JUL!K$8:K$73,MATCH($A37,JUL!$A$8:$A$73,0))&amp;"","")</f>
        <v/>
      </c>
      <c r="AQ37" s="109">
        <f>IFERROR(INDEX(JUL!L$8:L$73,MATCH($A37,JUL!$A$8:$A$73,0))&amp;"","")</f>
        <v/>
      </c>
      <c r="AR37" s="109">
        <f>IFERROR(INDEX(JUL!M$8:M$73,MATCH($A37,JUL!$A$8:$A$73,0))&amp;"","")</f>
        <v/>
      </c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SUMPRODUCT(($I37:$O37="M")*6+($I37:$O37="T")*6+($I37:$O37="D")*12+($I37:$O37="N")*12+($I37:$O37="NT")*6+($I37:$O37="C")*10+($I37:$O37="A")*8+($I37:$O37="J")*5+($I37:$O37="E")*4+($I37:$O37="P")*6+($I37:$O37="R")*6)</f>
        <v/>
      </c>
      <c r="BF37" s="110">
        <f>SUMPRODUCT(($P37:$V37="M")*6+($P37:$V37="T")*6+($P37:$V37="D")*12+($P37:$V37="N")*12+($P37:$V37="NT")*6+($P37:$V37="C")*10+($P37:$V37="A")*8+($P37:$V37="J")*5+($P37:$V37="E")*4+($P37:$V37="P")*6+($P37:$V37="R")*6)</f>
        <v/>
      </c>
      <c r="BG37" s="110">
        <f>SUMPRODUCT(($W37:$AC37="M")*6+($W37:$AC37="T")*6+($W37:$AC37="D")*12+($W37:$AC37="N")*12+($W37:$AC37="NT")*6+($W37:$AC37="C")*10+($W37:$AC37="A")*8+($W37:$AC37="J")*5+($W37:$AC37="E")*4+($W37:$AC37="P")*6+($W37:$AC37="R")*6)</f>
        <v/>
      </c>
      <c r="BH37" s="110">
        <f>SUMPRODUCT(($AD37:$AJ37="M")*6+($AD37:$AJ37="T")*6+($AD37:$AJ37="D")*12+($AD37:$AJ37="N")*12+($AD37:$AJ37="NT")*6+($AD37:$AJ37="C")*10+($AD37:$AJ37="A")*8+($AD37:$AJ37="J")*5+($AD37:$AJ37="E")*4+($AD37:$AJ37="P")*6+($AD37:$AJ37="R")*6)</f>
        <v/>
      </c>
      <c r="BI37" s="110">
        <f>SUMPRODUCT(($AK37:$AL37="M")*6+($AK37:$AL37="T")*6+($AK37:$AL37="D")*12+($AK37:$AL37="N")*12+($AK37:$AL37="NT")*6+($AK37:$AL37="C")*10+($AK37:$AL37="A")*8+($AK37:$AL37="J")*5+($AK37:$AL37="E")*4+($AK37:$AL37="P")*6+($AK37:$AL37="R")*6)+SUMPRODUCT(($AN37:$AR37="M")*6+($AN37:$AR37="T")*6+($AN37:$AR37="D")*12+($AN37:$AR37="N")*12+($AN37:$AR37="NT")*6+($AN37:$AR37="C")*10+($AN37:$AR37="A")*8+($AN37:$AR37="J")*5+($AN37:$AR37="E")*4+($AN37:$AR37="P")*6+($AN37:$AR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8" t="inlineStr">
        <is>
          <t>M</t>
        </is>
      </c>
      <c r="N38" s="117" t="inlineStr">
        <is>
          <t>T</t>
        </is>
      </c>
      <c r="O38" s="116" t="inlineStr">
        <is>
          <t>N</t>
        </is>
      </c>
      <c r="P38" s="116" t="inlineStr">
        <is>
          <t>N</t>
        </is>
      </c>
      <c r="Q38" s="107" t="n"/>
      <c r="R38" s="107" t="n"/>
      <c r="S38" s="116" t="inlineStr">
        <is>
          <t>N</t>
        </is>
      </c>
      <c r="T38" s="107" t="n"/>
      <c r="U38" s="107" t="n"/>
      <c r="V38" s="107" t="n"/>
      <c r="W38" s="117" t="inlineStr">
        <is>
          <t>T</t>
        </is>
      </c>
      <c r="X38" s="107" t="n"/>
      <c r="Y38" s="107" t="n"/>
      <c r="Z38" s="116" t="inlineStr">
        <is>
          <t>N</t>
        </is>
      </c>
      <c r="AA38" s="107" t="n"/>
      <c r="AB38" s="107" t="n"/>
      <c r="AC38" s="107" t="n"/>
      <c r="AD38" s="108" t="inlineStr">
        <is>
          <t>M</t>
        </is>
      </c>
      <c r="AE38" s="107" t="n"/>
      <c r="AF38" s="107" t="n"/>
      <c r="AG38" s="107" t="n"/>
      <c r="AH38" s="108" t="inlineStr">
        <is>
          <t>M</t>
        </is>
      </c>
      <c r="AI38" s="116" t="inlineStr">
        <is>
          <t>N</t>
        </is>
      </c>
      <c r="AJ38" s="107" t="n"/>
      <c r="AK38" s="107" t="n"/>
      <c r="AL38" s="107" t="n"/>
      <c r="AM38" s="96" t="n"/>
      <c r="AN38" s="123">
        <f>IFERROR(INDEX(JUL!I$8:I$73,MATCH($A38,JUL!$A$8:$A$73,0))&amp;"","")</f>
        <v/>
      </c>
      <c r="AO38" s="123">
        <f>IFERROR(INDEX(JUL!J$8:J$73,MATCH($A38,JUL!$A$8:$A$73,0))&amp;"","")</f>
        <v/>
      </c>
      <c r="AP38" s="123">
        <f>IFERROR(INDEX(JUL!K$8:K$73,MATCH($A38,JUL!$A$8:$A$73,0))&amp;"","")</f>
        <v/>
      </c>
      <c r="AQ38" s="109">
        <f>IFERROR(INDEX(JUL!L$8:L$73,MATCH($A38,JUL!$A$8:$A$73,0))&amp;"","")</f>
        <v/>
      </c>
      <c r="AR38" s="109">
        <f>IFERROR(INDEX(JUL!M$8:M$73,MATCH($A38,JUL!$A$8:$A$73,0))&amp;"","")</f>
        <v/>
      </c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SUMPRODUCT(($I38:$O38="M")*6+($I38:$O38="T")*6+($I38:$O38="D")*12+($I38:$O38="N")*12+($I38:$O38="NT")*6+($I38:$O38="C")*10+($I38:$O38="A")*8+($I38:$O38="J")*5+($I38:$O38="E")*4+($I38:$O38="P")*6+($I38:$O38="R")*6)</f>
        <v/>
      </c>
      <c r="BF38" s="110">
        <f>SUMPRODUCT(($P38:$V38="M")*6+($P38:$V38="T")*6+($P38:$V38="D")*12+($P38:$V38="N")*12+($P38:$V38="NT")*6+($P38:$V38="C")*10+($P38:$V38="A")*8+($P38:$V38="J")*5+($P38:$V38="E")*4+($P38:$V38="P")*6+($P38:$V38="R")*6)</f>
        <v/>
      </c>
      <c r="BG38" s="110">
        <f>SUMPRODUCT(($W38:$AC38="M")*6+($W38:$AC38="T")*6+($W38:$AC38="D")*12+($W38:$AC38="N")*12+($W38:$AC38="NT")*6+($W38:$AC38="C")*10+($W38:$AC38="A")*8+($W38:$AC38="J")*5+($W38:$AC38="E")*4+($W38:$AC38="P")*6+($W38:$AC38="R")*6)</f>
        <v/>
      </c>
      <c r="BH38" s="110">
        <f>SUMPRODUCT(($AD38:$AJ38="M")*6+($AD38:$AJ38="T")*6+($AD38:$AJ38="D")*12+($AD38:$AJ38="N")*12+($AD38:$AJ38="NT")*6+($AD38:$AJ38="C")*10+($AD38:$AJ38="A")*8+($AD38:$AJ38="J")*5+($AD38:$AJ38="E")*4+($AD38:$AJ38="P")*6+($AD38:$AJ38="R")*6)</f>
        <v/>
      </c>
      <c r="BI38" s="110">
        <f>SUMPRODUCT(($AK38:$AL38="M")*6+($AK38:$AL38="T")*6+($AK38:$AL38="D")*12+($AK38:$AL38="N")*12+($AK38:$AL38="NT")*6+($AK38:$AL38="C")*10+($AK38:$AL38="A")*8+($AK38:$AL38="J")*5+($AK38:$AL38="E")*4+($AK38:$AL38="P")*6+($AK38:$AL38="R")*6)+SUMPRODUCT(($AN38:$AR38="M")*6+($AN38:$AR38="T")*6+($AN38:$AR38="D")*12+($AN38:$AR38="N")*12+($AN38:$AR38="NT")*6+($AN38:$AR38="C")*10+($AN38:$AR38="A")*8+($AN38:$AR38="J")*5+($AN38:$AR38="E")*4+($AN38:$AR38="P")*6+($AN38:$AR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17" t="inlineStr">
        <is>
          <t>T</t>
        </is>
      </c>
      <c r="J39" s="108" t="inlineStr">
        <is>
          <t>M</t>
        </is>
      </c>
      <c r="K39" s="115" t="inlineStr">
        <is>
          <t>D</t>
        </is>
      </c>
      <c r="L39" s="107" t="n"/>
      <c r="M39" s="107" t="n"/>
      <c r="N39" s="107" t="n"/>
      <c r="O39" s="107" t="n"/>
      <c r="P39" s="117" t="inlineStr">
        <is>
          <t>T</t>
        </is>
      </c>
      <c r="Q39" s="107" t="n"/>
      <c r="R39" s="117" t="inlineStr">
        <is>
          <t>T</t>
        </is>
      </c>
      <c r="S39" s="107" t="n"/>
      <c r="T39" s="107" t="n"/>
      <c r="U39" s="116" t="inlineStr">
        <is>
          <t>N</t>
        </is>
      </c>
      <c r="V39" s="107" t="n"/>
      <c r="W39" s="117" t="inlineStr">
        <is>
          <t>T</t>
        </is>
      </c>
      <c r="X39" s="107" t="n"/>
      <c r="Y39" s="117" t="inlineStr">
        <is>
          <t>T</t>
        </is>
      </c>
      <c r="Z39" s="107" t="n"/>
      <c r="AA39" s="116" t="inlineStr">
        <is>
          <t>N</t>
        </is>
      </c>
      <c r="AB39" s="107" t="n"/>
      <c r="AC39" s="107" t="n"/>
      <c r="AD39" s="117" t="inlineStr">
        <is>
          <t>T</t>
        </is>
      </c>
      <c r="AE39" s="107" t="n"/>
      <c r="AF39" s="116" t="inlineStr">
        <is>
          <t>N</t>
        </is>
      </c>
      <c r="AG39" s="107" t="n"/>
      <c r="AH39" s="108" t="inlineStr">
        <is>
          <t>M</t>
        </is>
      </c>
      <c r="AI39" s="107" t="n"/>
      <c r="AJ39" s="107" t="n"/>
      <c r="AK39" s="117" t="inlineStr">
        <is>
          <t>T</t>
        </is>
      </c>
      <c r="AL39" s="107" t="n"/>
      <c r="AM39" s="96" t="n"/>
      <c r="AN39" s="123">
        <f>IFERROR(INDEX(JUL!I$8:I$73,MATCH($A39,JUL!$A$8:$A$73,0))&amp;"","")</f>
        <v/>
      </c>
      <c r="AO39" s="123">
        <f>IFERROR(INDEX(JUL!J$8:J$73,MATCH($A39,JUL!$A$8:$A$73,0))&amp;"","")</f>
        <v/>
      </c>
      <c r="AP39" s="123">
        <f>IFERROR(INDEX(JUL!K$8:K$73,MATCH($A39,JUL!$A$8:$A$73,0))&amp;"","")</f>
        <v/>
      </c>
      <c r="AQ39" s="109">
        <f>IFERROR(INDEX(JUL!L$8:L$73,MATCH($A39,JUL!$A$8:$A$73,0))&amp;"","")</f>
        <v/>
      </c>
      <c r="AR39" s="109">
        <f>IFERROR(INDEX(JUL!M$8:M$73,MATCH($A39,JUL!$A$8:$A$73,0))&amp;"","")</f>
        <v/>
      </c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SUMPRODUCT(($I39:$O39="M")*6+($I39:$O39="T")*6+($I39:$O39="D")*12+($I39:$O39="N")*12+($I39:$O39="NT")*6+($I39:$O39="C")*10+($I39:$O39="A")*8+($I39:$O39="J")*5+($I39:$O39="E")*4+($I39:$O39="P")*6+($I39:$O39="R")*6)</f>
        <v/>
      </c>
      <c r="BF39" s="110">
        <f>SUMPRODUCT(($P39:$V39="M")*6+($P39:$V39="T")*6+($P39:$V39="D")*12+($P39:$V39="N")*12+($P39:$V39="NT")*6+($P39:$V39="C")*10+($P39:$V39="A")*8+($P39:$V39="J")*5+($P39:$V39="E")*4+($P39:$V39="P")*6+($P39:$V39="R")*6)</f>
        <v/>
      </c>
      <c r="BG39" s="110">
        <f>SUMPRODUCT(($W39:$AC39="M")*6+($W39:$AC39="T")*6+($W39:$AC39="D")*12+($W39:$AC39="N")*12+($W39:$AC39="NT")*6+($W39:$AC39="C")*10+($W39:$AC39="A")*8+($W39:$AC39="J")*5+($W39:$AC39="E")*4+($W39:$AC39="P")*6+($W39:$AC39="R")*6)</f>
        <v/>
      </c>
      <c r="BH39" s="110">
        <f>SUMPRODUCT(($AD39:$AJ39="M")*6+($AD39:$AJ39="T")*6+($AD39:$AJ39="D")*12+($AD39:$AJ39="N")*12+($AD39:$AJ39="NT")*6+($AD39:$AJ39="C")*10+($AD39:$AJ39="A")*8+($AD39:$AJ39="J")*5+($AD39:$AJ39="E")*4+($AD39:$AJ39="P")*6+($AD39:$AJ39="R")*6)</f>
        <v/>
      </c>
      <c r="BI39" s="110">
        <f>SUMPRODUCT(($AK39:$AL39="M")*6+($AK39:$AL39="T")*6+($AK39:$AL39="D")*12+($AK39:$AL39="N")*12+($AK39:$AL39="NT")*6+($AK39:$AL39="C")*10+($AK39:$AL39="A")*8+($AK39:$AL39="J")*5+($AK39:$AL39="E")*4+($AK39:$AL39="P")*6+($AK39:$AL39="R")*6)+SUMPRODUCT(($AN39:$AR39="M")*6+($AN39:$AR39="T")*6+($AN39:$AR39="D")*12+($AN39:$AR39="N")*12+($AN39:$AR39="NT")*6+($AN39:$AR39="C")*10+($AN39:$AR39="A")*8+($AN39:$AR39="J")*5+($AN39:$AR39="E")*4+($AN39:$AR39="P")*6+($AN39:$AR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23">
        <f>IFERROR(INDEX(JUL!I$8:I$73,MATCH($A40,JUL!$A$8:$A$73,0))&amp;"","")</f>
        <v/>
      </c>
      <c r="AO40" s="123">
        <f>IFERROR(INDEX(JUL!J$8:J$73,MATCH($A40,JUL!$A$8:$A$73,0))&amp;"","")</f>
        <v/>
      </c>
      <c r="AP40" s="123">
        <f>IFERROR(INDEX(JUL!K$8:K$73,MATCH($A40,JUL!$A$8:$A$73,0))&amp;"","")</f>
        <v/>
      </c>
      <c r="AQ40" s="109">
        <f>IFERROR(INDEX(JUL!L$8:L$73,MATCH($A40,JUL!$A$8:$A$73,0))&amp;"","")</f>
        <v/>
      </c>
      <c r="AR40" s="109">
        <f>IFERROR(INDEX(JUL!M$8:M$73,MATCH($A40,JUL!$A$8:$A$73,0))&amp;"","")</f>
        <v/>
      </c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SUMPRODUCT(($I40:$O40="M")*6+($I40:$O40="T")*6+($I40:$O40="D")*12+($I40:$O40="N")*12+($I40:$O40="NT")*6+($I40:$O40="C")*10+($I40:$O40="A")*8+($I40:$O40="J")*5+($I40:$O40="E")*4+($I40:$O40="P")*6+($I40:$O40="R")*6)</f>
        <v/>
      </c>
      <c r="BF40" s="110">
        <f>SUMPRODUCT(($P40:$V40="M")*6+($P40:$V40="T")*6+($P40:$V40="D")*12+($P40:$V40="N")*12+($P40:$V40="NT")*6+($P40:$V40="C")*10+($P40:$V40="A")*8+($P40:$V40="J")*5+($P40:$V40="E")*4+($P40:$V40="P")*6+($P40:$V40="R")*6)</f>
        <v/>
      </c>
      <c r="BG40" s="110">
        <f>SUMPRODUCT(($W40:$AC40="M")*6+($W40:$AC40="T")*6+($W40:$AC40="D")*12+($W40:$AC40="N")*12+($W40:$AC40="NT")*6+($W40:$AC40="C")*10+($W40:$AC40="A")*8+($W40:$AC40="J")*5+($W40:$AC40="E")*4+($W40:$AC40="P")*6+($W40:$AC40="R")*6)</f>
        <v/>
      </c>
      <c r="BH40" s="110">
        <f>SUMPRODUCT(($AD40:$AJ40="M")*6+($AD40:$AJ40="T")*6+($AD40:$AJ40="D")*12+($AD40:$AJ40="N")*12+($AD40:$AJ40="NT")*6+($AD40:$AJ40="C")*10+($AD40:$AJ40="A")*8+($AD40:$AJ40="J")*5+($AD40:$AJ40="E")*4+($AD40:$AJ40="P")*6+($AD40:$AJ40="R")*6)</f>
        <v/>
      </c>
      <c r="BI40" s="110">
        <f>SUMPRODUCT(($AK40:$AL40="M")*6+($AK40:$AL40="T")*6+($AK40:$AL40="D")*12+($AK40:$AL40="N")*12+($AK40:$AL40="NT")*6+($AK40:$AL40="C")*10+($AK40:$AL40="A")*8+($AK40:$AL40="J")*5+($AK40:$AL40="E")*4+($AK40:$AL40="P")*6+($AK40:$AL40="R")*6)+SUMPRODUCT(($AN40:$AR40="M")*6+($AN40:$AR40="T")*6+($AN40:$AR40="D")*12+($AN40:$AR40="N")*12+($AN40:$AR40="NT")*6+($AN40:$AR40="C")*10+($AN40:$AR40="A")*8+($AN40:$AR40="J")*5+($AN40:$AR40="E")*4+($AN40:$AR40="P")*6+($AN40:$AR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7" t="n"/>
      <c r="N41" s="117" t="inlineStr">
        <is>
          <t>T</t>
        </is>
      </c>
      <c r="O41" s="115" t="inlineStr">
        <is>
          <t>D</t>
        </is>
      </c>
      <c r="P41" s="115" t="inlineStr">
        <is>
          <t>D</t>
        </is>
      </c>
      <c r="Q41" s="107" t="n"/>
      <c r="R41" s="107" t="n"/>
      <c r="S41" s="107" t="n"/>
      <c r="T41" s="116" t="inlineStr">
        <is>
          <t>N</t>
        </is>
      </c>
      <c r="U41" s="107" t="n"/>
      <c r="V41" s="107" t="n"/>
      <c r="W41" s="115" t="inlineStr">
        <is>
          <t>D</t>
        </is>
      </c>
      <c r="X41" s="107" t="n"/>
      <c r="Y41" s="107" t="n"/>
      <c r="Z41" s="107" t="n"/>
      <c r="AA41" s="115" t="inlineStr">
        <is>
          <t>D</t>
        </is>
      </c>
      <c r="AB41" s="107" t="n"/>
      <c r="AC41" s="107" t="n"/>
      <c r="AD41" s="115" t="inlineStr">
        <is>
          <t>D</t>
        </is>
      </c>
      <c r="AE41" s="107" t="n"/>
      <c r="AF41" s="116" t="inlineStr">
        <is>
          <t>N</t>
        </is>
      </c>
      <c r="AG41" s="107" t="n"/>
      <c r="AH41" s="107" t="n"/>
      <c r="AI41" s="107" t="n"/>
      <c r="AJ41" s="107" t="n"/>
      <c r="AK41" s="107" t="n"/>
      <c r="AL41" s="107" t="n"/>
      <c r="AM41" s="96" t="n"/>
      <c r="AN41" s="123">
        <f>IFERROR(INDEX(JUL!I$8:I$73,MATCH($A41,JUL!$A$8:$A$73,0))&amp;"","")</f>
        <v/>
      </c>
      <c r="AO41" s="123">
        <f>IFERROR(INDEX(JUL!J$8:J$73,MATCH($A41,JUL!$A$8:$A$73,0))&amp;"","")</f>
        <v/>
      </c>
      <c r="AP41" s="123">
        <f>IFERROR(INDEX(JUL!K$8:K$73,MATCH($A41,JUL!$A$8:$A$73,0))&amp;"","")</f>
        <v/>
      </c>
      <c r="AQ41" s="109">
        <f>IFERROR(INDEX(JUL!L$8:L$73,MATCH($A41,JUL!$A$8:$A$73,0))&amp;"","")</f>
        <v/>
      </c>
      <c r="AR41" s="109">
        <f>IFERROR(INDEX(JUL!M$8:M$73,MATCH($A41,JUL!$A$8:$A$73,0))&amp;"","")</f>
        <v/>
      </c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SUMPRODUCT(($I41:$O41="M")*6+($I41:$O41="T")*6+($I41:$O41="D")*12+($I41:$O41="N")*12+($I41:$O41="NT")*6+($I41:$O41="C")*10+($I41:$O41="A")*8+($I41:$O41="J")*5+($I41:$O41="E")*4+($I41:$O41="P")*6+($I41:$O41="R")*6)</f>
        <v/>
      </c>
      <c r="BF41" s="110">
        <f>SUMPRODUCT(($P41:$V41="M")*6+($P41:$V41="T")*6+($P41:$V41="D")*12+($P41:$V41="N")*12+($P41:$V41="NT")*6+($P41:$V41="C")*10+($P41:$V41="A")*8+($P41:$V41="J")*5+($P41:$V41="E")*4+($P41:$V41="P")*6+($P41:$V41="R")*6)</f>
        <v/>
      </c>
      <c r="BG41" s="110">
        <f>SUMPRODUCT(($W41:$AC41="M")*6+($W41:$AC41="T")*6+($W41:$AC41="D")*12+($W41:$AC41="N")*12+($W41:$AC41="NT")*6+($W41:$AC41="C")*10+($W41:$AC41="A")*8+($W41:$AC41="J")*5+($W41:$AC41="E")*4+($W41:$AC41="P")*6+($W41:$AC41="R")*6)</f>
        <v/>
      </c>
      <c r="BH41" s="110">
        <f>SUMPRODUCT(($AD41:$AJ41="M")*6+($AD41:$AJ41="T")*6+($AD41:$AJ41="D")*12+($AD41:$AJ41="N")*12+($AD41:$AJ41="NT")*6+($AD41:$AJ41="C")*10+($AD41:$AJ41="A")*8+($AD41:$AJ41="J")*5+($AD41:$AJ41="E")*4+($AD41:$AJ41="P")*6+($AD41:$AJ41="R")*6)</f>
        <v/>
      </c>
      <c r="BI41" s="110">
        <f>SUMPRODUCT(($AK41:$AL41="M")*6+($AK41:$AL41="T")*6+($AK41:$AL41="D")*12+($AK41:$AL41="N")*12+($AK41:$AL41="NT")*6+($AK41:$AL41="C")*10+($AK41:$AL41="A")*8+($AK41:$AL41="J")*5+($AK41:$AL41="E")*4+($AK41:$AL41="P")*6+($AK41:$AL41="R")*6)+SUMPRODUCT(($AN41:$AR41="M")*6+($AN41:$AR41="T")*6+($AN41:$AR41="D")*12+($AN41:$AR41="N")*12+($AN41:$AR41="NT")*6+($AN41:$AR41="C")*10+($AN41:$AR41="A")*8+($AN41:$AR41="J")*5+($AN41:$AR41="E")*4+($AN41:$AR41="P")*6+($AN41:$AR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16" t="inlineStr">
        <is>
          <t>N</t>
        </is>
      </c>
      <c r="K42" s="115" t="inlineStr">
        <is>
          <t>D</t>
        </is>
      </c>
      <c r="L42" s="107" t="n"/>
      <c r="M42" s="107" t="n"/>
      <c r="N42" s="107" t="n"/>
      <c r="O42" s="107" t="n"/>
      <c r="P42" s="115" t="inlineStr">
        <is>
          <t>D</t>
        </is>
      </c>
      <c r="Q42" s="116" t="inlineStr">
        <is>
          <t>N</t>
        </is>
      </c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15" t="inlineStr">
        <is>
          <t>D</t>
        </is>
      </c>
      <c r="AC42" s="115" t="inlineStr">
        <is>
          <t>D</t>
        </is>
      </c>
      <c r="AD42" s="107" t="n"/>
      <c r="AE42" s="116" t="inlineStr">
        <is>
          <t>N</t>
        </is>
      </c>
      <c r="AF42" s="107" t="n"/>
      <c r="AG42" s="107" t="n"/>
      <c r="AH42" s="116" t="inlineStr">
        <is>
          <t>N</t>
        </is>
      </c>
      <c r="AI42" s="107" t="n"/>
      <c r="AJ42" s="107" t="n"/>
      <c r="AK42" s="107" t="n"/>
      <c r="AL42" s="115" t="inlineStr">
        <is>
          <t>D</t>
        </is>
      </c>
      <c r="AM42" s="96" t="n"/>
      <c r="AN42" s="123">
        <f>IFERROR(INDEX(JUL!I$8:I$73,MATCH($A42,JUL!$A$8:$A$73,0))&amp;"","")</f>
        <v/>
      </c>
      <c r="AO42" s="123">
        <f>IFERROR(INDEX(JUL!J$8:J$73,MATCH($A42,JUL!$A$8:$A$73,0))&amp;"","")</f>
        <v/>
      </c>
      <c r="AP42" s="123">
        <f>IFERROR(INDEX(JUL!K$8:K$73,MATCH($A42,JUL!$A$8:$A$73,0))&amp;"","")</f>
        <v/>
      </c>
      <c r="AQ42" s="109">
        <f>IFERROR(INDEX(JUL!L$8:L$73,MATCH($A42,JUL!$A$8:$A$73,0))&amp;"","")</f>
        <v/>
      </c>
      <c r="AR42" s="109">
        <f>IFERROR(INDEX(JUL!M$8:M$73,MATCH($A42,JUL!$A$8:$A$73,0))&amp;"","")</f>
        <v/>
      </c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SUMPRODUCT(($I42:$O42="M")*6+($I42:$O42="T")*6+($I42:$O42="D")*12+($I42:$O42="N")*12+($I42:$O42="NT")*6+($I42:$O42="C")*10+($I42:$O42="A")*8+($I42:$O42="J")*5+($I42:$O42="E")*4+($I42:$O42="P")*6+($I42:$O42="R")*6)</f>
        <v/>
      </c>
      <c r="BF42" s="110">
        <f>SUMPRODUCT(($P42:$V42="M")*6+($P42:$V42="T")*6+($P42:$V42="D")*12+($P42:$V42="N")*12+($P42:$V42="NT")*6+($P42:$V42="C")*10+($P42:$V42="A")*8+($P42:$V42="J")*5+($P42:$V42="E")*4+($P42:$V42="P")*6+($P42:$V42="R")*6)</f>
        <v/>
      </c>
      <c r="BG42" s="110">
        <f>SUMPRODUCT(($W42:$AC42="M")*6+($W42:$AC42="T")*6+($W42:$AC42="D")*12+($W42:$AC42="N")*12+($W42:$AC42="NT")*6+($W42:$AC42="C")*10+($W42:$AC42="A")*8+($W42:$AC42="J")*5+($W42:$AC42="E")*4+($W42:$AC42="P")*6+($W42:$AC42="R")*6)</f>
        <v/>
      </c>
      <c r="BH42" s="110">
        <f>SUMPRODUCT(($AD42:$AJ42="M")*6+($AD42:$AJ42="T")*6+($AD42:$AJ42="D")*12+($AD42:$AJ42="N")*12+($AD42:$AJ42="NT")*6+($AD42:$AJ42="C")*10+($AD42:$AJ42="A")*8+($AD42:$AJ42="J")*5+($AD42:$AJ42="E")*4+($AD42:$AJ42="P")*6+($AD42:$AJ42="R")*6)</f>
        <v/>
      </c>
      <c r="BI42" s="110">
        <f>SUMPRODUCT(($AK42:$AL42="M")*6+($AK42:$AL42="T")*6+($AK42:$AL42="D")*12+($AK42:$AL42="N")*12+($AK42:$AL42="NT")*6+($AK42:$AL42="C")*10+($AK42:$AL42="A")*8+($AK42:$AL42="J")*5+($AK42:$AL42="E")*4+($AK42:$AL42="P")*6+($AK42:$AL42="R")*6)+SUMPRODUCT(($AN42:$AR42="M")*6+($AN42:$AR42="T")*6+($AN42:$AR42="D")*12+($AN42:$AR42="N")*12+($AN42:$AR42="NT")*6+($AN42:$AR42="C")*10+($AN42:$AR42="A")*8+($AN42:$AR42="J")*5+($AN42:$AR42="E")*4+($AN42:$AR42="P")*6+($AN42:$AR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16" t="inlineStr">
        <is>
          <t>N</t>
        </is>
      </c>
      <c r="J43" s="107" t="n"/>
      <c r="K43" s="116" t="inlineStr">
        <is>
          <t>N</t>
        </is>
      </c>
      <c r="L43" s="107" t="n"/>
      <c r="M43" s="107" t="n"/>
      <c r="N43" s="107" t="n"/>
      <c r="O43" s="107" t="n"/>
      <c r="P43" s="107" t="n"/>
      <c r="Q43" s="107" t="n"/>
      <c r="R43" s="107" t="n"/>
      <c r="S43" s="116" t="inlineStr">
        <is>
          <t>N</t>
        </is>
      </c>
      <c r="T43" s="107" t="n"/>
      <c r="U43" s="116" t="inlineStr">
        <is>
          <t>N</t>
        </is>
      </c>
      <c r="V43" s="107" t="n"/>
      <c r="W43" s="116" t="inlineStr">
        <is>
          <t>N</t>
        </is>
      </c>
      <c r="X43" s="107" t="n"/>
      <c r="Y43" s="107" t="n"/>
      <c r="Z43" s="116" t="inlineStr">
        <is>
          <t>N</t>
        </is>
      </c>
      <c r="AA43" s="107" t="n"/>
      <c r="AB43" s="107" t="n"/>
      <c r="AC43" s="107" t="n"/>
      <c r="AD43" s="116" t="inlineStr">
        <is>
          <t>N</t>
        </is>
      </c>
      <c r="AE43" s="107" t="n"/>
      <c r="AF43" s="107" t="n"/>
      <c r="AG43" s="116" t="inlineStr">
        <is>
          <t>N</t>
        </is>
      </c>
      <c r="AH43" s="107" t="n"/>
      <c r="AI43" s="107" t="n"/>
      <c r="AJ43" s="107" t="n"/>
      <c r="AK43" s="107" t="n"/>
      <c r="AL43" s="107" t="n"/>
      <c r="AM43" s="96" t="n"/>
      <c r="AN43" s="123">
        <f>IFERROR(INDEX(JUL!I$8:I$73,MATCH($A43,JUL!$A$8:$A$73,0))&amp;"","")</f>
        <v/>
      </c>
      <c r="AO43" s="123">
        <f>IFERROR(INDEX(JUL!J$8:J$73,MATCH($A43,JUL!$A$8:$A$73,0))&amp;"","")</f>
        <v/>
      </c>
      <c r="AP43" s="123">
        <f>IFERROR(INDEX(JUL!K$8:K$73,MATCH($A43,JUL!$A$8:$A$73,0))&amp;"","")</f>
        <v/>
      </c>
      <c r="AQ43" s="109">
        <f>IFERROR(INDEX(JUL!L$8:L$73,MATCH($A43,JUL!$A$8:$A$73,0))&amp;"","")</f>
        <v/>
      </c>
      <c r="AR43" s="109">
        <f>IFERROR(INDEX(JUL!M$8:M$73,MATCH($A43,JUL!$A$8:$A$73,0))&amp;"","")</f>
        <v/>
      </c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SUMPRODUCT(($I43:$O43="M")*6+($I43:$O43="T")*6+($I43:$O43="D")*12+($I43:$O43="N")*12+($I43:$O43="NT")*6+($I43:$O43="C")*10+($I43:$O43="A")*8+($I43:$O43="J")*5+($I43:$O43="E")*4+($I43:$O43="P")*6+($I43:$O43="R")*6)</f>
        <v/>
      </c>
      <c r="BF43" s="110">
        <f>SUMPRODUCT(($P43:$V43="M")*6+($P43:$V43="T")*6+($P43:$V43="D")*12+($P43:$V43="N")*12+($P43:$V43="NT")*6+($P43:$V43="C")*10+($P43:$V43="A")*8+($P43:$V43="J")*5+($P43:$V43="E")*4+($P43:$V43="P")*6+($P43:$V43="R")*6)</f>
        <v/>
      </c>
      <c r="BG43" s="110">
        <f>SUMPRODUCT(($W43:$AC43="M")*6+($W43:$AC43="T")*6+($W43:$AC43="D")*12+($W43:$AC43="N")*12+($W43:$AC43="NT")*6+($W43:$AC43="C")*10+($W43:$AC43="A")*8+($W43:$AC43="J")*5+($W43:$AC43="E")*4+($W43:$AC43="P")*6+($W43:$AC43="R")*6)</f>
        <v/>
      </c>
      <c r="BH43" s="110">
        <f>SUMPRODUCT(($AD43:$AJ43="M")*6+($AD43:$AJ43="T")*6+($AD43:$AJ43="D")*12+($AD43:$AJ43="N")*12+($AD43:$AJ43="NT")*6+($AD43:$AJ43="C")*10+($AD43:$AJ43="A")*8+($AD43:$AJ43="J")*5+($AD43:$AJ43="E")*4+($AD43:$AJ43="P")*6+($AD43:$AJ43="R")*6)</f>
        <v/>
      </c>
      <c r="BI43" s="110">
        <f>SUMPRODUCT(($AK43:$AL43="M")*6+($AK43:$AL43="T")*6+($AK43:$AL43="D")*12+($AK43:$AL43="N")*12+($AK43:$AL43="NT")*6+($AK43:$AL43="C")*10+($AK43:$AL43="A")*8+($AK43:$AL43="J")*5+($AK43:$AL43="E")*4+($AK43:$AL43="P")*6+($AK43:$AL43="R")*6)+SUMPRODUCT(($AN43:$AR43="M")*6+($AN43:$AR43="T")*6+($AN43:$AR43="D")*12+($AN43:$AR43="N")*12+($AN43:$AR43="NT")*6+($AN43:$AR43="C")*10+($AN43:$AR43="A")*8+($AN43:$AR43="J")*5+($AN43:$AR43="E")*4+($AN43:$AR43="P")*6+($AN43:$AR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07" t="n"/>
      <c r="K44" s="107" t="n"/>
      <c r="L44" s="107" t="n"/>
      <c r="M44" s="115" t="inlineStr">
        <is>
          <t>D</t>
        </is>
      </c>
      <c r="N44" s="115" t="inlineStr">
        <is>
          <t>D</t>
        </is>
      </c>
      <c r="O44" s="107" t="n"/>
      <c r="P44" s="107" t="n"/>
      <c r="Q44" s="115" t="inlineStr">
        <is>
          <t>D</t>
        </is>
      </c>
      <c r="R44" s="117" t="inlineStr">
        <is>
          <t>T</t>
        </is>
      </c>
      <c r="S44" s="107" t="n"/>
      <c r="T44" s="117" t="inlineStr">
        <is>
          <t>T</t>
        </is>
      </c>
      <c r="U44" s="107" t="n"/>
      <c r="V44" s="107" t="n"/>
      <c r="W44" s="107" t="n"/>
      <c r="X44" s="115" t="inlineStr">
        <is>
          <t>D</t>
        </is>
      </c>
      <c r="Y44" s="115" t="inlineStr">
        <is>
          <t>D</t>
        </is>
      </c>
      <c r="Z44" s="107" t="n"/>
      <c r="AA44" s="107" t="n"/>
      <c r="AB44" s="107" t="n"/>
      <c r="AC44" s="107" t="n"/>
      <c r="AD44" s="107" t="n"/>
      <c r="AE44" s="107" t="n"/>
      <c r="AF44" s="117" t="inlineStr">
        <is>
          <t>T</t>
        </is>
      </c>
      <c r="AG44" s="107" t="n"/>
      <c r="AH44" s="117" t="inlineStr">
        <is>
          <t>T</t>
        </is>
      </c>
      <c r="AI44" s="107" t="n"/>
      <c r="AJ44" s="115" t="inlineStr">
        <is>
          <t>D</t>
        </is>
      </c>
      <c r="AK44" s="107" t="n"/>
      <c r="AL44" s="115" t="inlineStr">
        <is>
          <t>D</t>
        </is>
      </c>
      <c r="AM44" s="96" t="n"/>
      <c r="AN44" s="123">
        <f>IFERROR(INDEX(JUL!I$8:I$73,MATCH($A44,JUL!$A$8:$A$73,0))&amp;"","")</f>
        <v/>
      </c>
      <c r="AO44" s="123">
        <f>IFERROR(INDEX(JUL!J$8:J$73,MATCH($A44,JUL!$A$8:$A$73,0))&amp;"","")</f>
        <v/>
      </c>
      <c r="AP44" s="123">
        <f>IFERROR(INDEX(JUL!K$8:K$73,MATCH($A44,JUL!$A$8:$A$73,0))&amp;"","")</f>
        <v/>
      </c>
      <c r="AQ44" s="109">
        <f>IFERROR(INDEX(JUL!L$8:L$73,MATCH($A44,JUL!$A$8:$A$73,0))&amp;"","")</f>
        <v/>
      </c>
      <c r="AR44" s="109">
        <f>IFERROR(INDEX(JUL!M$8:M$73,MATCH($A44,JUL!$A$8:$A$73,0))&amp;"","")</f>
        <v/>
      </c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SUMPRODUCT(($I44:$O44="M")*6+($I44:$O44="T")*6+($I44:$O44="D")*12+($I44:$O44="N")*12+($I44:$O44="NT")*6+($I44:$O44="C")*10+($I44:$O44="A")*8+($I44:$O44="J")*5+($I44:$O44="E")*4+($I44:$O44="P")*6+($I44:$O44="R")*6)</f>
        <v/>
      </c>
      <c r="BF44" s="110">
        <f>SUMPRODUCT(($P44:$V44="M")*6+($P44:$V44="T")*6+($P44:$V44="D")*12+($P44:$V44="N")*12+($P44:$V44="NT")*6+($P44:$V44="C")*10+($P44:$V44="A")*8+($P44:$V44="J")*5+($P44:$V44="E")*4+($P44:$V44="P")*6+($P44:$V44="R")*6)</f>
        <v/>
      </c>
      <c r="BG44" s="110">
        <f>SUMPRODUCT(($W44:$AC44="M")*6+($W44:$AC44="T")*6+($W44:$AC44="D")*12+($W44:$AC44="N")*12+($W44:$AC44="NT")*6+($W44:$AC44="C")*10+($W44:$AC44="A")*8+($W44:$AC44="J")*5+($W44:$AC44="E")*4+($W44:$AC44="P")*6+($W44:$AC44="R")*6)</f>
        <v/>
      </c>
      <c r="BH44" s="110">
        <f>SUMPRODUCT(($AD44:$AJ44="M")*6+($AD44:$AJ44="T")*6+($AD44:$AJ44="D")*12+($AD44:$AJ44="N")*12+($AD44:$AJ44="NT")*6+($AD44:$AJ44="C")*10+($AD44:$AJ44="A")*8+($AD44:$AJ44="J")*5+($AD44:$AJ44="E")*4+($AD44:$AJ44="P")*6+($AD44:$AJ44="R")*6)</f>
        <v/>
      </c>
      <c r="BI44" s="110">
        <f>SUMPRODUCT(($AK44:$AL44="M")*6+($AK44:$AL44="T")*6+($AK44:$AL44="D")*12+($AK44:$AL44="N")*12+($AK44:$AL44="NT")*6+($AK44:$AL44="C")*10+($AK44:$AL44="A")*8+($AK44:$AL44="J")*5+($AK44:$AL44="E")*4+($AK44:$AL44="P")*6+($AK44:$AL44="R")*6)+SUMPRODUCT(($AN44:$AR44="M")*6+($AN44:$AR44="T")*6+($AN44:$AR44="D")*12+($AN44:$AR44="N")*12+($AN44:$AR44="NT")*6+($AN44:$AR44="C")*10+($AN44:$AR44="A")*8+($AN44:$AR44="J")*5+($AN44:$AR44="E")*4+($AN44:$AR44="P")*6+($AN44:$AR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8" t="inlineStr">
        <is>
          <t>M</t>
        </is>
      </c>
      <c r="J45" s="108" t="inlineStr">
        <is>
          <t>M</t>
        </is>
      </c>
      <c r="K45" s="108" t="inlineStr">
        <is>
          <t>M</t>
        </is>
      </c>
      <c r="L45" s="108" t="inlineStr">
        <is>
          <t>M</t>
        </is>
      </c>
      <c r="M45" s="107" t="n"/>
      <c r="N45" s="108" t="inlineStr">
        <is>
          <t>M</t>
        </is>
      </c>
      <c r="O45" s="115" t="inlineStr">
        <is>
          <t>D</t>
        </is>
      </c>
      <c r="P45" s="108" t="inlineStr">
        <is>
          <t>M</t>
        </is>
      </c>
      <c r="Q45" s="107" t="n"/>
      <c r="R45" s="108" t="inlineStr">
        <is>
          <t>M</t>
        </is>
      </c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8" t="inlineStr">
        <is>
          <t>M</t>
        </is>
      </c>
      <c r="X45" s="108" t="inlineStr">
        <is>
          <t>M</t>
        </is>
      </c>
      <c r="Y45" s="107" t="n"/>
      <c r="Z45" s="108" t="inlineStr">
        <is>
          <t>M</t>
        </is>
      </c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7" t="n"/>
      <c r="AG45" s="108" t="inlineStr">
        <is>
          <t>M</t>
        </is>
      </c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8" t="inlineStr">
        <is>
          <t>M</t>
        </is>
      </c>
      <c r="AM45" s="96" t="n"/>
      <c r="AN45" s="123">
        <f>IFERROR(INDEX(JUL!I$8:I$73,MATCH($A45,JUL!$A$8:$A$73,0))&amp;"","")</f>
        <v/>
      </c>
      <c r="AO45" s="123">
        <f>IFERROR(INDEX(JUL!J$8:J$73,MATCH($A45,JUL!$A$8:$A$73,0))&amp;"","")</f>
        <v/>
      </c>
      <c r="AP45" s="123">
        <f>IFERROR(INDEX(JUL!K$8:K$73,MATCH($A45,JUL!$A$8:$A$73,0))&amp;"","")</f>
        <v/>
      </c>
      <c r="AQ45" s="109">
        <f>IFERROR(INDEX(JUL!L$8:L$73,MATCH($A45,JUL!$A$8:$A$73,0))&amp;"","")</f>
        <v/>
      </c>
      <c r="AR45" s="109">
        <f>IFERROR(INDEX(JUL!M$8:M$73,MATCH($A45,JUL!$A$8:$A$73,0))&amp;"","")</f>
        <v/>
      </c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SUMPRODUCT(($I45:$O45="M")*6+($I45:$O45="T")*6+($I45:$O45="D")*12+($I45:$O45="N")*12+($I45:$O45="NT")*6+($I45:$O45="C")*10+($I45:$O45="A")*8+($I45:$O45="J")*5+($I45:$O45="E")*4+($I45:$O45="P")*6+($I45:$O45="R")*6)</f>
        <v/>
      </c>
      <c r="BF45" s="110">
        <f>SUMPRODUCT(($P45:$V45="M")*6+($P45:$V45="T")*6+($P45:$V45="D")*12+($P45:$V45="N")*12+($P45:$V45="NT")*6+($P45:$V45="C")*10+($P45:$V45="A")*8+($P45:$V45="J")*5+($P45:$V45="E")*4+($P45:$V45="P")*6+($P45:$V45="R")*6)</f>
        <v/>
      </c>
      <c r="BG45" s="110">
        <f>SUMPRODUCT(($W45:$AC45="M")*6+($W45:$AC45="T")*6+($W45:$AC45="D")*12+($W45:$AC45="N")*12+($W45:$AC45="NT")*6+($W45:$AC45="C")*10+($W45:$AC45="A")*8+($W45:$AC45="J")*5+($W45:$AC45="E")*4+($W45:$AC45="P")*6+($W45:$AC45="R")*6)</f>
        <v/>
      </c>
      <c r="BH45" s="110">
        <f>SUMPRODUCT(($AD45:$AJ45="M")*6+($AD45:$AJ45="T")*6+($AD45:$AJ45="D")*12+($AD45:$AJ45="N")*12+($AD45:$AJ45="NT")*6+($AD45:$AJ45="C")*10+($AD45:$AJ45="A")*8+($AD45:$AJ45="J")*5+($AD45:$AJ45="E")*4+($AD45:$AJ45="P")*6+($AD45:$AJ45="R")*6)</f>
        <v/>
      </c>
      <c r="BI45" s="110">
        <f>SUMPRODUCT(($AK45:$AL45="M")*6+($AK45:$AL45="T")*6+($AK45:$AL45="D")*12+($AK45:$AL45="N")*12+($AK45:$AL45="NT")*6+($AK45:$AL45="C")*10+($AK45:$AL45="A")*8+($AK45:$AL45="J")*5+($AK45:$AL45="E")*4+($AK45:$AL45="P")*6+($AK45:$AL45="R")*6)+SUMPRODUCT(($AN45:$AR45="M")*6+($AN45:$AR45="T")*6+($AN45:$AR45="D")*12+($AN45:$AR45="N")*12+($AN45:$AR45="NT")*6+($AN45:$AR45="C")*10+($AN45:$AR45="A")*8+($AN45:$AR45="J")*5+($AN45:$AR45="E")*4+($AN45:$AR45="P")*6+($AN45:$AR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07" t="n"/>
      <c r="K46" s="107" t="n"/>
      <c r="L46" s="107" t="n"/>
      <c r="M46" s="115" t="inlineStr">
        <is>
          <t>D</t>
        </is>
      </c>
      <c r="N46" s="116" t="inlineStr">
        <is>
          <t>N</t>
        </is>
      </c>
      <c r="O46" s="107" t="n"/>
      <c r="P46" s="107" t="n"/>
      <c r="Q46" s="107" t="n"/>
      <c r="R46" s="115" t="inlineStr">
        <is>
          <t>D</t>
        </is>
      </c>
      <c r="S46" s="107" t="n"/>
      <c r="T46" s="116" t="inlineStr">
        <is>
          <t>N</t>
        </is>
      </c>
      <c r="U46" s="107" t="n"/>
      <c r="V46" s="107" t="n"/>
      <c r="W46" s="107" t="n"/>
      <c r="X46" s="107" t="n"/>
      <c r="Y46" s="115" t="inlineStr">
        <is>
          <t>D</t>
        </is>
      </c>
      <c r="Z46" s="107" t="n"/>
      <c r="AA46" s="116" t="inlineStr">
        <is>
          <t>N</t>
        </is>
      </c>
      <c r="AB46" s="107" t="n"/>
      <c r="AC46" s="107" t="n"/>
      <c r="AD46" s="107" t="n"/>
      <c r="AE46" s="107" t="n"/>
      <c r="AF46" s="115" t="inlineStr">
        <is>
          <t>D</t>
        </is>
      </c>
      <c r="AG46" s="107" t="n"/>
      <c r="AH46" s="116" t="inlineStr">
        <is>
          <t>N</t>
        </is>
      </c>
      <c r="AI46" s="107" t="n"/>
      <c r="AJ46" s="107" t="n"/>
      <c r="AK46" s="107" t="n"/>
      <c r="AL46" s="107" t="n"/>
      <c r="AM46" s="96" t="n"/>
      <c r="AN46" s="123">
        <f>IFERROR(INDEX(JUL!I$8:I$73,MATCH($A46,JUL!$A$8:$A$73,0))&amp;"","")</f>
        <v/>
      </c>
      <c r="AO46" s="123">
        <f>IFERROR(INDEX(JUL!J$8:J$73,MATCH($A46,JUL!$A$8:$A$73,0))&amp;"","")</f>
        <v/>
      </c>
      <c r="AP46" s="123">
        <f>IFERROR(INDEX(JUL!K$8:K$73,MATCH($A46,JUL!$A$8:$A$73,0))&amp;"","")</f>
        <v/>
      </c>
      <c r="AQ46" s="109">
        <f>IFERROR(INDEX(JUL!L$8:L$73,MATCH($A46,JUL!$A$8:$A$73,0))&amp;"","")</f>
        <v/>
      </c>
      <c r="AR46" s="109">
        <f>IFERROR(INDEX(JUL!M$8:M$73,MATCH($A46,JUL!$A$8:$A$73,0))&amp;"","")</f>
        <v/>
      </c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SUMPRODUCT(($I46:$O46="M")*6+($I46:$O46="T")*6+($I46:$O46="D")*12+($I46:$O46="N")*12+($I46:$O46="NT")*6+($I46:$O46="C")*10+($I46:$O46="A")*8+($I46:$O46="J")*5+($I46:$O46="E")*4+($I46:$O46="P")*6+($I46:$O46="R")*6)</f>
        <v/>
      </c>
      <c r="BF46" s="110">
        <f>SUMPRODUCT(($P46:$V46="M")*6+($P46:$V46="T")*6+($P46:$V46="D")*12+($P46:$V46="N")*12+($P46:$V46="NT")*6+($P46:$V46="C")*10+($P46:$V46="A")*8+($P46:$V46="J")*5+($P46:$V46="E")*4+($P46:$V46="P")*6+($P46:$V46="R")*6)</f>
        <v/>
      </c>
      <c r="BG46" s="110">
        <f>SUMPRODUCT(($W46:$AC46="M")*6+($W46:$AC46="T")*6+($W46:$AC46="D")*12+($W46:$AC46="N")*12+($W46:$AC46="NT")*6+($W46:$AC46="C")*10+($W46:$AC46="A")*8+($W46:$AC46="J")*5+($W46:$AC46="E")*4+($W46:$AC46="P")*6+($W46:$AC46="R")*6)</f>
        <v/>
      </c>
      <c r="BH46" s="110">
        <f>SUMPRODUCT(($AD46:$AJ46="M")*6+($AD46:$AJ46="T")*6+($AD46:$AJ46="D")*12+($AD46:$AJ46="N")*12+($AD46:$AJ46="NT")*6+($AD46:$AJ46="C")*10+($AD46:$AJ46="A")*8+($AD46:$AJ46="J")*5+($AD46:$AJ46="E")*4+($AD46:$AJ46="P")*6+($AD46:$AJ46="R")*6)</f>
        <v/>
      </c>
      <c r="BI46" s="110">
        <f>SUMPRODUCT(($AK46:$AL46="M")*6+($AK46:$AL46="T")*6+($AK46:$AL46="D")*12+($AK46:$AL46="N")*12+($AK46:$AL46="NT")*6+($AK46:$AL46="C")*10+($AK46:$AL46="A")*8+($AK46:$AL46="J")*5+($AK46:$AL46="E")*4+($AK46:$AL46="P")*6+($AK46:$AL46="R")*6)+SUMPRODUCT(($AN46:$AR46="M")*6+($AN46:$AR46="T")*6+($AN46:$AR46="D")*12+($AN46:$AR46="N")*12+($AN46:$AR46="NT")*6+($AN46:$AR46="C")*10+($AN46:$AR46="A")*8+($AN46:$AR46="J")*5+($AN46:$AR46="E")*4+($AN46:$AR46="P")*6+($AN46:$AR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16" t="inlineStr">
        <is>
          <t>N</t>
        </is>
      </c>
      <c r="K47" s="107" t="n"/>
      <c r="L47" s="115" t="inlineStr">
        <is>
          <t>D</t>
        </is>
      </c>
      <c r="M47" s="107" t="n"/>
      <c r="N47" s="107" t="n"/>
      <c r="O47" s="107" t="n"/>
      <c r="P47" s="107" t="n"/>
      <c r="Q47" s="116" t="inlineStr">
        <is>
          <t>N</t>
        </is>
      </c>
      <c r="R47" s="107" t="n"/>
      <c r="S47" s="115" t="inlineStr">
        <is>
          <t>D</t>
        </is>
      </c>
      <c r="T47" s="107" t="n"/>
      <c r="U47" s="107" t="n"/>
      <c r="V47" s="107" t="n"/>
      <c r="W47" s="116" t="inlineStr">
        <is>
          <t>N</t>
        </is>
      </c>
      <c r="X47" s="107" t="n"/>
      <c r="Y47" s="107" t="n"/>
      <c r="Z47" s="107" t="n"/>
      <c r="AA47" s="107" t="n"/>
      <c r="AB47" s="107" t="n"/>
      <c r="AC47" s="115" t="inlineStr">
        <is>
          <t>D</t>
        </is>
      </c>
      <c r="AD47" s="107" t="n"/>
      <c r="AE47" s="116" t="inlineStr">
        <is>
          <t>N</t>
        </is>
      </c>
      <c r="AF47" s="107" t="n"/>
      <c r="AG47" s="115" t="inlineStr">
        <is>
          <t>D</t>
        </is>
      </c>
      <c r="AH47" s="107" t="n"/>
      <c r="AI47" s="107" t="n"/>
      <c r="AJ47" s="107" t="n"/>
      <c r="AK47" s="107" t="n"/>
      <c r="AL47" s="107" t="n"/>
      <c r="AM47" s="96" t="n"/>
      <c r="AN47" s="123">
        <f>IFERROR(INDEX(JUL!I$8:I$73,MATCH($A47,JUL!$A$8:$A$73,0))&amp;"","")</f>
        <v/>
      </c>
      <c r="AO47" s="123">
        <f>IFERROR(INDEX(JUL!J$8:J$73,MATCH($A47,JUL!$A$8:$A$73,0))&amp;"","")</f>
        <v/>
      </c>
      <c r="AP47" s="123">
        <f>IFERROR(INDEX(JUL!K$8:K$73,MATCH($A47,JUL!$A$8:$A$73,0))&amp;"","")</f>
        <v/>
      </c>
      <c r="AQ47" s="109">
        <f>IFERROR(INDEX(JUL!L$8:L$73,MATCH($A47,JUL!$A$8:$A$73,0))&amp;"","")</f>
        <v/>
      </c>
      <c r="AR47" s="109">
        <f>IFERROR(INDEX(JUL!M$8:M$73,MATCH($A47,JUL!$A$8:$A$73,0))&amp;"","")</f>
        <v/>
      </c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SUMPRODUCT(($I47:$O47="M")*6+($I47:$O47="T")*6+($I47:$O47="D")*12+($I47:$O47="N")*12+($I47:$O47="NT")*6+($I47:$O47="C")*10+($I47:$O47="A")*8+($I47:$O47="J")*5+($I47:$O47="E")*4+($I47:$O47="P")*6+($I47:$O47="R")*6)</f>
        <v/>
      </c>
      <c r="BF47" s="110">
        <f>SUMPRODUCT(($P47:$V47="M")*6+($P47:$V47="T")*6+($P47:$V47="D")*12+($P47:$V47="N")*12+($P47:$V47="NT")*6+($P47:$V47="C")*10+($P47:$V47="A")*8+($P47:$V47="J")*5+($P47:$V47="E")*4+($P47:$V47="P")*6+($P47:$V47="R")*6)</f>
        <v/>
      </c>
      <c r="BG47" s="110">
        <f>SUMPRODUCT(($W47:$AC47="M")*6+($W47:$AC47="T")*6+($W47:$AC47="D")*12+($W47:$AC47="N")*12+($W47:$AC47="NT")*6+($W47:$AC47="C")*10+($W47:$AC47="A")*8+($W47:$AC47="J")*5+($W47:$AC47="E")*4+($W47:$AC47="P")*6+($W47:$AC47="R")*6)</f>
        <v/>
      </c>
      <c r="BH47" s="110">
        <f>SUMPRODUCT(($AD47:$AJ47="M")*6+($AD47:$AJ47="T")*6+($AD47:$AJ47="D")*12+($AD47:$AJ47="N")*12+($AD47:$AJ47="NT")*6+($AD47:$AJ47="C")*10+($AD47:$AJ47="A")*8+($AD47:$AJ47="J")*5+($AD47:$AJ47="E")*4+($AD47:$AJ47="P")*6+($AD47:$AJ47="R")*6)</f>
        <v/>
      </c>
      <c r="BI47" s="110">
        <f>SUMPRODUCT(($AK47:$AL47="M")*6+($AK47:$AL47="T")*6+($AK47:$AL47="D")*12+($AK47:$AL47="N")*12+($AK47:$AL47="NT")*6+($AK47:$AL47="C")*10+($AK47:$AL47="A")*8+($AK47:$AL47="J")*5+($AK47:$AL47="E")*4+($AK47:$AL47="P")*6+($AK47:$AL47="R")*6)+SUMPRODUCT(($AN47:$AR47="M")*6+($AN47:$AR47="T")*6+($AN47:$AR47="D")*12+($AN47:$AR47="N")*12+($AN47:$AR47="NT")*6+($AN47:$AR47="C")*10+($AN47:$AR47="A")*8+($AN47:$AR47="J")*5+($AN47:$AR47="E")*4+($AN47:$AR47="P")*6+($AN47:$AR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3">
        <f>IFERROR(INDEX(JUL!I$8:I$73,MATCH($A48,JUL!$A$8:$A$73,0))&amp;"","")</f>
        <v/>
      </c>
      <c r="AO48" s="123">
        <f>IFERROR(INDEX(JUL!J$8:J$73,MATCH($A48,JUL!$A$8:$A$73,0))&amp;"","")</f>
        <v/>
      </c>
      <c r="AP48" s="123">
        <f>IFERROR(INDEX(JUL!K$8:K$73,MATCH($A48,JUL!$A$8:$A$73,0))&amp;"","")</f>
        <v/>
      </c>
      <c r="AQ48" s="109">
        <f>IFERROR(INDEX(JUL!L$8:L$73,MATCH($A48,JUL!$A$8:$A$73,0))&amp;"","")</f>
        <v/>
      </c>
      <c r="AR48" s="109">
        <f>IFERROR(INDEX(JUL!M$8:M$73,MATCH($A48,JUL!$A$8:$A$73,0))&amp;"","")</f>
        <v/>
      </c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SUMPRODUCT(($I48:$O48="M")*6+($I48:$O48="T")*6+($I48:$O48="D")*12+($I48:$O48="N")*12+($I48:$O48="NT")*6+($I48:$O48="C")*10+($I48:$O48="A")*8+($I48:$O48="J")*5+($I48:$O48="E")*4+($I48:$O48="P")*6+($I48:$O48="R")*6)</f>
        <v/>
      </c>
      <c r="BF48" s="110">
        <f>SUMPRODUCT(($P48:$V48="M")*6+($P48:$V48="T")*6+($P48:$V48="D")*12+($P48:$V48="N")*12+($P48:$V48="NT")*6+($P48:$V48="C")*10+($P48:$V48="A")*8+($P48:$V48="J")*5+($P48:$V48="E")*4+($P48:$V48="P")*6+($P48:$V48="R")*6)</f>
        <v/>
      </c>
      <c r="BG48" s="110">
        <f>SUMPRODUCT(($W48:$AC48="M")*6+($W48:$AC48="T")*6+($W48:$AC48="D")*12+($W48:$AC48="N")*12+($W48:$AC48="NT")*6+($W48:$AC48="C")*10+($W48:$AC48="A")*8+($W48:$AC48="J")*5+($W48:$AC48="E")*4+($W48:$AC48="P")*6+($W48:$AC48="R")*6)</f>
        <v/>
      </c>
      <c r="BH48" s="110">
        <f>SUMPRODUCT(($AD48:$AJ48="M")*6+($AD48:$AJ48="T")*6+($AD48:$AJ48="D")*12+($AD48:$AJ48="N")*12+($AD48:$AJ48="NT")*6+($AD48:$AJ48="C")*10+($AD48:$AJ48="A")*8+($AD48:$AJ48="J")*5+($AD48:$AJ48="E")*4+($AD48:$AJ48="P")*6+($AD48:$AJ48="R")*6)</f>
        <v/>
      </c>
      <c r="BI48" s="110">
        <f>SUMPRODUCT(($AK48:$AL48="M")*6+($AK48:$AL48="T")*6+($AK48:$AL48="D")*12+($AK48:$AL48="N")*12+($AK48:$AL48="NT")*6+($AK48:$AL48="C")*10+($AK48:$AL48="A")*8+($AK48:$AL48="J")*5+($AK48:$AL48="E")*4+($AK48:$AL48="P")*6+($AK48:$AL48="R")*6)+SUMPRODUCT(($AN48:$AR48="M")*6+($AN48:$AR48="T")*6+($AN48:$AR48="D")*12+($AN48:$AR48="N")*12+($AN48:$AR48="NT")*6+($AN48:$AR48="C")*10+($AN48:$AR48="A")*8+($AN48:$AR48="J")*5+($AN48:$AR48="E")*4+($AN48:$AR48="P")*6+($AN48:$AR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15" t="inlineStr">
        <is>
          <t>D</t>
        </is>
      </c>
      <c r="S49" s="107" t="n"/>
      <c r="T49" s="107" t="n"/>
      <c r="U49" s="107" t="n"/>
      <c r="V49" s="117" t="inlineStr">
        <is>
          <t>T</t>
        </is>
      </c>
      <c r="W49" s="107" t="n"/>
      <c r="X49" s="107" t="n"/>
      <c r="Y49" s="115" t="inlineStr">
        <is>
          <t>D</t>
        </is>
      </c>
      <c r="Z49" s="107" t="n"/>
      <c r="AA49" s="116" t="inlineStr">
        <is>
          <t>N</t>
        </is>
      </c>
      <c r="AB49" s="107" t="n"/>
      <c r="AC49" s="107" t="n"/>
      <c r="AD49" s="107" t="n"/>
      <c r="AE49" s="107" t="n"/>
      <c r="AF49" s="115" t="inlineStr">
        <is>
          <t>D</t>
        </is>
      </c>
      <c r="AG49" s="107" t="n"/>
      <c r="AH49" s="107" t="n"/>
      <c r="AI49" s="107" t="n"/>
      <c r="AJ49" s="115" t="inlineStr">
        <is>
          <t>D</t>
        </is>
      </c>
      <c r="AK49" s="115" t="inlineStr">
        <is>
          <t>D</t>
        </is>
      </c>
      <c r="AL49" s="107" t="n"/>
      <c r="AM49" s="96" t="n"/>
      <c r="AN49" s="123">
        <f>IFERROR(INDEX(JUL!I$8:I$73,MATCH($A49,JUL!$A$8:$A$73,0))&amp;"","")</f>
        <v/>
      </c>
      <c r="AO49" s="123">
        <f>IFERROR(INDEX(JUL!J$8:J$73,MATCH($A49,JUL!$A$8:$A$73,0))&amp;"","")</f>
        <v/>
      </c>
      <c r="AP49" s="123">
        <f>IFERROR(INDEX(JUL!K$8:K$73,MATCH($A49,JUL!$A$8:$A$73,0))&amp;"","")</f>
        <v/>
      </c>
      <c r="AQ49" s="109">
        <f>IFERROR(INDEX(JUL!L$8:L$73,MATCH($A49,JUL!$A$8:$A$73,0))&amp;"","")</f>
        <v/>
      </c>
      <c r="AR49" s="109">
        <f>IFERROR(INDEX(JUL!M$8:M$73,MATCH($A49,JUL!$A$8:$A$73,0))&amp;"","")</f>
        <v/>
      </c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SUMPRODUCT(($I49:$O49="M")*6+($I49:$O49="T")*6+($I49:$O49="D")*12+($I49:$O49="N")*12+($I49:$O49="NT")*6+($I49:$O49="C")*10+($I49:$O49="A")*8+($I49:$O49="J")*5+($I49:$O49="E")*4+($I49:$O49="P")*6+($I49:$O49="R")*6)</f>
        <v/>
      </c>
      <c r="BF49" s="110">
        <f>SUMPRODUCT(($P49:$V49="M")*6+($P49:$V49="T")*6+($P49:$V49="D")*12+($P49:$V49="N")*12+($P49:$V49="NT")*6+($P49:$V49="C")*10+($P49:$V49="A")*8+($P49:$V49="J")*5+($P49:$V49="E")*4+($P49:$V49="P")*6+($P49:$V49="R")*6)</f>
        <v/>
      </c>
      <c r="BG49" s="110">
        <f>SUMPRODUCT(($W49:$AC49="M")*6+($W49:$AC49="T")*6+($W49:$AC49="D")*12+($W49:$AC49="N")*12+($W49:$AC49="NT")*6+($W49:$AC49="C")*10+($W49:$AC49="A")*8+($W49:$AC49="J")*5+($W49:$AC49="E")*4+($W49:$AC49="P")*6+($W49:$AC49="R")*6)</f>
        <v/>
      </c>
      <c r="BH49" s="110">
        <f>SUMPRODUCT(($AD49:$AJ49="M")*6+($AD49:$AJ49="T")*6+($AD49:$AJ49="D")*12+($AD49:$AJ49="N")*12+($AD49:$AJ49="NT")*6+($AD49:$AJ49="C")*10+($AD49:$AJ49="A")*8+($AD49:$AJ49="J")*5+($AD49:$AJ49="E")*4+($AD49:$AJ49="P")*6+($AD49:$AJ49="R")*6)</f>
        <v/>
      </c>
      <c r="BI49" s="110">
        <f>SUMPRODUCT(($AK49:$AL49="M")*6+($AK49:$AL49="T")*6+($AK49:$AL49="D")*12+($AK49:$AL49="N")*12+($AK49:$AL49="NT")*6+($AK49:$AL49="C")*10+($AK49:$AL49="A")*8+($AK49:$AL49="J")*5+($AK49:$AL49="E")*4+($AK49:$AL49="P")*6+($AK49:$AL49="R")*6)+SUMPRODUCT(($AN49:$AR49="M")*6+($AN49:$AR49="T")*6+($AN49:$AR49="D")*12+($AN49:$AR49="N")*12+($AN49:$AR49="NT")*6+($AN49:$AR49="C")*10+($AN49:$AR49="A")*8+($AN49:$AR49="J")*5+($AN49:$AR49="E")*4+($AN49:$AR49="P")*6+($AN49:$AR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8" t="inlineStr">
        <is>
          <t>M</t>
        </is>
      </c>
      <c r="J50" s="115" t="inlineStr">
        <is>
          <t>D</t>
        </is>
      </c>
      <c r="K50" s="117" t="inlineStr">
        <is>
          <t>T</t>
        </is>
      </c>
      <c r="L50" s="107" t="n"/>
      <c r="M50" s="107" t="n"/>
      <c r="N50" s="107" t="n"/>
      <c r="O50" s="107" t="n"/>
      <c r="P50" s="107" t="n"/>
      <c r="Q50" s="115" t="inlineStr">
        <is>
          <t>D</t>
        </is>
      </c>
      <c r="R50" s="107" t="n"/>
      <c r="S50" s="107" t="n"/>
      <c r="T50" s="107" t="n"/>
      <c r="U50" s="107" t="n"/>
      <c r="V50" s="116" t="inlineStr">
        <is>
          <t>N</t>
        </is>
      </c>
      <c r="W50" s="107" t="n"/>
      <c r="X50" s="115" t="inlineStr">
        <is>
          <t>D</t>
        </is>
      </c>
      <c r="Y50" s="107" t="n"/>
      <c r="Z50" s="107" t="n"/>
      <c r="AA50" s="107" t="n"/>
      <c r="AB50" s="116" t="inlineStr">
        <is>
          <t>N</t>
        </is>
      </c>
      <c r="AC50" s="107" t="n"/>
      <c r="AD50" s="107" t="n"/>
      <c r="AE50" s="117" t="inlineStr">
        <is>
          <t>T</t>
        </is>
      </c>
      <c r="AF50" s="115" t="inlineStr">
        <is>
          <t>D</t>
        </is>
      </c>
      <c r="AG50" s="107" t="n"/>
      <c r="AH50" s="117" t="inlineStr">
        <is>
          <t>T</t>
        </is>
      </c>
      <c r="AI50" s="107" t="n"/>
      <c r="AJ50" s="107" t="n"/>
      <c r="AK50" s="107" t="n"/>
      <c r="AL50" s="116" t="inlineStr">
        <is>
          <t>N</t>
        </is>
      </c>
      <c r="AM50" s="96" t="n"/>
      <c r="AN50" s="123">
        <f>IFERROR(INDEX(JUL!I$8:I$73,MATCH($A50,JUL!$A$8:$A$73,0))&amp;"","")</f>
        <v/>
      </c>
      <c r="AO50" s="123">
        <f>IFERROR(INDEX(JUL!J$8:J$73,MATCH($A50,JUL!$A$8:$A$73,0))&amp;"","")</f>
        <v/>
      </c>
      <c r="AP50" s="123">
        <f>IFERROR(INDEX(JUL!K$8:K$73,MATCH($A50,JUL!$A$8:$A$73,0))&amp;"","")</f>
        <v/>
      </c>
      <c r="AQ50" s="109">
        <f>IFERROR(INDEX(JUL!L$8:L$73,MATCH($A50,JUL!$A$8:$A$73,0))&amp;"","")</f>
        <v/>
      </c>
      <c r="AR50" s="109">
        <f>IFERROR(INDEX(JUL!M$8:M$73,MATCH($A50,JUL!$A$8:$A$73,0))&amp;"","")</f>
        <v/>
      </c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SUMPRODUCT(($I50:$O50="M")*6+($I50:$O50="T")*6+($I50:$O50="D")*12+($I50:$O50="N")*12+($I50:$O50="NT")*6+($I50:$O50="C")*10+($I50:$O50="A")*8+($I50:$O50="J")*5+($I50:$O50="E")*4+($I50:$O50="P")*6+($I50:$O50="R")*6)</f>
        <v/>
      </c>
      <c r="BF50" s="110">
        <f>SUMPRODUCT(($P50:$V50="M")*6+($P50:$V50="T")*6+($P50:$V50="D")*12+($P50:$V50="N")*12+($P50:$V50="NT")*6+($P50:$V50="C")*10+($P50:$V50="A")*8+($P50:$V50="J")*5+($P50:$V50="E")*4+($P50:$V50="P")*6+($P50:$V50="R")*6)</f>
        <v/>
      </c>
      <c r="BG50" s="110">
        <f>SUMPRODUCT(($W50:$AC50="M")*6+($W50:$AC50="T")*6+($W50:$AC50="D")*12+($W50:$AC50="N")*12+($W50:$AC50="NT")*6+($W50:$AC50="C")*10+($W50:$AC50="A")*8+($W50:$AC50="J")*5+($W50:$AC50="E")*4+($W50:$AC50="P")*6+($W50:$AC50="R")*6)</f>
        <v/>
      </c>
      <c r="BH50" s="110">
        <f>SUMPRODUCT(($AD50:$AJ50="M")*6+($AD50:$AJ50="T")*6+($AD50:$AJ50="D")*12+($AD50:$AJ50="N")*12+($AD50:$AJ50="NT")*6+($AD50:$AJ50="C")*10+($AD50:$AJ50="A")*8+($AD50:$AJ50="J")*5+($AD50:$AJ50="E")*4+($AD50:$AJ50="P")*6+($AD50:$AJ50="R")*6)</f>
        <v/>
      </c>
      <c r="BI50" s="110">
        <f>SUMPRODUCT(($AK50:$AL50="M")*6+($AK50:$AL50="T")*6+($AK50:$AL50="D")*12+($AK50:$AL50="N")*12+($AK50:$AL50="NT")*6+($AK50:$AL50="C")*10+($AK50:$AL50="A")*8+($AK50:$AL50="J")*5+($AK50:$AL50="E")*4+($AK50:$AL50="P")*6+($AK50:$AL50="R")*6)+SUMPRODUCT(($AN50:$AR50="M")*6+($AN50:$AR50="T")*6+($AN50:$AR50="D")*12+($AN50:$AR50="N")*12+($AN50:$AR50="NT")*6+($AN50:$AR50="C")*10+($AN50:$AR50="A")*8+($AN50:$AR50="J")*5+($AN50:$AR50="E")*4+($AN50:$AR50="P")*6+($AN50:$AR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3">
        <f>IFERROR(INDEX(JUL!I$8:I$73,MATCH($A51,JUL!$A$8:$A$73,0))&amp;"","")</f>
        <v/>
      </c>
      <c r="AO51" s="123">
        <f>IFERROR(INDEX(JUL!J$8:J$73,MATCH($A51,JUL!$A$8:$A$73,0))&amp;"","")</f>
        <v/>
      </c>
      <c r="AP51" s="123">
        <f>IFERROR(INDEX(JUL!K$8:K$73,MATCH($A51,JUL!$A$8:$A$73,0))&amp;"","")</f>
        <v/>
      </c>
      <c r="AQ51" s="109">
        <f>IFERROR(INDEX(JUL!L$8:L$73,MATCH($A51,JUL!$A$8:$A$73,0))&amp;"","")</f>
        <v/>
      </c>
      <c r="AR51" s="109">
        <f>IFERROR(INDEX(JUL!M$8:M$73,MATCH($A51,JUL!$A$8:$A$73,0))&amp;"","")</f>
        <v/>
      </c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SUMPRODUCT(($I51:$O51="M")*6+($I51:$O51="T")*6+($I51:$O51="D")*12+($I51:$O51="N")*12+($I51:$O51="NT")*6+($I51:$O51="C")*10+($I51:$O51="A")*8+($I51:$O51="J")*5+($I51:$O51="E")*4+($I51:$O51="P")*6+($I51:$O51="R")*6)</f>
        <v/>
      </c>
      <c r="BF51" s="110">
        <f>SUMPRODUCT(($P51:$V51="M")*6+($P51:$V51="T")*6+($P51:$V51="D")*12+($P51:$V51="N")*12+($P51:$V51="NT")*6+($P51:$V51="C")*10+($P51:$V51="A")*8+($P51:$V51="J")*5+($P51:$V51="E")*4+($P51:$V51="P")*6+($P51:$V51="R")*6)</f>
        <v/>
      </c>
      <c r="BG51" s="110">
        <f>SUMPRODUCT(($W51:$AC51="M")*6+($W51:$AC51="T")*6+($W51:$AC51="D")*12+($W51:$AC51="N")*12+($W51:$AC51="NT")*6+($W51:$AC51="C")*10+($W51:$AC51="A")*8+($W51:$AC51="J")*5+($W51:$AC51="E")*4+($W51:$AC51="P")*6+($W51:$AC51="R")*6)</f>
        <v/>
      </c>
      <c r="BH51" s="110">
        <f>SUMPRODUCT(($AD51:$AJ51="M")*6+($AD51:$AJ51="T")*6+($AD51:$AJ51="D")*12+($AD51:$AJ51="N")*12+($AD51:$AJ51="NT")*6+($AD51:$AJ51="C")*10+($AD51:$AJ51="A")*8+($AD51:$AJ51="J")*5+($AD51:$AJ51="E")*4+($AD51:$AJ51="P")*6+($AD51:$AJ51="R")*6)</f>
        <v/>
      </c>
      <c r="BI51" s="110">
        <f>SUMPRODUCT(($AK51:$AL51="M")*6+($AK51:$AL51="T")*6+($AK51:$AL51="D")*12+($AK51:$AL51="N")*12+($AK51:$AL51="NT")*6+($AK51:$AL51="C")*10+($AK51:$AL51="A")*8+($AK51:$AL51="J")*5+($AK51:$AL51="E")*4+($AK51:$AL51="P")*6+($AK51:$AL51="R")*6)+SUMPRODUCT(($AN51:$AR51="M")*6+($AN51:$AR51="T")*6+($AN51:$AR51="D")*12+($AN51:$AR51="N")*12+($AN51:$AR51="NT")*6+($AN51:$AR51="C")*10+($AN51:$AR51="A")*8+($AN51:$AR51="J")*5+($AN51:$AR51="E")*4+($AN51:$AR51="P")*6+($AN51:$AR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16" t="inlineStr">
        <is>
          <t>N</t>
        </is>
      </c>
      <c r="J52" s="107" t="n"/>
      <c r="K52" s="107" t="n"/>
      <c r="L52" s="107" t="n"/>
      <c r="M52" s="107" t="n"/>
      <c r="N52" s="116" t="inlineStr">
        <is>
          <t>N</t>
        </is>
      </c>
      <c r="O52" s="107" t="n"/>
      <c r="P52" s="116" t="inlineStr">
        <is>
          <t>N</t>
        </is>
      </c>
      <c r="Q52" s="107" t="n"/>
      <c r="R52" s="107" t="n"/>
      <c r="S52" s="107" t="n"/>
      <c r="T52" s="116" t="inlineStr">
        <is>
          <t>N</t>
        </is>
      </c>
      <c r="U52" s="107" t="n"/>
      <c r="V52" s="107" t="n"/>
      <c r="W52" s="116" t="inlineStr">
        <is>
          <t>N</t>
        </is>
      </c>
      <c r="X52" s="107" t="n"/>
      <c r="Y52" s="107" t="n"/>
      <c r="Z52" s="107" t="n"/>
      <c r="AA52" s="107" t="n"/>
      <c r="AB52" s="116" t="inlineStr">
        <is>
          <t>N</t>
        </is>
      </c>
      <c r="AC52" s="107" t="n"/>
      <c r="AD52" s="116" t="inlineStr">
        <is>
          <t>N</t>
        </is>
      </c>
      <c r="AE52" s="107" t="n"/>
      <c r="AF52" s="107" t="n"/>
      <c r="AG52" s="107" t="n"/>
      <c r="AH52" s="116" t="inlineStr">
        <is>
          <t>N</t>
        </is>
      </c>
      <c r="AI52" s="107" t="n"/>
      <c r="AJ52" s="107" t="n"/>
      <c r="AK52" s="116" t="inlineStr">
        <is>
          <t>N</t>
        </is>
      </c>
      <c r="AL52" s="107" t="n"/>
      <c r="AM52" s="96" t="n"/>
      <c r="AN52" s="123">
        <f>IFERROR(INDEX(JUL!I$8:I$73,MATCH($A52,JUL!$A$8:$A$73,0))&amp;"","")</f>
        <v/>
      </c>
      <c r="AO52" s="123">
        <f>IFERROR(INDEX(JUL!J$8:J$73,MATCH($A52,JUL!$A$8:$A$73,0))&amp;"","")</f>
        <v/>
      </c>
      <c r="AP52" s="123">
        <f>IFERROR(INDEX(JUL!K$8:K$73,MATCH($A52,JUL!$A$8:$A$73,0))&amp;"","")</f>
        <v/>
      </c>
      <c r="AQ52" s="109">
        <f>IFERROR(INDEX(JUL!L$8:L$73,MATCH($A52,JUL!$A$8:$A$73,0))&amp;"","")</f>
        <v/>
      </c>
      <c r="AR52" s="109">
        <f>IFERROR(INDEX(JUL!M$8:M$73,MATCH($A52,JUL!$A$8:$A$73,0))&amp;"","")</f>
        <v/>
      </c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SUMPRODUCT(($I52:$O52="M")*6+($I52:$O52="T")*6+($I52:$O52="D")*12+($I52:$O52="N")*12+($I52:$O52="NT")*6+($I52:$O52="C")*10+($I52:$O52="A")*8+($I52:$O52="J")*5+($I52:$O52="E")*4+($I52:$O52="P")*6+($I52:$O52="R")*6)</f>
        <v/>
      </c>
      <c r="BF52" s="110">
        <f>SUMPRODUCT(($P52:$V52="M")*6+($P52:$V52="T")*6+($P52:$V52="D")*12+($P52:$V52="N")*12+($P52:$V52="NT")*6+($P52:$V52="C")*10+($P52:$V52="A")*8+($P52:$V52="J")*5+($P52:$V52="E")*4+($P52:$V52="P")*6+($P52:$V52="R")*6)</f>
        <v/>
      </c>
      <c r="BG52" s="110">
        <f>SUMPRODUCT(($W52:$AC52="M")*6+($W52:$AC52="T")*6+($W52:$AC52="D")*12+($W52:$AC52="N")*12+($W52:$AC52="NT")*6+($W52:$AC52="C")*10+($W52:$AC52="A")*8+($W52:$AC52="J")*5+($W52:$AC52="E")*4+($W52:$AC52="P")*6+($W52:$AC52="R")*6)</f>
        <v/>
      </c>
      <c r="BH52" s="110">
        <f>SUMPRODUCT(($AD52:$AJ52="M")*6+($AD52:$AJ52="T")*6+($AD52:$AJ52="D")*12+($AD52:$AJ52="N")*12+($AD52:$AJ52="NT")*6+($AD52:$AJ52="C")*10+($AD52:$AJ52="A")*8+($AD52:$AJ52="J")*5+($AD52:$AJ52="E")*4+($AD52:$AJ52="P")*6+($AD52:$AJ52="R")*6)</f>
        <v/>
      </c>
      <c r="BI52" s="110">
        <f>SUMPRODUCT(($AK52:$AL52="M")*6+($AK52:$AL52="T")*6+($AK52:$AL52="D")*12+($AK52:$AL52="N")*12+($AK52:$AL52="NT")*6+($AK52:$AL52="C")*10+($AK52:$AL52="A")*8+($AK52:$AL52="J")*5+($AK52:$AL52="E")*4+($AK52:$AL52="P")*6+($AK52:$AL52="R")*6)+SUMPRODUCT(($AN52:$AR52="M")*6+($AN52:$AR52="T")*6+($AN52:$AR52="D")*12+($AN52:$AR52="N")*12+($AN52:$AR52="NT")*6+($AN52:$AR52="C")*10+($AN52:$AR52="A")*8+($AN52:$AR52="J")*5+($AN52:$AR52="E")*4+($AN52:$AR52="P")*6+($AN52:$AR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16" t="inlineStr">
        <is>
          <t>N</t>
        </is>
      </c>
      <c r="J53" s="107" t="n"/>
      <c r="K53" s="107" t="n"/>
      <c r="L53" s="107" t="n"/>
      <c r="M53" s="116" t="inlineStr">
        <is>
          <t>N</t>
        </is>
      </c>
      <c r="N53" s="107" t="n"/>
      <c r="O53" s="116" t="inlineStr">
        <is>
          <t>N</t>
        </is>
      </c>
      <c r="P53" s="116" t="inlineStr">
        <is>
          <t>N</t>
        </is>
      </c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16" t="inlineStr">
        <is>
          <t>N</t>
        </is>
      </c>
      <c r="AD53" s="116" t="inlineStr">
        <is>
          <t>N</t>
        </is>
      </c>
      <c r="AE53" s="116" t="inlineStr">
        <is>
          <t>N</t>
        </is>
      </c>
      <c r="AF53" s="107" t="n"/>
      <c r="AG53" s="116" t="inlineStr">
        <is>
          <t>N</t>
        </is>
      </c>
      <c r="AH53" s="107" t="n"/>
      <c r="AI53" s="107" t="n"/>
      <c r="AJ53" s="107" t="n"/>
      <c r="AK53" s="116" t="inlineStr">
        <is>
          <t>N</t>
        </is>
      </c>
      <c r="AL53" s="116" t="inlineStr">
        <is>
          <t>N</t>
        </is>
      </c>
      <c r="AM53" s="96" t="n"/>
      <c r="AN53" s="123">
        <f>IFERROR(INDEX(JUL!I$8:I$73,MATCH($A53,JUL!$A$8:$A$73,0))&amp;"","")</f>
        <v/>
      </c>
      <c r="AO53" s="123">
        <f>IFERROR(INDEX(JUL!J$8:J$73,MATCH($A53,JUL!$A$8:$A$73,0))&amp;"","")</f>
        <v/>
      </c>
      <c r="AP53" s="123">
        <f>IFERROR(INDEX(JUL!K$8:K$73,MATCH($A53,JUL!$A$8:$A$73,0))&amp;"","")</f>
        <v/>
      </c>
      <c r="AQ53" s="109">
        <f>IFERROR(INDEX(JUL!L$8:L$73,MATCH($A53,JUL!$A$8:$A$73,0))&amp;"","")</f>
        <v/>
      </c>
      <c r="AR53" s="109">
        <f>IFERROR(INDEX(JUL!M$8:M$73,MATCH($A53,JUL!$A$8:$A$73,0))&amp;"","")</f>
        <v/>
      </c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SUMPRODUCT(($I53:$O53="M")*6+($I53:$O53="T")*6+($I53:$O53="D")*12+($I53:$O53="N")*12+($I53:$O53="NT")*6+($I53:$O53="C")*10+($I53:$O53="A")*8+($I53:$O53="J")*5+($I53:$O53="E")*4+($I53:$O53="P")*6+($I53:$O53="R")*6)</f>
        <v/>
      </c>
      <c r="BF53" s="110">
        <f>SUMPRODUCT(($P53:$V53="M")*6+($P53:$V53="T")*6+($P53:$V53="D")*12+($P53:$V53="N")*12+($P53:$V53="NT")*6+($P53:$V53="C")*10+($P53:$V53="A")*8+($P53:$V53="J")*5+($P53:$V53="E")*4+($P53:$V53="P")*6+($P53:$V53="R")*6)</f>
        <v/>
      </c>
      <c r="BG53" s="110">
        <f>SUMPRODUCT(($W53:$AC53="M")*6+($W53:$AC53="T")*6+($W53:$AC53="D")*12+($W53:$AC53="N")*12+($W53:$AC53="NT")*6+($W53:$AC53="C")*10+($W53:$AC53="A")*8+($W53:$AC53="J")*5+($W53:$AC53="E")*4+($W53:$AC53="P")*6+($W53:$AC53="R")*6)</f>
        <v/>
      </c>
      <c r="BH53" s="110">
        <f>SUMPRODUCT(($AD53:$AJ53="M")*6+($AD53:$AJ53="T")*6+($AD53:$AJ53="D")*12+($AD53:$AJ53="N")*12+($AD53:$AJ53="NT")*6+($AD53:$AJ53="C")*10+($AD53:$AJ53="A")*8+($AD53:$AJ53="J")*5+($AD53:$AJ53="E")*4+($AD53:$AJ53="P")*6+($AD53:$AJ53="R")*6)</f>
        <v/>
      </c>
      <c r="BI53" s="110">
        <f>SUMPRODUCT(($AK53:$AL53="M")*6+($AK53:$AL53="T")*6+($AK53:$AL53="D")*12+($AK53:$AL53="N")*12+($AK53:$AL53="NT")*6+($AK53:$AL53="C")*10+($AK53:$AL53="A")*8+($AK53:$AL53="J")*5+($AK53:$AL53="E")*4+($AK53:$AL53="P")*6+($AK53:$AL53="R")*6)+SUMPRODUCT(($AN53:$AR53="M")*6+($AN53:$AR53="T")*6+($AN53:$AR53="D")*12+($AN53:$AR53="N")*12+($AN53:$AR53="NT")*6+($AN53:$AR53="C")*10+($AN53:$AR53="A")*8+($AN53:$AR53="J")*5+($AN53:$AR53="E")*4+($AN53:$AR53="P")*6+($AN53:$AR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16" t="inlineStr">
        <is>
          <t>N</t>
        </is>
      </c>
      <c r="M54" s="107" t="n"/>
      <c r="N54" s="116" t="inlineStr">
        <is>
          <t>N</t>
        </is>
      </c>
      <c r="O54" s="107" t="n"/>
      <c r="P54" s="107" t="n"/>
      <c r="Q54" s="107" t="n"/>
      <c r="R54" s="107" t="n"/>
      <c r="S54" s="116" t="inlineStr">
        <is>
          <t>N</t>
        </is>
      </c>
      <c r="T54" s="107" t="n"/>
      <c r="U54" s="116" t="inlineStr">
        <is>
          <t>N</t>
        </is>
      </c>
      <c r="V54" s="107" t="n"/>
      <c r="W54" s="107" t="n"/>
      <c r="X54" s="107" t="n"/>
      <c r="Y54" s="107" t="n"/>
      <c r="Z54" s="116" t="inlineStr">
        <is>
          <t>N</t>
        </is>
      </c>
      <c r="AA54" s="107" t="n"/>
      <c r="AB54" s="116" t="inlineStr">
        <is>
          <t>N</t>
        </is>
      </c>
      <c r="AC54" s="107" t="n"/>
      <c r="AD54" s="107" t="n"/>
      <c r="AE54" s="107" t="n"/>
      <c r="AF54" s="107" t="n"/>
      <c r="AG54" s="116" t="inlineStr">
        <is>
          <t>N</t>
        </is>
      </c>
      <c r="AH54" s="107" t="n"/>
      <c r="AI54" s="116" t="inlineStr">
        <is>
          <t>N</t>
        </is>
      </c>
      <c r="AJ54" s="107" t="n"/>
      <c r="AK54" s="107" t="n"/>
      <c r="AL54" s="107" t="n"/>
      <c r="AM54" s="96" t="n"/>
      <c r="AN54" s="123">
        <f>IFERROR(INDEX(JUL!I$8:I$73,MATCH($A54,JUL!$A$8:$A$73,0))&amp;"","")</f>
        <v/>
      </c>
      <c r="AO54" s="123">
        <f>IFERROR(INDEX(JUL!J$8:J$73,MATCH($A54,JUL!$A$8:$A$73,0))&amp;"","")</f>
        <v/>
      </c>
      <c r="AP54" s="123">
        <f>IFERROR(INDEX(JUL!K$8:K$73,MATCH($A54,JUL!$A$8:$A$73,0))&amp;"","")</f>
        <v/>
      </c>
      <c r="AQ54" s="109">
        <f>IFERROR(INDEX(JUL!L$8:L$73,MATCH($A54,JUL!$A$8:$A$73,0))&amp;"","")</f>
        <v/>
      </c>
      <c r="AR54" s="109">
        <f>IFERROR(INDEX(JUL!M$8:M$73,MATCH($A54,JUL!$A$8:$A$73,0))&amp;"","")</f>
        <v/>
      </c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SUMPRODUCT(($I54:$O54="M")*6+($I54:$O54="T")*6+($I54:$O54="D")*12+($I54:$O54="N")*12+($I54:$O54="NT")*6+($I54:$O54="C")*10+($I54:$O54="A")*8+($I54:$O54="J")*5+($I54:$O54="E")*4+($I54:$O54="P")*6+($I54:$O54="R")*6)</f>
        <v/>
      </c>
      <c r="BF54" s="110">
        <f>SUMPRODUCT(($P54:$V54="M")*6+($P54:$V54="T")*6+($P54:$V54="D")*12+($P54:$V54="N")*12+($P54:$V54="NT")*6+($P54:$V54="C")*10+($P54:$V54="A")*8+($P54:$V54="J")*5+($P54:$V54="E")*4+($P54:$V54="P")*6+($P54:$V54="R")*6)</f>
        <v/>
      </c>
      <c r="BG54" s="110">
        <f>SUMPRODUCT(($W54:$AC54="M")*6+($W54:$AC54="T")*6+($W54:$AC54="D")*12+($W54:$AC54="N")*12+($W54:$AC54="NT")*6+($W54:$AC54="C")*10+($W54:$AC54="A")*8+($W54:$AC54="J")*5+($W54:$AC54="E")*4+($W54:$AC54="P")*6+($W54:$AC54="R")*6)</f>
        <v/>
      </c>
      <c r="BH54" s="110">
        <f>SUMPRODUCT(($AD54:$AJ54="M")*6+($AD54:$AJ54="T")*6+($AD54:$AJ54="D")*12+($AD54:$AJ54="N")*12+($AD54:$AJ54="NT")*6+($AD54:$AJ54="C")*10+($AD54:$AJ54="A")*8+($AD54:$AJ54="J")*5+($AD54:$AJ54="E")*4+($AD54:$AJ54="P")*6+($AD54:$AJ54="R")*6)</f>
        <v/>
      </c>
      <c r="BI54" s="110">
        <f>SUMPRODUCT(($AK54:$AL54="M")*6+($AK54:$AL54="T")*6+($AK54:$AL54="D")*12+($AK54:$AL54="N")*12+($AK54:$AL54="NT")*6+($AK54:$AL54="C")*10+($AK54:$AL54="A")*8+($AK54:$AL54="J")*5+($AK54:$AL54="E")*4+($AK54:$AL54="P")*6+($AK54:$AL54="R")*6)+SUMPRODUCT(($AN54:$AR54="M")*6+($AN54:$AR54="T")*6+($AN54:$AR54="D")*12+($AN54:$AR54="N")*12+($AN54:$AR54="NT")*6+($AN54:$AR54="C")*10+($AN54:$AR54="A")*8+($AN54:$AR54="J")*5+($AN54:$AR54="E")*4+($AN54:$AR54="P")*6+($AN54:$AR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7" t="n"/>
      <c r="O55" s="107" t="n"/>
      <c r="P55" s="108" t="inlineStr">
        <is>
          <t>M</t>
        </is>
      </c>
      <c r="Q55" s="107" t="n"/>
      <c r="R55" s="107" t="n"/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7" t="n"/>
      <c r="AM55" s="96" t="n"/>
      <c r="AN55" s="123">
        <f>IFERROR(INDEX(JUL!I$8:I$73,MATCH($A55,JUL!$A$8:$A$73,0))&amp;"","")</f>
        <v/>
      </c>
      <c r="AO55" s="123">
        <f>IFERROR(INDEX(JUL!J$8:J$73,MATCH($A55,JUL!$A$8:$A$73,0))&amp;"","")</f>
        <v/>
      </c>
      <c r="AP55" s="123">
        <f>IFERROR(INDEX(JUL!K$8:K$73,MATCH($A55,JUL!$A$8:$A$73,0))&amp;"","")</f>
        <v/>
      </c>
      <c r="AQ55" s="109">
        <f>IFERROR(INDEX(JUL!L$8:L$73,MATCH($A55,JUL!$A$8:$A$73,0))&amp;"","")</f>
        <v/>
      </c>
      <c r="AR55" s="109">
        <f>IFERROR(INDEX(JUL!M$8:M$73,MATCH($A55,JUL!$A$8:$A$73,0))&amp;"","")</f>
        <v/>
      </c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SUMPRODUCT(($I55:$O55="M")*6+($I55:$O55="T")*6+($I55:$O55="D")*12+($I55:$O55="N")*12+($I55:$O55="NT")*6+($I55:$O55="C")*10+($I55:$O55="A")*8+($I55:$O55="J")*5+($I55:$O55="E")*4+($I55:$O55="P")*6+($I55:$O55="R")*6)</f>
        <v/>
      </c>
      <c r="BF55" s="110">
        <f>SUMPRODUCT(($P55:$V55="M")*6+($P55:$V55="T")*6+($P55:$V55="D")*12+($P55:$V55="N")*12+($P55:$V55="NT")*6+($P55:$V55="C")*10+($P55:$V55="A")*8+($P55:$V55="J")*5+($P55:$V55="E")*4+($P55:$V55="P")*6+($P55:$V55="R")*6)</f>
        <v/>
      </c>
      <c r="BG55" s="110">
        <f>SUMPRODUCT(($W55:$AC55="M")*6+($W55:$AC55="T")*6+($W55:$AC55="D")*12+($W55:$AC55="N")*12+($W55:$AC55="NT")*6+($W55:$AC55="C")*10+($W55:$AC55="A")*8+($W55:$AC55="J")*5+($W55:$AC55="E")*4+($W55:$AC55="P")*6+($W55:$AC55="R")*6)</f>
        <v/>
      </c>
      <c r="BH55" s="110">
        <f>SUMPRODUCT(($AD55:$AJ55="M")*6+($AD55:$AJ55="T")*6+($AD55:$AJ55="D")*12+($AD55:$AJ55="N")*12+($AD55:$AJ55="NT")*6+($AD55:$AJ55="C")*10+($AD55:$AJ55="A")*8+($AD55:$AJ55="J")*5+($AD55:$AJ55="E")*4+($AD55:$AJ55="P")*6+($AD55:$AJ55="R")*6)</f>
        <v/>
      </c>
      <c r="BI55" s="110">
        <f>SUMPRODUCT(($AK55:$AL55="M")*6+($AK55:$AL55="T")*6+($AK55:$AL55="D")*12+($AK55:$AL55="N")*12+($AK55:$AL55="NT")*6+($AK55:$AL55="C")*10+($AK55:$AL55="A")*8+($AK55:$AL55="J")*5+($AK55:$AL55="E")*4+($AK55:$AL55="P")*6+($AK55:$AL55="R")*6)+SUMPRODUCT(($AN55:$AR55="M")*6+($AN55:$AR55="T")*6+($AN55:$AR55="D")*12+($AN55:$AR55="N")*12+($AN55:$AR55="NT")*6+($AN55:$AR55="C")*10+($AN55:$AR55="A")*8+($AN55:$AR55="J")*5+($AN55:$AR55="E")*4+($AN55:$AR55="P")*6+($AN55:$AR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15" t="inlineStr">
        <is>
          <t>D</t>
        </is>
      </c>
      <c r="M56" s="115" t="inlineStr">
        <is>
          <t>D</t>
        </is>
      </c>
      <c r="N56" s="107" t="n"/>
      <c r="O56" s="107" t="n"/>
      <c r="P56" s="107" t="n"/>
      <c r="Q56" s="107" t="n"/>
      <c r="R56" s="107" t="n"/>
      <c r="S56" s="115" t="inlineStr">
        <is>
          <t>D</t>
        </is>
      </c>
      <c r="T56" s="107" t="n"/>
      <c r="U56" s="115" t="inlineStr">
        <is>
          <t>D</t>
        </is>
      </c>
      <c r="V56" s="107" t="n"/>
      <c r="W56" s="107" t="n"/>
      <c r="X56" s="107" t="n"/>
      <c r="Y56" s="107" t="n"/>
      <c r="Z56" s="115" t="inlineStr">
        <is>
          <t>D</t>
        </is>
      </c>
      <c r="AA56" s="116" t="inlineStr">
        <is>
          <t>N</t>
        </is>
      </c>
      <c r="AB56" s="107" t="n"/>
      <c r="AC56" s="107" t="n"/>
      <c r="AD56" s="107" t="n"/>
      <c r="AE56" s="107" t="n"/>
      <c r="AF56" s="107" t="n"/>
      <c r="AG56" s="115" t="inlineStr">
        <is>
          <t>D</t>
        </is>
      </c>
      <c r="AH56" s="107" t="n"/>
      <c r="AI56" s="115" t="inlineStr">
        <is>
          <t>D</t>
        </is>
      </c>
      <c r="AJ56" s="107" t="n"/>
      <c r="AK56" s="107" t="n"/>
      <c r="AL56" s="115" t="inlineStr">
        <is>
          <t>D</t>
        </is>
      </c>
      <c r="AM56" s="96" t="n"/>
      <c r="AN56" s="123">
        <f>IFERROR(INDEX(JUL!I$8:I$73,MATCH($A56,JUL!$A$8:$A$73,0))&amp;"","")</f>
        <v/>
      </c>
      <c r="AO56" s="123">
        <f>IFERROR(INDEX(JUL!J$8:J$73,MATCH($A56,JUL!$A$8:$A$73,0))&amp;"","")</f>
        <v/>
      </c>
      <c r="AP56" s="123">
        <f>IFERROR(INDEX(JUL!K$8:K$73,MATCH($A56,JUL!$A$8:$A$73,0))&amp;"","")</f>
        <v/>
      </c>
      <c r="AQ56" s="109">
        <f>IFERROR(INDEX(JUL!L$8:L$73,MATCH($A56,JUL!$A$8:$A$73,0))&amp;"","")</f>
        <v/>
      </c>
      <c r="AR56" s="109">
        <f>IFERROR(INDEX(JUL!M$8:M$73,MATCH($A56,JUL!$A$8:$A$73,0))&amp;"","")</f>
        <v/>
      </c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SUMPRODUCT(($I56:$O56="M")*6+($I56:$O56="T")*6+($I56:$O56="D")*12+($I56:$O56="N")*12+($I56:$O56="NT")*6+($I56:$O56="C")*10+($I56:$O56="A")*8+($I56:$O56="J")*5+($I56:$O56="E")*4+($I56:$O56="P")*6+($I56:$O56="R")*6)</f>
        <v/>
      </c>
      <c r="BF56" s="110">
        <f>SUMPRODUCT(($P56:$V56="M")*6+($P56:$V56="T")*6+($P56:$V56="D")*12+($P56:$V56="N")*12+($P56:$V56="NT")*6+($P56:$V56="C")*10+($P56:$V56="A")*8+($P56:$V56="J")*5+($P56:$V56="E")*4+($P56:$V56="P")*6+($P56:$V56="R")*6)</f>
        <v/>
      </c>
      <c r="BG56" s="110">
        <f>SUMPRODUCT(($W56:$AC56="M")*6+($W56:$AC56="T")*6+($W56:$AC56="D")*12+($W56:$AC56="N")*12+($W56:$AC56="NT")*6+($W56:$AC56="C")*10+($W56:$AC56="A")*8+($W56:$AC56="J")*5+($W56:$AC56="E")*4+($W56:$AC56="P")*6+($W56:$AC56="R")*6)</f>
        <v/>
      </c>
      <c r="BH56" s="110">
        <f>SUMPRODUCT(($AD56:$AJ56="M")*6+($AD56:$AJ56="T")*6+($AD56:$AJ56="D")*12+($AD56:$AJ56="N")*12+($AD56:$AJ56="NT")*6+($AD56:$AJ56="C")*10+($AD56:$AJ56="A")*8+($AD56:$AJ56="J")*5+($AD56:$AJ56="E")*4+($AD56:$AJ56="P")*6+($AD56:$AJ56="R")*6)</f>
        <v/>
      </c>
      <c r="BI56" s="110">
        <f>SUMPRODUCT(($AK56:$AL56="M")*6+($AK56:$AL56="T")*6+($AK56:$AL56="D")*12+($AK56:$AL56="N")*12+($AK56:$AL56="NT")*6+($AK56:$AL56="C")*10+($AK56:$AL56="A")*8+($AK56:$AL56="J")*5+($AK56:$AL56="E")*4+($AK56:$AL56="P")*6+($AK56:$AL56="R")*6)+SUMPRODUCT(($AN56:$AR56="M")*6+($AN56:$AR56="T")*6+($AN56:$AR56="D")*12+($AN56:$AR56="N")*12+($AN56:$AR56="NT")*6+($AN56:$AR56="C")*10+($AN56:$AR56="A")*8+($AN56:$AR56="J")*5+($AN56:$AR56="E")*4+($AN56:$AR56="P")*6+($AN56:$AR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6" t="inlineStr">
        <is>
          <t>N</t>
        </is>
      </c>
      <c r="K57" s="107" t="n"/>
      <c r="L57" s="116" t="inlineStr">
        <is>
          <t>N</t>
        </is>
      </c>
      <c r="M57" s="107" t="n"/>
      <c r="N57" s="107" t="n"/>
      <c r="O57" s="107" t="n"/>
      <c r="P57" s="116" t="inlineStr">
        <is>
          <t>N</t>
        </is>
      </c>
      <c r="Q57" s="107" t="n"/>
      <c r="R57" s="116" t="inlineStr">
        <is>
          <t>N</t>
        </is>
      </c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6" t="inlineStr">
        <is>
          <t>N</t>
        </is>
      </c>
      <c r="AB57" s="107" t="n"/>
      <c r="AC57" s="115" t="inlineStr">
        <is>
          <t>D</t>
        </is>
      </c>
      <c r="AD57" s="116" t="inlineStr">
        <is>
          <t>N</t>
        </is>
      </c>
      <c r="AE57" s="107" t="n"/>
      <c r="AF57" s="107" t="n"/>
      <c r="AG57" s="107" t="n"/>
      <c r="AH57" s="107" t="n"/>
      <c r="AI57" s="115" t="inlineStr">
        <is>
          <t>D</t>
        </is>
      </c>
      <c r="AJ57" s="107" t="n"/>
      <c r="AK57" s="107" t="n"/>
      <c r="AL57" s="107" t="n"/>
      <c r="AM57" s="96" t="n"/>
      <c r="AN57" s="123">
        <f>IFERROR(INDEX(JUL!I$8:I$73,MATCH($A57,JUL!$A$8:$A$73,0))&amp;"","")</f>
        <v/>
      </c>
      <c r="AO57" s="123">
        <f>IFERROR(INDEX(JUL!J$8:J$73,MATCH($A57,JUL!$A$8:$A$73,0))&amp;"","")</f>
        <v/>
      </c>
      <c r="AP57" s="123">
        <f>IFERROR(INDEX(JUL!K$8:K$73,MATCH($A57,JUL!$A$8:$A$73,0))&amp;"","")</f>
        <v/>
      </c>
      <c r="AQ57" s="109">
        <f>IFERROR(INDEX(JUL!L$8:L$73,MATCH($A57,JUL!$A$8:$A$73,0))&amp;"","")</f>
        <v/>
      </c>
      <c r="AR57" s="109">
        <f>IFERROR(INDEX(JUL!M$8:M$73,MATCH($A57,JUL!$A$8:$A$73,0))&amp;"","")</f>
        <v/>
      </c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SUMPRODUCT(($I57:$O57="M")*6+($I57:$O57="T")*6+($I57:$O57="D")*12+($I57:$O57="N")*12+($I57:$O57="NT")*6+($I57:$O57="C")*10+($I57:$O57="A")*8+($I57:$O57="J")*5+($I57:$O57="E")*4+($I57:$O57="P")*6+($I57:$O57="R")*6)</f>
        <v/>
      </c>
      <c r="BF57" s="110">
        <f>SUMPRODUCT(($P57:$V57="M")*6+($P57:$V57="T")*6+($P57:$V57="D")*12+($P57:$V57="N")*12+($P57:$V57="NT")*6+($P57:$V57="C")*10+($P57:$V57="A")*8+($P57:$V57="J")*5+($P57:$V57="E")*4+($P57:$V57="P")*6+($P57:$V57="R")*6)</f>
        <v/>
      </c>
      <c r="BG57" s="110">
        <f>SUMPRODUCT(($W57:$AC57="M")*6+($W57:$AC57="T")*6+($W57:$AC57="D")*12+($W57:$AC57="N")*12+($W57:$AC57="NT")*6+($W57:$AC57="C")*10+($W57:$AC57="A")*8+($W57:$AC57="J")*5+($W57:$AC57="E")*4+($W57:$AC57="P")*6+($W57:$AC57="R")*6)</f>
        <v/>
      </c>
      <c r="BH57" s="110">
        <f>SUMPRODUCT(($AD57:$AJ57="M")*6+($AD57:$AJ57="T")*6+($AD57:$AJ57="D")*12+($AD57:$AJ57="N")*12+($AD57:$AJ57="NT")*6+($AD57:$AJ57="C")*10+($AD57:$AJ57="A")*8+($AD57:$AJ57="J")*5+($AD57:$AJ57="E")*4+($AD57:$AJ57="P")*6+($AD57:$AJ57="R")*6)</f>
        <v/>
      </c>
      <c r="BI57" s="110">
        <f>SUMPRODUCT(($AK57:$AL57="M")*6+($AK57:$AL57="T")*6+($AK57:$AL57="D")*12+($AK57:$AL57="N")*12+($AK57:$AL57="NT")*6+($AK57:$AL57="C")*10+($AK57:$AL57="A")*8+($AK57:$AL57="J")*5+($AK57:$AL57="E")*4+($AK57:$AL57="P")*6+($AK57:$AL57="R")*6)+SUMPRODUCT(($AN57:$AR57="M")*6+($AN57:$AR57="T")*6+($AN57:$AR57="D")*12+($AN57:$AR57="N")*12+($AN57:$AR57="NT")*6+($AN57:$AR57="C")*10+($AN57:$AR57="A")*8+($AN57:$AR57="J")*5+($AN57:$AR57="E")*4+($AN57:$AR57="P")*6+($AN57:$AR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16" t="inlineStr">
        <is>
          <t>N</t>
        </is>
      </c>
      <c r="L58" s="107" t="n"/>
      <c r="M58" s="115" t="inlineStr">
        <is>
          <t>D</t>
        </is>
      </c>
      <c r="N58" s="107" t="n"/>
      <c r="O58" s="107" t="n"/>
      <c r="P58" s="107" t="n"/>
      <c r="Q58" s="107" t="n"/>
      <c r="R58" s="116" t="inlineStr">
        <is>
          <t>N</t>
        </is>
      </c>
      <c r="S58" s="107" t="n"/>
      <c r="T58" s="107" t="n"/>
      <c r="U58" s="107" t="n"/>
      <c r="V58" s="115" t="inlineStr">
        <is>
          <t>D</t>
        </is>
      </c>
      <c r="W58" s="107" t="n"/>
      <c r="X58" s="107" t="n"/>
      <c r="Y58" s="116" t="inlineStr">
        <is>
          <t>N</t>
        </is>
      </c>
      <c r="Z58" s="107" t="n"/>
      <c r="AA58" s="107" t="n"/>
      <c r="AB58" s="115" t="inlineStr">
        <is>
          <t>D</t>
        </is>
      </c>
      <c r="AC58" s="107" t="n"/>
      <c r="AD58" s="107" t="n"/>
      <c r="AE58" s="107" t="n"/>
      <c r="AF58" s="116" t="inlineStr">
        <is>
          <t>N</t>
        </is>
      </c>
      <c r="AG58" s="107" t="n"/>
      <c r="AH58" s="115" t="inlineStr">
        <is>
          <t>D</t>
        </is>
      </c>
      <c r="AI58" s="107" t="n"/>
      <c r="AJ58" s="107" t="n"/>
      <c r="AK58" s="107" t="n"/>
      <c r="AL58" s="107" t="n"/>
      <c r="AM58" s="96" t="n"/>
      <c r="AN58" s="123">
        <f>IFERROR(INDEX(JUL!I$8:I$73,MATCH($A58,JUL!$A$8:$A$73,0))&amp;"","")</f>
        <v/>
      </c>
      <c r="AO58" s="123">
        <f>IFERROR(INDEX(JUL!J$8:J$73,MATCH($A58,JUL!$A$8:$A$73,0))&amp;"","")</f>
        <v/>
      </c>
      <c r="AP58" s="123">
        <f>IFERROR(INDEX(JUL!K$8:K$73,MATCH($A58,JUL!$A$8:$A$73,0))&amp;"","")</f>
        <v/>
      </c>
      <c r="AQ58" s="109">
        <f>IFERROR(INDEX(JUL!L$8:L$73,MATCH($A58,JUL!$A$8:$A$73,0))&amp;"","")</f>
        <v/>
      </c>
      <c r="AR58" s="109">
        <f>IFERROR(INDEX(JUL!M$8:M$73,MATCH($A58,JUL!$A$8:$A$73,0))&amp;"","")</f>
        <v/>
      </c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SUMPRODUCT(($I58:$O58="M")*6+($I58:$O58="T")*6+($I58:$O58="D")*12+($I58:$O58="N")*12+($I58:$O58="NT")*6+($I58:$O58="C")*10+($I58:$O58="A")*8+($I58:$O58="J")*5+($I58:$O58="E")*4+($I58:$O58="P")*6+($I58:$O58="R")*6)</f>
        <v/>
      </c>
      <c r="BF58" s="110">
        <f>SUMPRODUCT(($P58:$V58="M")*6+($P58:$V58="T")*6+($P58:$V58="D")*12+($P58:$V58="N")*12+($P58:$V58="NT")*6+($P58:$V58="C")*10+($P58:$V58="A")*8+($P58:$V58="J")*5+($P58:$V58="E")*4+($P58:$V58="P")*6+($P58:$V58="R")*6)</f>
        <v/>
      </c>
      <c r="BG58" s="110">
        <f>SUMPRODUCT(($W58:$AC58="M")*6+($W58:$AC58="T")*6+($W58:$AC58="D")*12+($W58:$AC58="N")*12+($W58:$AC58="NT")*6+($W58:$AC58="C")*10+($W58:$AC58="A")*8+($W58:$AC58="J")*5+($W58:$AC58="E")*4+($W58:$AC58="P")*6+($W58:$AC58="R")*6)</f>
        <v/>
      </c>
      <c r="BH58" s="110">
        <f>SUMPRODUCT(($AD58:$AJ58="M")*6+($AD58:$AJ58="T")*6+($AD58:$AJ58="D")*12+($AD58:$AJ58="N")*12+($AD58:$AJ58="NT")*6+($AD58:$AJ58="C")*10+($AD58:$AJ58="A")*8+($AD58:$AJ58="J")*5+($AD58:$AJ58="E")*4+($AD58:$AJ58="P")*6+($AD58:$AJ58="R")*6)</f>
        <v/>
      </c>
      <c r="BI58" s="110">
        <f>SUMPRODUCT(($AK58:$AL58="M")*6+($AK58:$AL58="T")*6+($AK58:$AL58="D")*12+($AK58:$AL58="N")*12+($AK58:$AL58="NT")*6+($AK58:$AL58="C")*10+($AK58:$AL58="A")*8+($AK58:$AL58="J")*5+($AK58:$AL58="E")*4+($AK58:$AL58="P")*6+($AK58:$AL58="R")*6)+SUMPRODUCT(($AN58:$AR58="M")*6+($AN58:$AR58="T")*6+($AN58:$AR58="D")*12+($AN58:$AR58="N")*12+($AN58:$AR58="NT")*6+($AN58:$AR58="C")*10+($AN58:$AR58="A")*8+($AN58:$AR58="J")*5+($AN58:$AR58="E")*4+($AN58:$AR58="P")*6+($AN58:$AR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16" t="inlineStr">
        <is>
          <t>N</t>
        </is>
      </c>
      <c r="M59" s="116" t="inlineStr">
        <is>
          <t>N</t>
        </is>
      </c>
      <c r="N59" s="107" t="n"/>
      <c r="O59" s="116" t="inlineStr">
        <is>
          <t>N</t>
        </is>
      </c>
      <c r="P59" s="107" t="n"/>
      <c r="Q59" s="107" t="n"/>
      <c r="R59" s="116" t="inlineStr">
        <is>
          <t>N</t>
        </is>
      </c>
      <c r="S59" s="107" t="n"/>
      <c r="T59" s="116" t="inlineStr">
        <is>
          <t>N</t>
        </is>
      </c>
      <c r="U59" s="116" t="inlineStr">
        <is>
          <t>N</t>
        </is>
      </c>
      <c r="V59" s="107" t="n"/>
      <c r="W59" s="107" t="n"/>
      <c r="X59" s="116" t="inlineStr">
        <is>
          <t>N</t>
        </is>
      </c>
      <c r="Y59" s="116" t="inlineStr">
        <is>
          <t>N</t>
        </is>
      </c>
      <c r="Z59" s="107" t="n"/>
      <c r="AA59" s="117" t="inlineStr">
        <is>
          <t>T</t>
        </is>
      </c>
      <c r="AB59" s="117" t="inlineStr">
        <is>
          <t>T</t>
        </is>
      </c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23">
        <f>IFERROR(INDEX(JUL!I$8:I$73,MATCH($A59,JUL!$A$8:$A$73,0))&amp;"","")</f>
        <v/>
      </c>
      <c r="AO59" s="123">
        <f>IFERROR(INDEX(JUL!J$8:J$73,MATCH($A59,JUL!$A$8:$A$73,0))&amp;"","")</f>
        <v/>
      </c>
      <c r="AP59" s="123">
        <f>IFERROR(INDEX(JUL!K$8:K$73,MATCH($A59,JUL!$A$8:$A$73,0))&amp;"","")</f>
        <v/>
      </c>
      <c r="AQ59" s="109">
        <f>IFERROR(INDEX(JUL!L$8:L$73,MATCH($A59,JUL!$A$8:$A$73,0))&amp;"","")</f>
        <v/>
      </c>
      <c r="AR59" s="109">
        <f>IFERROR(INDEX(JUL!M$8:M$73,MATCH($A59,JUL!$A$8:$A$73,0))&amp;"","")</f>
        <v/>
      </c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SUMPRODUCT(($I59:$O59="M")*6+($I59:$O59="T")*6+($I59:$O59="D")*12+($I59:$O59="N")*12+($I59:$O59="NT")*6+($I59:$O59="C")*10+($I59:$O59="A")*8+($I59:$O59="J")*5+($I59:$O59="E")*4+($I59:$O59="P")*6+($I59:$O59="R")*6)</f>
        <v/>
      </c>
      <c r="BF59" s="110">
        <f>SUMPRODUCT(($P59:$V59="M")*6+($P59:$V59="T")*6+($P59:$V59="D")*12+($P59:$V59="N")*12+($P59:$V59="NT")*6+($P59:$V59="C")*10+($P59:$V59="A")*8+($P59:$V59="J")*5+($P59:$V59="E")*4+($P59:$V59="P")*6+($P59:$V59="R")*6)</f>
        <v/>
      </c>
      <c r="BG59" s="110">
        <f>SUMPRODUCT(($W59:$AC59="M")*6+($W59:$AC59="T")*6+($W59:$AC59="D")*12+($W59:$AC59="N")*12+($W59:$AC59="NT")*6+($W59:$AC59="C")*10+($W59:$AC59="A")*8+($W59:$AC59="J")*5+($W59:$AC59="E")*4+($W59:$AC59="P")*6+($W59:$AC59="R")*6)</f>
        <v/>
      </c>
      <c r="BH59" s="110">
        <f>SUMPRODUCT(($AD59:$AJ59="M")*6+($AD59:$AJ59="T")*6+($AD59:$AJ59="D")*12+($AD59:$AJ59="N")*12+($AD59:$AJ59="NT")*6+($AD59:$AJ59="C")*10+($AD59:$AJ59="A")*8+($AD59:$AJ59="J")*5+($AD59:$AJ59="E")*4+($AD59:$AJ59="P")*6+($AD59:$AJ59="R")*6)</f>
        <v/>
      </c>
      <c r="BI59" s="110">
        <f>SUMPRODUCT(($AK59:$AL59="M")*6+($AK59:$AL59="T")*6+($AK59:$AL59="D")*12+($AK59:$AL59="N")*12+($AK59:$AL59="NT")*6+($AK59:$AL59="C")*10+($AK59:$AL59="A")*8+($AK59:$AL59="J")*5+($AK59:$AL59="E")*4+($AK59:$AL59="P")*6+($AK59:$AL59="R")*6)+SUMPRODUCT(($AN59:$AR59="M")*6+($AN59:$AR59="T")*6+($AN59:$AR59="D")*12+($AN59:$AR59="N")*12+($AN59:$AR59="NT")*6+($AN59:$AR59="C")*10+($AN59:$AR59="A")*8+($AN59:$AR59="J")*5+($AN59:$AR59="E")*4+($AN59:$AR59="P")*6+($AN59:$AR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16" t="inlineStr">
        <is>
          <t>N</t>
        </is>
      </c>
      <c r="AB60" s="107" t="n"/>
      <c r="AC60" s="117" t="inlineStr">
        <is>
          <t>T</t>
        </is>
      </c>
      <c r="AD60" s="107" t="n"/>
      <c r="AE60" s="117" t="inlineStr">
        <is>
          <t>T</t>
        </is>
      </c>
      <c r="AF60" s="107" t="n"/>
      <c r="AG60" s="117" t="inlineStr">
        <is>
          <t>T</t>
        </is>
      </c>
      <c r="AH60" s="107" t="n"/>
      <c r="AI60" s="107" t="n"/>
      <c r="AJ60" s="115" t="inlineStr">
        <is>
          <t>D</t>
        </is>
      </c>
      <c r="AK60" s="107" t="n"/>
      <c r="AL60" s="107" t="n"/>
      <c r="AM60" s="96" t="n"/>
      <c r="AN60" s="123">
        <f>IFERROR(INDEX(JUL!I$8:I$73,MATCH($A60,JUL!$A$8:$A$73,0))&amp;"","")</f>
        <v/>
      </c>
      <c r="AO60" s="123">
        <f>IFERROR(INDEX(JUL!J$8:J$73,MATCH($A60,JUL!$A$8:$A$73,0))&amp;"","")</f>
        <v/>
      </c>
      <c r="AP60" s="123">
        <f>IFERROR(INDEX(JUL!K$8:K$73,MATCH($A60,JUL!$A$8:$A$73,0))&amp;"","")</f>
        <v/>
      </c>
      <c r="AQ60" s="109">
        <f>IFERROR(INDEX(JUL!L$8:L$73,MATCH($A60,JUL!$A$8:$A$73,0))&amp;"","")</f>
        <v/>
      </c>
      <c r="AR60" s="109">
        <f>IFERROR(INDEX(JUL!M$8:M$73,MATCH($A60,JUL!$A$8:$A$73,0))&amp;"","")</f>
        <v/>
      </c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SUMPRODUCT(($I60:$O60="M")*6+($I60:$O60="T")*6+($I60:$O60="D")*12+($I60:$O60="N")*12+($I60:$O60="NT")*6+($I60:$O60="C")*10+($I60:$O60="A")*8+($I60:$O60="J")*5+($I60:$O60="E")*4+($I60:$O60="P")*6+($I60:$O60="R")*6)</f>
        <v/>
      </c>
      <c r="BF60" s="110">
        <f>SUMPRODUCT(($P60:$V60="M")*6+($P60:$V60="T")*6+($P60:$V60="D")*12+($P60:$V60="N")*12+($P60:$V60="NT")*6+($P60:$V60="C")*10+($P60:$V60="A")*8+($P60:$V60="J")*5+($P60:$V60="E")*4+($P60:$V60="P")*6+($P60:$V60="R")*6)</f>
        <v/>
      </c>
      <c r="BG60" s="110">
        <f>SUMPRODUCT(($W60:$AC60="M")*6+($W60:$AC60="T")*6+($W60:$AC60="D")*12+($W60:$AC60="N")*12+($W60:$AC60="NT")*6+($W60:$AC60="C")*10+($W60:$AC60="A")*8+($W60:$AC60="J")*5+($W60:$AC60="E")*4+($W60:$AC60="P")*6+($W60:$AC60="R")*6)</f>
        <v/>
      </c>
      <c r="BH60" s="110">
        <f>SUMPRODUCT(($AD60:$AJ60="M")*6+($AD60:$AJ60="T")*6+($AD60:$AJ60="D")*12+($AD60:$AJ60="N")*12+($AD60:$AJ60="NT")*6+($AD60:$AJ60="C")*10+($AD60:$AJ60="A")*8+($AD60:$AJ60="J")*5+($AD60:$AJ60="E")*4+($AD60:$AJ60="P")*6+($AD60:$AJ60="R")*6)</f>
        <v/>
      </c>
      <c r="BI60" s="110">
        <f>SUMPRODUCT(($AK60:$AL60="M")*6+($AK60:$AL60="T")*6+($AK60:$AL60="D")*12+($AK60:$AL60="N")*12+($AK60:$AL60="NT")*6+($AK60:$AL60="C")*10+($AK60:$AL60="A")*8+($AK60:$AL60="J")*5+($AK60:$AL60="E")*4+($AK60:$AL60="P")*6+($AK60:$AL60="R")*6)+SUMPRODUCT(($AN60:$AR60="M")*6+($AN60:$AR60="T")*6+($AN60:$AR60="D")*12+($AN60:$AR60="N")*12+($AN60:$AR60="NT")*6+($AN60:$AR60="C")*10+($AN60:$AR60="A")*8+($AN60:$AR60="J")*5+($AN60:$AR60="E")*4+($AN60:$AR60="P")*6+($AN60:$AR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15" t="inlineStr">
        <is>
          <t>D</t>
        </is>
      </c>
      <c r="K61" s="107" t="n"/>
      <c r="L61" s="117" t="inlineStr">
        <is>
          <t>T</t>
        </is>
      </c>
      <c r="M61" s="117" t="inlineStr">
        <is>
          <t>T</t>
        </is>
      </c>
      <c r="N61" s="107" t="n"/>
      <c r="O61" s="107" t="n"/>
      <c r="P61" s="115" t="inlineStr">
        <is>
          <t>D</t>
        </is>
      </c>
      <c r="Q61" s="107" t="n"/>
      <c r="R61" s="107" t="n"/>
      <c r="S61" s="116" t="inlineStr">
        <is>
          <t>N</t>
        </is>
      </c>
      <c r="T61" s="107" t="n"/>
      <c r="U61" s="107" t="n"/>
      <c r="V61" s="107" t="n"/>
      <c r="W61" s="115" t="inlineStr">
        <is>
          <t>D</t>
        </is>
      </c>
      <c r="X61" s="107" t="n"/>
      <c r="Y61" s="107" t="n"/>
      <c r="Z61" s="107" t="n"/>
      <c r="AA61" s="107" t="n"/>
      <c r="AB61" s="116" t="inlineStr">
        <is>
          <t>N</t>
        </is>
      </c>
      <c r="AC61" s="107" t="n"/>
      <c r="AD61" s="115" t="inlineStr">
        <is>
          <t>D</t>
        </is>
      </c>
      <c r="AE61" s="107" t="n"/>
      <c r="AF61" s="107" t="n"/>
      <c r="AG61" s="107" t="n"/>
      <c r="AH61" s="107" t="n"/>
      <c r="AI61" s="107" t="n"/>
      <c r="AJ61" s="115" t="inlineStr">
        <is>
          <t>D</t>
        </is>
      </c>
      <c r="AK61" s="115" t="inlineStr">
        <is>
          <t>D</t>
        </is>
      </c>
      <c r="AL61" s="107" t="n"/>
      <c r="AM61" s="96" t="n"/>
      <c r="AN61" s="123">
        <f>IFERROR(INDEX(JUL!I$8:I$73,MATCH($A61,JUL!$A$8:$A$73,0))&amp;"","")</f>
        <v/>
      </c>
      <c r="AO61" s="123">
        <f>IFERROR(INDEX(JUL!J$8:J$73,MATCH($A61,JUL!$A$8:$A$73,0))&amp;"","")</f>
        <v/>
      </c>
      <c r="AP61" s="123">
        <f>IFERROR(INDEX(JUL!K$8:K$73,MATCH($A61,JUL!$A$8:$A$73,0))&amp;"","")</f>
        <v/>
      </c>
      <c r="AQ61" s="109">
        <f>IFERROR(INDEX(JUL!L$8:L$73,MATCH($A61,JUL!$A$8:$A$73,0))&amp;"","")</f>
        <v/>
      </c>
      <c r="AR61" s="109">
        <f>IFERROR(INDEX(JUL!M$8:M$73,MATCH($A61,JUL!$A$8:$A$73,0))&amp;"","")</f>
        <v/>
      </c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SUMPRODUCT(($I61:$O61="M")*6+($I61:$O61="T")*6+($I61:$O61="D")*12+($I61:$O61="N")*12+($I61:$O61="NT")*6+($I61:$O61="C")*10+($I61:$O61="A")*8+($I61:$O61="J")*5+($I61:$O61="E")*4+($I61:$O61="P")*6+($I61:$O61="R")*6)</f>
        <v/>
      </c>
      <c r="BF61" s="110">
        <f>SUMPRODUCT(($P61:$V61="M")*6+($P61:$V61="T")*6+($P61:$V61="D")*12+($P61:$V61="N")*12+($P61:$V61="NT")*6+($P61:$V61="C")*10+($P61:$V61="A")*8+($P61:$V61="J")*5+($P61:$V61="E")*4+($P61:$V61="P")*6+($P61:$V61="R")*6)</f>
        <v/>
      </c>
      <c r="BG61" s="110">
        <f>SUMPRODUCT(($W61:$AC61="M")*6+($W61:$AC61="T")*6+($W61:$AC61="D")*12+($W61:$AC61="N")*12+($W61:$AC61="NT")*6+($W61:$AC61="C")*10+($W61:$AC61="A")*8+($W61:$AC61="J")*5+($W61:$AC61="E")*4+($W61:$AC61="P")*6+($W61:$AC61="R")*6)</f>
        <v/>
      </c>
      <c r="BH61" s="110">
        <f>SUMPRODUCT(($AD61:$AJ61="M")*6+($AD61:$AJ61="T")*6+($AD61:$AJ61="D")*12+($AD61:$AJ61="N")*12+($AD61:$AJ61="NT")*6+($AD61:$AJ61="C")*10+($AD61:$AJ61="A")*8+($AD61:$AJ61="J")*5+($AD61:$AJ61="E")*4+($AD61:$AJ61="P")*6+($AD61:$AJ61="R")*6)</f>
        <v/>
      </c>
      <c r="BI61" s="110">
        <f>SUMPRODUCT(($AK61:$AL61="M")*6+($AK61:$AL61="T")*6+($AK61:$AL61="D")*12+($AK61:$AL61="N")*12+($AK61:$AL61="NT")*6+($AK61:$AL61="C")*10+($AK61:$AL61="A")*8+($AK61:$AL61="J")*5+($AK61:$AL61="E")*4+($AK61:$AL61="P")*6+($AK61:$AL61="R")*6)+SUMPRODUCT(($AN61:$AR61="M")*6+($AN61:$AR61="T")*6+($AN61:$AR61="D")*12+($AN61:$AR61="N")*12+($AN61:$AR61="NT")*6+($AN61:$AR61="C")*10+($AN61:$AR61="A")*8+($AN61:$AR61="J")*5+($AN61:$AR61="E")*4+($AN61:$AR61="P")*6+($AN61:$AR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07" t="n"/>
      <c r="K62" s="107" t="n"/>
      <c r="L62" s="107" t="n"/>
      <c r="M62" s="115" t="inlineStr">
        <is>
          <t>D</t>
        </is>
      </c>
      <c r="N62" s="107" t="n"/>
      <c r="O62" s="115" t="inlineStr">
        <is>
          <t>D</t>
        </is>
      </c>
      <c r="P62" s="107" t="n"/>
      <c r="Q62" s="116" t="inlineStr">
        <is>
          <t>N</t>
        </is>
      </c>
      <c r="R62" s="107" t="n"/>
      <c r="S62" s="107" t="n"/>
      <c r="T62" s="107" t="n"/>
      <c r="U62" s="115" t="inlineStr">
        <is>
          <t>D</t>
        </is>
      </c>
      <c r="V62" s="107" t="n"/>
      <c r="W62" s="107" t="n"/>
      <c r="X62" s="116" t="inlineStr">
        <is>
          <t>N</t>
        </is>
      </c>
      <c r="Y62" s="107" t="n"/>
      <c r="Z62" s="107" t="n"/>
      <c r="AA62" s="115" t="inlineStr">
        <is>
          <t>D</t>
        </is>
      </c>
      <c r="AB62" s="107" t="n"/>
      <c r="AC62" s="107" t="n"/>
      <c r="AD62" s="107" t="n"/>
      <c r="AE62" s="107" t="n"/>
      <c r="AF62" s="115" t="inlineStr">
        <is>
          <t>D</t>
        </is>
      </c>
      <c r="AG62" s="107" t="n"/>
      <c r="AH62" s="116" t="inlineStr">
        <is>
          <t>N</t>
        </is>
      </c>
      <c r="AI62" s="107" t="n"/>
      <c r="AJ62" s="107" t="n"/>
      <c r="AK62" s="107" t="n"/>
      <c r="AL62" s="116" t="inlineStr">
        <is>
          <t>N</t>
        </is>
      </c>
      <c r="AM62" s="96" t="n"/>
      <c r="AN62" s="123">
        <f>IFERROR(INDEX(JUL!I$8:I$73,MATCH($A62,JUL!$A$8:$A$73,0))&amp;"","")</f>
        <v/>
      </c>
      <c r="AO62" s="123">
        <f>IFERROR(INDEX(JUL!J$8:J$73,MATCH($A62,JUL!$A$8:$A$73,0))&amp;"","")</f>
        <v/>
      </c>
      <c r="AP62" s="123">
        <f>IFERROR(INDEX(JUL!K$8:K$73,MATCH($A62,JUL!$A$8:$A$73,0))&amp;"","")</f>
        <v/>
      </c>
      <c r="AQ62" s="109">
        <f>IFERROR(INDEX(JUL!L$8:L$73,MATCH($A62,JUL!$A$8:$A$73,0))&amp;"","")</f>
        <v/>
      </c>
      <c r="AR62" s="109">
        <f>IFERROR(INDEX(JUL!M$8:M$73,MATCH($A62,JUL!$A$8:$A$73,0))&amp;"","")</f>
        <v/>
      </c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SUMPRODUCT(($I62:$O62="M")*6+($I62:$O62="T")*6+($I62:$O62="D")*12+($I62:$O62="N")*12+($I62:$O62="NT")*6+($I62:$O62="C")*10+($I62:$O62="A")*8+($I62:$O62="J")*5+($I62:$O62="E")*4+($I62:$O62="P")*6+($I62:$O62="R")*6)</f>
        <v/>
      </c>
      <c r="BF62" s="110">
        <f>SUMPRODUCT(($P62:$V62="M")*6+($P62:$V62="T")*6+($P62:$V62="D")*12+($P62:$V62="N")*12+($P62:$V62="NT")*6+($P62:$V62="C")*10+($P62:$V62="A")*8+($P62:$V62="J")*5+($P62:$V62="E")*4+($P62:$V62="P")*6+($P62:$V62="R")*6)</f>
        <v/>
      </c>
      <c r="BG62" s="110">
        <f>SUMPRODUCT(($W62:$AC62="M")*6+($W62:$AC62="T")*6+($W62:$AC62="D")*12+($W62:$AC62="N")*12+($W62:$AC62="NT")*6+($W62:$AC62="C")*10+($W62:$AC62="A")*8+($W62:$AC62="J")*5+($W62:$AC62="E")*4+($W62:$AC62="P")*6+($W62:$AC62="R")*6)</f>
        <v/>
      </c>
      <c r="BH62" s="110">
        <f>SUMPRODUCT(($AD62:$AJ62="M")*6+($AD62:$AJ62="T")*6+($AD62:$AJ62="D")*12+($AD62:$AJ62="N")*12+($AD62:$AJ62="NT")*6+($AD62:$AJ62="C")*10+($AD62:$AJ62="A")*8+($AD62:$AJ62="J")*5+($AD62:$AJ62="E")*4+($AD62:$AJ62="P")*6+($AD62:$AJ62="R")*6)</f>
        <v/>
      </c>
      <c r="BI62" s="110">
        <f>SUMPRODUCT(($AK62:$AL62="M")*6+($AK62:$AL62="T")*6+($AK62:$AL62="D")*12+($AK62:$AL62="N")*12+($AK62:$AL62="NT")*6+($AK62:$AL62="C")*10+($AK62:$AL62="A")*8+($AK62:$AL62="J")*5+($AK62:$AL62="E")*4+($AK62:$AL62="P")*6+($AK62:$AL62="R")*6)+SUMPRODUCT(($AN62:$AR62="M")*6+($AN62:$AR62="T")*6+($AN62:$AR62="D")*12+($AN62:$AR62="N")*12+($AN62:$AR62="NT")*6+($AN62:$AR62="C")*10+($AN62:$AR62="A")*8+($AN62:$AR62="J")*5+($AN62:$AR62="E")*4+($AN62:$AR62="P")*6+($AN62:$AR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07" t="n"/>
      <c r="K63" s="107" t="n"/>
      <c r="L63" s="115" t="inlineStr">
        <is>
          <t>D</t>
        </is>
      </c>
      <c r="M63" s="107" t="n"/>
      <c r="N63" s="107" t="n"/>
      <c r="O63" s="108" t="inlineStr">
        <is>
          <t>M</t>
        </is>
      </c>
      <c r="P63" s="115" t="inlineStr">
        <is>
          <t>D</t>
        </is>
      </c>
      <c r="Q63" s="107" t="n"/>
      <c r="R63" s="107" t="n"/>
      <c r="S63" s="115" t="inlineStr">
        <is>
          <t>D</t>
        </is>
      </c>
      <c r="T63" s="107" t="n"/>
      <c r="U63" s="107" t="n"/>
      <c r="V63" s="107" t="n"/>
      <c r="W63" s="107" t="n"/>
      <c r="X63" s="107" t="n"/>
      <c r="Y63" s="107" t="n"/>
      <c r="Z63" s="117" t="inlineStr">
        <is>
          <t>T</t>
        </is>
      </c>
      <c r="AA63" s="107" t="n"/>
      <c r="AB63" s="108" t="inlineStr">
        <is>
          <t>M</t>
        </is>
      </c>
      <c r="AC63" s="115" t="inlineStr">
        <is>
          <t>D</t>
        </is>
      </c>
      <c r="AD63" s="107" t="n"/>
      <c r="AE63" s="107" t="n"/>
      <c r="AF63" s="107" t="n"/>
      <c r="AG63" s="115" t="inlineStr">
        <is>
          <t>D</t>
        </is>
      </c>
      <c r="AH63" s="115" t="inlineStr">
        <is>
          <t>D</t>
        </is>
      </c>
      <c r="AI63" s="107" t="n"/>
      <c r="AJ63" s="107" t="n"/>
      <c r="AK63" s="107" t="n"/>
      <c r="AL63" s="107" t="n"/>
      <c r="AM63" s="96" t="n"/>
      <c r="AN63" s="123">
        <f>IFERROR(INDEX(JUL!I$8:I$73,MATCH($A63,JUL!$A$8:$A$73,0))&amp;"","")</f>
        <v/>
      </c>
      <c r="AO63" s="123">
        <f>IFERROR(INDEX(JUL!J$8:J$73,MATCH($A63,JUL!$A$8:$A$73,0))&amp;"","")</f>
        <v/>
      </c>
      <c r="AP63" s="123">
        <f>IFERROR(INDEX(JUL!K$8:K$73,MATCH($A63,JUL!$A$8:$A$73,0))&amp;"","")</f>
        <v/>
      </c>
      <c r="AQ63" s="109">
        <f>IFERROR(INDEX(JUL!L$8:L$73,MATCH($A63,JUL!$A$8:$A$73,0))&amp;"","")</f>
        <v/>
      </c>
      <c r="AR63" s="109">
        <f>IFERROR(INDEX(JUL!M$8:M$73,MATCH($A63,JUL!$A$8:$A$73,0))&amp;"","")</f>
        <v/>
      </c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SUMPRODUCT(($I63:$O63="M")*6+($I63:$O63="T")*6+($I63:$O63="D")*12+($I63:$O63="N")*12+($I63:$O63="NT")*6+($I63:$O63="C")*10+($I63:$O63="A")*8+($I63:$O63="J")*5+($I63:$O63="E")*4+($I63:$O63="P")*6+($I63:$O63="R")*6)</f>
        <v/>
      </c>
      <c r="BF63" s="110">
        <f>SUMPRODUCT(($P63:$V63="M")*6+($P63:$V63="T")*6+($P63:$V63="D")*12+($P63:$V63="N")*12+($P63:$V63="NT")*6+($P63:$V63="C")*10+($P63:$V63="A")*8+($P63:$V63="J")*5+($P63:$V63="E")*4+($P63:$V63="P")*6+($P63:$V63="R")*6)</f>
        <v/>
      </c>
      <c r="BG63" s="110">
        <f>SUMPRODUCT(($W63:$AC63="M")*6+($W63:$AC63="T")*6+($W63:$AC63="D")*12+($W63:$AC63="N")*12+($W63:$AC63="NT")*6+($W63:$AC63="C")*10+($W63:$AC63="A")*8+($W63:$AC63="J")*5+($W63:$AC63="E")*4+($W63:$AC63="P")*6+($W63:$AC63="R")*6)</f>
        <v/>
      </c>
      <c r="BH63" s="110">
        <f>SUMPRODUCT(($AD63:$AJ63="M")*6+($AD63:$AJ63="T")*6+($AD63:$AJ63="D")*12+($AD63:$AJ63="N")*12+($AD63:$AJ63="NT")*6+($AD63:$AJ63="C")*10+($AD63:$AJ63="A")*8+($AD63:$AJ63="J")*5+($AD63:$AJ63="E")*4+($AD63:$AJ63="P")*6+($AD63:$AJ63="R")*6)</f>
        <v/>
      </c>
      <c r="BI63" s="110">
        <f>SUMPRODUCT(($AK63:$AL63="M")*6+($AK63:$AL63="T")*6+($AK63:$AL63="D")*12+($AK63:$AL63="N")*12+($AK63:$AL63="NT")*6+($AK63:$AL63="C")*10+($AK63:$AL63="A")*8+($AK63:$AL63="J")*5+($AK63:$AL63="E")*4+($AK63:$AL63="P")*6+($AK63:$AL63="R")*6)+SUMPRODUCT(($AN63:$AR63="M")*6+($AN63:$AR63="T")*6+($AN63:$AR63="D")*12+($AN63:$AR63="N")*12+($AN63:$AR63="NT")*6+($AN63:$AR63="C")*10+($AN63:$AR63="A")*8+($AN63:$AR63="J")*5+($AN63:$AR63="E")*4+($AN63:$AR63="P")*6+($AN63:$AR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16" t="inlineStr">
        <is>
          <t>N</t>
        </is>
      </c>
      <c r="J64" s="107" t="n"/>
      <c r="K64" s="107" t="n"/>
      <c r="L64" s="107" t="n"/>
      <c r="M64" s="107" t="n"/>
      <c r="N64" s="107" t="n"/>
      <c r="O64" s="116" t="inlineStr">
        <is>
          <t>N</t>
        </is>
      </c>
      <c r="P64" s="107" t="n"/>
      <c r="Q64" s="116" t="inlineStr">
        <is>
          <t>N</t>
        </is>
      </c>
      <c r="R64" s="107" t="n"/>
      <c r="S64" s="107" t="n"/>
      <c r="T64" s="116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23">
        <f>IFERROR(INDEX(JUL!I$8:I$73,MATCH($A64,JUL!$A$8:$A$73,0))&amp;"","")</f>
        <v/>
      </c>
      <c r="AO64" s="123">
        <f>IFERROR(INDEX(JUL!J$8:J$73,MATCH($A64,JUL!$A$8:$A$73,0))&amp;"","")</f>
        <v/>
      </c>
      <c r="AP64" s="123">
        <f>IFERROR(INDEX(JUL!K$8:K$73,MATCH($A64,JUL!$A$8:$A$73,0))&amp;"","")</f>
        <v/>
      </c>
      <c r="AQ64" s="109">
        <f>IFERROR(INDEX(JUL!L$8:L$73,MATCH($A64,JUL!$A$8:$A$73,0))&amp;"","")</f>
        <v/>
      </c>
      <c r="AR64" s="109">
        <f>IFERROR(INDEX(JUL!M$8:M$73,MATCH($A64,JUL!$A$8:$A$73,0))&amp;"","")</f>
        <v/>
      </c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SUMPRODUCT(($I64:$O64="M")*6+($I64:$O64="T")*6+($I64:$O64="D")*12+($I64:$O64="N")*12+($I64:$O64="NT")*6+($I64:$O64="C")*10+($I64:$O64="A")*8+($I64:$O64="J")*5+($I64:$O64="E")*4+($I64:$O64="P")*6+($I64:$O64="R")*6)</f>
        <v/>
      </c>
      <c r="BF64" s="110">
        <f>SUMPRODUCT(($P64:$V64="M")*6+($P64:$V64="T")*6+($P64:$V64="D")*12+($P64:$V64="N")*12+($P64:$V64="NT")*6+($P64:$V64="C")*10+($P64:$V64="A")*8+($P64:$V64="J")*5+($P64:$V64="E")*4+($P64:$V64="P")*6+($P64:$V64="R")*6)</f>
        <v/>
      </c>
      <c r="BG64" s="110">
        <f>SUMPRODUCT(($W64:$AC64="M")*6+($W64:$AC64="T")*6+($W64:$AC64="D")*12+($W64:$AC64="N")*12+($W64:$AC64="NT")*6+($W64:$AC64="C")*10+($W64:$AC64="A")*8+($W64:$AC64="J")*5+($W64:$AC64="E")*4+($W64:$AC64="P")*6+($W64:$AC64="R")*6)</f>
        <v/>
      </c>
      <c r="BH64" s="110">
        <f>SUMPRODUCT(($AD64:$AJ64="M")*6+($AD64:$AJ64="T")*6+($AD64:$AJ64="D")*12+($AD64:$AJ64="N")*12+($AD64:$AJ64="NT")*6+($AD64:$AJ64="C")*10+($AD64:$AJ64="A")*8+($AD64:$AJ64="J")*5+($AD64:$AJ64="E")*4+($AD64:$AJ64="P")*6+($AD64:$AJ64="R")*6)</f>
        <v/>
      </c>
      <c r="BI64" s="110">
        <f>SUMPRODUCT(($AK64:$AL64="M")*6+($AK64:$AL64="T")*6+($AK64:$AL64="D")*12+($AK64:$AL64="N")*12+($AK64:$AL64="NT")*6+($AK64:$AL64="C")*10+($AK64:$AL64="A")*8+($AK64:$AL64="J")*5+($AK64:$AL64="E")*4+($AK64:$AL64="P")*6+($AK64:$AL64="R")*6)+SUMPRODUCT(($AN64:$AR64="M")*6+($AN64:$AR64="T")*6+($AN64:$AR64="D")*12+($AN64:$AR64="N")*12+($AN64:$AR64="NT")*6+($AN64:$AR64="C")*10+($AN64:$AR64="A")*8+($AN64:$AR64="J")*5+($AN64:$AR64="E")*4+($AN64:$AR64="P")*6+($AN64:$AR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07" t="n"/>
      <c r="K65" s="107" t="n"/>
      <c r="L65" s="107" t="n"/>
      <c r="M65" s="115" t="inlineStr">
        <is>
          <t>D</t>
        </is>
      </c>
      <c r="N65" s="117" t="inlineStr">
        <is>
          <t>T</t>
        </is>
      </c>
      <c r="O65" s="107" t="n"/>
      <c r="P65" s="107" t="n"/>
      <c r="Q65" s="107" t="n"/>
      <c r="R65" s="116" t="inlineStr">
        <is>
          <t>N</t>
        </is>
      </c>
      <c r="S65" s="107" t="n"/>
      <c r="T65" s="115" t="inlineStr">
        <is>
          <t>D</t>
        </is>
      </c>
      <c r="U65" s="107" t="n"/>
      <c r="V65" s="107" t="n"/>
      <c r="W65" s="107" t="n"/>
      <c r="X65" s="107" t="n"/>
      <c r="Y65" s="115" t="inlineStr">
        <is>
          <t>D</t>
        </is>
      </c>
      <c r="Z65" s="107" t="n"/>
      <c r="AA65" s="115" t="inlineStr">
        <is>
          <t>D</t>
        </is>
      </c>
      <c r="AB65" s="107" t="n"/>
      <c r="AC65" s="107" t="n"/>
      <c r="AD65" s="107" t="n"/>
      <c r="AE65" s="107" t="n"/>
      <c r="AF65" s="107" t="n"/>
      <c r="AG65" s="107" t="n"/>
      <c r="AH65" s="107" t="n"/>
      <c r="AI65" s="115" t="inlineStr">
        <is>
          <t>D</t>
        </is>
      </c>
      <c r="AJ65" s="115" t="inlineStr">
        <is>
          <t>D</t>
        </is>
      </c>
      <c r="AK65" s="107" t="n"/>
      <c r="AL65" s="107" t="n"/>
      <c r="AM65" s="96" t="n"/>
      <c r="AN65" s="123">
        <f>IFERROR(INDEX(JUL!I$8:I$73,MATCH($A65,JUL!$A$8:$A$73,0))&amp;"","")</f>
        <v/>
      </c>
      <c r="AO65" s="123">
        <f>IFERROR(INDEX(JUL!J$8:J$73,MATCH($A65,JUL!$A$8:$A$73,0))&amp;"","")</f>
        <v/>
      </c>
      <c r="AP65" s="123">
        <f>IFERROR(INDEX(JUL!K$8:K$73,MATCH($A65,JUL!$A$8:$A$73,0))&amp;"","")</f>
        <v/>
      </c>
      <c r="AQ65" s="109">
        <f>IFERROR(INDEX(JUL!L$8:L$73,MATCH($A65,JUL!$A$8:$A$73,0))&amp;"","")</f>
        <v/>
      </c>
      <c r="AR65" s="109">
        <f>IFERROR(INDEX(JUL!M$8:M$73,MATCH($A65,JUL!$A$8:$A$73,0))&amp;"","")</f>
        <v/>
      </c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SUMPRODUCT(($I65:$O65="M")*6+($I65:$O65="T")*6+($I65:$O65="D")*12+($I65:$O65="N")*12+($I65:$O65="NT")*6+($I65:$O65="C")*10+($I65:$O65="A")*8+($I65:$O65="J")*5+($I65:$O65="E")*4+($I65:$O65="P")*6+($I65:$O65="R")*6)</f>
        <v/>
      </c>
      <c r="BF65" s="110">
        <f>SUMPRODUCT(($P65:$V65="M")*6+($P65:$V65="T")*6+($P65:$V65="D")*12+($P65:$V65="N")*12+($P65:$V65="NT")*6+($P65:$V65="C")*10+($P65:$V65="A")*8+($P65:$V65="J")*5+($P65:$V65="E")*4+($P65:$V65="P")*6+($P65:$V65="R")*6)</f>
        <v/>
      </c>
      <c r="BG65" s="110">
        <f>SUMPRODUCT(($W65:$AC65="M")*6+($W65:$AC65="T")*6+($W65:$AC65="D")*12+($W65:$AC65="N")*12+($W65:$AC65="NT")*6+($W65:$AC65="C")*10+($W65:$AC65="A")*8+($W65:$AC65="J")*5+($W65:$AC65="E")*4+($W65:$AC65="P")*6+($W65:$AC65="R")*6)</f>
        <v/>
      </c>
      <c r="BH65" s="110">
        <f>SUMPRODUCT(($AD65:$AJ65="M")*6+($AD65:$AJ65="T")*6+($AD65:$AJ65="D")*12+($AD65:$AJ65="N")*12+($AD65:$AJ65="NT")*6+($AD65:$AJ65="C")*10+($AD65:$AJ65="A")*8+($AD65:$AJ65="J")*5+($AD65:$AJ65="E")*4+($AD65:$AJ65="P")*6+($AD65:$AJ65="R")*6)</f>
        <v/>
      </c>
      <c r="BI65" s="110">
        <f>SUMPRODUCT(($AK65:$AL65="M")*6+($AK65:$AL65="T")*6+($AK65:$AL65="D")*12+($AK65:$AL65="N")*12+($AK65:$AL65="NT")*6+($AK65:$AL65="C")*10+($AK65:$AL65="A")*8+($AK65:$AL65="J")*5+($AK65:$AL65="E")*4+($AK65:$AL65="P")*6+($AK65:$AL65="R")*6)+SUMPRODUCT(($AN65:$AR65="M")*6+($AN65:$AR65="T")*6+($AN65:$AR65="D")*12+($AN65:$AR65="N")*12+($AN65:$AR65="NT")*6+($AN65:$AR65="C")*10+($AN65:$AR65="A")*8+($AN65:$AR65="J")*5+($AN65:$AR65="E")*4+($AN65:$AR65="P")*6+($AN65:$AR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16" t="inlineStr">
        <is>
          <t>N</t>
        </is>
      </c>
      <c r="J66" s="107" t="n"/>
      <c r="K66" s="116" t="inlineStr">
        <is>
          <t>N</t>
        </is>
      </c>
      <c r="L66" s="107" t="n"/>
      <c r="M66" s="107" t="n"/>
      <c r="N66" s="107" t="n"/>
      <c r="O66" s="107" t="n"/>
      <c r="P66" s="116" t="inlineStr">
        <is>
          <t>N</t>
        </is>
      </c>
      <c r="Q66" s="107" t="n"/>
      <c r="R66" s="107" t="n"/>
      <c r="S66" s="107" t="n"/>
      <c r="T66" s="107" t="n"/>
      <c r="U66" s="107" t="n"/>
      <c r="V66" s="115" t="inlineStr">
        <is>
          <t>D</t>
        </is>
      </c>
      <c r="W66" s="116" t="inlineStr">
        <is>
          <t>N</t>
        </is>
      </c>
      <c r="X66" s="117" t="inlineStr">
        <is>
          <t>T</t>
        </is>
      </c>
      <c r="Y66" s="107" t="n"/>
      <c r="Z66" s="117" t="inlineStr">
        <is>
          <t>T</t>
        </is>
      </c>
      <c r="AA66" s="107" t="n"/>
      <c r="AB66" s="107" t="n"/>
      <c r="AC66" s="107" t="n"/>
      <c r="AD66" s="116" t="inlineStr">
        <is>
          <t>N</t>
        </is>
      </c>
      <c r="AE66" s="107" t="n"/>
      <c r="AF66" s="107" t="n"/>
      <c r="AG66" s="107" t="n"/>
      <c r="AH66" s="107" t="n"/>
      <c r="AI66" s="116" t="inlineStr">
        <is>
          <t>N</t>
        </is>
      </c>
      <c r="AJ66" s="107" t="n"/>
      <c r="AK66" s="107" t="n"/>
      <c r="AL66" s="117" t="inlineStr">
        <is>
          <t>T</t>
        </is>
      </c>
      <c r="AM66" s="96" t="n"/>
      <c r="AN66" s="123">
        <f>IFERROR(INDEX(JUL!I$8:I$73,MATCH($A66,JUL!$A$8:$A$73,0))&amp;"","")</f>
        <v/>
      </c>
      <c r="AO66" s="123">
        <f>IFERROR(INDEX(JUL!J$8:J$73,MATCH($A66,JUL!$A$8:$A$73,0))&amp;"","")</f>
        <v/>
      </c>
      <c r="AP66" s="123">
        <f>IFERROR(INDEX(JUL!K$8:K$73,MATCH($A66,JUL!$A$8:$A$73,0))&amp;"","")</f>
        <v/>
      </c>
      <c r="AQ66" s="109">
        <f>IFERROR(INDEX(JUL!L$8:L$73,MATCH($A66,JUL!$A$8:$A$73,0))&amp;"","")</f>
        <v/>
      </c>
      <c r="AR66" s="109">
        <f>IFERROR(INDEX(JUL!M$8:M$73,MATCH($A66,JUL!$A$8:$A$73,0))&amp;"","")</f>
        <v/>
      </c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SUMPRODUCT(($I66:$O66="M")*6+($I66:$O66="T")*6+($I66:$O66="D")*12+($I66:$O66="N")*12+($I66:$O66="NT")*6+($I66:$O66="C")*10+($I66:$O66="A")*8+($I66:$O66="J")*5+($I66:$O66="E")*4+($I66:$O66="P")*6+($I66:$O66="R")*6)</f>
        <v/>
      </c>
      <c r="BF66" s="110">
        <f>SUMPRODUCT(($P66:$V66="M")*6+($P66:$V66="T")*6+($P66:$V66="D")*12+($P66:$V66="N")*12+($P66:$V66="NT")*6+($P66:$V66="C")*10+($P66:$V66="A")*8+($P66:$V66="J")*5+($P66:$V66="E")*4+($P66:$V66="P")*6+($P66:$V66="R")*6)</f>
        <v/>
      </c>
      <c r="BG66" s="110">
        <f>SUMPRODUCT(($W66:$AC66="M")*6+($W66:$AC66="T")*6+($W66:$AC66="D")*12+($W66:$AC66="N")*12+($W66:$AC66="NT")*6+($W66:$AC66="C")*10+($W66:$AC66="A")*8+($W66:$AC66="J")*5+($W66:$AC66="E")*4+($W66:$AC66="P")*6+($W66:$AC66="R")*6)</f>
        <v/>
      </c>
      <c r="BH66" s="110">
        <f>SUMPRODUCT(($AD66:$AJ66="M")*6+($AD66:$AJ66="T")*6+($AD66:$AJ66="D")*12+($AD66:$AJ66="N")*12+($AD66:$AJ66="NT")*6+($AD66:$AJ66="C")*10+($AD66:$AJ66="A")*8+($AD66:$AJ66="J")*5+($AD66:$AJ66="E")*4+($AD66:$AJ66="P")*6+($AD66:$AJ66="R")*6)</f>
        <v/>
      </c>
      <c r="BI66" s="110">
        <f>SUMPRODUCT(($AK66:$AL66="M")*6+($AK66:$AL66="T")*6+($AK66:$AL66="D")*12+($AK66:$AL66="N")*12+($AK66:$AL66="NT")*6+($AK66:$AL66="C")*10+($AK66:$AL66="A")*8+($AK66:$AL66="J")*5+($AK66:$AL66="E")*4+($AK66:$AL66="P")*6+($AK66:$AL66="R")*6)+SUMPRODUCT(($AN66:$AR66="M")*6+($AN66:$AR66="T")*6+($AN66:$AR66="D")*12+($AN66:$AR66="N")*12+($AN66:$AR66="NT")*6+($AN66:$AR66="C")*10+($AN66:$AR66="A")*8+($AN66:$AR66="J")*5+($AN66:$AR66="E")*4+($AN66:$AR66="P")*6+($AN66:$AR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8" t="inlineStr">
        <is>
          <t>M</t>
        </is>
      </c>
      <c r="K67" s="108" t="inlineStr">
        <is>
          <t>M</t>
        </is>
      </c>
      <c r="L67" s="117" t="inlineStr">
        <is>
          <t>T</t>
        </is>
      </c>
      <c r="M67" s="116" t="inlineStr">
        <is>
          <t>N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16" t="inlineStr">
        <is>
          <t>N</t>
        </is>
      </c>
      <c r="S67" s="107" t="n"/>
      <c r="T67" s="107" t="n"/>
      <c r="U67" s="107" t="n"/>
      <c r="V67" s="107" t="n"/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17" t="inlineStr">
        <is>
          <t>T</t>
        </is>
      </c>
      <c r="AB67" s="116" t="inlineStr">
        <is>
          <t>N</t>
        </is>
      </c>
      <c r="AC67" s="107" t="n"/>
      <c r="AD67" s="108" t="inlineStr">
        <is>
          <t>M</t>
        </is>
      </c>
      <c r="AE67" s="107" t="n"/>
      <c r="AF67" s="108" t="inlineStr">
        <is>
          <t>M</t>
        </is>
      </c>
      <c r="AG67" s="107" t="n"/>
      <c r="AH67" s="107" t="n"/>
      <c r="AI67" s="115" t="inlineStr">
        <is>
          <t>D</t>
        </is>
      </c>
      <c r="AJ67" s="108" t="inlineStr">
        <is>
          <t>M</t>
        </is>
      </c>
      <c r="AK67" s="108" t="inlineStr">
        <is>
          <t>M</t>
        </is>
      </c>
      <c r="AL67" s="107" t="n"/>
      <c r="AM67" s="96" t="n"/>
      <c r="AN67" s="123">
        <f>IFERROR(INDEX(JUL!I$8:I$73,MATCH($A67,JUL!$A$8:$A$73,0))&amp;"","")</f>
        <v/>
      </c>
      <c r="AO67" s="123">
        <f>IFERROR(INDEX(JUL!J$8:J$73,MATCH($A67,JUL!$A$8:$A$73,0))&amp;"","")</f>
        <v/>
      </c>
      <c r="AP67" s="123">
        <f>IFERROR(INDEX(JUL!K$8:K$73,MATCH($A67,JUL!$A$8:$A$73,0))&amp;"","")</f>
        <v/>
      </c>
      <c r="AQ67" s="109">
        <f>IFERROR(INDEX(JUL!L$8:L$73,MATCH($A67,JUL!$A$8:$A$73,0))&amp;"","")</f>
        <v/>
      </c>
      <c r="AR67" s="109">
        <f>IFERROR(INDEX(JUL!M$8:M$73,MATCH($A67,JUL!$A$8:$A$73,0))&amp;"","")</f>
        <v/>
      </c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SUMPRODUCT(($I67:$O67="M")*6+($I67:$O67="T")*6+($I67:$O67="D")*12+($I67:$O67="N")*12+($I67:$O67="NT")*6+($I67:$O67="C")*10+($I67:$O67="A")*8+($I67:$O67="J")*5+($I67:$O67="E")*4+($I67:$O67="P")*6+($I67:$O67="R")*6)</f>
        <v/>
      </c>
      <c r="BF67" s="110">
        <f>SUMPRODUCT(($P67:$V67="M")*6+($P67:$V67="T")*6+($P67:$V67="D")*12+($P67:$V67="N")*12+($P67:$V67="NT")*6+($P67:$V67="C")*10+($P67:$V67="A")*8+($P67:$V67="J")*5+($P67:$V67="E")*4+($P67:$V67="P")*6+($P67:$V67="R")*6)</f>
        <v/>
      </c>
      <c r="BG67" s="110">
        <f>SUMPRODUCT(($W67:$AC67="M")*6+($W67:$AC67="T")*6+($W67:$AC67="D")*12+($W67:$AC67="N")*12+($W67:$AC67="NT")*6+($W67:$AC67="C")*10+($W67:$AC67="A")*8+($W67:$AC67="J")*5+($W67:$AC67="E")*4+($W67:$AC67="P")*6+($W67:$AC67="R")*6)</f>
        <v/>
      </c>
      <c r="BH67" s="110">
        <f>SUMPRODUCT(($AD67:$AJ67="M")*6+($AD67:$AJ67="T")*6+($AD67:$AJ67="D")*12+($AD67:$AJ67="N")*12+($AD67:$AJ67="NT")*6+($AD67:$AJ67="C")*10+($AD67:$AJ67="A")*8+($AD67:$AJ67="J")*5+($AD67:$AJ67="E")*4+($AD67:$AJ67="P")*6+($AD67:$AJ67="R")*6)</f>
        <v/>
      </c>
      <c r="BI67" s="110">
        <f>SUMPRODUCT(($AK67:$AL67="M")*6+($AK67:$AL67="T")*6+($AK67:$AL67="D")*12+($AK67:$AL67="N")*12+($AK67:$AL67="NT")*6+($AK67:$AL67="C")*10+($AK67:$AL67="A")*8+($AK67:$AL67="J")*5+($AK67:$AL67="E")*4+($AK67:$AL67="P")*6+($AK67:$AL67="R")*6)+SUMPRODUCT(($AN67:$AR67="M")*6+($AN67:$AR67="T")*6+($AN67:$AR67="D")*12+($AN67:$AR67="N")*12+($AN67:$AR67="NT")*6+($AN67:$AR67="C")*10+($AN67:$AR67="A")*8+($AN67:$AR67="J")*5+($AN67:$AR67="E")*4+($AN67:$AR67="P")*6+($AN67:$AR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15" t="inlineStr">
        <is>
          <t>D</t>
        </is>
      </c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17" t="inlineStr">
        <is>
          <t>T</t>
        </is>
      </c>
      <c r="S68" s="107" t="n"/>
      <c r="T68" s="115" t="inlineStr">
        <is>
          <t>D</t>
        </is>
      </c>
      <c r="U68" s="115" t="inlineStr">
        <is>
          <t>D</t>
        </is>
      </c>
      <c r="V68" s="107" t="n"/>
      <c r="W68" s="107" t="n"/>
      <c r="X68" s="107" t="n"/>
      <c r="Y68" s="115" t="inlineStr">
        <is>
          <t>D</t>
        </is>
      </c>
      <c r="Z68" s="107" t="n"/>
      <c r="AA68" s="116" t="inlineStr">
        <is>
          <t>N</t>
        </is>
      </c>
      <c r="AB68" s="107" t="n"/>
      <c r="AC68" s="107" t="n"/>
      <c r="AD68" s="107" t="n"/>
      <c r="AE68" s="107" t="n"/>
      <c r="AF68" s="117" t="inlineStr">
        <is>
          <t>T</t>
        </is>
      </c>
      <c r="AG68" s="107" t="n"/>
      <c r="AH68" s="115" t="inlineStr">
        <is>
          <t>D</t>
        </is>
      </c>
      <c r="AI68" s="115" t="inlineStr">
        <is>
          <t>D</t>
        </is>
      </c>
      <c r="AJ68" s="107" t="n"/>
      <c r="AK68" s="107" t="n"/>
      <c r="AL68" s="107" t="n"/>
      <c r="AM68" s="96" t="n"/>
      <c r="AN68" s="123">
        <f>IFERROR(INDEX(JUL!I$8:I$73,MATCH($A68,JUL!$A$8:$A$73,0))&amp;"","")</f>
        <v/>
      </c>
      <c r="AO68" s="123">
        <f>IFERROR(INDEX(JUL!J$8:J$73,MATCH($A68,JUL!$A$8:$A$73,0))&amp;"","")</f>
        <v/>
      </c>
      <c r="AP68" s="123">
        <f>IFERROR(INDEX(JUL!K$8:K$73,MATCH($A68,JUL!$A$8:$A$73,0))&amp;"","")</f>
        <v/>
      </c>
      <c r="AQ68" s="109">
        <f>IFERROR(INDEX(JUL!L$8:L$73,MATCH($A68,JUL!$A$8:$A$73,0))&amp;"","")</f>
        <v/>
      </c>
      <c r="AR68" s="109">
        <f>IFERROR(INDEX(JUL!M$8:M$73,MATCH($A68,JUL!$A$8:$A$73,0))&amp;"","")</f>
        <v/>
      </c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SUMPRODUCT(($I68:$O68="M")*6+($I68:$O68="T")*6+($I68:$O68="D")*12+($I68:$O68="N")*12+($I68:$O68="NT")*6+($I68:$O68="C")*10+($I68:$O68="A")*8+($I68:$O68="J")*5+($I68:$O68="E")*4+($I68:$O68="P")*6+($I68:$O68="R")*6)</f>
        <v/>
      </c>
      <c r="BF68" s="110">
        <f>SUMPRODUCT(($P68:$V68="M")*6+($P68:$V68="T")*6+($P68:$V68="D")*12+($P68:$V68="N")*12+($P68:$V68="NT")*6+($P68:$V68="C")*10+($P68:$V68="A")*8+($P68:$V68="J")*5+($P68:$V68="E")*4+($P68:$V68="P")*6+($P68:$V68="R")*6)</f>
        <v/>
      </c>
      <c r="BG68" s="110">
        <f>SUMPRODUCT(($W68:$AC68="M")*6+($W68:$AC68="T")*6+($W68:$AC68="D")*12+($W68:$AC68="N")*12+($W68:$AC68="NT")*6+($W68:$AC68="C")*10+($W68:$AC68="A")*8+($W68:$AC68="J")*5+($W68:$AC68="E")*4+($W68:$AC68="P")*6+($W68:$AC68="R")*6)</f>
        <v/>
      </c>
      <c r="BH68" s="110">
        <f>SUMPRODUCT(($AD68:$AJ68="M")*6+($AD68:$AJ68="T")*6+($AD68:$AJ68="D")*12+($AD68:$AJ68="N")*12+($AD68:$AJ68="NT")*6+($AD68:$AJ68="C")*10+($AD68:$AJ68="A")*8+($AD68:$AJ68="J")*5+($AD68:$AJ68="E")*4+($AD68:$AJ68="P")*6+($AD68:$AJ68="R")*6)</f>
        <v/>
      </c>
      <c r="BI68" s="110">
        <f>SUMPRODUCT(($AK68:$AL68="M")*6+($AK68:$AL68="T")*6+($AK68:$AL68="D")*12+($AK68:$AL68="N")*12+($AK68:$AL68="NT")*6+($AK68:$AL68="C")*10+($AK68:$AL68="A")*8+($AK68:$AL68="J")*5+($AK68:$AL68="E")*4+($AK68:$AL68="P")*6+($AK68:$AL68="R")*6)+SUMPRODUCT(($AN68:$AR68="M")*6+($AN68:$AR68="T")*6+($AN68:$AR68="D")*12+($AN68:$AR68="N")*12+($AN68:$AR68="NT")*6+($AN68:$AR68="C")*10+($AN68:$AR68="A")*8+($AN68:$AR68="J")*5+($AN68:$AR68="E")*4+($AN68:$AR68="P")*6+($AN68:$AR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07" t="n"/>
      <c r="L69" s="107" t="n"/>
      <c r="M69" s="115" t="inlineStr">
        <is>
          <t>D</t>
        </is>
      </c>
      <c r="N69" s="116" t="inlineStr">
        <is>
          <t>N</t>
        </is>
      </c>
      <c r="O69" s="107" t="n"/>
      <c r="P69" s="117" t="inlineStr">
        <is>
          <t>T</t>
        </is>
      </c>
      <c r="Q69" s="107" t="n"/>
      <c r="R69" s="115" t="inlineStr">
        <is>
          <t>D</t>
        </is>
      </c>
      <c r="S69" s="117" t="inlineStr">
        <is>
          <t>T</t>
        </is>
      </c>
      <c r="T69" s="107" t="n"/>
      <c r="U69" s="107" t="n"/>
      <c r="V69" s="107" t="n"/>
      <c r="W69" s="107" t="n"/>
      <c r="X69" s="107" t="n"/>
      <c r="Y69" s="115" t="inlineStr">
        <is>
          <t>D</t>
        </is>
      </c>
      <c r="Z69" s="107" t="n"/>
      <c r="AA69" s="107" t="n"/>
      <c r="AB69" s="115" t="inlineStr">
        <is>
          <t>D</t>
        </is>
      </c>
      <c r="AC69" s="107" t="n"/>
      <c r="AD69" s="115" t="inlineStr">
        <is>
          <t>D</t>
        </is>
      </c>
      <c r="AE69" s="107" t="n"/>
      <c r="AF69" s="115" t="inlineStr">
        <is>
          <t>D</t>
        </is>
      </c>
      <c r="AG69" s="107" t="n"/>
      <c r="AH69" s="107" t="n"/>
      <c r="AI69" s="107" t="n"/>
      <c r="AJ69" s="107" t="n"/>
      <c r="AK69" s="107" t="n"/>
      <c r="AL69" s="107" t="n"/>
      <c r="AM69" s="96" t="n"/>
      <c r="AN69" s="123">
        <f>IFERROR(INDEX(JUL!I$8:I$73,MATCH($A69,JUL!$A$8:$A$73,0))&amp;"","")</f>
        <v/>
      </c>
      <c r="AO69" s="123">
        <f>IFERROR(INDEX(JUL!J$8:J$73,MATCH($A69,JUL!$A$8:$A$73,0))&amp;"","")</f>
        <v/>
      </c>
      <c r="AP69" s="123">
        <f>IFERROR(INDEX(JUL!K$8:K$73,MATCH($A69,JUL!$A$8:$A$73,0))&amp;"","")</f>
        <v/>
      </c>
      <c r="AQ69" s="109">
        <f>IFERROR(INDEX(JUL!L$8:L$73,MATCH($A69,JUL!$A$8:$A$73,0))&amp;"","")</f>
        <v/>
      </c>
      <c r="AR69" s="109">
        <f>IFERROR(INDEX(JUL!M$8:M$73,MATCH($A69,JUL!$A$8:$A$73,0))&amp;"","")</f>
        <v/>
      </c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SUMPRODUCT(($I69:$O69="M")*6+($I69:$O69="T")*6+($I69:$O69="D")*12+($I69:$O69="N")*12+($I69:$O69="NT")*6+($I69:$O69="C")*10+($I69:$O69="A")*8+($I69:$O69="J")*5+($I69:$O69="E")*4+($I69:$O69="P")*6+($I69:$O69="R")*6)</f>
        <v/>
      </c>
      <c r="BF69" s="110">
        <f>SUMPRODUCT(($P69:$V69="M")*6+($P69:$V69="T")*6+($P69:$V69="D")*12+($P69:$V69="N")*12+($P69:$V69="NT")*6+($P69:$V69="C")*10+($P69:$V69="A")*8+($P69:$V69="J")*5+($P69:$V69="E")*4+($P69:$V69="P")*6+($P69:$V69="R")*6)</f>
        <v/>
      </c>
      <c r="BG69" s="110">
        <f>SUMPRODUCT(($W69:$AC69="M")*6+($W69:$AC69="T")*6+($W69:$AC69="D")*12+($W69:$AC69="N")*12+($W69:$AC69="NT")*6+($W69:$AC69="C")*10+($W69:$AC69="A")*8+($W69:$AC69="J")*5+($W69:$AC69="E")*4+($W69:$AC69="P")*6+($W69:$AC69="R")*6)</f>
        <v/>
      </c>
      <c r="BH69" s="110">
        <f>SUMPRODUCT(($AD69:$AJ69="M")*6+($AD69:$AJ69="T")*6+($AD69:$AJ69="D")*12+($AD69:$AJ69="N")*12+($AD69:$AJ69="NT")*6+($AD69:$AJ69="C")*10+($AD69:$AJ69="A")*8+($AD69:$AJ69="J")*5+($AD69:$AJ69="E")*4+($AD69:$AJ69="P")*6+($AD69:$AJ69="R")*6)</f>
        <v/>
      </c>
      <c r="BI69" s="110">
        <f>SUMPRODUCT(($AK69:$AL69="M")*6+($AK69:$AL69="T")*6+($AK69:$AL69="D")*12+($AK69:$AL69="N")*12+($AK69:$AL69="NT")*6+($AK69:$AL69="C")*10+($AK69:$AL69="A")*8+($AK69:$AL69="J")*5+($AK69:$AL69="E")*4+($AK69:$AL69="P")*6+($AK69:$AL69="R")*6)+SUMPRODUCT(($AN69:$AR69="M")*6+($AN69:$AR69="T")*6+($AN69:$AR69="D")*12+($AN69:$AR69="N")*12+($AN69:$AR69="NT")*6+($AN69:$AR69="C")*10+($AN69:$AR69="A")*8+($AN69:$AR69="J")*5+($AN69:$AR69="E")*4+($AN69:$AR69="P")*6+($AN69:$AR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8" t="inlineStr">
        <is>
          <t>M</t>
        </is>
      </c>
      <c r="K70" s="116" t="inlineStr">
        <is>
          <t>N</t>
        </is>
      </c>
      <c r="L70" s="107" t="n"/>
      <c r="M70" s="107" t="n"/>
      <c r="N70" s="107" t="n"/>
      <c r="O70" s="107" t="n"/>
      <c r="P70" s="107" t="n"/>
      <c r="Q70" s="108" t="inlineStr">
        <is>
          <t>M</t>
        </is>
      </c>
      <c r="R70" s="115" t="inlineStr">
        <is>
          <t>D</t>
        </is>
      </c>
      <c r="S70" s="107" t="n"/>
      <c r="T70" s="107" t="n"/>
      <c r="U70" s="107" t="n"/>
      <c r="V70" s="116" t="inlineStr">
        <is>
          <t>N</t>
        </is>
      </c>
      <c r="W70" s="107" t="n"/>
      <c r="X70" s="107" t="n"/>
      <c r="Y70" s="116" t="inlineStr">
        <is>
          <t>N</t>
        </is>
      </c>
      <c r="Z70" s="107" t="n"/>
      <c r="AA70" s="107" t="n"/>
      <c r="AB70" s="107" t="n"/>
      <c r="AC70" s="115" t="inlineStr">
        <is>
          <t>D</t>
        </is>
      </c>
      <c r="AD70" s="107" t="n"/>
      <c r="AE70" s="108" t="inlineStr">
        <is>
          <t>M</t>
        </is>
      </c>
      <c r="AF70" s="115" t="inlineStr">
        <is>
          <t>D</t>
        </is>
      </c>
      <c r="AG70" s="117" t="inlineStr">
        <is>
          <t>T</t>
        </is>
      </c>
      <c r="AH70" s="107" t="n"/>
      <c r="AI70" s="107" t="n"/>
      <c r="AJ70" s="107" t="n"/>
      <c r="AK70" s="107" t="n"/>
      <c r="AL70" s="107" t="n"/>
      <c r="AM70" s="96" t="n"/>
      <c r="AN70" s="123">
        <f>IFERROR(INDEX(JUL!I$8:I$73,MATCH($A70,JUL!$A$8:$A$73,0))&amp;"","")</f>
        <v/>
      </c>
      <c r="AO70" s="123">
        <f>IFERROR(INDEX(JUL!J$8:J$73,MATCH($A70,JUL!$A$8:$A$73,0))&amp;"","")</f>
        <v/>
      </c>
      <c r="AP70" s="123">
        <f>IFERROR(INDEX(JUL!K$8:K$73,MATCH($A70,JUL!$A$8:$A$73,0))&amp;"","")</f>
        <v/>
      </c>
      <c r="AQ70" s="109">
        <f>IFERROR(INDEX(JUL!L$8:L$73,MATCH($A70,JUL!$A$8:$A$73,0))&amp;"","")</f>
        <v/>
      </c>
      <c r="AR70" s="109">
        <f>IFERROR(INDEX(JUL!M$8:M$73,MATCH($A70,JUL!$A$8:$A$73,0))&amp;"","")</f>
        <v/>
      </c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SUMPRODUCT(($I70:$O70="M")*6+($I70:$O70="T")*6+($I70:$O70="D")*12+($I70:$O70="N")*12+($I70:$O70="NT")*6+($I70:$O70="C")*10+($I70:$O70="A")*8+($I70:$O70="J")*5+($I70:$O70="E")*4+($I70:$O70="P")*6+($I70:$O70="R")*6)</f>
        <v/>
      </c>
      <c r="BF70" s="110">
        <f>SUMPRODUCT(($P70:$V70="M")*6+($P70:$V70="T")*6+($P70:$V70="D")*12+($P70:$V70="N")*12+($P70:$V70="NT")*6+($P70:$V70="C")*10+($P70:$V70="A")*8+($P70:$V70="J")*5+($P70:$V70="E")*4+($P70:$V70="P")*6+($P70:$V70="R")*6)</f>
        <v/>
      </c>
      <c r="BG70" s="110">
        <f>SUMPRODUCT(($W70:$AC70="M")*6+($W70:$AC70="T")*6+($W70:$AC70="D")*12+($W70:$AC70="N")*12+($W70:$AC70="NT")*6+($W70:$AC70="C")*10+($W70:$AC70="A")*8+($W70:$AC70="J")*5+($W70:$AC70="E")*4+($W70:$AC70="P")*6+($W70:$AC70="R")*6)</f>
        <v/>
      </c>
      <c r="BH70" s="110">
        <f>SUMPRODUCT(($AD70:$AJ70="M")*6+($AD70:$AJ70="T")*6+($AD70:$AJ70="D")*12+($AD70:$AJ70="N")*12+($AD70:$AJ70="NT")*6+($AD70:$AJ70="C")*10+($AD70:$AJ70="A")*8+($AD70:$AJ70="J")*5+($AD70:$AJ70="E")*4+($AD70:$AJ70="P")*6+($AD70:$AJ70="R")*6)</f>
        <v/>
      </c>
      <c r="BI70" s="110">
        <f>SUMPRODUCT(($AK70:$AL70="M")*6+($AK70:$AL70="T")*6+($AK70:$AL70="D")*12+($AK70:$AL70="N")*12+($AK70:$AL70="NT")*6+($AK70:$AL70="C")*10+($AK70:$AL70="A")*8+($AK70:$AL70="J")*5+($AK70:$AL70="E")*4+($AK70:$AL70="P")*6+($AK70:$AL70="R")*6)+SUMPRODUCT(($AN70:$AR70="M")*6+($AN70:$AR70="T")*6+($AN70:$AR70="D")*12+($AN70:$AR70="N")*12+($AN70:$AR70="NT")*6+($AN70:$AR70="C")*10+($AN70:$AR70="A")*8+($AN70:$AR70="J")*5+($AN70:$AR70="E")*4+($AN70:$AR70="P")*6+($AN70:$AR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17" t="inlineStr">
        <is>
          <t>T</t>
        </is>
      </c>
      <c r="J71" s="116" t="inlineStr">
        <is>
          <t>N</t>
        </is>
      </c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15" t="inlineStr">
        <is>
          <t>D</t>
        </is>
      </c>
      <c r="U71" s="115" t="inlineStr">
        <is>
          <t>D</t>
        </is>
      </c>
      <c r="V71" s="107" t="n"/>
      <c r="W71" s="117" t="inlineStr">
        <is>
          <t>T</t>
        </is>
      </c>
      <c r="X71" s="117" t="inlineStr">
        <is>
          <t>T</t>
        </is>
      </c>
      <c r="Y71" s="115" t="inlineStr">
        <is>
          <t>D</t>
        </is>
      </c>
      <c r="Z71" s="107" t="n"/>
      <c r="AA71" s="107" t="n"/>
      <c r="AB71" s="107" t="n"/>
      <c r="AC71" s="107" t="n"/>
      <c r="AD71" s="117" t="inlineStr">
        <is>
          <t>T</t>
        </is>
      </c>
      <c r="AE71" s="117" t="inlineStr">
        <is>
          <t>T</t>
        </is>
      </c>
      <c r="AF71" s="107" t="n"/>
      <c r="AG71" s="107" t="n"/>
      <c r="AH71" s="116" t="inlineStr">
        <is>
          <t>N</t>
        </is>
      </c>
      <c r="AI71" s="107" t="n"/>
      <c r="AJ71" s="107" t="n"/>
      <c r="AK71" s="117" t="inlineStr">
        <is>
          <t>T</t>
        </is>
      </c>
      <c r="AL71" s="116" t="inlineStr">
        <is>
          <t>N</t>
        </is>
      </c>
      <c r="AM71" s="96" t="n"/>
      <c r="AN71" s="123">
        <f>IFERROR(INDEX(JUL!I$8:I$73,MATCH($A71,JUL!$A$8:$A$73,0))&amp;"","")</f>
        <v/>
      </c>
      <c r="AO71" s="123">
        <f>IFERROR(INDEX(JUL!J$8:J$73,MATCH($A71,JUL!$A$8:$A$73,0))&amp;"","")</f>
        <v/>
      </c>
      <c r="AP71" s="123">
        <f>IFERROR(INDEX(JUL!K$8:K$73,MATCH($A71,JUL!$A$8:$A$73,0))&amp;"","")</f>
        <v/>
      </c>
      <c r="AQ71" s="109">
        <f>IFERROR(INDEX(JUL!L$8:L$73,MATCH($A71,JUL!$A$8:$A$73,0))&amp;"","")</f>
        <v/>
      </c>
      <c r="AR71" s="109">
        <f>IFERROR(INDEX(JUL!M$8:M$73,MATCH($A71,JUL!$A$8:$A$73,0))&amp;"","")</f>
        <v/>
      </c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SUMPRODUCT(($I71:$O71="M")*6+($I71:$O71="T")*6+($I71:$O71="D")*12+($I71:$O71="N")*12+($I71:$O71="NT")*6+($I71:$O71="C")*10+($I71:$O71="A")*8+($I71:$O71="J")*5+($I71:$O71="E")*4+($I71:$O71="P")*6+($I71:$O71="R")*6)</f>
        <v/>
      </c>
      <c r="BF71" s="110">
        <f>SUMPRODUCT(($P71:$V71="M")*6+($P71:$V71="T")*6+($P71:$V71="D")*12+($P71:$V71="N")*12+($P71:$V71="NT")*6+($P71:$V71="C")*10+($P71:$V71="A")*8+($P71:$V71="J")*5+($P71:$V71="E")*4+($P71:$V71="P")*6+($P71:$V71="R")*6)</f>
        <v/>
      </c>
      <c r="BG71" s="110">
        <f>SUMPRODUCT(($W71:$AC71="M")*6+($W71:$AC71="T")*6+($W71:$AC71="D")*12+($W71:$AC71="N")*12+($W71:$AC71="NT")*6+($W71:$AC71="C")*10+($W71:$AC71="A")*8+($W71:$AC71="J")*5+($W71:$AC71="E")*4+($W71:$AC71="P")*6+($W71:$AC71="R")*6)</f>
        <v/>
      </c>
      <c r="BH71" s="110">
        <f>SUMPRODUCT(($AD71:$AJ71="M")*6+($AD71:$AJ71="T")*6+($AD71:$AJ71="D")*12+($AD71:$AJ71="N")*12+($AD71:$AJ71="NT")*6+($AD71:$AJ71="C")*10+($AD71:$AJ71="A")*8+($AD71:$AJ71="J")*5+($AD71:$AJ71="E")*4+($AD71:$AJ71="P")*6+($AD71:$AJ71="R")*6)</f>
        <v/>
      </c>
      <c r="BI71" s="110">
        <f>SUMPRODUCT(($AK71:$AL71="M")*6+($AK71:$AL71="T")*6+($AK71:$AL71="D")*12+($AK71:$AL71="N")*12+($AK71:$AL71="NT")*6+($AK71:$AL71="C")*10+($AK71:$AL71="A")*8+($AK71:$AL71="J")*5+($AK71:$AL71="E")*4+($AK71:$AL71="P")*6+($AK71:$AL71="R")*6)+SUMPRODUCT(($AN71:$AR71="M")*6+($AN71:$AR71="T")*6+($AN71:$AR71="D")*12+($AN71:$AR71="N")*12+($AN71:$AR71="NT")*6+($AN71:$AR71="C")*10+($AN71:$AR71="A")*8+($AN71:$AR71="J")*5+($AN71:$AR71="E")*4+($AN71:$AR71="P")*6+($AN71:$AR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8" t="inlineStr">
        <is>
          <t>M</t>
        </is>
      </c>
      <c r="J72" s="107" t="n"/>
      <c r="K72" s="117" t="inlineStr">
        <is>
          <t>T</t>
        </is>
      </c>
      <c r="L72" s="117" t="inlineStr">
        <is>
          <t>T</t>
        </is>
      </c>
      <c r="M72" s="116" t="inlineStr">
        <is>
          <t>N</t>
        </is>
      </c>
      <c r="N72" s="107" t="n"/>
      <c r="O72" s="107" t="n"/>
      <c r="P72" s="107" t="n"/>
      <c r="Q72" s="115" t="inlineStr">
        <is>
          <t>D</t>
        </is>
      </c>
      <c r="R72" s="107" t="n"/>
      <c r="S72" s="107" t="n"/>
      <c r="T72" s="107" t="n"/>
      <c r="U72" s="108" t="inlineStr">
        <is>
          <t>M</t>
        </is>
      </c>
      <c r="V72" s="115" t="inlineStr">
        <is>
          <t>D</t>
        </is>
      </c>
      <c r="W72" s="107" t="n"/>
      <c r="X72" s="117" t="inlineStr">
        <is>
          <t>T</t>
        </is>
      </c>
      <c r="Y72" s="107" t="n"/>
      <c r="Z72" s="117" t="inlineStr">
        <is>
          <t>T</t>
        </is>
      </c>
      <c r="AA72" s="117" t="inlineStr">
        <is>
          <t>T</t>
        </is>
      </c>
      <c r="AB72" s="107" t="n"/>
      <c r="AC72" s="115" t="inlineStr">
        <is>
          <t>D</t>
        </is>
      </c>
      <c r="AD72" s="117" t="inlineStr">
        <is>
          <t>T</t>
        </is>
      </c>
      <c r="AE72" s="117" t="inlineStr">
        <is>
          <t>T</t>
        </is>
      </c>
      <c r="AF72" s="116" t="inlineStr">
        <is>
          <t>N</t>
        </is>
      </c>
      <c r="AG72" s="107" t="n"/>
      <c r="AH72" s="117" t="inlineStr">
        <is>
          <t>T</t>
        </is>
      </c>
      <c r="AI72" s="107" t="n"/>
      <c r="AJ72" s="107" t="n"/>
      <c r="AK72" s="115" t="inlineStr">
        <is>
          <t>D</t>
        </is>
      </c>
      <c r="AL72" s="117" t="inlineStr">
        <is>
          <t>T</t>
        </is>
      </c>
      <c r="AM72" s="96" t="n"/>
      <c r="AN72" s="123">
        <f>IFERROR(INDEX(JUL!I$8:I$73,MATCH($A72,JUL!$A$8:$A$73,0))&amp;"","")</f>
        <v/>
      </c>
      <c r="AO72" s="123">
        <f>IFERROR(INDEX(JUL!J$8:J$73,MATCH($A72,JUL!$A$8:$A$73,0))&amp;"","")</f>
        <v/>
      </c>
      <c r="AP72" s="123">
        <f>IFERROR(INDEX(JUL!K$8:K$73,MATCH($A72,JUL!$A$8:$A$73,0))&amp;"","")</f>
        <v/>
      </c>
      <c r="AQ72" s="109">
        <f>IFERROR(INDEX(JUL!L$8:L$73,MATCH($A72,JUL!$A$8:$A$73,0))&amp;"","")</f>
        <v/>
      </c>
      <c r="AR72" s="109">
        <f>IFERROR(INDEX(JUL!M$8:M$73,MATCH($A72,JUL!$A$8:$A$73,0))&amp;"","")</f>
        <v/>
      </c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SUMPRODUCT(($I72:$O72="M")*6+($I72:$O72="T")*6+($I72:$O72="D")*12+($I72:$O72="N")*12+($I72:$O72="NT")*6+($I72:$O72="C")*10+($I72:$O72="A")*8+($I72:$O72="J")*5+($I72:$O72="E")*4+($I72:$O72="P")*6+($I72:$O72="R")*6)</f>
        <v/>
      </c>
      <c r="BF72" s="110">
        <f>SUMPRODUCT(($P72:$V72="M")*6+($P72:$V72="T")*6+($P72:$V72="D")*12+($P72:$V72="N")*12+($P72:$V72="NT")*6+($P72:$V72="C")*10+($P72:$V72="A")*8+($P72:$V72="J")*5+($P72:$V72="E")*4+($P72:$V72="P")*6+($P72:$V72="R")*6)</f>
        <v/>
      </c>
      <c r="BG72" s="110">
        <f>SUMPRODUCT(($W72:$AC72="M")*6+($W72:$AC72="T")*6+($W72:$AC72="D")*12+($W72:$AC72="N")*12+($W72:$AC72="NT")*6+($W72:$AC72="C")*10+($W72:$AC72="A")*8+($W72:$AC72="J")*5+($W72:$AC72="E")*4+($W72:$AC72="P")*6+($W72:$AC72="R")*6)</f>
        <v/>
      </c>
      <c r="BH72" s="110">
        <f>SUMPRODUCT(($AD72:$AJ72="M")*6+($AD72:$AJ72="T")*6+($AD72:$AJ72="D")*12+($AD72:$AJ72="N")*12+($AD72:$AJ72="NT")*6+($AD72:$AJ72="C")*10+($AD72:$AJ72="A")*8+($AD72:$AJ72="J")*5+($AD72:$AJ72="E")*4+($AD72:$AJ72="P")*6+($AD72:$AJ72="R")*6)</f>
        <v/>
      </c>
      <c r="BI72" s="110">
        <f>SUMPRODUCT(($AK72:$AL72="M")*6+($AK72:$AL72="T")*6+($AK72:$AL72="D")*12+($AK72:$AL72="N")*12+($AK72:$AL72="NT")*6+($AK72:$AL72="C")*10+($AK72:$AL72="A")*8+($AK72:$AL72="J")*5+($AK72:$AL72="E")*4+($AK72:$AL72="P")*6+($AK72:$AL72="R")*6)+SUMPRODUCT(($AN72:$AR72="M")*6+($AN72:$AR72="T")*6+($AN72:$AR72="D")*12+($AN72:$AR72="N")*12+($AN72:$AR72="NT")*6+($AN72:$AR72="C")*10+($AN72:$AR72="A")*8+($AN72:$AR72="J")*5+($AN72:$AR72="E")*4+($AN72:$AR72="P")*6+($AN72:$AR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16" t="inlineStr">
        <is>
          <t>N</t>
        </is>
      </c>
      <c r="J73" s="117" t="inlineStr">
        <is>
          <t>T</t>
        </is>
      </c>
      <c r="K73" s="116" t="inlineStr">
        <is>
          <t>N</t>
        </is>
      </c>
      <c r="L73" s="107" t="n"/>
      <c r="M73" s="107" t="n"/>
      <c r="N73" s="107" t="n"/>
      <c r="O73" s="107" t="n"/>
      <c r="P73" s="115" t="inlineStr">
        <is>
          <t>D</t>
        </is>
      </c>
      <c r="Q73" s="107" t="n"/>
      <c r="R73" s="107" t="n"/>
      <c r="S73" s="116" t="inlineStr">
        <is>
          <t>N</t>
        </is>
      </c>
      <c r="T73" s="107" t="n"/>
      <c r="U73" s="117" t="inlineStr">
        <is>
          <t>T</t>
        </is>
      </c>
      <c r="V73" s="107" t="n"/>
      <c r="W73" s="107" t="n"/>
      <c r="X73" s="107" t="n"/>
      <c r="Y73" s="116" t="inlineStr">
        <is>
          <t>N</t>
        </is>
      </c>
      <c r="Z73" s="107" t="n"/>
      <c r="AA73" s="107" t="n"/>
      <c r="AB73" s="117" t="inlineStr">
        <is>
          <t>T</t>
        </is>
      </c>
      <c r="AC73" s="116" t="inlineStr">
        <is>
          <t>N</t>
        </is>
      </c>
      <c r="AD73" s="116" t="inlineStr">
        <is>
          <t>N</t>
        </is>
      </c>
      <c r="AE73" s="117" t="inlineStr">
        <is>
          <t>T</t>
        </is>
      </c>
      <c r="AF73" s="107" t="n"/>
      <c r="AG73" s="107" t="n"/>
      <c r="AH73" s="117" t="inlineStr">
        <is>
          <t>T</t>
        </is>
      </c>
      <c r="AI73" s="117" t="inlineStr">
        <is>
          <t>T</t>
        </is>
      </c>
      <c r="AJ73" s="107" t="n"/>
      <c r="AK73" s="116" t="inlineStr">
        <is>
          <t>N</t>
        </is>
      </c>
      <c r="AL73" s="107" t="n"/>
      <c r="AM73" s="96" t="n"/>
      <c r="AN73" s="123">
        <f>IFERROR(INDEX(JUL!I$8:I$73,MATCH($A73,JUL!$A$8:$A$73,0))&amp;"","")</f>
        <v/>
      </c>
      <c r="AO73" s="123">
        <f>IFERROR(INDEX(JUL!J$8:J$73,MATCH($A73,JUL!$A$8:$A$73,0))&amp;"","")</f>
        <v/>
      </c>
      <c r="AP73" s="123">
        <f>IFERROR(INDEX(JUL!K$8:K$73,MATCH($A73,JUL!$A$8:$A$73,0))&amp;"","")</f>
        <v/>
      </c>
      <c r="AQ73" s="109">
        <f>IFERROR(INDEX(JUL!L$8:L$73,MATCH($A73,JUL!$A$8:$A$73,0))&amp;"","")</f>
        <v/>
      </c>
      <c r="AR73" s="109">
        <f>IFERROR(INDEX(JUL!M$8:M$73,MATCH($A73,JUL!$A$8:$A$73,0))&amp;"","")</f>
        <v/>
      </c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SUMPRODUCT(($I73:$O73="M")*6+($I73:$O73="T")*6+($I73:$O73="D")*12+($I73:$O73="N")*12+($I73:$O73="NT")*6+($I73:$O73="C")*10+($I73:$O73="A")*8+($I73:$O73="J")*5+($I73:$O73="E")*4+($I73:$O73="P")*6+($I73:$O73="R")*6)</f>
        <v/>
      </c>
      <c r="BF73" s="110">
        <f>SUMPRODUCT(($P73:$V73="M")*6+($P73:$V73="T")*6+($P73:$V73="D")*12+($P73:$V73="N")*12+($P73:$V73="NT")*6+($P73:$V73="C")*10+($P73:$V73="A")*8+($P73:$V73="J")*5+($P73:$V73="E")*4+($P73:$V73="P")*6+($P73:$V73="R")*6)</f>
        <v/>
      </c>
      <c r="BG73" s="110">
        <f>SUMPRODUCT(($W73:$AC73="M")*6+($W73:$AC73="T")*6+($W73:$AC73="D")*12+($W73:$AC73="N")*12+($W73:$AC73="NT")*6+($W73:$AC73="C")*10+($W73:$AC73="A")*8+($W73:$AC73="J")*5+($W73:$AC73="E")*4+($W73:$AC73="P")*6+($W73:$AC73="R")*6)</f>
        <v/>
      </c>
      <c r="BH73" s="110">
        <f>SUMPRODUCT(($AD73:$AJ73="M")*6+($AD73:$AJ73="T")*6+($AD73:$AJ73="D")*12+($AD73:$AJ73="N")*12+($AD73:$AJ73="NT")*6+($AD73:$AJ73="C")*10+($AD73:$AJ73="A")*8+($AD73:$AJ73="J")*5+($AD73:$AJ73="E")*4+($AD73:$AJ73="P")*6+($AD73:$AJ73="R")*6)</f>
        <v/>
      </c>
      <c r="BI73" s="110">
        <f>SUMPRODUCT(($AK73:$AL73="M")*6+($AK73:$AL73="T")*6+($AK73:$AL73="D")*12+($AK73:$AL73="N")*12+($AK73:$AL73="NT")*6+($AK73:$AL73="C")*10+($AK73:$AL73="A")*8+($AK73:$AL73="J")*5+($AK73:$AL73="E")*4+($AK73:$AL73="P")*6+($AK73:$AL73="R")*6)+SUMPRODUCT(($AN73:$AR73="M")*6+($AN73:$AR73="T")*6+($AN73:$AR73="D")*12+($AN73:$AR73="N")*12+($AN73:$AR73="NT")*6+($AN73:$AR73="C")*10+($AN73:$AR73="A")*8+($AN73:$AR73="J")*5+($AN73:$AR73="E")*4+($AN73:$AR73="P")*6+($AN73:$AR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39" t="n"/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120">
        <f>COUNTIF(AR8:AR73,"M")+COUNTIF(AR8:AR73,"D")+COUNTIF(AR8:AR73,"C")+COUNTIF(AR8:AR73,"J")+COUNTIF(AR8:AR73,"E")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39" t="n"/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120">
        <f>COUNTIF(AR8:AR73,"T")+COUNTIF(AR8:AR73,"D")+COUNTIF(AR8:AR73,"C")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39" t="n"/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120">
        <f>COUNTIF(AR8:AR73,"N")+COUNTIF(AR8:AR73,"NT")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2">
        <f>MAX(0,CONFIG!$B$9-I75)</f>
        <v/>
      </c>
      <c r="J78" s="122">
        <f>MAX(0,CONFIG!$B$9-J75)</f>
        <v/>
      </c>
      <c r="K78" s="122">
        <f>MAX(0,CONFIG!$B$9-K75)</f>
        <v/>
      </c>
      <c r="L78" s="122">
        <f>MAX(0,CONFIG!$B$9-L75)</f>
        <v/>
      </c>
      <c r="M78" s="122">
        <f>MAX(0,CONFIG!$B$9-M75)</f>
        <v/>
      </c>
      <c r="N78" s="122">
        <f>MAX(0,CONFIG!$B$10-N75)</f>
        <v/>
      </c>
      <c r="O78" s="122">
        <f>MAX(0,CONFIG!$B$11-O75)</f>
        <v/>
      </c>
      <c r="P78" s="122">
        <f>MAX(0,CONFIG!$B$9-P75)</f>
        <v/>
      </c>
      <c r="Q78" s="122">
        <f>MAX(0,CONFIG!$B$9-Q75)</f>
        <v/>
      </c>
      <c r="R78" s="122">
        <f>MAX(0,CONFIG!$B$9-R75)</f>
        <v/>
      </c>
      <c r="S78" s="122">
        <f>MAX(0,CONFIG!$B$9-S75)</f>
        <v/>
      </c>
      <c r="T78" s="122">
        <f>MAX(0,CONFIG!$B$9-T75)</f>
        <v/>
      </c>
      <c r="U78" s="122">
        <f>MAX(0,CONFIG!$B$10-U75)</f>
        <v/>
      </c>
      <c r="V78" s="122">
        <f>MAX(0,CONFIG!$B$11-V75)</f>
        <v/>
      </c>
      <c r="W78" s="122">
        <f>MAX(0,CONFIG!$B$9-W75)</f>
        <v/>
      </c>
      <c r="X78" s="122">
        <f>MAX(0,CONFIG!$B$9-X75)</f>
        <v/>
      </c>
      <c r="Y78" s="122">
        <f>MAX(0,CONFIG!$B$9-Y75)</f>
        <v/>
      </c>
      <c r="Z78" s="122">
        <f>MAX(0,CONFIG!$B$9-Z75)</f>
        <v/>
      </c>
      <c r="AA78" s="122">
        <f>MAX(0,CONFIG!$B$9-AA75)</f>
        <v/>
      </c>
      <c r="AB78" s="122">
        <f>MAX(0,CONFIG!$B$10-AB75)</f>
        <v/>
      </c>
      <c r="AC78" s="122">
        <f>MAX(0,CONFIG!$B$11-AC75)</f>
        <v/>
      </c>
      <c r="AD78" s="122">
        <f>MAX(0,CONFIG!$B$9-AD75)</f>
        <v/>
      </c>
      <c r="AE78" s="122">
        <f>MAX(0,CONFIG!$B$9-AE75)</f>
        <v/>
      </c>
      <c r="AF78" s="122">
        <f>MAX(0,CONFIG!$B$9-AF75)</f>
        <v/>
      </c>
      <c r="AG78" s="122">
        <f>MAX(0,CONFIG!$B$9-AG75)</f>
        <v/>
      </c>
      <c r="AH78" s="122">
        <f>MAX(0,CONFIG!$B$9-AH75)</f>
        <v/>
      </c>
      <c r="AI78" s="122">
        <f>MAX(0,CONFIG!$B$10-AI75)</f>
        <v/>
      </c>
      <c r="AJ78" s="122">
        <f>MAX(0,CONFIG!$B$11-AJ75)</f>
        <v/>
      </c>
      <c r="AK78" s="122">
        <f>MAX(0,CONFIG!$B$9-AK75)</f>
        <v/>
      </c>
      <c r="AL78" s="122">
        <f>MAX(0,CONFIG!$B$9-AL75)</f>
        <v/>
      </c>
      <c r="AM78" s="39" t="n"/>
      <c r="AN78" s="122">
        <f>MAX(0,CONFIG!$B$9-AN75)</f>
        <v/>
      </c>
      <c r="AO78" s="122">
        <f>MAX(0,CONFIG!$B$9-AO75)</f>
        <v/>
      </c>
      <c r="AP78" s="122">
        <f>MAX(0,CONFIG!$B$9-AP75)</f>
        <v/>
      </c>
      <c r="AQ78" s="122">
        <f>MAX(0,CONFIG!$B$10-AQ75)</f>
        <v/>
      </c>
      <c r="AR78" s="122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2">
        <f>MAX(0,CONFIG!$C$9-I76)</f>
        <v/>
      </c>
      <c r="J79" s="122">
        <f>MAX(0,CONFIG!$C$9-J76)</f>
        <v/>
      </c>
      <c r="K79" s="122">
        <f>MAX(0,CONFIG!$C$9-K76)</f>
        <v/>
      </c>
      <c r="L79" s="122">
        <f>MAX(0,CONFIG!$C$9-L76)</f>
        <v/>
      </c>
      <c r="M79" s="122">
        <f>MAX(0,CONFIG!$C$9-M76)</f>
        <v/>
      </c>
      <c r="N79" s="122">
        <f>MAX(0,CONFIG!$C$10-N76)</f>
        <v/>
      </c>
      <c r="O79" s="122">
        <f>MAX(0,CONFIG!$C$11-O76)</f>
        <v/>
      </c>
      <c r="P79" s="122">
        <f>MAX(0,CONFIG!$C$9-P76)</f>
        <v/>
      </c>
      <c r="Q79" s="122">
        <f>MAX(0,CONFIG!$C$9-Q76)</f>
        <v/>
      </c>
      <c r="R79" s="122">
        <f>MAX(0,CONFIG!$C$9-R76)</f>
        <v/>
      </c>
      <c r="S79" s="122">
        <f>MAX(0,CONFIG!$C$9-S76)</f>
        <v/>
      </c>
      <c r="T79" s="122">
        <f>MAX(0,CONFIG!$C$9-T76)</f>
        <v/>
      </c>
      <c r="U79" s="122">
        <f>MAX(0,CONFIG!$C$10-U76)</f>
        <v/>
      </c>
      <c r="V79" s="122">
        <f>MAX(0,CONFIG!$C$11-V76)</f>
        <v/>
      </c>
      <c r="W79" s="122">
        <f>MAX(0,CONFIG!$C$9-W76)</f>
        <v/>
      </c>
      <c r="X79" s="122">
        <f>MAX(0,CONFIG!$C$9-X76)</f>
        <v/>
      </c>
      <c r="Y79" s="122">
        <f>MAX(0,CONFIG!$C$9-Y76)</f>
        <v/>
      </c>
      <c r="Z79" s="122">
        <f>MAX(0,CONFIG!$C$9-Z76)</f>
        <v/>
      </c>
      <c r="AA79" s="122">
        <f>MAX(0,CONFIG!$C$9-AA76)</f>
        <v/>
      </c>
      <c r="AB79" s="122">
        <f>MAX(0,CONFIG!$C$10-AB76)</f>
        <v/>
      </c>
      <c r="AC79" s="122">
        <f>MAX(0,CONFIG!$C$11-AC76)</f>
        <v/>
      </c>
      <c r="AD79" s="122">
        <f>MAX(0,CONFIG!$C$9-AD76)</f>
        <v/>
      </c>
      <c r="AE79" s="122">
        <f>MAX(0,CONFIG!$C$9-AE76)</f>
        <v/>
      </c>
      <c r="AF79" s="122">
        <f>MAX(0,CONFIG!$C$9-AF76)</f>
        <v/>
      </c>
      <c r="AG79" s="122">
        <f>MAX(0,CONFIG!$C$9-AG76)</f>
        <v/>
      </c>
      <c r="AH79" s="122">
        <f>MAX(0,CONFIG!$C$9-AH76)</f>
        <v/>
      </c>
      <c r="AI79" s="122">
        <f>MAX(0,CONFIG!$C$10-AI76)</f>
        <v/>
      </c>
      <c r="AJ79" s="122">
        <f>MAX(0,CONFIG!$C$11-AJ76)</f>
        <v/>
      </c>
      <c r="AK79" s="122">
        <f>MAX(0,CONFIG!$C$9-AK76)</f>
        <v/>
      </c>
      <c r="AL79" s="122">
        <f>MAX(0,CONFIG!$C$9-AL76)</f>
        <v/>
      </c>
      <c r="AM79" s="39" t="n"/>
      <c r="AN79" s="122">
        <f>MAX(0,CONFIG!$C$9-AN76)</f>
        <v/>
      </c>
      <c r="AO79" s="122">
        <f>MAX(0,CONFIG!$C$9-AO76)</f>
        <v/>
      </c>
      <c r="AP79" s="122">
        <f>MAX(0,CONFIG!$C$9-AP76)</f>
        <v/>
      </c>
      <c r="AQ79" s="122">
        <f>MAX(0,CONFIG!$C$10-AQ76)</f>
        <v/>
      </c>
      <c r="AR79" s="122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2">
        <f>MAX(0,CONFIG!$D$9-I77)</f>
        <v/>
      </c>
      <c r="J80" s="122">
        <f>MAX(0,CONFIG!$D$9-J77)</f>
        <v/>
      </c>
      <c r="K80" s="122">
        <f>MAX(0,CONFIG!$D$9-K77)</f>
        <v/>
      </c>
      <c r="L80" s="122">
        <f>MAX(0,CONFIG!$D$9-L77)</f>
        <v/>
      </c>
      <c r="M80" s="122">
        <f>MAX(0,CONFIG!$D$9-M77)</f>
        <v/>
      </c>
      <c r="N80" s="122">
        <f>MAX(0,CONFIG!$D$10-N77)</f>
        <v/>
      </c>
      <c r="O80" s="122">
        <f>MAX(0,CONFIG!$D$11-O77)</f>
        <v/>
      </c>
      <c r="P80" s="122">
        <f>MAX(0,CONFIG!$D$9-P77)</f>
        <v/>
      </c>
      <c r="Q80" s="122">
        <f>MAX(0,CONFIG!$D$9-Q77)</f>
        <v/>
      </c>
      <c r="R80" s="122">
        <f>MAX(0,CONFIG!$D$9-R77)</f>
        <v/>
      </c>
      <c r="S80" s="122">
        <f>MAX(0,CONFIG!$D$9-S77)</f>
        <v/>
      </c>
      <c r="T80" s="122">
        <f>MAX(0,CONFIG!$D$9-T77)</f>
        <v/>
      </c>
      <c r="U80" s="122">
        <f>MAX(0,CONFIG!$D$10-U77)</f>
        <v/>
      </c>
      <c r="V80" s="122">
        <f>MAX(0,CONFIG!$D$11-V77)</f>
        <v/>
      </c>
      <c r="W80" s="122">
        <f>MAX(0,CONFIG!$D$9-W77)</f>
        <v/>
      </c>
      <c r="X80" s="122">
        <f>MAX(0,CONFIG!$D$9-X77)</f>
        <v/>
      </c>
      <c r="Y80" s="122">
        <f>MAX(0,CONFIG!$D$9-Y77)</f>
        <v/>
      </c>
      <c r="Z80" s="122">
        <f>MAX(0,CONFIG!$D$9-Z77)</f>
        <v/>
      </c>
      <c r="AA80" s="122">
        <f>MAX(0,CONFIG!$D$9-AA77)</f>
        <v/>
      </c>
      <c r="AB80" s="122">
        <f>MAX(0,CONFIG!$D$10-AB77)</f>
        <v/>
      </c>
      <c r="AC80" s="122">
        <f>MAX(0,CONFIG!$D$11-AC77)</f>
        <v/>
      </c>
      <c r="AD80" s="122">
        <f>MAX(0,CONFIG!$D$9-AD77)</f>
        <v/>
      </c>
      <c r="AE80" s="122">
        <f>MAX(0,CONFIG!$D$9-AE77)</f>
        <v/>
      </c>
      <c r="AF80" s="122">
        <f>MAX(0,CONFIG!$D$9-AF77)</f>
        <v/>
      </c>
      <c r="AG80" s="122">
        <f>MAX(0,CONFIG!$D$9-AG77)</f>
        <v/>
      </c>
      <c r="AH80" s="122">
        <f>MAX(0,CONFIG!$D$9-AH77)</f>
        <v/>
      </c>
      <c r="AI80" s="122">
        <f>MAX(0,CONFIG!$D$10-AI77)</f>
        <v/>
      </c>
      <c r="AJ80" s="122">
        <f>MAX(0,CONFIG!$D$11-AJ77)</f>
        <v/>
      </c>
      <c r="AK80" s="122">
        <f>MAX(0,CONFIG!$D$9-AK77)</f>
        <v/>
      </c>
      <c r="AL80" s="122">
        <f>MAX(0,CONFIG!$D$9-AL77)</f>
        <v/>
      </c>
      <c r="AM80" s="39" t="n"/>
      <c r="AN80" s="122">
        <f>MAX(0,CONFIG!$D$9-AN77)</f>
        <v/>
      </c>
      <c r="AO80" s="122">
        <f>MAX(0,CONFIG!$D$9-AO77)</f>
        <v/>
      </c>
      <c r="AP80" s="122">
        <f>MAX(0,CONFIG!$D$9-AP77)</f>
        <v/>
      </c>
      <c r="AQ80" s="122">
        <f>MAX(0,CONFIG!$D$10-AQ77)</f>
        <v/>
      </c>
      <c r="AR80" s="122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29/06</t>
        </is>
      </c>
      <c r="H2" s="97" t="inlineStr">
        <is>
          <t>30/06</t>
        </is>
      </c>
      <c r="I2" s="99" t="n">
        <v>1</v>
      </c>
      <c r="J2" s="99" t="n">
        <v>2</v>
      </c>
      <c r="K2" s="99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101" t="inlineStr">
        <is>
          <t>01/08</t>
        </is>
      </c>
      <c r="AO2" s="101" t="inlineStr">
        <is>
          <t>02/08</t>
        </is>
      </c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2" t="inlineStr">
        <is>
          <t>sex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2" t="inlineStr">
        <is>
          <t>ter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102" t="inlineStr">
        <is>
          <t>sex</t>
        </is>
      </c>
      <c r="AN3" s="104" t="inlineStr">
        <is>
          <t>sáb</t>
        </is>
      </c>
      <c r="AO3" s="104" t="inlineStr">
        <is>
          <t>dom</t>
        </is>
      </c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1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3">
        <f>IFERROR(INDEX(JUN!AK$8:AK$73,MATCH($A8,JUN!$A$8:$A$73,0))&amp;"","")</f>
        <v/>
      </c>
      <c r="H8" s="123">
        <f>IFERROR(INDEX(JUN!AL$8:AL$73,MATCH($A8,JUN!$A$8:$A$73,0))&amp;"","")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08" t="inlineStr">
        <is>
          <t>M</t>
        </is>
      </c>
      <c r="O8" s="107" t="n"/>
      <c r="P8" s="124" t="inlineStr">
        <is>
          <t>C</t>
        </is>
      </c>
      <c r="Q8" s="124" t="inlineStr">
        <is>
          <t>C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24" t="inlineStr">
        <is>
          <t>C</t>
        </is>
      </c>
      <c r="X8" s="124" t="inlineStr">
        <is>
          <t>C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24" t="inlineStr">
        <is>
          <t>C</t>
        </is>
      </c>
      <c r="AE8" s="124" t="inlineStr">
        <is>
          <t>C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7" t="n"/>
      <c r="AK8" s="124" t="inlineStr">
        <is>
          <t>C</t>
        </is>
      </c>
      <c r="AL8" s="124" t="inlineStr">
        <is>
          <t>C</t>
        </is>
      </c>
      <c r="AM8" s="108" t="inlineStr">
        <is>
          <t>M</t>
        </is>
      </c>
      <c r="AN8" s="109">
        <f>IFERROR(INDEX(AGO!I$8:I$73,MATCH($A8,AGO!$A$8:$A$73,0))&amp;"","")</f>
        <v/>
      </c>
      <c r="AO8" s="109">
        <f>IFERROR(INDEX(AGO!J$8:J$73,MATCH($A8,AGO!$A$8:$A$73,0))&amp;"","")</f>
        <v/>
      </c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SUMPRODUCT(($G8:$M8="M")*6+($G8:$M8="T")*6+($G8:$M8="D")*12+($G8:$M8="N")*12+($G8:$M8="NT")*6+($G8:$M8="C")*10+($G8:$M8="A")*8+($G8:$M8="J")*5+($G8:$M8="E")*4+($G8:$M8="P")*6+($G8:$M8="R")*6)</f>
        <v/>
      </c>
      <c r="BF8" s="110">
        <f>SUMPRODUCT(($N8:$T8="M")*6+($N8:$T8="T")*6+($N8:$T8="D")*12+($N8:$T8="N")*12+($N8:$T8="NT")*6+($N8:$T8="C")*10+($N8:$T8="A")*8+($N8:$T8="J")*5+($N8:$T8="E")*4+($N8:$T8="P")*6+($N8:$T8="R")*6)</f>
        <v/>
      </c>
      <c r="BG8" s="110">
        <f>SUMPRODUCT(($U8:$AA8="M")*6+($U8:$AA8="T")*6+($U8:$AA8="D")*12+($U8:$AA8="N")*12+($U8:$AA8="NT")*6+($U8:$AA8="C")*10+($U8:$AA8="A")*8+($U8:$AA8="J")*5+($U8:$AA8="E")*4+($U8:$AA8="P")*6+($U8:$AA8="R")*6)</f>
        <v/>
      </c>
      <c r="BH8" s="110">
        <f>SUMPRODUCT(($AB8:$AH8="M")*6+($AB8:$AH8="T")*6+($AB8:$AH8="D")*12+($AB8:$AH8="N")*12+($AB8:$AH8="NT")*6+($AB8:$AH8="C")*10+($AB8:$AH8="A")*8+($AB8:$AH8="J")*5+($AB8:$AH8="E")*4+($AB8:$AH8="P")*6+($AB8:$AH8="R")*6)</f>
        <v/>
      </c>
      <c r="BI8" s="110">
        <f>SUMPRODUCT(($AI8:$AM8="M")*6+($AI8:$AM8="T")*6+($AI8:$AM8="D")*12+($AI8:$AM8="N")*12+($AI8:$AM8="NT")*6+($AI8:$AM8="C")*10+($AI8:$AM8="A")*8+($AI8:$AM8="J")*5+($AI8:$AM8="E")*4+($AI8:$AM8="P")*6+($AI8:$AM8="R")*6)+SUMPRODUCT(($AN8:$AO8="M")*6+($AN8:$AO8="T")*6+($AN8:$AO8="D")*12+($AN8:$AO8="N")*12+($AN8:$AO8="NT")*6+($AN8:$AO8="C")*10+($AN8:$AO8="A")*8+($AN8:$AO8="J")*5+($AN8:$AO8="E")*4+($AN8:$AO8="P")*6+($AN8:$AO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3">
        <f>IFERROR(INDEX(JUN!AK$8:AK$73,MATCH($A9,JUN!$A$8:$A$73,0))&amp;"","")</f>
        <v/>
      </c>
      <c r="H9" s="123">
        <f>IFERROR(INDEX(JUN!AL$8:AL$73,MATCH($A9,JUN!$A$8:$A$73,0))&amp;"","")</f>
        <v/>
      </c>
      <c r="I9" s="108" t="inlineStr">
        <is>
          <t>M</t>
        </is>
      </c>
      <c r="J9" s="124" t="inlineStr">
        <is>
          <t>C</t>
        </is>
      </c>
      <c r="K9" s="108" t="inlineStr">
        <is>
          <t>M</t>
        </is>
      </c>
      <c r="L9" s="107" t="n"/>
      <c r="M9" s="107" t="n"/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24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24" t="inlineStr">
        <is>
          <t>C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24" t="inlineStr">
        <is>
          <t>C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108" t="inlineStr">
        <is>
          <t>M</t>
        </is>
      </c>
      <c r="AN9" s="109">
        <f>IFERROR(INDEX(AGO!I$8:I$73,MATCH($A9,AGO!$A$8:$A$73,0))&amp;"","")</f>
        <v/>
      </c>
      <c r="AO9" s="109">
        <f>IFERROR(INDEX(AGO!J$8:J$73,MATCH($A9,AGO!$A$8:$A$73,0))&amp;"","")</f>
        <v/>
      </c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SUMPRODUCT(($G9:$M9="M")*6+($G9:$M9="T")*6+($G9:$M9="D")*12+($G9:$M9="N")*12+($G9:$M9="NT")*6+($G9:$M9="C")*10+($G9:$M9="A")*8+($G9:$M9="J")*5+($G9:$M9="E")*4+($G9:$M9="P")*6+($G9:$M9="R")*6)</f>
        <v/>
      </c>
      <c r="BF9" s="110">
        <f>SUMPRODUCT(($N9:$T9="M")*6+($N9:$T9="T")*6+($N9:$T9="D")*12+($N9:$T9="N")*12+($N9:$T9="NT")*6+($N9:$T9="C")*10+($N9:$T9="A")*8+($N9:$T9="J")*5+($N9:$T9="E")*4+($N9:$T9="P")*6+($N9:$T9="R")*6)</f>
        <v/>
      </c>
      <c r="BG9" s="110">
        <f>SUMPRODUCT(($U9:$AA9="M")*6+($U9:$AA9="T")*6+($U9:$AA9="D")*12+($U9:$AA9="N")*12+($U9:$AA9="NT")*6+($U9:$AA9="C")*10+($U9:$AA9="A")*8+($U9:$AA9="J")*5+($U9:$AA9="E")*4+($U9:$AA9="P")*6+($U9:$AA9="R")*6)</f>
        <v/>
      </c>
      <c r="BH9" s="110">
        <f>SUMPRODUCT(($AB9:$AH9="M")*6+($AB9:$AH9="T")*6+($AB9:$AH9="D")*12+($AB9:$AH9="N")*12+($AB9:$AH9="NT")*6+($AB9:$AH9="C")*10+($AB9:$AH9="A")*8+($AB9:$AH9="J")*5+($AB9:$AH9="E")*4+($AB9:$AH9="P")*6+($AB9:$AH9="R")*6)</f>
        <v/>
      </c>
      <c r="BI9" s="110">
        <f>SUMPRODUCT(($AI9:$AM9="M")*6+($AI9:$AM9="T")*6+($AI9:$AM9="D")*12+($AI9:$AM9="N")*12+($AI9:$AM9="NT")*6+($AI9:$AM9="C")*10+($AI9:$AM9="A")*8+($AI9:$AM9="J")*5+($AI9:$AM9="E")*4+($AI9:$AM9="P")*6+($AI9:$AM9="R")*6)+SUMPRODUCT(($AN9:$AO9="M")*6+($AN9:$AO9="T")*6+($AN9:$AO9="D")*12+($AN9:$AO9="N")*12+($AN9:$AO9="NT")*6+($AN9:$AO9="C")*10+($AN9:$AO9="A")*8+($AN9:$AO9="J")*5+($AN9:$AO9="E")*4+($AN9:$AO9="P")*6+($AN9:$AO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3">
        <f>IFERROR(INDEX(JUN!AK$8:AK$73,MATCH($A10,JUN!$A$8:$A$73,0))&amp;"","")</f>
        <v/>
      </c>
      <c r="H10" s="123">
        <f>IFERROR(INDEX(JUN!AL$8:AL$73,MATCH($A10,JUN!$A$8:$A$73,0))&amp;"","")</f>
        <v/>
      </c>
      <c r="I10" s="124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07" t="n"/>
      <c r="M10" s="107" t="n"/>
      <c r="N10" s="107" t="n"/>
      <c r="O10" s="107" t="n"/>
      <c r="P10" s="127" t="inlineStr">
        <is>
          <t>LM</t>
        </is>
      </c>
      <c r="Q10" s="127" t="inlineStr">
        <is>
          <t>LM</t>
        </is>
      </c>
      <c r="R10" s="127" t="inlineStr">
        <is>
          <t>LM</t>
        </is>
      </c>
      <c r="S10" s="127" t="inlineStr">
        <is>
          <t>LM</t>
        </is>
      </c>
      <c r="T10" s="127" t="inlineStr">
        <is>
          <t>LM</t>
        </is>
      </c>
      <c r="U10" s="107" t="n"/>
      <c r="V10" s="107" t="n"/>
      <c r="W10" s="108" t="inlineStr">
        <is>
          <t>M</t>
        </is>
      </c>
      <c r="X10" s="108" t="inlineStr">
        <is>
          <t>M</t>
        </is>
      </c>
      <c r="Y10" s="124" t="inlineStr">
        <is>
          <t>C</t>
        </is>
      </c>
      <c r="Z10" s="108" t="inlineStr">
        <is>
          <t>M</t>
        </is>
      </c>
      <c r="AA10" s="108" t="inlineStr">
        <is>
          <t>M</t>
        </is>
      </c>
      <c r="AB10" s="108" t="inlineStr">
        <is>
          <t>M</t>
        </is>
      </c>
      <c r="AC10" s="107" t="n"/>
      <c r="AD10" s="108" t="inlineStr">
        <is>
          <t>M</t>
        </is>
      </c>
      <c r="AE10" s="108" t="inlineStr">
        <is>
          <t>M</t>
        </is>
      </c>
      <c r="AF10" s="124" t="inlineStr">
        <is>
          <t>C</t>
        </is>
      </c>
      <c r="AG10" s="108" t="inlineStr">
        <is>
          <t>M</t>
        </is>
      </c>
      <c r="AH10" s="108" t="inlineStr">
        <is>
          <t>M</t>
        </is>
      </c>
      <c r="AI10" s="107" t="n"/>
      <c r="AJ10" s="107" t="n"/>
      <c r="AK10" s="108" t="inlineStr">
        <is>
          <t>M</t>
        </is>
      </c>
      <c r="AL10" s="108" t="inlineStr">
        <is>
          <t>M</t>
        </is>
      </c>
      <c r="AM10" s="124" t="inlineStr">
        <is>
          <t>C</t>
        </is>
      </c>
      <c r="AN10" s="109">
        <f>IFERROR(INDEX(AGO!I$8:I$73,MATCH($A10,AGO!$A$8:$A$73,0))&amp;"","")</f>
        <v/>
      </c>
      <c r="AO10" s="109">
        <f>IFERROR(INDEX(AGO!J$8:J$73,MATCH($A10,AGO!$A$8:$A$73,0))&amp;"","")</f>
        <v/>
      </c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SUMPRODUCT(($G10:$M10="M")*6+($G10:$M10="T")*6+($G10:$M10="D")*12+($G10:$M10="N")*12+($G10:$M10="NT")*6+($G10:$M10="C")*10+($G10:$M10="A")*8+($G10:$M10="J")*5+($G10:$M10="E")*4+($G10:$M10="P")*6+($G10:$M10="R")*6)</f>
        <v/>
      </c>
      <c r="BF10" s="110">
        <f>SUMPRODUCT(($N10:$T10="M")*6+($N10:$T10="T")*6+($N10:$T10="D")*12+($N10:$T10="N")*12+($N10:$T10="NT")*6+($N10:$T10="C")*10+($N10:$T10="A")*8+($N10:$T10="J")*5+($N10:$T10="E")*4+($N10:$T10="P")*6+($N10:$T10="R")*6)</f>
        <v/>
      </c>
      <c r="BG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H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I10" s="110">
        <f>SUMPRODUCT(($AI10:$AM10="M")*6+($AI10:$AM10="T")*6+($AI10:$AM10="D")*12+($AI10:$AM10="N")*12+($AI10:$AM10="NT")*6+($AI10:$AM10="C")*10+($AI10:$AM10="A")*8+($AI10:$AM10="J")*5+($AI10:$AM10="E")*4+($AI10:$AM10="P")*6+($AI10:$AM10="R")*6)+SUMPRODUCT(($AN10:$AO10="M")*6+($AN10:$AO10="T")*6+($AN10:$AO10="D")*12+($AN10:$AO10="N")*12+($AN10:$AO10="NT")*6+($AN10:$AO10="C")*10+($AN10:$AO10="A")*8+($AN10:$AO10="J")*5+($AN10:$AO10="E")*4+($AN10:$AO10="P")*6+($AN10:$AO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3">
        <f>IFERROR(INDEX(JUN!AK$8:AK$73,MATCH($A11,JUN!$A$8:$A$73,0))&amp;"","")</f>
        <v/>
      </c>
      <c r="H11" s="123">
        <f>IFERROR(INDEX(JUN!AL$8:AL$73,MATCH($A11,JUN!$A$8:$A$73,0))&amp;"","")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6" t="inlineStr">
        <is>
          <t>N</t>
        </is>
      </c>
      <c r="M11" s="107" t="n"/>
      <c r="N11" s="108" t="inlineStr">
        <is>
          <t>M</t>
        </is>
      </c>
      <c r="O11" s="115" t="inlineStr">
        <is>
          <t>D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7" t="n"/>
      <c r="AA11" s="116" t="inlineStr">
        <is>
          <t>N</t>
        </is>
      </c>
      <c r="AB11" s="108" t="inlineStr">
        <is>
          <t>M</t>
        </is>
      </c>
      <c r="AC11" s="115" t="inlineStr">
        <is>
          <t>D</t>
        </is>
      </c>
      <c r="AD11" s="108" t="inlineStr">
        <is>
          <t>M</t>
        </is>
      </c>
      <c r="AE11" s="115" t="inlineStr">
        <is>
          <t>D</t>
        </is>
      </c>
      <c r="AF11" s="108" t="inlineStr">
        <is>
          <t>M</t>
        </is>
      </c>
      <c r="AG11" s="107" t="n"/>
      <c r="AH11" s="107" t="n"/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08" t="inlineStr">
        <is>
          <t>M</t>
        </is>
      </c>
      <c r="AN11" s="109">
        <f>IFERROR(INDEX(AGO!I$8:I$73,MATCH($A11,AGO!$A$8:$A$73,0))&amp;"","")</f>
        <v/>
      </c>
      <c r="AO11" s="109">
        <f>IFERROR(INDEX(AGO!J$8:J$73,MATCH($A11,AGO!$A$8:$A$73,0))&amp;"","")</f>
        <v/>
      </c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SUMPRODUCT(($G11:$M11="M")*6+($G11:$M11="T")*6+($G11:$M11="D")*12+($G11:$M11="N")*12+($G11:$M11="NT")*6+($G11:$M11="C")*10+($G11:$M11="A")*8+($G11:$M11="J")*5+($G11:$M11="E")*4+($G11:$M11="P")*6+($G11:$M11="R")*6)</f>
        <v/>
      </c>
      <c r="BF11" s="110">
        <f>SUMPRODUCT(($N11:$T11="M")*6+($N11:$T11="T")*6+($N11:$T11="D")*12+($N11:$T11="N")*12+($N11:$T11="NT")*6+($N11:$T11="C")*10+($N11:$T11="A")*8+($N11:$T11="J")*5+($N11:$T11="E")*4+($N11:$T11="P")*6+($N11:$T11="R")*6)</f>
        <v/>
      </c>
      <c r="BG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H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I11" s="110">
        <f>SUMPRODUCT(($AI11:$AM11="M")*6+($AI11:$AM11="T")*6+($AI11:$AM11="D")*12+($AI11:$AM11="N")*12+($AI11:$AM11="NT")*6+($AI11:$AM11="C")*10+($AI11:$AM11="A")*8+($AI11:$AM11="J")*5+($AI11:$AM11="E")*4+($AI11:$AM11="P")*6+($AI11:$AM11="R")*6)+SUMPRODUCT(($AN11:$AO11="M")*6+($AN11:$AO11="T")*6+($AN11:$AO11="D")*12+($AN11:$AO11="N")*12+($AN11:$AO11="NT")*6+($AN11:$AO11="C")*10+($AN11:$AO11="A")*8+($AN11:$AO11="J")*5+($AN11:$AO11="E")*4+($AN11:$AO11="P")*6+($AN11:$AO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3">
        <f>IFERROR(INDEX(JUN!AK$8:AK$73,MATCH($A12,JUN!$A$8:$A$73,0))&amp;"","")</f>
        <v/>
      </c>
      <c r="H12" s="123">
        <f>IFERROR(INDEX(JUN!AL$8:AL$73,MATCH($A12,JUN!$A$8:$A$73,0))&amp;"","")</f>
        <v/>
      </c>
      <c r="I12" s="108" t="inlineStr">
        <is>
          <t>M</t>
        </is>
      </c>
      <c r="J12" s="115" t="inlineStr">
        <is>
          <t>D</t>
        </is>
      </c>
      <c r="K12" s="108" t="inlineStr">
        <is>
          <t>M</t>
        </is>
      </c>
      <c r="L12" s="107" t="n"/>
      <c r="M12" s="107" t="n"/>
      <c r="N12" s="115" t="inlineStr">
        <is>
          <t>D</t>
        </is>
      </c>
      <c r="O12" s="115" t="inlineStr">
        <is>
          <t>D</t>
        </is>
      </c>
      <c r="P12" s="115" t="inlineStr">
        <is>
          <t>D</t>
        </is>
      </c>
      <c r="Q12" s="107" t="n"/>
      <c r="R12" s="107" t="n"/>
      <c r="S12" s="107" t="n"/>
      <c r="T12" s="107" t="n"/>
      <c r="U12" s="117" t="inlineStr">
        <is>
          <t>T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5" t="inlineStr">
        <is>
          <t>D</t>
        </is>
      </c>
      <c r="AA12" s="107" t="n"/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5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5" t="inlineStr">
        <is>
          <t>D</t>
        </is>
      </c>
      <c r="AK12" s="108" t="inlineStr">
        <is>
          <t>M</t>
        </is>
      </c>
      <c r="AL12" s="108" t="inlineStr">
        <is>
          <t>M</t>
        </is>
      </c>
      <c r="AM12" s="108" t="inlineStr">
        <is>
          <t>M</t>
        </is>
      </c>
      <c r="AN12" s="109">
        <f>IFERROR(INDEX(AGO!I$8:I$73,MATCH($A12,AGO!$A$8:$A$73,0))&amp;"","")</f>
        <v/>
      </c>
      <c r="AO12" s="109">
        <f>IFERROR(INDEX(AGO!J$8:J$73,MATCH($A12,AGO!$A$8:$A$73,0))&amp;"","")</f>
        <v/>
      </c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SUMPRODUCT(($G12:$M12="M")*6+($G12:$M12="T")*6+($G12:$M12="D")*12+($G12:$M12="N")*12+($G12:$M12="NT")*6+($G12:$M12="C")*10+($G12:$M12="A")*8+($G12:$M12="J")*5+($G12:$M12="E")*4+($G12:$M12="P")*6+($G12:$M12="R")*6)</f>
        <v/>
      </c>
      <c r="BF12" s="110">
        <f>SUMPRODUCT(($N12:$T12="M")*6+($N12:$T12="T")*6+($N12:$T12="D")*12+($N12:$T12="N")*12+($N12:$T12="NT")*6+($N12:$T12="C")*10+($N12:$T12="A")*8+($N12:$T12="J")*5+($N12:$T12="E")*4+($N12:$T12="P")*6+($N12:$T12="R")*6)</f>
        <v/>
      </c>
      <c r="BG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H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I12" s="110">
        <f>SUMPRODUCT(($AI12:$AM12="M")*6+($AI12:$AM12="T")*6+($AI12:$AM12="D")*12+($AI12:$AM12="N")*12+($AI12:$AM12="NT")*6+($AI12:$AM12="C")*10+($AI12:$AM12="A")*8+($AI12:$AM12="J")*5+($AI12:$AM12="E")*4+($AI12:$AM12="P")*6+($AI12:$AM12="R")*6)+SUMPRODUCT(($AN12:$AO12="M")*6+($AN12:$AO12="T")*6+($AN12:$AO12="D")*12+($AN12:$AO12="N")*12+($AN12:$AO12="NT")*6+($AN12:$AO12="C")*10+($AN12:$AO12="A")*8+($AN12:$AO12="J")*5+($AN12:$AO12="E")*4+($AN12:$AO12="P")*6+($AN12:$AO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3">
        <f>IFERROR(INDEX(JUN!AK$8:AK$73,MATCH($A13,JUN!$A$8:$A$73,0))&amp;"","")</f>
        <v/>
      </c>
      <c r="H13" s="123">
        <f>IFERROR(INDEX(JUN!AL$8:AL$73,MATCH($A13,JUN!$A$8:$A$73,0))&amp;"","")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16" t="inlineStr">
        <is>
          <t>N</t>
        </is>
      </c>
      <c r="M13" s="107" t="n"/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15" t="inlineStr">
        <is>
          <t>D</t>
        </is>
      </c>
      <c r="AA13" s="107" t="n"/>
      <c r="AB13" s="128" t="inlineStr">
        <is>
          <t>FE</t>
        </is>
      </c>
      <c r="AC13" s="128" t="inlineStr">
        <is>
          <t>FE</t>
        </is>
      </c>
      <c r="AD13" s="128" t="inlineStr">
        <is>
          <t>FE</t>
        </is>
      </c>
      <c r="AE13" s="128" t="inlineStr">
        <is>
          <t>FE</t>
        </is>
      </c>
      <c r="AF13" s="128" t="inlineStr">
        <is>
          <t>FE</t>
        </is>
      </c>
      <c r="AG13" s="128" t="inlineStr">
        <is>
          <t>FE</t>
        </is>
      </c>
      <c r="AH13" s="128" t="inlineStr">
        <is>
          <t>FE</t>
        </is>
      </c>
      <c r="AI13" s="128" t="inlineStr">
        <is>
          <t>FE</t>
        </is>
      </c>
      <c r="AJ13" s="128" t="inlineStr">
        <is>
          <t>FE</t>
        </is>
      </c>
      <c r="AK13" s="128" t="inlineStr">
        <is>
          <t>FE</t>
        </is>
      </c>
      <c r="AL13" s="128" t="inlineStr">
        <is>
          <t>FE</t>
        </is>
      </c>
      <c r="AM13" s="128" t="inlineStr">
        <is>
          <t>FE</t>
        </is>
      </c>
      <c r="AN13" s="109">
        <f>IFERROR(INDEX(AGO!I$8:I$73,MATCH($A13,AGO!$A$8:$A$73,0))&amp;"","")</f>
        <v/>
      </c>
      <c r="AO13" s="109">
        <f>IFERROR(INDEX(AGO!J$8:J$73,MATCH($A13,AGO!$A$8:$A$73,0))&amp;"","")</f>
        <v/>
      </c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SUMPRODUCT(($G13:$M13="M")*6+($G13:$M13="T")*6+($G13:$M13="D")*12+($G13:$M13="N")*12+($G13:$M13="NT")*6+($G13:$M13="C")*10+($G13:$M13="A")*8+($G13:$M13="J")*5+($G13:$M13="E")*4+($G13:$M13="P")*6+($G13:$M13="R")*6)</f>
        <v/>
      </c>
      <c r="BF13" s="110">
        <f>SUMPRODUCT(($N13:$T13="M")*6+($N13:$T13="T")*6+($N13:$T13="D")*12+($N13:$T13="N")*12+($N13:$T13="NT")*6+($N13:$T13="C")*10+($N13:$T13="A")*8+($N13:$T13="J")*5+($N13:$T13="E")*4+($N13:$T13="P")*6+($N13:$T13="R")*6)</f>
        <v/>
      </c>
      <c r="BG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H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I13" s="110">
        <f>SUMPRODUCT(($AI13:$AM13="M")*6+($AI13:$AM13="T")*6+($AI13:$AM13="D")*12+($AI13:$AM13="N")*12+($AI13:$AM13="NT")*6+($AI13:$AM13="C")*10+($AI13:$AM13="A")*8+($AI13:$AM13="J")*5+($AI13:$AM13="E")*4+($AI13:$AM13="P")*6+($AI13:$AM13="R")*6)+SUMPRODUCT(($AN13:$AO13="M")*6+($AN13:$AO13="T")*6+($AN13:$AO13="D")*12+($AN13:$AO13="N")*12+($AN13:$AO13="NT")*6+($AN13:$AO13="C")*10+($AN13:$AO13="A")*8+($AN13:$AO13="J")*5+($AN13:$AO13="E")*4+($AN13:$AO13="P")*6+($AN13:$AO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3">
        <f>IFERROR(INDEX(JUN!AK$8:AK$73,MATCH($A14,JUN!$A$8:$A$73,0))&amp;"","")</f>
        <v/>
      </c>
      <c r="H14" s="123">
        <f>IFERROR(INDEX(JUN!AL$8:AL$73,MATCH($A14,JUN!$A$8:$A$73,0))&amp;"","")</f>
        <v/>
      </c>
      <c r="I14" s="128" t="inlineStr">
        <is>
          <t>FE</t>
        </is>
      </c>
      <c r="J14" s="128" t="inlineStr">
        <is>
          <t>FE</t>
        </is>
      </c>
      <c r="K14" s="128" t="inlineStr">
        <is>
          <t>FE</t>
        </is>
      </c>
      <c r="L14" s="128" t="inlineStr">
        <is>
          <t>FE</t>
        </is>
      </c>
      <c r="M14" s="128" t="inlineStr">
        <is>
          <t>FE</t>
        </is>
      </c>
      <c r="N14" s="128" t="inlineStr">
        <is>
          <t>FE</t>
        </is>
      </c>
      <c r="O14" s="128" t="inlineStr">
        <is>
          <t>FE</t>
        </is>
      </c>
      <c r="P14" s="128" t="inlineStr">
        <is>
          <t>FE</t>
        </is>
      </c>
      <c r="Q14" s="128" t="inlineStr">
        <is>
          <t>FE</t>
        </is>
      </c>
      <c r="R14" s="128" t="inlineStr">
        <is>
          <t>FE</t>
        </is>
      </c>
      <c r="S14" s="128" t="inlineStr">
        <is>
          <t>FE</t>
        </is>
      </c>
      <c r="T14" s="128" t="inlineStr">
        <is>
          <t>FE</t>
        </is>
      </c>
      <c r="U14" s="128" t="inlineStr">
        <is>
          <t>FE</t>
        </is>
      </c>
      <c r="V14" s="107" t="n"/>
      <c r="W14" s="108" t="inlineStr">
        <is>
          <t>M</t>
        </is>
      </c>
      <c r="X14" s="108" t="inlineStr">
        <is>
          <t>M</t>
        </is>
      </c>
      <c r="Y14" s="117" t="inlineStr">
        <is>
          <t>T</t>
        </is>
      </c>
      <c r="Z14" s="117" t="inlineStr">
        <is>
          <t>T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7" t="inlineStr">
        <is>
          <t>T</t>
        </is>
      </c>
      <c r="AG14" s="107" t="n"/>
      <c r="AH14" s="117" t="inlineStr">
        <is>
          <t>T</t>
        </is>
      </c>
      <c r="AI14" s="108" t="inlineStr">
        <is>
          <t>M</t>
        </is>
      </c>
      <c r="AJ14" s="117" t="inlineStr">
        <is>
          <t>T</t>
        </is>
      </c>
      <c r="AK14" s="107" t="n"/>
      <c r="AL14" s="108" t="inlineStr">
        <is>
          <t>M</t>
        </is>
      </c>
      <c r="AM14" s="108" t="inlineStr">
        <is>
          <t>M</t>
        </is>
      </c>
      <c r="AN14" s="109">
        <f>IFERROR(INDEX(AGO!I$8:I$73,MATCH($A14,AGO!$A$8:$A$73,0))&amp;"","")</f>
        <v/>
      </c>
      <c r="AO14" s="109">
        <f>IFERROR(INDEX(AGO!J$8:J$73,MATCH($A14,AGO!$A$8:$A$73,0))&amp;"","")</f>
        <v/>
      </c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SUMPRODUCT(($G14:$M14="M")*6+($G14:$M14="T")*6+($G14:$M14="D")*12+($G14:$M14="N")*12+($G14:$M14="NT")*6+($G14:$M14="C")*10+($G14:$M14="A")*8+($G14:$M14="J")*5+($G14:$M14="E")*4+($G14:$M14="P")*6+($G14:$M14="R")*6)</f>
        <v/>
      </c>
      <c r="BF14" s="110">
        <f>SUMPRODUCT(($N14:$T14="M")*6+($N14:$T14="T")*6+($N14:$T14="D")*12+($N14:$T14="N")*12+($N14:$T14="NT")*6+($N14:$T14="C")*10+($N14:$T14="A")*8+($N14:$T14="J")*5+($N14:$T14="E")*4+($N14:$T14="P")*6+($N14:$T14="R")*6)</f>
        <v/>
      </c>
      <c r="BG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H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I14" s="110">
        <f>SUMPRODUCT(($AI14:$AM14="M")*6+($AI14:$AM14="T")*6+($AI14:$AM14="D")*12+($AI14:$AM14="N")*12+($AI14:$AM14="NT")*6+($AI14:$AM14="C")*10+($AI14:$AM14="A")*8+($AI14:$AM14="J")*5+($AI14:$AM14="E")*4+($AI14:$AM14="P")*6+($AI14:$AM14="R")*6)+SUMPRODUCT(($AN14:$AO14="M")*6+($AN14:$AO14="T")*6+($AN14:$AO14="D")*12+($AN14:$AO14="N")*12+($AN14:$AO14="NT")*6+($AN14:$AO14="C")*10+($AN14:$AO14="A")*8+($AN14:$AO14="J")*5+($AN14:$AO14="E")*4+($AN14:$AO14="P")*6+($AN14:$AO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3">
        <f>IFERROR(INDEX(JUN!AK$8:AK$73,MATCH($A15,JUN!$A$8:$A$73,0))&amp;"","")</f>
        <v/>
      </c>
      <c r="H15" s="123">
        <f>IFERROR(INDEX(JUN!AL$8:AL$73,MATCH($A15,JUN!$A$8:$A$73,0))&amp;"","")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9">
        <f>IFERROR(INDEX(AGO!I$8:I$73,MATCH($A15,AGO!$A$8:$A$73,0))&amp;"","")</f>
        <v/>
      </c>
      <c r="AO15" s="109">
        <f>IFERROR(INDEX(AGO!J$8:J$73,MATCH($A15,AGO!$A$8:$A$73,0))&amp;"","")</f>
        <v/>
      </c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SUMPRODUCT(($G15:$M15="M")*6+($G15:$M15="T")*6+($G15:$M15="D")*12+($G15:$M15="N")*12+($G15:$M15="NT")*6+($G15:$M15="C")*10+($G15:$M15="A")*8+($G15:$M15="J")*5+($G15:$M15="E")*4+($G15:$M15="P")*6+($G15:$M15="R")*6)</f>
        <v/>
      </c>
      <c r="BF15" s="110">
        <f>SUMPRODUCT(($N15:$T15="M")*6+($N15:$T15="T")*6+($N15:$T15="D")*12+($N15:$T15="N")*12+($N15:$T15="NT")*6+($N15:$T15="C")*10+($N15:$T15="A")*8+($N15:$T15="J")*5+($N15:$T15="E")*4+($N15:$T15="P")*6+($N15:$T15="R")*6)</f>
        <v/>
      </c>
      <c r="BG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H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I15" s="110">
        <f>SUMPRODUCT(($AI15:$AM15="M")*6+($AI15:$AM15="T")*6+($AI15:$AM15="D")*12+($AI15:$AM15="N")*12+($AI15:$AM15="NT")*6+($AI15:$AM15="C")*10+($AI15:$AM15="A")*8+($AI15:$AM15="J")*5+($AI15:$AM15="E")*4+($AI15:$AM15="P")*6+($AI15:$AM15="R")*6)+SUMPRODUCT(($AN15:$AO15="M")*6+($AN15:$AO15="T")*6+($AN15:$AO15="D")*12+($AN15:$AO15="N")*12+($AN15:$AO15="NT")*6+($AN15:$AO15="C")*10+($AN15:$AO15="A")*8+($AN15:$AO15="J")*5+($AN15:$AO15="E")*4+($AN15:$AO15="P")*6+($AN15:$AO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3">
        <f>IFERROR(INDEX(JUN!AK$8:AK$73,MATCH($A16,JUN!$A$8:$A$73,0))&amp;"","")</f>
        <v/>
      </c>
      <c r="H16" s="123">
        <f>IFERROR(INDEX(JUN!AL$8:AL$73,MATCH($A16,JUN!$A$8:$A$73,0))&amp;"","")</f>
        <v/>
      </c>
      <c r="I16" s="129" t="inlineStr">
        <is>
          <t>J</t>
        </is>
      </c>
      <c r="J16" s="129" t="inlineStr">
        <is>
          <t>J</t>
        </is>
      </c>
      <c r="K16" s="129" t="inlineStr">
        <is>
          <t>J</t>
        </is>
      </c>
      <c r="L16" s="129" t="inlineStr">
        <is>
          <t>J</t>
        </is>
      </c>
      <c r="M16" s="107" t="n"/>
      <c r="N16" s="129" t="inlineStr">
        <is>
          <t>J</t>
        </is>
      </c>
      <c r="O16" s="129" t="inlineStr">
        <is>
          <t>J</t>
        </is>
      </c>
      <c r="P16" s="129" t="inlineStr">
        <is>
          <t>J</t>
        </is>
      </c>
      <c r="Q16" s="129" t="inlineStr">
        <is>
          <t>J</t>
        </is>
      </c>
      <c r="R16" s="129" t="inlineStr">
        <is>
          <t>J</t>
        </is>
      </c>
      <c r="S16" s="129" t="inlineStr">
        <is>
          <t>J</t>
        </is>
      </c>
      <c r="T16" s="107" t="n"/>
      <c r="U16" s="129" t="inlineStr">
        <is>
          <t>J</t>
        </is>
      </c>
      <c r="V16" s="129" t="inlineStr">
        <is>
          <t>J</t>
        </is>
      </c>
      <c r="W16" s="129" t="inlineStr">
        <is>
          <t>J</t>
        </is>
      </c>
      <c r="X16" s="129" t="inlineStr">
        <is>
          <t>J</t>
        </is>
      </c>
      <c r="Y16" s="129" t="inlineStr">
        <is>
          <t>J</t>
        </is>
      </c>
      <c r="Z16" s="129" t="inlineStr">
        <is>
          <t>J</t>
        </is>
      </c>
      <c r="AA16" s="107" t="n"/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29" t="inlineStr">
        <is>
          <t>J</t>
        </is>
      </c>
      <c r="AF16" s="129" t="inlineStr">
        <is>
          <t>J</t>
        </is>
      </c>
      <c r="AG16" s="129" t="inlineStr">
        <is>
          <t>J</t>
        </is>
      </c>
      <c r="AH16" s="107" t="n"/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29" t="inlineStr">
        <is>
          <t>J</t>
        </is>
      </c>
      <c r="AM16" s="129" t="inlineStr">
        <is>
          <t>J</t>
        </is>
      </c>
      <c r="AN16" s="109">
        <f>IFERROR(INDEX(AGO!I$8:I$73,MATCH($A16,AGO!$A$8:$A$73,0))&amp;"","")</f>
        <v/>
      </c>
      <c r="AO16" s="109">
        <f>IFERROR(INDEX(AGO!J$8:J$73,MATCH($A16,AGO!$A$8:$A$73,0))&amp;"","")</f>
        <v/>
      </c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SUMPRODUCT(($G16:$M16="M")*6+($G16:$M16="T")*6+($G16:$M16="D")*12+($G16:$M16="N")*12+($G16:$M16="NT")*6+($G16:$M16="C")*10+($G16:$M16="A")*8+($G16:$M16="J")*5+($G16:$M16="E")*4+($G16:$M16="P")*6+($G16:$M16="R")*6)</f>
        <v/>
      </c>
      <c r="BF16" s="110">
        <f>SUMPRODUCT(($N16:$T16="M")*6+($N16:$T16="T")*6+($N16:$T16="D")*12+($N16:$T16="N")*12+($N16:$T16="NT")*6+($N16:$T16="C")*10+($N16:$T16="A")*8+($N16:$T16="J")*5+($N16:$T16="E")*4+($N16:$T16="P")*6+($N16:$T16="R")*6)</f>
        <v/>
      </c>
      <c r="BG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H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I16" s="110">
        <f>SUMPRODUCT(($AI16:$AM16="M")*6+($AI16:$AM16="T")*6+($AI16:$AM16="D")*12+($AI16:$AM16="N")*12+($AI16:$AM16="NT")*6+($AI16:$AM16="C")*10+($AI16:$AM16="A")*8+($AI16:$AM16="J")*5+($AI16:$AM16="E")*4+($AI16:$AM16="P")*6+($AI16:$AM16="R")*6)+SUMPRODUCT(($AN16:$AO16="M")*6+($AN16:$AO16="T")*6+($AN16:$AO16="D")*12+($AN16:$AO16="N")*12+($AN16:$AO16="NT")*6+($AN16:$AO16="C")*10+($AN16:$AO16="A")*8+($AN16:$AO16="J")*5+($AN16:$AO16="E")*4+($AN16:$AO16="P")*6+($AN16:$AO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3">
        <f>IFERROR(INDEX(JUN!AK$8:AK$73,MATCH($A17,JUN!$A$8:$A$73,0))&amp;"","")</f>
        <v/>
      </c>
      <c r="H17" s="123">
        <f>IFERROR(INDEX(JUN!AL$8:AL$73,MATCH($A17,JUN!$A$8:$A$73,0))&amp;"","")</f>
        <v/>
      </c>
      <c r="I17" s="117" t="inlineStr">
        <is>
          <t>T</t>
        </is>
      </c>
      <c r="J17" s="125" t="inlineStr">
        <is>
          <t>E</t>
        </is>
      </c>
      <c r="K17" s="116" t="inlineStr">
        <is>
          <t>N</t>
        </is>
      </c>
      <c r="L17" s="107" t="n"/>
      <c r="M17" s="107" t="n"/>
      <c r="N17" s="117" t="inlineStr">
        <is>
          <t>T</t>
        </is>
      </c>
      <c r="O17" s="124" t="inlineStr">
        <is>
          <t>C</t>
        </is>
      </c>
      <c r="P17" s="115" t="inlineStr">
        <is>
          <t>D</t>
        </is>
      </c>
      <c r="Q17" s="116" t="inlineStr">
        <is>
          <t>N</t>
        </is>
      </c>
      <c r="R17" s="107" t="n"/>
      <c r="S17" s="107" t="n"/>
      <c r="T17" s="107" t="n"/>
      <c r="U17" s="116" t="inlineStr">
        <is>
          <t>N</t>
        </is>
      </c>
      <c r="V17" s="125" t="inlineStr">
        <is>
          <t>E</t>
        </is>
      </c>
      <c r="W17" s="117" t="inlineStr">
        <is>
          <t>T</t>
        </is>
      </c>
      <c r="X17" s="107" t="n"/>
      <c r="Y17" s="117" t="inlineStr">
        <is>
          <t>T</t>
        </is>
      </c>
      <c r="Z17" s="116" t="inlineStr">
        <is>
          <t>N</t>
        </is>
      </c>
      <c r="AA17" s="107" t="n"/>
      <c r="AB17" s="117" t="inlineStr">
        <is>
          <t>T</t>
        </is>
      </c>
      <c r="AC17" s="125" t="inlineStr">
        <is>
          <t>E</t>
        </is>
      </c>
      <c r="AD17" s="116" t="inlineStr">
        <is>
          <t>N</t>
        </is>
      </c>
      <c r="AE17" s="117" t="inlineStr">
        <is>
          <t>T</t>
        </is>
      </c>
      <c r="AF17" s="117" t="inlineStr">
        <is>
          <t>T</t>
        </is>
      </c>
      <c r="AG17" s="108" t="inlineStr">
        <is>
          <t>M</t>
        </is>
      </c>
      <c r="AH17" s="107" t="n"/>
      <c r="AI17" s="116" t="inlineStr">
        <is>
          <t>N</t>
        </is>
      </c>
      <c r="AJ17" s="125" t="inlineStr">
        <is>
          <t>E</t>
        </is>
      </c>
      <c r="AK17" s="115" t="inlineStr">
        <is>
          <t>D</t>
        </is>
      </c>
      <c r="AL17" s="116" t="inlineStr">
        <is>
          <t>N</t>
        </is>
      </c>
      <c r="AM17" s="107" t="n"/>
      <c r="AN17" s="109">
        <f>IFERROR(INDEX(AGO!I$8:I$73,MATCH($A17,AGO!$A$8:$A$73,0))&amp;"","")</f>
        <v/>
      </c>
      <c r="AO17" s="109">
        <f>IFERROR(INDEX(AGO!J$8:J$73,MATCH($A17,AGO!$A$8:$A$73,0))&amp;"","")</f>
        <v/>
      </c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SUMPRODUCT(($G17:$M17="M")*6+($G17:$M17="T")*6+($G17:$M17="D")*12+($G17:$M17="N")*12+($G17:$M17="NT")*6+($G17:$M17="C")*10+($G17:$M17="A")*8+($G17:$M17="J")*5+($G17:$M17="E")*4+($G17:$M17="P")*6+($G17:$M17="R")*6)</f>
        <v/>
      </c>
      <c r="BF17" s="110">
        <f>SUMPRODUCT(($N17:$T17="M")*6+($N17:$T17="T")*6+($N17:$T17="D")*12+($N17:$T17="N")*12+($N17:$T17="NT")*6+($N17:$T17="C")*10+($N17:$T17="A")*8+($N17:$T17="J")*5+($N17:$T17="E")*4+($N17:$T17="P")*6+($N17:$T17="R")*6)</f>
        <v/>
      </c>
      <c r="BG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H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I17" s="110">
        <f>SUMPRODUCT(($AI17:$AM17="M")*6+($AI17:$AM17="T")*6+($AI17:$AM17="D")*12+($AI17:$AM17="N")*12+($AI17:$AM17="NT")*6+($AI17:$AM17="C")*10+($AI17:$AM17="A")*8+($AI17:$AM17="J")*5+($AI17:$AM17="E")*4+($AI17:$AM17="P")*6+($AI17:$AM17="R")*6)+SUMPRODUCT(($AN17:$AO17="M")*6+($AN17:$AO17="T")*6+($AN17:$AO17="D")*12+($AN17:$AO17="N")*12+($AN17:$AO17="NT")*6+($AN17:$AO17="C")*10+($AN17:$AO17="A")*8+($AN17:$AO17="J")*5+($AN17:$AO17="E")*4+($AN17:$AO17="P")*6+($AN17:$AO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3">
        <f>IFERROR(INDEX(JUN!AK$8:AK$73,MATCH($A18,JUN!$A$8:$A$73,0))&amp;"","")</f>
        <v/>
      </c>
      <c r="H18" s="123">
        <f>IFERROR(INDEX(JUN!AL$8:AL$73,MATCH($A18,JUN!$A$8:$A$73,0))&amp;"","")</f>
        <v/>
      </c>
      <c r="I18" s="115" t="inlineStr">
        <is>
          <t>D</t>
        </is>
      </c>
      <c r="J18" s="107" t="n"/>
      <c r="K18" s="107" t="n"/>
      <c r="L18" s="107" t="n"/>
      <c r="M18" s="115" t="inlineStr">
        <is>
          <t>D</t>
        </is>
      </c>
      <c r="N18" s="115" t="inlineStr">
        <is>
          <t>D</t>
        </is>
      </c>
      <c r="O18" s="115" t="inlineStr">
        <is>
          <t>D</t>
        </is>
      </c>
      <c r="P18" s="107" t="n"/>
      <c r="Q18" s="107" t="n"/>
      <c r="R18" s="115" t="inlineStr">
        <is>
          <t>D</t>
        </is>
      </c>
      <c r="S18" s="107" t="n"/>
      <c r="T18" s="107" t="n"/>
      <c r="U18" s="128" t="inlineStr">
        <is>
          <t>FE</t>
        </is>
      </c>
      <c r="V18" s="128" t="inlineStr">
        <is>
          <t>FE</t>
        </is>
      </c>
      <c r="W18" s="128" t="inlineStr">
        <is>
          <t>FE</t>
        </is>
      </c>
      <c r="X18" s="128" t="inlineStr">
        <is>
          <t>FE</t>
        </is>
      </c>
      <c r="Y18" s="128" t="inlineStr">
        <is>
          <t>FE</t>
        </is>
      </c>
      <c r="Z18" s="128" t="inlineStr">
        <is>
          <t>FE</t>
        </is>
      </c>
      <c r="AA18" s="128" t="inlineStr">
        <is>
          <t>FE</t>
        </is>
      </c>
      <c r="AB18" s="128" t="inlineStr">
        <is>
          <t>FE</t>
        </is>
      </c>
      <c r="AC18" s="128" t="inlineStr">
        <is>
          <t>FE</t>
        </is>
      </c>
      <c r="AD18" s="128" t="inlineStr">
        <is>
          <t>FE</t>
        </is>
      </c>
      <c r="AE18" s="128" t="inlineStr">
        <is>
          <t>FE</t>
        </is>
      </c>
      <c r="AF18" s="128" t="inlineStr">
        <is>
          <t>FE</t>
        </is>
      </c>
      <c r="AG18" s="128" t="inlineStr">
        <is>
          <t>FE</t>
        </is>
      </c>
      <c r="AH18" s="128" t="inlineStr">
        <is>
          <t>FE</t>
        </is>
      </c>
      <c r="AI18" s="128" t="inlineStr">
        <is>
          <t>FE</t>
        </is>
      </c>
      <c r="AJ18" s="107" t="n"/>
      <c r="AK18" s="117" t="inlineStr">
        <is>
          <t>T</t>
        </is>
      </c>
      <c r="AL18" s="107" t="n"/>
      <c r="AM18" s="116" t="inlineStr">
        <is>
          <t>N</t>
        </is>
      </c>
      <c r="AN18" s="109">
        <f>IFERROR(INDEX(AGO!I$8:I$73,MATCH($A18,AGO!$A$8:$A$73,0))&amp;"","")</f>
        <v/>
      </c>
      <c r="AO18" s="109">
        <f>IFERROR(INDEX(AGO!J$8:J$73,MATCH($A18,AGO!$A$8:$A$73,0))&amp;"","")</f>
        <v/>
      </c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SUMPRODUCT(($G18:$M18="M")*6+($G18:$M18="T")*6+($G18:$M18="D")*12+($G18:$M18="N")*12+($G18:$M18="NT")*6+($G18:$M18="C")*10+($G18:$M18="A")*8+($G18:$M18="J")*5+($G18:$M18="E")*4+($G18:$M18="P")*6+($G18:$M18="R")*6)</f>
        <v/>
      </c>
      <c r="BF18" s="110">
        <f>SUMPRODUCT(($N18:$T18="M")*6+($N18:$T18="T")*6+($N18:$T18="D")*12+($N18:$T18="N")*12+($N18:$T18="NT")*6+($N18:$T18="C")*10+($N18:$T18="A")*8+($N18:$T18="J")*5+($N18:$T18="E")*4+($N18:$T18="P")*6+($N18:$T18="R")*6)</f>
        <v/>
      </c>
      <c r="BG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H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I18" s="110">
        <f>SUMPRODUCT(($AI18:$AM18="M")*6+($AI18:$AM18="T")*6+($AI18:$AM18="D")*12+($AI18:$AM18="N")*12+($AI18:$AM18="NT")*6+($AI18:$AM18="C")*10+($AI18:$AM18="A")*8+($AI18:$AM18="J")*5+($AI18:$AM18="E")*4+($AI18:$AM18="P")*6+($AI18:$AM18="R")*6)+SUMPRODUCT(($AN18:$AO18="M")*6+($AN18:$AO18="T")*6+($AN18:$AO18="D")*12+($AN18:$AO18="N")*12+($AN18:$AO18="NT")*6+($AN18:$AO18="C")*10+($AN18:$AO18="A")*8+($AN18:$AO18="J")*5+($AN18:$AO18="E")*4+($AN18:$AO18="P")*6+($AN18:$AO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3">
        <f>IFERROR(INDEX(JUN!AK$8:AK$73,MATCH($A19,JUN!$A$8:$A$73,0))&amp;"","")</f>
        <v/>
      </c>
      <c r="H19" s="123">
        <f>IFERROR(INDEX(JUN!AL$8:AL$73,MATCH($A19,JUN!$A$8:$A$73,0))&amp;"","")</f>
        <v/>
      </c>
      <c r="I19" s="116" t="inlineStr">
        <is>
          <t>N</t>
        </is>
      </c>
      <c r="J19" s="116" t="inlineStr">
        <is>
          <t>N</t>
        </is>
      </c>
      <c r="K19" s="107" t="n"/>
      <c r="L19" s="107" t="n"/>
      <c r="M19" s="107" t="n"/>
      <c r="N19" s="107" t="n"/>
      <c r="O19" s="107" t="n"/>
      <c r="P19" s="116" t="inlineStr">
        <is>
          <t>N</t>
        </is>
      </c>
      <c r="Q19" s="116" t="inlineStr">
        <is>
          <t>N</t>
        </is>
      </c>
      <c r="R19" s="107" t="n"/>
      <c r="S19" s="107" t="n"/>
      <c r="T19" s="116" t="inlineStr">
        <is>
          <t>N</t>
        </is>
      </c>
      <c r="U19" s="107" t="n"/>
      <c r="V19" s="107" t="n"/>
      <c r="W19" s="116" t="inlineStr">
        <is>
          <t>N</t>
        </is>
      </c>
      <c r="X19" s="107" t="n"/>
      <c r="Y19" s="116" t="inlineStr">
        <is>
          <t>N</t>
        </is>
      </c>
      <c r="Z19" s="107" t="n"/>
      <c r="AA19" s="116" t="inlineStr">
        <is>
          <t>N</t>
        </is>
      </c>
      <c r="AB19" s="107" t="n"/>
      <c r="AC19" s="107" t="n"/>
      <c r="AD19" s="116" t="inlineStr">
        <is>
          <t>N</t>
        </is>
      </c>
      <c r="AE19" s="116" t="inlineStr">
        <is>
          <t>N</t>
        </is>
      </c>
      <c r="AF19" s="107" t="n"/>
      <c r="AG19" s="107" t="n"/>
      <c r="AH19" s="116" t="inlineStr">
        <is>
          <t>N</t>
        </is>
      </c>
      <c r="AI19" s="116" t="inlineStr">
        <is>
          <t>N</t>
        </is>
      </c>
      <c r="AJ19" s="107" t="n"/>
      <c r="AK19" s="116" t="inlineStr">
        <is>
          <t>N</t>
        </is>
      </c>
      <c r="AL19" s="116" t="inlineStr">
        <is>
          <t>N</t>
        </is>
      </c>
      <c r="AM19" s="107" t="n"/>
      <c r="AN19" s="109">
        <f>IFERROR(INDEX(AGO!I$8:I$73,MATCH($A19,AGO!$A$8:$A$73,0))&amp;"","")</f>
        <v/>
      </c>
      <c r="AO19" s="109">
        <f>IFERROR(INDEX(AGO!J$8:J$73,MATCH($A19,AGO!$A$8:$A$73,0))&amp;"","")</f>
        <v/>
      </c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SUMPRODUCT(($G19:$M19="M")*6+($G19:$M19="T")*6+($G19:$M19="D")*12+($G19:$M19="N")*12+($G19:$M19="NT")*6+($G19:$M19="C")*10+($G19:$M19="A")*8+($G19:$M19="J")*5+($G19:$M19="E")*4+($G19:$M19="P")*6+($G19:$M19="R")*6)</f>
        <v/>
      </c>
      <c r="BF19" s="110">
        <f>SUMPRODUCT(($N19:$T19="M")*6+($N19:$T19="T")*6+($N19:$T19="D")*12+($N19:$T19="N")*12+($N19:$T19="NT")*6+($N19:$T19="C")*10+($N19:$T19="A")*8+($N19:$T19="J")*5+($N19:$T19="E")*4+($N19:$T19="P")*6+($N19:$T19="R")*6)</f>
        <v/>
      </c>
      <c r="BG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H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I19" s="110">
        <f>SUMPRODUCT(($AI19:$AM19="M")*6+($AI19:$AM19="T")*6+($AI19:$AM19="D")*12+($AI19:$AM19="N")*12+($AI19:$AM19="NT")*6+($AI19:$AM19="C")*10+($AI19:$AM19="A")*8+($AI19:$AM19="J")*5+($AI19:$AM19="E")*4+($AI19:$AM19="P")*6+($AI19:$AM19="R")*6)+SUMPRODUCT(($AN19:$AO19="M")*6+($AN19:$AO19="T")*6+($AN19:$AO19="D")*12+($AN19:$AO19="N")*12+($AN19:$AO19="NT")*6+($AN19:$AO19="C")*10+($AN19:$AO19="A")*8+($AN19:$AO19="J")*5+($AN19:$AO19="E")*4+($AN19:$AO19="P")*6+($AN19:$AO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3">
        <f>IFERROR(INDEX(JUN!AK$8:AK$73,MATCH($A20,JUN!$A$8:$A$73,0))&amp;"","")</f>
        <v/>
      </c>
      <c r="H20" s="123">
        <f>IFERROR(INDEX(JUN!AL$8:AL$73,MATCH($A20,JUN!$A$8:$A$73,0))&amp;"","")</f>
        <v/>
      </c>
      <c r="I20" s="107" t="n"/>
      <c r="J20" s="107" t="n"/>
      <c r="K20" s="107" t="n"/>
      <c r="L20" s="107" t="n"/>
      <c r="M20" s="107" t="n"/>
      <c r="N20" s="107" t="n"/>
      <c r="O20" s="116" t="inlineStr">
        <is>
          <t>N</t>
        </is>
      </c>
      <c r="P20" s="116" t="inlineStr">
        <is>
          <t>N</t>
        </is>
      </c>
      <c r="Q20" s="107" t="n"/>
      <c r="R20" s="107" t="n"/>
      <c r="S20" s="107" t="n"/>
      <c r="T20" s="116" t="inlineStr">
        <is>
          <t>N</t>
        </is>
      </c>
      <c r="U20" s="107" t="n"/>
      <c r="V20" s="116" t="inlineStr">
        <is>
          <t>N</t>
        </is>
      </c>
      <c r="W20" s="116" t="inlineStr">
        <is>
          <t>N</t>
        </is>
      </c>
      <c r="X20" s="116" t="inlineStr">
        <is>
          <t>N</t>
        </is>
      </c>
      <c r="Y20" s="107" t="n"/>
      <c r="Z20" s="107" t="n"/>
      <c r="AA20" s="107" t="n"/>
      <c r="AB20" s="107" t="n"/>
      <c r="AC20" s="116" t="inlineStr">
        <is>
          <t>N</t>
        </is>
      </c>
      <c r="AD20" s="107" t="n"/>
      <c r="AE20" s="107" t="n"/>
      <c r="AF20" s="107" t="n"/>
      <c r="AG20" s="116" t="inlineStr">
        <is>
          <t>N</t>
        </is>
      </c>
      <c r="AH20" s="116" t="inlineStr">
        <is>
          <t>N</t>
        </is>
      </c>
      <c r="AI20" s="107" t="n"/>
      <c r="AJ20" s="116" t="inlineStr">
        <is>
          <t>N</t>
        </is>
      </c>
      <c r="AK20" s="116" t="inlineStr">
        <is>
          <t>N</t>
        </is>
      </c>
      <c r="AL20" s="116" t="inlineStr">
        <is>
          <t>N</t>
        </is>
      </c>
      <c r="AM20" s="107" t="n"/>
      <c r="AN20" s="109">
        <f>IFERROR(INDEX(AGO!I$8:I$73,MATCH($A20,AGO!$A$8:$A$73,0))&amp;"","")</f>
        <v/>
      </c>
      <c r="AO20" s="109">
        <f>IFERROR(INDEX(AGO!J$8:J$73,MATCH($A20,AGO!$A$8:$A$73,0))&amp;"","")</f>
        <v/>
      </c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SUMPRODUCT(($G20:$M20="M")*6+($G20:$M20="T")*6+($G20:$M20="D")*12+($G20:$M20="N")*12+($G20:$M20="NT")*6+($G20:$M20="C")*10+($G20:$M20="A")*8+($G20:$M20="J")*5+($G20:$M20="E")*4+($G20:$M20="P")*6+($G20:$M20="R")*6)</f>
        <v/>
      </c>
      <c r="BF20" s="110">
        <f>SUMPRODUCT(($N20:$T20="M")*6+($N20:$T20="T")*6+($N20:$T20="D")*12+($N20:$T20="N")*12+($N20:$T20="NT")*6+($N20:$T20="C")*10+($N20:$T20="A")*8+($N20:$T20="J")*5+($N20:$T20="E")*4+($N20:$T20="P")*6+($N20:$T20="R")*6)</f>
        <v/>
      </c>
      <c r="BG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H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I20" s="110">
        <f>SUMPRODUCT(($AI20:$AM20="M")*6+($AI20:$AM20="T")*6+($AI20:$AM20="D")*12+($AI20:$AM20="N")*12+($AI20:$AM20="NT")*6+($AI20:$AM20="C")*10+($AI20:$AM20="A")*8+($AI20:$AM20="J")*5+($AI20:$AM20="E")*4+($AI20:$AM20="P")*6+($AI20:$AM20="R")*6)+SUMPRODUCT(($AN20:$AO20="M")*6+($AN20:$AO20="T")*6+($AN20:$AO20="D")*12+($AN20:$AO20="N")*12+($AN20:$AO20="NT")*6+($AN20:$AO20="C")*10+($AN20:$AO20="A")*8+($AN20:$AO20="J")*5+($AN20:$AO20="E")*4+($AN20:$AO20="P")*6+($AN20:$AO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3">
        <f>IFERROR(INDEX(JUN!AK$8:AK$73,MATCH($A21,JUN!$A$8:$A$73,0))&amp;"","")</f>
        <v/>
      </c>
      <c r="H21" s="123">
        <f>IFERROR(INDEX(JUN!AL$8:AL$73,MATCH($A21,JUN!$A$8:$A$73,0))&amp;"","")</f>
        <v/>
      </c>
      <c r="I21" s="107" t="n"/>
      <c r="J21" s="115" t="inlineStr">
        <is>
          <t>D</t>
        </is>
      </c>
      <c r="K21" s="107" t="n"/>
      <c r="L21" s="108" t="inlineStr">
        <is>
          <t>M</t>
        </is>
      </c>
      <c r="M21" s="116" t="inlineStr">
        <is>
          <t>N</t>
        </is>
      </c>
      <c r="N21" s="117" t="inlineStr">
        <is>
          <t>T</t>
        </is>
      </c>
      <c r="O21" s="116" t="inlineStr">
        <is>
          <t>N</t>
        </is>
      </c>
      <c r="P21" s="107" t="n"/>
      <c r="Q21" s="117" t="inlineStr">
        <is>
          <t>T</t>
        </is>
      </c>
      <c r="R21" s="116" t="inlineStr">
        <is>
          <t>N</t>
        </is>
      </c>
      <c r="S21" s="107" t="n"/>
      <c r="T21" s="107" t="n"/>
      <c r="U21" s="117" t="inlineStr">
        <is>
          <t>T</t>
        </is>
      </c>
      <c r="V21" s="115" t="inlineStr">
        <is>
          <t>D</t>
        </is>
      </c>
      <c r="W21" s="107" t="n"/>
      <c r="X21" s="107" t="n"/>
      <c r="Y21" s="107" t="n"/>
      <c r="Z21" s="108" t="inlineStr">
        <is>
          <t>M</t>
        </is>
      </c>
      <c r="AA21" s="115" t="inlineStr">
        <is>
          <t>D</t>
        </is>
      </c>
      <c r="AB21" s="107" t="n"/>
      <c r="AC21" s="115" t="inlineStr">
        <is>
          <t>D</t>
        </is>
      </c>
      <c r="AD21" s="108" t="inlineStr">
        <is>
          <t>M</t>
        </is>
      </c>
      <c r="AE21" s="116" t="inlineStr">
        <is>
          <t>N</t>
        </is>
      </c>
      <c r="AF21" s="107" t="n"/>
      <c r="AG21" s="107" t="n"/>
      <c r="AH21" s="108" t="inlineStr">
        <is>
          <t>M</t>
        </is>
      </c>
      <c r="AI21" s="117" t="inlineStr">
        <is>
          <t>T</t>
        </is>
      </c>
      <c r="AJ21" s="115" t="inlineStr">
        <is>
          <t>D</t>
        </is>
      </c>
      <c r="AK21" s="108" t="inlineStr">
        <is>
          <t>M</t>
        </is>
      </c>
      <c r="AL21" s="116" t="inlineStr">
        <is>
          <t>N</t>
        </is>
      </c>
      <c r="AM21" s="107" t="n"/>
      <c r="AN21" s="109">
        <f>IFERROR(INDEX(AGO!I$8:I$73,MATCH($A21,AGO!$A$8:$A$73,0))&amp;"","")</f>
        <v/>
      </c>
      <c r="AO21" s="109">
        <f>IFERROR(INDEX(AGO!J$8:J$73,MATCH($A21,AGO!$A$8:$A$73,0))&amp;"","")</f>
        <v/>
      </c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SUMPRODUCT(($G21:$M21="M")*6+($G21:$M21="T")*6+($G21:$M21="D")*12+($G21:$M21="N")*12+($G21:$M21="NT")*6+($G21:$M21="C")*10+($G21:$M21="A")*8+($G21:$M21="J")*5+($G21:$M21="E")*4+($G21:$M21="P")*6+($G21:$M21="R")*6)</f>
        <v/>
      </c>
      <c r="BF21" s="110">
        <f>SUMPRODUCT(($N21:$T21="M")*6+($N21:$T21="T")*6+($N21:$T21="D")*12+($N21:$T21="N")*12+($N21:$T21="NT")*6+($N21:$T21="C")*10+($N21:$T21="A")*8+($N21:$T21="J")*5+($N21:$T21="E")*4+($N21:$T21="P")*6+($N21:$T21="R")*6)</f>
        <v/>
      </c>
      <c r="BG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H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I21" s="110">
        <f>SUMPRODUCT(($AI21:$AM21="M")*6+($AI21:$AM21="T")*6+($AI21:$AM21="D")*12+($AI21:$AM21="N")*12+($AI21:$AM21="NT")*6+($AI21:$AM21="C")*10+($AI21:$AM21="A")*8+($AI21:$AM21="J")*5+($AI21:$AM21="E")*4+($AI21:$AM21="P")*6+($AI21:$AM21="R")*6)+SUMPRODUCT(($AN21:$AO21="M")*6+($AN21:$AO21="T")*6+($AN21:$AO21="D")*12+($AN21:$AO21="N")*12+($AN21:$AO21="NT")*6+($AN21:$AO21="C")*10+($AN21:$AO21="A")*8+($AN21:$AO21="J")*5+($AN21:$AO21="E")*4+($AN21:$AO21="P")*6+($AN21:$AO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3">
        <f>IFERROR(INDEX(JUN!AK$8:AK$73,MATCH($A22,JUN!$A$8:$A$73,0))&amp;"","")</f>
        <v/>
      </c>
      <c r="H22" s="123">
        <f>IFERROR(INDEX(JUN!AL$8:AL$73,MATCH($A22,JUN!$A$8:$A$73,0))&amp;"","")</f>
        <v/>
      </c>
      <c r="I22" s="107" t="n"/>
      <c r="J22" s="115" t="inlineStr">
        <is>
          <t>D</t>
        </is>
      </c>
      <c r="K22" s="107" t="n"/>
      <c r="L22" s="115" t="inlineStr">
        <is>
          <t>D</t>
        </is>
      </c>
      <c r="M22" s="107" t="n"/>
      <c r="N22" s="107" t="n"/>
      <c r="O22" s="115" t="inlineStr">
        <is>
          <t>D</t>
        </is>
      </c>
      <c r="P22" s="107" t="n"/>
      <c r="Q22" s="115" t="inlineStr">
        <is>
          <t>D</t>
        </is>
      </c>
      <c r="R22" s="107" t="n"/>
      <c r="S22" s="115" t="inlineStr">
        <is>
          <t>D</t>
        </is>
      </c>
      <c r="T22" s="107" t="n"/>
      <c r="U22" s="107" t="n"/>
      <c r="V22" s="115" t="inlineStr">
        <is>
          <t>D</t>
        </is>
      </c>
      <c r="W22" s="107" t="n"/>
      <c r="X22" s="115" t="inlineStr">
        <is>
          <t>D</t>
        </is>
      </c>
      <c r="Y22" s="116" t="inlineStr">
        <is>
          <t>N</t>
        </is>
      </c>
      <c r="Z22" s="107" t="n"/>
      <c r="AA22" s="107" t="n"/>
      <c r="AB22" s="107" t="n"/>
      <c r="AC22" s="115" t="inlineStr">
        <is>
          <t>D</t>
        </is>
      </c>
      <c r="AD22" s="107" t="n"/>
      <c r="AE22" s="108" t="inlineStr">
        <is>
          <t>M</t>
        </is>
      </c>
      <c r="AF22" s="107" t="n"/>
      <c r="AG22" s="117" t="inlineStr">
        <is>
          <t>T</t>
        </is>
      </c>
      <c r="AH22" s="115" t="inlineStr">
        <is>
          <t>D</t>
        </is>
      </c>
      <c r="AI22" s="107" t="n"/>
      <c r="AJ22" s="115" t="inlineStr">
        <is>
          <t>D</t>
        </is>
      </c>
      <c r="AK22" s="107" t="n"/>
      <c r="AL22" s="115" t="inlineStr">
        <is>
          <t>D</t>
        </is>
      </c>
      <c r="AM22" s="107" t="n"/>
      <c r="AN22" s="109">
        <f>IFERROR(INDEX(AGO!I$8:I$73,MATCH($A22,AGO!$A$8:$A$73,0))&amp;"","")</f>
        <v/>
      </c>
      <c r="AO22" s="109">
        <f>IFERROR(INDEX(AGO!J$8:J$73,MATCH($A22,AGO!$A$8:$A$73,0))&amp;"","")</f>
        <v/>
      </c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SUMPRODUCT(($G22:$M22="M")*6+($G22:$M22="T")*6+($G22:$M22="D")*12+($G22:$M22="N")*12+($G22:$M22="NT")*6+($G22:$M22="C")*10+($G22:$M22="A")*8+($G22:$M22="J")*5+($G22:$M22="E")*4+($G22:$M22="P")*6+($G22:$M22="R")*6)</f>
        <v/>
      </c>
      <c r="BF22" s="110">
        <f>SUMPRODUCT(($N22:$T22="M")*6+($N22:$T22="T")*6+($N22:$T22="D")*12+($N22:$T22="N")*12+($N22:$T22="NT")*6+($N22:$T22="C")*10+($N22:$T22="A")*8+($N22:$T22="J")*5+($N22:$T22="E")*4+($N22:$T22="P")*6+($N22:$T22="R")*6)</f>
        <v/>
      </c>
      <c r="BG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H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I22" s="110">
        <f>SUMPRODUCT(($AI22:$AM22="M")*6+($AI22:$AM22="T")*6+($AI22:$AM22="D")*12+($AI22:$AM22="N")*12+($AI22:$AM22="NT")*6+($AI22:$AM22="C")*10+($AI22:$AM22="A")*8+($AI22:$AM22="J")*5+($AI22:$AM22="E")*4+($AI22:$AM22="P")*6+($AI22:$AM22="R")*6)+SUMPRODUCT(($AN22:$AO22="M")*6+($AN22:$AO22="T")*6+($AN22:$AO22="D")*12+($AN22:$AO22="N")*12+($AN22:$AO22="NT")*6+($AN22:$AO22="C")*10+($AN22:$AO22="A")*8+($AN22:$AO22="J")*5+($AN22:$AO22="E")*4+($AN22:$AO22="P")*6+($AN22:$AO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3">
        <f>IFERROR(INDEX(JUN!AK$8:AK$73,MATCH($A23,JUN!$A$8:$A$73,0))&amp;"","")</f>
        <v/>
      </c>
      <c r="H23" s="123">
        <f>IFERROR(INDEX(JUN!AL$8:AL$73,MATCH($A23,JUN!$A$8:$A$73,0))&amp;"","")</f>
        <v/>
      </c>
      <c r="I23" s="107" t="n"/>
      <c r="J23" s="107" t="n"/>
      <c r="K23" s="107" t="n"/>
      <c r="L23" s="115" t="inlineStr">
        <is>
          <t>D</t>
        </is>
      </c>
      <c r="M23" s="108" t="inlineStr">
        <is>
          <t>M</t>
        </is>
      </c>
      <c r="N23" s="115" t="inlineStr">
        <is>
          <t>D</t>
        </is>
      </c>
      <c r="O23" s="115" t="inlineStr">
        <is>
          <t>D</t>
        </is>
      </c>
      <c r="P23" s="115" t="inlineStr">
        <is>
          <t>D</t>
        </is>
      </c>
      <c r="Q23" s="107" t="n"/>
      <c r="R23" s="107" t="n"/>
      <c r="S23" s="107" t="n"/>
      <c r="T23" s="107" t="n"/>
      <c r="U23" s="128" t="inlineStr">
        <is>
          <t>FE</t>
        </is>
      </c>
      <c r="V23" s="128" t="inlineStr">
        <is>
          <t>FE</t>
        </is>
      </c>
      <c r="W23" s="128" t="inlineStr">
        <is>
          <t>FE</t>
        </is>
      </c>
      <c r="X23" s="128" t="inlineStr">
        <is>
          <t>FE</t>
        </is>
      </c>
      <c r="Y23" s="128" t="inlineStr">
        <is>
          <t>FE</t>
        </is>
      </c>
      <c r="Z23" s="128" t="inlineStr">
        <is>
          <t>FE</t>
        </is>
      </c>
      <c r="AA23" s="128" t="inlineStr">
        <is>
          <t>FE</t>
        </is>
      </c>
      <c r="AB23" s="128" t="inlineStr">
        <is>
          <t>FE</t>
        </is>
      </c>
      <c r="AC23" s="128" t="inlineStr">
        <is>
          <t>FE</t>
        </is>
      </c>
      <c r="AD23" s="128" t="inlineStr">
        <is>
          <t>FE</t>
        </is>
      </c>
      <c r="AE23" s="128" t="inlineStr">
        <is>
          <t>FE</t>
        </is>
      </c>
      <c r="AF23" s="128" t="inlineStr">
        <is>
          <t>FE</t>
        </is>
      </c>
      <c r="AG23" s="128" t="inlineStr">
        <is>
          <t>FE</t>
        </is>
      </c>
      <c r="AH23" s="128" t="inlineStr">
        <is>
          <t>FE</t>
        </is>
      </c>
      <c r="AI23" s="128" t="inlineStr">
        <is>
          <t>FE</t>
        </is>
      </c>
      <c r="AJ23" s="117" t="inlineStr">
        <is>
          <t>T</t>
        </is>
      </c>
      <c r="AK23" s="107" t="n"/>
      <c r="AL23" s="107" t="n"/>
      <c r="AM23" s="107" t="n"/>
      <c r="AN23" s="109">
        <f>IFERROR(INDEX(AGO!I$8:I$73,MATCH($A23,AGO!$A$8:$A$73,0))&amp;"","")</f>
        <v/>
      </c>
      <c r="AO23" s="109">
        <f>IFERROR(INDEX(AGO!J$8:J$73,MATCH($A23,AGO!$A$8:$A$73,0))&amp;"","")</f>
        <v/>
      </c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SUMPRODUCT(($G23:$M23="M")*6+($G23:$M23="T")*6+($G23:$M23="D")*12+($G23:$M23="N")*12+($G23:$M23="NT")*6+($G23:$M23="C")*10+($G23:$M23="A")*8+($G23:$M23="J")*5+($G23:$M23="E")*4+($G23:$M23="P")*6+($G23:$M23="R")*6)</f>
        <v/>
      </c>
      <c r="BF23" s="110">
        <f>SUMPRODUCT(($N23:$T23="M")*6+($N23:$T23="T")*6+($N23:$T23="D")*12+($N23:$T23="N")*12+($N23:$T23="NT")*6+($N23:$T23="C")*10+($N23:$T23="A")*8+($N23:$T23="J")*5+($N23:$T23="E")*4+($N23:$T23="P")*6+($N23:$T23="R")*6)</f>
        <v/>
      </c>
      <c r="BG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H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I23" s="110">
        <f>SUMPRODUCT(($AI23:$AM23="M")*6+($AI23:$AM23="T")*6+($AI23:$AM23="D")*12+($AI23:$AM23="N")*12+($AI23:$AM23="NT")*6+($AI23:$AM23="C")*10+($AI23:$AM23="A")*8+($AI23:$AM23="J")*5+($AI23:$AM23="E")*4+($AI23:$AM23="P")*6+($AI23:$AM23="R")*6)+SUMPRODUCT(($AN23:$AO23="M")*6+($AN23:$AO23="T")*6+($AN23:$AO23="D")*12+($AN23:$AO23="N")*12+($AN23:$AO23="NT")*6+($AN23:$AO23="C")*10+($AN23:$AO23="A")*8+($AN23:$AO23="J")*5+($AN23:$AO23="E")*4+($AN23:$AO23="P")*6+($AN23:$AO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3">
        <f>IFERROR(INDEX(JUN!AK$8:AK$73,MATCH($A24,JUN!$A$8:$A$73,0))&amp;"","")</f>
        <v/>
      </c>
      <c r="H24" s="123">
        <f>IFERROR(INDEX(JUN!AL$8:AL$73,MATCH($A24,JUN!$A$8:$A$73,0))&amp;"","")</f>
        <v/>
      </c>
      <c r="I24" s="107" t="n"/>
      <c r="J24" s="107" t="n"/>
      <c r="K24" s="107" t="n"/>
      <c r="L24" s="107" t="n"/>
      <c r="M24" s="107" t="n"/>
      <c r="N24" s="108" t="inlineStr">
        <is>
          <t>M</t>
        </is>
      </c>
      <c r="O24" s="115" t="inlineStr">
        <is>
          <t>D</t>
        </is>
      </c>
      <c r="P24" s="108" t="inlineStr">
        <is>
          <t>M</t>
        </is>
      </c>
      <c r="Q24" s="115" t="inlineStr">
        <is>
          <t>D</t>
        </is>
      </c>
      <c r="R24" s="107" t="n"/>
      <c r="S24" s="107" t="n"/>
      <c r="T24" s="107" t="n"/>
      <c r="U24" s="107" t="n"/>
      <c r="V24" s="115" t="inlineStr">
        <is>
          <t>D</t>
        </is>
      </c>
      <c r="W24" s="107" t="n"/>
      <c r="X24" s="115" t="inlineStr">
        <is>
          <t>D</t>
        </is>
      </c>
      <c r="Y24" s="107" t="n"/>
      <c r="Z24" s="116" t="inlineStr">
        <is>
          <t>N</t>
        </is>
      </c>
      <c r="AA24" s="107" t="n"/>
      <c r="AB24" s="107" t="n"/>
      <c r="AC24" s="115" t="inlineStr">
        <is>
          <t>D</t>
        </is>
      </c>
      <c r="AD24" s="107" t="n"/>
      <c r="AE24" s="115" t="inlineStr">
        <is>
          <t>D</t>
        </is>
      </c>
      <c r="AF24" s="107" t="n"/>
      <c r="AG24" s="116" t="inlineStr">
        <is>
          <t>N</t>
        </is>
      </c>
      <c r="AH24" s="107" t="n"/>
      <c r="AI24" s="107" t="n"/>
      <c r="AJ24" s="115" t="inlineStr">
        <is>
          <t>D</t>
        </is>
      </c>
      <c r="AK24" s="107" t="n"/>
      <c r="AL24" s="115" t="inlineStr">
        <is>
          <t>D</t>
        </is>
      </c>
      <c r="AM24" s="116" t="inlineStr">
        <is>
          <t>N</t>
        </is>
      </c>
      <c r="AN24" s="109">
        <f>IFERROR(INDEX(AGO!I$8:I$73,MATCH($A24,AGO!$A$8:$A$73,0))&amp;"","")</f>
        <v/>
      </c>
      <c r="AO24" s="109">
        <f>IFERROR(INDEX(AGO!J$8:J$73,MATCH($A24,AGO!$A$8:$A$73,0))&amp;"","")</f>
        <v/>
      </c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SUMPRODUCT(($G24:$M24="M")*6+($G24:$M24="T")*6+($G24:$M24="D")*12+($G24:$M24="N")*12+($G24:$M24="NT")*6+($G24:$M24="C")*10+($G24:$M24="A")*8+($G24:$M24="J")*5+($G24:$M24="E")*4+($G24:$M24="P")*6+($G24:$M24="R")*6)</f>
        <v/>
      </c>
      <c r="BF24" s="110">
        <f>SUMPRODUCT(($N24:$T24="M")*6+($N24:$T24="T")*6+($N24:$T24="D")*12+($N24:$T24="N")*12+($N24:$T24="NT")*6+($N24:$T24="C")*10+($N24:$T24="A")*8+($N24:$T24="J")*5+($N24:$T24="E")*4+($N24:$T24="P")*6+($N24:$T24="R")*6)</f>
        <v/>
      </c>
      <c r="BG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H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I24" s="110">
        <f>SUMPRODUCT(($AI24:$AM24="M")*6+($AI24:$AM24="T")*6+($AI24:$AM24="D")*12+($AI24:$AM24="N")*12+($AI24:$AM24="NT")*6+($AI24:$AM24="C")*10+($AI24:$AM24="A")*8+($AI24:$AM24="J")*5+($AI24:$AM24="E")*4+($AI24:$AM24="P")*6+($AI24:$AM24="R")*6)+SUMPRODUCT(($AN24:$AO24="M")*6+($AN24:$AO24="T")*6+($AN24:$AO24="D")*12+($AN24:$AO24="N")*12+($AN24:$AO24="NT")*6+($AN24:$AO24="C")*10+($AN24:$AO24="A")*8+($AN24:$AO24="J")*5+($AN24:$AO24="E")*4+($AN24:$AO24="P")*6+($AN24:$AO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3">
        <f>IFERROR(INDEX(JUN!AK$8:AK$73,MATCH($A25,JUN!$A$8:$A$73,0))&amp;"","")</f>
        <v/>
      </c>
      <c r="H25" s="123">
        <f>IFERROR(INDEX(JUN!AL$8:AL$73,MATCH($A25,JUN!$A$8:$A$73,0))&amp;"","")</f>
        <v/>
      </c>
      <c r="I25" s="116" t="inlineStr">
        <is>
          <t>N</t>
        </is>
      </c>
      <c r="J25" s="107" t="n"/>
      <c r="K25" s="107" t="n"/>
      <c r="L25" s="107" t="n"/>
      <c r="M25" s="116" t="inlineStr">
        <is>
          <t>N</t>
        </is>
      </c>
      <c r="N25" s="107" t="n"/>
      <c r="O25" s="116" t="inlineStr">
        <is>
          <t>N</t>
        </is>
      </c>
      <c r="P25" s="116" t="inlineStr">
        <is>
          <t>N</t>
        </is>
      </c>
      <c r="Q25" s="107" t="n"/>
      <c r="R25" s="107" t="n"/>
      <c r="S25" s="107" t="n"/>
      <c r="T25" s="116" t="inlineStr">
        <is>
          <t>N</t>
        </is>
      </c>
      <c r="U25" s="116" t="inlineStr">
        <is>
          <t>N</t>
        </is>
      </c>
      <c r="V25" s="116" t="inlineStr">
        <is>
          <t>N</t>
        </is>
      </c>
      <c r="W25" s="116" t="inlineStr">
        <is>
          <t>N</t>
        </is>
      </c>
      <c r="X25" s="107" t="n"/>
      <c r="Y25" s="107" t="n"/>
      <c r="Z25" s="107" t="n"/>
      <c r="AA25" s="107" t="n"/>
      <c r="AB25" s="107" t="n"/>
      <c r="AC25" s="116" t="inlineStr">
        <is>
          <t>N</t>
        </is>
      </c>
      <c r="AD25" s="116" t="inlineStr">
        <is>
          <t>N</t>
        </is>
      </c>
      <c r="AE25" s="107" t="n"/>
      <c r="AF25" s="107" t="n"/>
      <c r="AG25" s="107" t="n"/>
      <c r="AH25" s="116" t="inlineStr">
        <is>
          <t>N</t>
        </is>
      </c>
      <c r="AI25" s="116" t="inlineStr">
        <is>
          <t>N</t>
        </is>
      </c>
      <c r="AJ25" s="116" t="inlineStr">
        <is>
          <t>N</t>
        </is>
      </c>
      <c r="AK25" s="116" t="inlineStr">
        <is>
          <t>N</t>
        </is>
      </c>
      <c r="AL25" s="107" t="n"/>
      <c r="AM25" s="107" t="n"/>
      <c r="AN25" s="109">
        <f>IFERROR(INDEX(AGO!I$8:I$73,MATCH($A25,AGO!$A$8:$A$73,0))&amp;"","")</f>
        <v/>
      </c>
      <c r="AO25" s="109">
        <f>IFERROR(INDEX(AGO!J$8:J$73,MATCH($A25,AGO!$A$8:$A$73,0))&amp;"","")</f>
        <v/>
      </c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SUMPRODUCT(($G25:$M25="M")*6+($G25:$M25="T")*6+($G25:$M25="D")*12+($G25:$M25="N")*12+($G25:$M25="NT")*6+($G25:$M25="C")*10+($G25:$M25="A")*8+($G25:$M25="J")*5+($G25:$M25="E")*4+($G25:$M25="P")*6+($G25:$M25="R")*6)</f>
        <v/>
      </c>
      <c r="BF25" s="110">
        <f>SUMPRODUCT(($N25:$T25="M")*6+($N25:$T25="T")*6+($N25:$T25="D")*12+($N25:$T25="N")*12+($N25:$T25="NT")*6+($N25:$T25="C")*10+($N25:$T25="A")*8+($N25:$T25="J")*5+($N25:$T25="E")*4+($N25:$T25="P")*6+($N25:$T25="R")*6)</f>
        <v/>
      </c>
      <c r="BG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H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I25" s="110">
        <f>SUMPRODUCT(($AI25:$AM25="M")*6+($AI25:$AM25="T")*6+($AI25:$AM25="D")*12+($AI25:$AM25="N")*12+($AI25:$AM25="NT")*6+($AI25:$AM25="C")*10+($AI25:$AM25="A")*8+($AI25:$AM25="J")*5+($AI25:$AM25="E")*4+($AI25:$AM25="P")*6+($AI25:$AM25="R")*6)+SUMPRODUCT(($AN25:$AO25="M")*6+($AN25:$AO25="T")*6+($AN25:$AO25="D")*12+($AN25:$AO25="N")*12+($AN25:$AO25="NT")*6+($AN25:$AO25="C")*10+($AN25:$AO25="A")*8+($AN25:$AO25="J")*5+($AN25:$AO25="E")*4+($AN25:$AO25="P")*6+($AN25:$AO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3">
        <f>IFERROR(INDEX(JUN!AK$8:AK$73,MATCH($A26,JUN!$A$8:$A$73,0))&amp;"","")</f>
        <v/>
      </c>
      <c r="H26" s="123">
        <f>IFERROR(INDEX(JUN!AL$8:AL$73,MATCH($A26,JUN!$A$8:$A$73,0))&amp;"","")</f>
        <v/>
      </c>
      <c r="I26" s="107" t="n"/>
      <c r="J26" s="107" t="n"/>
      <c r="K26" s="115" t="inlineStr">
        <is>
          <t>D</t>
        </is>
      </c>
      <c r="L26" s="107" t="n"/>
      <c r="M26" s="116" t="inlineStr">
        <is>
          <t>N</t>
        </is>
      </c>
      <c r="N26" s="107" t="n"/>
      <c r="O26" s="107" t="n"/>
      <c r="P26" s="116" t="inlineStr">
        <is>
          <t>N</t>
        </is>
      </c>
      <c r="Q26" s="117" t="inlineStr">
        <is>
          <t>T</t>
        </is>
      </c>
      <c r="R26" s="115" t="inlineStr">
        <is>
          <t>D</t>
        </is>
      </c>
      <c r="S26" s="108" t="inlineStr">
        <is>
          <t>M</t>
        </is>
      </c>
      <c r="T26" s="107" t="n"/>
      <c r="U26" s="128" t="inlineStr">
        <is>
          <t>FE</t>
        </is>
      </c>
      <c r="V26" s="128" t="inlineStr">
        <is>
          <t>FE</t>
        </is>
      </c>
      <c r="W26" s="128" t="inlineStr">
        <is>
          <t>FE</t>
        </is>
      </c>
      <c r="X26" s="128" t="inlineStr">
        <is>
          <t>FE</t>
        </is>
      </c>
      <c r="Y26" s="128" t="inlineStr">
        <is>
          <t>FE</t>
        </is>
      </c>
      <c r="Z26" s="128" t="inlineStr">
        <is>
          <t>FE</t>
        </is>
      </c>
      <c r="AA26" s="128" t="inlineStr">
        <is>
          <t>FE</t>
        </is>
      </c>
      <c r="AB26" s="128" t="inlineStr">
        <is>
          <t>FE</t>
        </is>
      </c>
      <c r="AC26" s="128" t="inlineStr">
        <is>
          <t>FE</t>
        </is>
      </c>
      <c r="AD26" s="128" t="inlineStr">
        <is>
          <t>FE</t>
        </is>
      </c>
      <c r="AE26" s="128" t="inlineStr">
        <is>
          <t>FE</t>
        </is>
      </c>
      <c r="AF26" s="128" t="inlineStr">
        <is>
          <t>FE</t>
        </is>
      </c>
      <c r="AG26" s="128" t="inlineStr">
        <is>
          <t>FE</t>
        </is>
      </c>
      <c r="AH26" s="128" t="inlineStr">
        <is>
          <t>FE</t>
        </is>
      </c>
      <c r="AI26" s="128" t="inlineStr">
        <is>
          <t>FE</t>
        </is>
      </c>
      <c r="AJ26" s="107" t="n"/>
      <c r="AK26" s="108" t="inlineStr">
        <is>
          <t>M</t>
        </is>
      </c>
      <c r="AL26" s="115" t="inlineStr">
        <is>
          <t>D</t>
        </is>
      </c>
      <c r="AM26" s="107" t="n"/>
      <c r="AN26" s="109">
        <f>IFERROR(INDEX(AGO!I$8:I$73,MATCH($A26,AGO!$A$8:$A$73,0))&amp;"","")</f>
        <v/>
      </c>
      <c r="AO26" s="109">
        <f>IFERROR(INDEX(AGO!J$8:J$73,MATCH($A26,AGO!$A$8:$A$73,0))&amp;"","")</f>
        <v/>
      </c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SUMPRODUCT(($G26:$M26="M")*6+($G26:$M26="T")*6+($G26:$M26="D")*12+($G26:$M26="N")*12+($G26:$M26="NT")*6+($G26:$M26="C")*10+($G26:$M26="A")*8+($G26:$M26="J")*5+($G26:$M26="E")*4+($G26:$M26="P")*6+($G26:$M26="R")*6)</f>
        <v/>
      </c>
      <c r="BF26" s="110">
        <f>SUMPRODUCT(($N26:$T26="M")*6+($N26:$T26="T")*6+($N26:$T26="D")*12+($N26:$T26="N")*12+($N26:$T26="NT")*6+($N26:$T26="C")*10+($N26:$T26="A")*8+($N26:$T26="J")*5+($N26:$T26="E")*4+($N26:$T26="P")*6+($N26:$T26="R")*6)</f>
        <v/>
      </c>
      <c r="BG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H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I26" s="110">
        <f>SUMPRODUCT(($AI26:$AM26="M")*6+($AI26:$AM26="T")*6+($AI26:$AM26="D")*12+($AI26:$AM26="N")*12+($AI26:$AM26="NT")*6+($AI26:$AM26="C")*10+($AI26:$AM26="A")*8+($AI26:$AM26="J")*5+($AI26:$AM26="E")*4+($AI26:$AM26="P")*6+($AI26:$AM26="R")*6)+SUMPRODUCT(($AN26:$AO26="M")*6+($AN26:$AO26="T")*6+($AN26:$AO26="D")*12+($AN26:$AO26="N")*12+($AN26:$AO26="NT")*6+($AN26:$AO26="C")*10+($AN26:$AO26="A")*8+($AN26:$AO26="J")*5+($AN26:$AO26="E")*4+($AN26:$AO26="P")*6+($AN26:$AO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3">
        <f>IFERROR(INDEX(JUN!AK$8:AK$73,MATCH($A27,JUN!$A$8:$A$73,0))&amp;"","")</f>
        <v/>
      </c>
      <c r="H27" s="123">
        <f>IFERROR(INDEX(JUN!AL$8:AL$73,MATCH($A27,JUN!$A$8:$A$73,0))&amp;"","")</f>
        <v/>
      </c>
      <c r="I27" s="107" t="n"/>
      <c r="J27" s="116" t="inlineStr">
        <is>
          <t>N</t>
        </is>
      </c>
      <c r="K27" s="107" t="n"/>
      <c r="L27" s="116" t="inlineStr">
        <is>
          <t>N</t>
        </is>
      </c>
      <c r="M27" s="107" t="n"/>
      <c r="N27" s="107" t="n"/>
      <c r="O27" s="116" t="inlineStr">
        <is>
          <t>N</t>
        </is>
      </c>
      <c r="P27" s="107" t="n"/>
      <c r="Q27" s="116" t="inlineStr">
        <is>
          <t>N</t>
        </is>
      </c>
      <c r="R27" s="107" t="n"/>
      <c r="S27" s="116" t="inlineStr">
        <is>
          <t>N</t>
        </is>
      </c>
      <c r="T27" s="107" t="n"/>
      <c r="U27" s="107" t="n"/>
      <c r="V27" s="116" t="inlineStr">
        <is>
          <t>N</t>
        </is>
      </c>
      <c r="W27" s="107" t="n"/>
      <c r="X27" s="116" t="inlineStr">
        <is>
          <t>N</t>
        </is>
      </c>
      <c r="Y27" s="107" t="n"/>
      <c r="Z27" s="116" t="inlineStr">
        <is>
          <t>N</t>
        </is>
      </c>
      <c r="AA27" s="107" t="n"/>
      <c r="AB27" s="107" t="n"/>
      <c r="AC27" s="116" t="inlineStr">
        <is>
          <t>N</t>
        </is>
      </c>
      <c r="AD27" s="107" t="n"/>
      <c r="AE27" s="116" t="inlineStr">
        <is>
          <t>N</t>
        </is>
      </c>
      <c r="AF27" s="107" t="n"/>
      <c r="AG27" s="107" t="n"/>
      <c r="AH27" s="116" t="inlineStr">
        <is>
          <t>N</t>
        </is>
      </c>
      <c r="AI27" s="107" t="n"/>
      <c r="AJ27" s="116" t="inlineStr">
        <is>
          <t>N</t>
        </is>
      </c>
      <c r="AK27" s="117" t="inlineStr">
        <is>
          <t>T</t>
        </is>
      </c>
      <c r="AL27" s="108" t="inlineStr">
        <is>
          <t>M</t>
        </is>
      </c>
      <c r="AM27" s="116" t="inlineStr">
        <is>
          <t>N</t>
        </is>
      </c>
      <c r="AN27" s="109">
        <f>IFERROR(INDEX(AGO!I$8:I$73,MATCH($A27,AGO!$A$8:$A$73,0))&amp;"","")</f>
        <v/>
      </c>
      <c r="AO27" s="109">
        <f>IFERROR(INDEX(AGO!J$8:J$73,MATCH($A27,AGO!$A$8:$A$73,0))&amp;"","")</f>
        <v/>
      </c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SUMPRODUCT(($G27:$M27="M")*6+($G27:$M27="T")*6+($G27:$M27="D")*12+($G27:$M27="N")*12+($G27:$M27="NT")*6+($G27:$M27="C")*10+($G27:$M27="A")*8+($G27:$M27="J")*5+($G27:$M27="E")*4+($G27:$M27="P")*6+($G27:$M27="R")*6)</f>
        <v/>
      </c>
      <c r="BF27" s="110">
        <f>SUMPRODUCT(($N27:$T27="M")*6+($N27:$T27="T")*6+($N27:$T27="D")*12+($N27:$T27="N")*12+($N27:$T27="NT")*6+($N27:$T27="C")*10+($N27:$T27="A")*8+($N27:$T27="J")*5+($N27:$T27="E")*4+($N27:$T27="P")*6+($N27:$T27="R")*6)</f>
        <v/>
      </c>
      <c r="BG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H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I27" s="110">
        <f>SUMPRODUCT(($AI27:$AM27="M")*6+($AI27:$AM27="T")*6+($AI27:$AM27="D")*12+($AI27:$AM27="N")*12+($AI27:$AM27="NT")*6+($AI27:$AM27="C")*10+($AI27:$AM27="A")*8+($AI27:$AM27="J")*5+($AI27:$AM27="E")*4+($AI27:$AM27="P")*6+($AI27:$AM27="R")*6)+SUMPRODUCT(($AN27:$AO27="M")*6+($AN27:$AO27="T")*6+($AN27:$AO27="D")*12+($AN27:$AO27="N")*12+($AN27:$AO27="NT")*6+($AN27:$AO27="C")*10+($AN27:$AO27="A")*8+($AN27:$AO27="J")*5+($AN27:$AO27="E")*4+($AN27:$AO27="P")*6+($AN27:$AO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3">
        <f>IFERROR(INDEX(JUN!AK$8:AK$73,MATCH($A28,JUN!$A$8:$A$73,0))&amp;"","")</f>
        <v/>
      </c>
      <c r="H28" s="123">
        <f>IFERROR(INDEX(JUN!AL$8:AL$73,MATCH($A28,JUN!$A$8:$A$73,0))&amp;"","")</f>
        <v/>
      </c>
      <c r="I28" s="115" t="inlineStr">
        <is>
          <t>D</t>
        </is>
      </c>
      <c r="J28" s="116" t="inlineStr">
        <is>
          <t>N</t>
        </is>
      </c>
      <c r="K28" s="107" t="n"/>
      <c r="L28" s="107" t="n"/>
      <c r="M28" s="107" t="n"/>
      <c r="N28" s="107" t="n"/>
      <c r="O28" s="117" t="inlineStr">
        <is>
          <t>T</t>
        </is>
      </c>
      <c r="P28" s="108" t="inlineStr">
        <is>
          <t>M</t>
        </is>
      </c>
      <c r="Q28" s="116" t="inlineStr">
        <is>
          <t>N</t>
        </is>
      </c>
      <c r="R28" s="117" t="inlineStr">
        <is>
          <t>T</t>
        </is>
      </c>
      <c r="S28" s="107" t="n"/>
      <c r="T28" s="107" t="n"/>
      <c r="U28" s="117" t="inlineStr">
        <is>
          <t>T</t>
        </is>
      </c>
      <c r="V28" s="107" t="n"/>
      <c r="W28" s="107" t="n"/>
      <c r="X28" s="107" t="n"/>
      <c r="Y28" s="107" t="n"/>
      <c r="Z28" s="115" t="inlineStr">
        <is>
          <t>D</t>
        </is>
      </c>
      <c r="AA28" s="115" t="inlineStr">
        <is>
          <t>D</t>
        </is>
      </c>
      <c r="AB28" s="107" t="n"/>
      <c r="AC28" s="107" t="n"/>
      <c r="AD28" s="117" t="inlineStr">
        <is>
          <t>T</t>
        </is>
      </c>
      <c r="AE28" s="116" t="inlineStr">
        <is>
          <t>N</t>
        </is>
      </c>
      <c r="AF28" s="107" t="n"/>
      <c r="AG28" s="108" t="inlineStr">
        <is>
          <t>M</t>
        </is>
      </c>
      <c r="AH28" s="108" t="inlineStr">
        <is>
          <t>M</t>
        </is>
      </c>
      <c r="AI28" s="107" t="n"/>
      <c r="AJ28" s="115" t="inlineStr">
        <is>
          <t>D</t>
        </is>
      </c>
      <c r="AK28" s="115" t="inlineStr">
        <is>
          <t>D</t>
        </is>
      </c>
      <c r="AL28" s="107" t="n"/>
      <c r="AM28" s="107" t="n"/>
      <c r="AN28" s="109">
        <f>IFERROR(INDEX(AGO!I$8:I$73,MATCH($A28,AGO!$A$8:$A$73,0))&amp;"","")</f>
        <v/>
      </c>
      <c r="AO28" s="109">
        <f>IFERROR(INDEX(AGO!J$8:J$73,MATCH($A28,AGO!$A$8:$A$73,0))&amp;"","")</f>
        <v/>
      </c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SUMPRODUCT(($G28:$M28="M")*6+($G28:$M28="T")*6+($G28:$M28="D")*12+($G28:$M28="N")*12+($G28:$M28="NT")*6+($G28:$M28="C")*10+($G28:$M28="A")*8+($G28:$M28="J")*5+($G28:$M28="E")*4+($G28:$M28="P")*6+($G28:$M28="R")*6)</f>
        <v/>
      </c>
      <c r="BF28" s="110">
        <f>SUMPRODUCT(($N28:$T28="M")*6+($N28:$T28="T")*6+($N28:$T28="D")*12+($N28:$T28="N")*12+($N28:$T28="NT")*6+($N28:$T28="C")*10+($N28:$T28="A")*8+($N28:$T28="J")*5+($N28:$T28="E")*4+($N28:$T28="P")*6+($N28:$T28="R")*6)</f>
        <v/>
      </c>
      <c r="BG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H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I28" s="110">
        <f>SUMPRODUCT(($AI28:$AM28="M")*6+($AI28:$AM28="T")*6+($AI28:$AM28="D")*12+($AI28:$AM28="N")*12+($AI28:$AM28="NT")*6+($AI28:$AM28="C")*10+($AI28:$AM28="A")*8+($AI28:$AM28="J")*5+($AI28:$AM28="E")*4+($AI28:$AM28="P")*6+($AI28:$AM28="R")*6)+SUMPRODUCT(($AN28:$AO28="M")*6+($AN28:$AO28="T")*6+($AN28:$AO28="D")*12+($AN28:$AO28="N")*12+($AN28:$AO28="NT")*6+($AN28:$AO28="C")*10+($AN28:$AO28="A")*8+($AN28:$AO28="J")*5+($AN28:$AO28="E")*4+($AN28:$AO28="P")*6+($AN28:$AO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3">
        <f>IFERROR(INDEX(JUN!AK$8:AK$73,MATCH($A29,JUN!$A$8:$A$73,0))&amp;"","")</f>
        <v/>
      </c>
      <c r="H29" s="123">
        <f>IFERROR(INDEX(JUN!AL$8:AL$73,MATCH($A29,JUN!$A$8:$A$73,0))&amp;"","")</f>
        <v/>
      </c>
      <c r="I29" s="128" t="inlineStr">
        <is>
          <t>FE</t>
        </is>
      </c>
      <c r="J29" s="128" t="inlineStr">
        <is>
          <t>FE</t>
        </is>
      </c>
      <c r="K29" s="128" t="inlineStr">
        <is>
          <t>FE</t>
        </is>
      </c>
      <c r="L29" s="128" t="inlineStr">
        <is>
          <t>FE</t>
        </is>
      </c>
      <c r="M29" s="128" t="inlineStr">
        <is>
          <t>FE</t>
        </is>
      </c>
      <c r="N29" s="128" t="inlineStr">
        <is>
          <t>FE</t>
        </is>
      </c>
      <c r="O29" s="128" t="inlineStr">
        <is>
          <t>FE</t>
        </is>
      </c>
      <c r="P29" s="128" t="inlineStr">
        <is>
          <t>FE</t>
        </is>
      </c>
      <c r="Q29" s="128" t="inlineStr">
        <is>
          <t>FE</t>
        </is>
      </c>
      <c r="R29" s="128" t="inlineStr">
        <is>
          <t>FE</t>
        </is>
      </c>
      <c r="S29" s="128" t="inlineStr">
        <is>
          <t>FE</t>
        </is>
      </c>
      <c r="T29" s="128" t="inlineStr">
        <is>
          <t>FE</t>
        </is>
      </c>
      <c r="U29" s="128" t="inlineStr">
        <is>
          <t>FE</t>
        </is>
      </c>
      <c r="V29" s="107" t="n"/>
      <c r="W29" s="107" t="n"/>
      <c r="X29" s="108" t="inlineStr">
        <is>
          <t>M</t>
        </is>
      </c>
      <c r="Y29" s="117" t="inlineStr">
        <is>
          <t>T</t>
        </is>
      </c>
      <c r="Z29" s="116" t="inlineStr">
        <is>
          <t>N</t>
        </is>
      </c>
      <c r="AA29" s="107" t="n"/>
      <c r="AB29" s="116" t="inlineStr">
        <is>
          <t>N</t>
        </is>
      </c>
      <c r="AC29" s="107" t="n"/>
      <c r="AD29" s="108" t="inlineStr">
        <is>
          <t>M</t>
        </is>
      </c>
      <c r="AE29" s="107" t="n"/>
      <c r="AF29" s="117" t="inlineStr">
        <is>
          <t>T</t>
        </is>
      </c>
      <c r="AG29" s="108" t="inlineStr">
        <is>
          <t>M</t>
        </is>
      </c>
      <c r="AH29" s="107" t="n"/>
      <c r="AI29" s="116" t="inlineStr">
        <is>
          <t>N</t>
        </is>
      </c>
      <c r="AJ29" s="107" t="n"/>
      <c r="AK29" s="107" t="n"/>
      <c r="AL29" s="107" t="n"/>
      <c r="AM29" s="116" t="inlineStr">
        <is>
          <t>N</t>
        </is>
      </c>
      <c r="AN29" s="109">
        <f>IFERROR(INDEX(AGO!I$8:I$73,MATCH($A29,AGO!$A$8:$A$73,0))&amp;"","")</f>
        <v/>
      </c>
      <c r="AO29" s="109">
        <f>IFERROR(INDEX(AGO!J$8:J$73,MATCH($A29,AGO!$A$8:$A$73,0))&amp;"","")</f>
        <v/>
      </c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SUMPRODUCT(($G29:$M29="M")*6+($G29:$M29="T")*6+($G29:$M29="D")*12+($G29:$M29="N")*12+($G29:$M29="NT")*6+($G29:$M29="C")*10+($G29:$M29="A")*8+($G29:$M29="J")*5+($G29:$M29="E")*4+($G29:$M29="P")*6+($G29:$M29="R")*6)</f>
        <v/>
      </c>
      <c r="BF29" s="110">
        <f>SUMPRODUCT(($N29:$T29="M")*6+($N29:$T29="T")*6+($N29:$T29="D")*12+($N29:$T29="N")*12+($N29:$T29="NT")*6+($N29:$T29="C")*10+($N29:$T29="A")*8+($N29:$T29="J")*5+($N29:$T29="E")*4+($N29:$T29="P")*6+($N29:$T29="R")*6)</f>
        <v/>
      </c>
      <c r="BG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H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I29" s="110">
        <f>SUMPRODUCT(($AI29:$AM29="M")*6+($AI29:$AM29="T")*6+($AI29:$AM29="D")*12+($AI29:$AM29="N")*12+($AI29:$AM29="NT")*6+($AI29:$AM29="C")*10+($AI29:$AM29="A")*8+($AI29:$AM29="J")*5+($AI29:$AM29="E")*4+($AI29:$AM29="P")*6+($AI29:$AM29="R")*6)+SUMPRODUCT(($AN29:$AO29="M")*6+($AN29:$AO29="T")*6+($AN29:$AO29="D")*12+($AN29:$AO29="N")*12+($AN29:$AO29="NT")*6+($AN29:$AO29="C")*10+($AN29:$AO29="A")*8+($AN29:$AO29="J")*5+($AN29:$AO29="E")*4+($AN29:$AO29="P")*6+($AN29:$AO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3">
        <f>IFERROR(INDEX(JUN!AK$8:AK$73,MATCH($A30,JUN!$A$8:$A$73,0))&amp;"","")</f>
        <v/>
      </c>
      <c r="H30" s="123">
        <f>IFERROR(INDEX(JUN!AL$8:AL$73,MATCH($A30,JUN!$A$8:$A$73,0))&amp;"","")</f>
        <v/>
      </c>
      <c r="I30" s="116" t="inlineStr">
        <is>
          <t>N</t>
        </is>
      </c>
      <c r="J30" s="107" t="n"/>
      <c r="K30" s="117" t="inlineStr">
        <is>
          <t>T</t>
        </is>
      </c>
      <c r="L30" s="107" t="n"/>
      <c r="M30" s="116" t="inlineStr">
        <is>
          <t>N</t>
        </is>
      </c>
      <c r="N30" s="107" t="n"/>
      <c r="O30" s="107" t="n"/>
      <c r="P30" s="116" t="inlineStr">
        <is>
          <t>N</t>
        </is>
      </c>
      <c r="Q30" s="107" t="n"/>
      <c r="R30" s="117" t="inlineStr">
        <is>
          <t>T</t>
        </is>
      </c>
      <c r="S30" s="107" t="n"/>
      <c r="T30" s="116" t="inlineStr">
        <is>
          <t>N</t>
        </is>
      </c>
      <c r="U30" s="107" t="n"/>
      <c r="V30" s="107" t="n"/>
      <c r="W30" s="117" t="inlineStr">
        <is>
          <t>T</t>
        </is>
      </c>
      <c r="X30" s="116" t="inlineStr">
        <is>
          <t>N</t>
        </is>
      </c>
      <c r="Y30" s="107" t="n"/>
      <c r="Z30" s="107" t="n"/>
      <c r="AA30" s="116" t="inlineStr">
        <is>
          <t>N</t>
        </is>
      </c>
      <c r="AB30" s="117" t="inlineStr">
        <is>
          <t>T</t>
        </is>
      </c>
      <c r="AC30" s="117" t="inlineStr">
        <is>
          <t>T</t>
        </is>
      </c>
      <c r="AD30" s="116" t="inlineStr">
        <is>
          <t>N</t>
        </is>
      </c>
      <c r="AE30" s="107" t="n"/>
      <c r="AF30" s="117" t="inlineStr">
        <is>
          <t>T</t>
        </is>
      </c>
      <c r="AG30" s="107" t="n"/>
      <c r="AH30" s="107" t="n"/>
      <c r="AI30" s="107" t="n"/>
      <c r="AJ30" s="107" t="n"/>
      <c r="AK30" s="117" t="inlineStr">
        <is>
          <t>T</t>
        </is>
      </c>
      <c r="AL30" s="107" t="n"/>
      <c r="AM30" s="116" t="inlineStr">
        <is>
          <t>N</t>
        </is>
      </c>
      <c r="AN30" s="109">
        <f>IFERROR(INDEX(AGO!I$8:I$73,MATCH($A30,AGO!$A$8:$A$73,0))&amp;"","")</f>
        <v/>
      </c>
      <c r="AO30" s="109">
        <f>IFERROR(INDEX(AGO!J$8:J$73,MATCH($A30,AGO!$A$8:$A$73,0))&amp;"","")</f>
        <v/>
      </c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SUMPRODUCT(($G30:$M30="M")*6+($G30:$M30="T")*6+($G30:$M30="D")*12+($G30:$M30="N")*12+($G30:$M30="NT")*6+($G30:$M30="C")*10+($G30:$M30="A")*8+($G30:$M30="J")*5+($G30:$M30="E")*4+($G30:$M30="P")*6+($G30:$M30="R")*6)</f>
        <v/>
      </c>
      <c r="BF30" s="110">
        <f>SUMPRODUCT(($N30:$T30="M")*6+($N30:$T30="T")*6+($N30:$T30="D")*12+($N30:$T30="N")*12+($N30:$T30="NT")*6+($N30:$T30="C")*10+($N30:$T30="A")*8+($N30:$T30="J")*5+($N30:$T30="E")*4+($N30:$T30="P")*6+($N30:$T30="R")*6)</f>
        <v/>
      </c>
      <c r="BG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H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I30" s="110">
        <f>SUMPRODUCT(($AI30:$AM30="M")*6+($AI30:$AM30="T")*6+($AI30:$AM30="D")*12+($AI30:$AM30="N")*12+($AI30:$AM30="NT")*6+($AI30:$AM30="C")*10+($AI30:$AM30="A")*8+($AI30:$AM30="J")*5+($AI30:$AM30="E")*4+($AI30:$AM30="P")*6+($AI30:$AM30="R")*6)+SUMPRODUCT(($AN30:$AO30="M")*6+($AN30:$AO30="T")*6+($AN30:$AO30="D")*12+($AN30:$AO30="N")*12+($AN30:$AO30="NT")*6+($AN30:$AO30="C")*10+($AN30:$AO30="A")*8+($AN30:$AO30="J")*5+($AN30:$AO30="E")*4+($AN30:$AO30="P")*6+($AN30:$AO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3">
        <f>IFERROR(INDEX(JUN!AK$8:AK$73,MATCH($A31,JUN!$A$8:$A$73,0))&amp;"","")</f>
        <v/>
      </c>
      <c r="H31" s="123">
        <f>IFERROR(INDEX(JUN!AL$8:AL$73,MATCH($A31,JUN!$A$8:$A$73,0))&amp;"","")</f>
        <v/>
      </c>
      <c r="I31" s="117" t="inlineStr">
        <is>
          <t>T</t>
        </is>
      </c>
      <c r="J31" s="108" t="inlineStr">
        <is>
          <t>M</t>
        </is>
      </c>
      <c r="K31" s="108" t="inlineStr">
        <is>
          <t>M</t>
        </is>
      </c>
      <c r="L31" s="107" t="n"/>
      <c r="M31" s="107" t="n"/>
      <c r="N31" s="117" t="inlineStr">
        <is>
          <t>T</t>
        </is>
      </c>
      <c r="O31" s="107" t="n"/>
      <c r="P31" s="108" t="inlineStr">
        <is>
          <t>M</t>
        </is>
      </c>
      <c r="Q31" s="107" t="n"/>
      <c r="R31" s="108" t="inlineStr">
        <is>
          <t>M</t>
        </is>
      </c>
      <c r="S31" s="107" t="n"/>
      <c r="T31" s="116" t="inlineStr">
        <is>
          <t>N</t>
        </is>
      </c>
      <c r="U31" s="107" t="n"/>
      <c r="V31" s="117" t="inlineStr">
        <is>
          <t>T</t>
        </is>
      </c>
      <c r="W31" s="108" t="inlineStr">
        <is>
          <t>M</t>
        </is>
      </c>
      <c r="X31" s="107" t="n"/>
      <c r="Y31" s="107" t="n"/>
      <c r="Z31" s="117" t="inlineStr">
        <is>
          <t>T</t>
        </is>
      </c>
      <c r="AA31" s="116" t="inlineStr">
        <is>
          <t>N</t>
        </is>
      </c>
      <c r="AB31" s="107" t="n"/>
      <c r="AC31" s="115" t="inlineStr">
        <is>
          <t>D</t>
        </is>
      </c>
      <c r="AD31" s="108" t="inlineStr">
        <is>
          <t>M</t>
        </is>
      </c>
      <c r="AE31" s="107" t="n"/>
      <c r="AF31" s="108" t="inlineStr">
        <is>
          <t>M</t>
        </is>
      </c>
      <c r="AG31" s="107" t="n"/>
      <c r="AH31" s="107" t="n"/>
      <c r="AI31" s="115" t="inlineStr">
        <is>
          <t>D</t>
        </is>
      </c>
      <c r="AJ31" s="115" t="inlineStr">
        <is>
          <t>D</t>
        </is>
      </c>
      <c r="AK31" s="116" t="inlineStr">
        <is>
          <t>N</t>
        </is>
      </c>
      <c r="AL31" s="107" t="n"/>
      <c r="AM31" s="107" t="n"/>
      <c r="AN31" s="109">
        <f>IFERROR(INDEX(AGO!I$8:I$73,MATCH($A31,AGO!$A$8:$A$73,0))&amp;"","")</f>
        <v/>
      </c>
      <c r="AO31" s="109">
        <f>IFERROR(INDEX(AGO!J$8:J$73,MATCH($A31,AGO!$A$8:$A$73,0))&amp;"","")</f>
        <v/>
      </c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SUMPRODUCT(($G31:$M31="M")*6+($G31:$M31="T")*6+($G31:$M31="D")*12+($G31:$M31="N")*12+($G31:$M31="NT")*6+($G31:$M31="C")*10+($G31:$M31="A")*8+($G31:$M31="J")*5+($G31:$M31="E")*4+($G31:$M31="P")*6+($G31:$M31="R")*6)</f>
        <v/>
      </c>
      <c r="BF31" s="110">
        <f>SUMPRODUCT(($N31:$T31="M")*6+($N31:$T31="T")*6+($N31:$T31="D")*12+($N31:$T31="N")*12+($N31:$T31="NT")*6+($N31:$T31="C")*10+($N31:$T31="A")*8+($N31:$T31="J")*5+($N31:$T31="E")*4+($N31:$T31="P")*6+($N31:$T31="R")*6)</f>
        <v/>
      </c>
      <c r="BG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H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I31" s="110">
        <f>SUMPRODUCT(($AI31:$AM31="M")*6+($AI31:$AM31="T")*6+($AI31:$AM31="D")*12+($AI31:$AM31="N")*12+($AI31:$AM31="NT")*6+($AI31:$AM31="C")*10+($AI31:$AM31="A")*8+($AI31:$AM31="J")*5+($AI31:$AM31="E")*4+($AI31:$AM31="P")*6+($AI31:$AM31="R")*6)+SUMPRODUCT(($AN31:$AO31="M")*6+($AN31:$AO31="T")*6+($AN31:$AO31="D")*12+($AN31:$AO31="N")*12+($AN31:$AO31="NT")*6+($AN31:$AO31="C")*10+($AN31:$AO31="A")*8+($AN31:$AO31="J")*5+($AN31:$AO31="E")*4+($AN31:$AO31="P")*6+($AN31:$AO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3">
        <f>IFERROR(INDEX(JUN!AK$8:AK$73,MATCH($A32,JUN!$A$8:$A$73,0))&amp;"","")</f>
        <v/>
      </c>
      <c r="H32" s="123">
        <f>IFERROR(INDEX(JUN!AL$8:AL$73,MATCH($A32,JUN!$A$8:$A$73,0))&amp;"","")</f>
        <v/>
      </c>
      <c r="I32" s="107" t="n"/>
      <c r="J32" s="117" t="inlineStr">
        <is>
          <t>T</t>
        </is>
      </c>
      <c r="K32" s="107" t="n"/>
      <c r="L32" s="115" t="inlineStr">
        <is>
          <t>D</t>
        </is>
      </c>
      <c r="M32" s="107" t="n"/>
      <c r="N32" s="116" t="inlineStr">
        <is>
          <t>N</t>
        </is>
      </c>
      <c r="O32" s="107" t="n"/>
      <c r="P32" s="107" t="n"/>
      <c r="Q32" s="115" t="inlineStr">
        <is>
          <t>D</t>
        </is>
      </c>
      <c r="R32" s="116" t="inlineStr">
        <is>
          <t>N</t>
        </is>
      </c>
      <c r="S32" s="107" t="n"/>
      <c r="T32" s="107" t="n"/>
      <c r="U32" s="115" t="inlineStr">
        <is>
          <t>D</t>
        </is>
      </c>
      <c r="V32" s="107" t="n"/>
      <c r="W32" s="107" t="n"/>
      <c r="X32" s="107" t="n"/>
      <c r="Y32" s="108" t="inlineStr">
        <is>
          <t>M</t>
        </is>
      </c>
      <c r="Z32" s="115" t="inlineStr">
        <is>
          <t>D</t>
        </is>
      </c>
      <c r="AA32" s="107" t="n"/>
      <c r="AB32" s="115" t="inlineStr">
        <is>
          <t>D</t>
        </is>
      </c>
      <c r="AC32" s="107" t="n"/>
      <c r="AD32" s="107" t="n"/>
      <c r="AE32" s="115" t="inlineStr">
        <is>
          <t>D</t>
        </is>
      </c>
      <c r="AF32" s="107" t="n"/>
      <c r="AG32" s="107" t="n"/>
      <c r="AH32" s="107" t="n"/>
      <c r="AI32" s="115" t="inlineStr">
        <is>
          <t>D</t>
        </is>
      </c>
      <c r="AJ32" s="107" t="n"/>
      <c r="AK32" s="107" t="n"/>
      <c r="AL32" s="107" t="n"/>
      <c r="AM32" s="117" t="inlineStr">
        <is>
          <t>T</t>
        </is>
      </c>
      <c r="AN32" s="109">
        <f>IFERROR(INDEX(AGO!I$8:I$73,MATCH($A32,AGO!$A$8:$A$73,0))&amp;"","")</f>
        <v/>
      </c>
      <c r="AO32" s="109">
        <f>IFERROR(INDEX(AGO!J$8:J$73,MATCH($A32,AGO!$A$8:$A$73,0))&amp;"","")</f>
        <v/>
      </c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SUMPRODUCT(($G32:$M32="M")*6+($G32:$M32="T")*6+($G32:$M32="D")*12+($G32:$M32="N")*12+($G32:$M32="NT")*6+($G32:$M32="C")*10+($G32:$M32="A")*8+($G32:$M32="J")*5+($G32:$M32="E")*4+($G32:$M32="P")*6+($G32:$M32="R")*6)</f>
        <v/>
      </c>
      <c r="BF32" s="110">
        <f>SUMPRODUCT(($N32:$T32="M")*6+($N32:$T32="T")*6+($N32:$T32="D")*12+($N32:$T32="N")*12+($N32:$T32="NT")*6+($N32:$T32="C")*10+($N32:$T32="A")*8+($N32:$T32="J")*5+($N32:$T32="E")*4+($N32:$T32="P")*6+($N32:$T32="R")*6)</f>
        <v/>
      </c>
      <c r="BG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H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I32" s="110">
        <f>SUMPRODUCT(($AI32:$AM32="M")*6+($AI32:$AM32="T")*6+($AI32:$AM32="D")*12+($AI32:$AM32="N")*12+($AI32:$AM32="NT")*6+($AI32:$AM32="C")*10+($AI32:$AM32="A")*8+($AI32:$AM32="J")*5+($AI32:$AM32="E")*4+($AI32:$AM32="P")*6+($AI32:$AM32="R")*6)+SUMPRODUCT(($AN32:$AO32="M")*6+($AN32:$AO32="T")*6+($AN32:$AO32="D")*12+($AN32:$AO32="N")*12+($AN32:$AO32="NT")*6+($AN32:$AO32="C")*10+($AN32:$AO32="A")*8+($AN32:$AO32="J")*5+($AN32:$AO32="E")*4+($AN32:$AO32="P")*6+($AN32:$AO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3">
        <f>IFERROR(INDEX(JUN!AK$8:AK$73,MATCH($A33,JUN!$A$8:$A$73,0))&amp;"","")</f>
        <v/>
      </c>
      <c r="H33" s="123">
        <f>IFERROR(INDEX(JUN!AL$8:AL$73,MATCH($A33,JUN!$A$8:$A$73,0))&amp;"","")</f>
        <v/>
      </c>
      <c r="I33" s="127" t="inlineStr">
        <is>
          <t>LM</t>
        </is>
      </c>
      <c r="J33" s="127" t="inlineStr">
        <is>
          <t>LM</t>
        </is>
      </c>
      <c r="K33" s="127" t="inlineStr">
        <is>
          <t>LM</t>
        </is>
      </c>
      <c r="L33" s="127" t="inlineStr">
        <is>
          <t>LM</t>
        </is>
      </c>
      <c r="M33" s="127" t="inlineStr">
        <is>
          <t>LM</t>
        </is>
      </c>
      <c r="N33" s="108" t="inlineStr">
        <is>
          <t>M</t>
        </is>
      </c>
      <c r="O33" s="107" t="n"/>
      <c r="P33" s="107" t="n"/>
      <c r="Q33" s="107" t="n"/>
      <c r="R33" s="107" t="n"/>
      <c r="S33" s="115" t="inlineStr">
        <is>
          <t>D</t>
        </is>
      </c>
      <c r="T33" s="115" t="inlineStr">
        <is>
          <t>D</t>
        </is>
      </c>
      <c r="U33" s="115" t="inlineStr">
        <is>
          <t>D</t>
        </is>
      </c>
      <c r="V33" s="107" t="n"/>
      <c r="W33" s="116" t="inlineStr">
        <is>
          <t>N</t>
        </is>
      </c>
      <c r="X33" s="107" t="n"/>
      <c r="Y33" s="107" t="n"/>
      <c r="Z33" s="108" t="inlineStr">
        <is>
          <t>M</t>
        </is>
      </c>
      <c r="AA33" s="107" t="n"/>
      <c r="AB33" s="115" t="inlineStr">
        <is>
          <t>D</t>
        </is>
      </c>
      <c r="AC33" s="107" t="n"/>
      <c r="AD33" s="117" t="inlineStr">
        <is>
          <t>T</t>
        </is>
      </c>
      <c r="AE33" s="107" t="n"/>
      <c r="AF33" s="116" t="inlineStr">
        <is>
          <t>N</t>
        </is>
      </c>
      <c r="AG33" s="107" t="n"/>
      <c r="AH33" s="107" t="n"/>
      <c r="AI33" s="117" t="inlineStr">
        <is>
          <t>T</t>
        </is>
      </c>
      <c r="AJ33" s="107" t="n"/>
      <c r="AK33" s="115" t="inlineStr">
        <is>
          <t>D</t>
        </is>
      </c>
      <c r="AL33" s="107" t="n"/>
      <c r="AM33" s="115" t="inlineStr">
        <is>
          <t>D</t>
        </is>
      </c>
      <c r="AN33" s="109">
        <f>IFERROR(INDEX(AGO!I$8:I$73,MATCH($A33,AGO!$A$8:$A$73,0))&amp;"","")</f>
        <v/>
      </c>
      <c r="AO33" s="109">
        <f>IFERROR(INDEX(AGO!J$8:J$73,MATCH($A33,AGO!$A$8:$A$73,0))&amp;"","")</f>
        <v/>
      </c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SUMPRODUCT(($G33:$M33="M")*6+($G33:$M33="T")*6+($G33:$M33="D")*12+($G33:$M33="N")*12+($G33:$M33="NT")*6+($G33:$M33="C")*10+($G33:$M33="A")*8+($G33:$M33="J")*5+($G33:$M33="E")*4+($G33:$M33="P")*6+($G33:$M33="R")*6)</f>
        <v/>
      </c>
      <c r="BF33" s="110">
        <f>SUMPRODUCT(($N33:$T33="M")*6+($N33:$T33="T")*6+($N33:$T33="D")*12+($N33:$T33="N")*12+($N33:$T33="NT")*6+($N33:$T33="C")*10+($N33:$T33="A")*8+($N33:$T33="J")*5+($N33:$T33="E")*4+($N33:$T33="P")*6+($N33:$T33="R")*6)</f>
        <v/>
      </c>
      <c r="BG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H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I33" s="110">
        <f>SUMPRODUCT(($AI33:$AM33="M")*6+($AI33:$AM33="T")*6+($AI33:$AM33="D")*12+($AI33:$AM33="N")*12+($AI33:$AM33="NT")*6+($AI33:$AM33="C")*10+($AI33:$AM33="A")*8+($AI33:$AM33="J")*5+($AI33:$AM33="E")*4+($AI33:$AM33="P")*6+($AI33:$AM33="R")*6)+SUMPRODUCT(($AN33:$AO33="M")*6+($AN33:$AO33="T")*6+($AN33:$AO33="D")*12+($AN33:$AO33="N")*12+($AN33:$AO33="NT")*6+($AN33:$AO33="C")*10+($AN33:$AO33="A")*8+($AN33:$AO33="J")*5+($AN33:$AO33="E")*4+($AN33:$AO33="P")*6+($AN33:$AO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3">
        <f>IFERROR(INDEX(JUN!AK$8:AK$73,MATCH($A34,JUN!$A$8:$A$73,0))&amp;"","")</f>
        <v/>
      </c>
      <c r="H34" s="123">
        <f>IFERROR(INDEX(JUN!AL$8:AL$73,MATCH($A34,JUN!$A$8:$A$73,0))&amp;"","")</f>
        <v/>
      </c>
      <c r="I34" s="108" t="inlineStr">
        <is>
          <t>M</t>
        </is>
      </c>
      <c r="J34" s="107" t="n"/>
      <c r="K34" s="116" t="inlineStr">
        <is>
          <t>N</t>
        </is>
      </c>
      <c r="L34" s="107" t="n"/>
      <c r="M34" s="107" t="n"/>
      <c r="N34" s="107" t="n"/>
      <c r="O34" s="108" t="inlineStr">
        <is>
          <t>M</t>
        </is>
      </c>
      <c r="P34" s="115" t="inlineStr">
        <is>
          <t>D</t>
        </is>
      </c>
      <c r="Q34" s="107" t="n"/>
      <c r="R34" s="107" t="n"/>
      <c r="S34" s="115" t="inlineStr">
        <is>
          <t>D</t>
        </is>
      </c>
      <c r="T34" s="107" t="n"/>
      <c r="U34" s="108" t="inlineStr">
        <is>
          <t>M</t>
        </is>
      </c>
      <c r="V34" s="117" t="inlineStr">
        <is>
          <t>T</t>
        </is>
      </c>
      <c r="W34" s="115" t="inlineStr">
        <is>
          <t>D</t>
        </is>
      </c>
      <c r="X34" s="117" t="inlineStr">
        <is>
          <t>T</t>
        </is>
      </c>
      <c r="Y34" s="107" t="n"/>
      <c r="Z34" s="108" t="inlineStr">
        <is>
          <t>M</t>
        </is>
      </c>
      <c r="AA34" s="107" t="n"/>
      <c r="AB34" s="107" t="n"/>
      <c r="AC34" s="108" t="inlineStr">
        <is>
          <t>M</t>
        </is>
      </c>
      <c r="AD34" s="115" t="inlineStr">
        <is>
          <t>D</t>
        </is>
      </c>
      <c r="AE34" s="107" t="n"/>
      <c r="AF34" s="107" t="n"/>
      <c r="AG34" s="115" t="inlineStr">
        <is>
          <t>D</t>
        </is>
      </c>
      <c r="AH34" s="107" t="n"/>
      <c r="AI34" s="107" t="n"/>
      <c r="AJ34" s="115" t="inlineStr">
        <is>
          <t>D</t>
        </is>
      </c>
      <c r="AK34" s="108" t="inlineStr">
        <is>
          <t>M</t>
        </is>
      </c>
      <c r="AL34" s="115" t="inlineStr">
        <is>
          <t>D</t>
        </is>
      </c>
      <c r="AM34" s="107" t="n"/>
      <c r="AN34" s="109">
        <f>IFERROR(INDEX(AGO!I$8:I$73,MATCH($A34,AGO!$A$8:$A$73,0))&amp;"","")</f>
        <v/>
      </c>
      <c r="AO34" s="109">
        <f>IFERROR(INDEX(AGO!J$8:J$73,MATCH($A34,AGO!$A$8:$A$73,0))&amp;"","")</f>
        <v/>
      </c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SUMPRODUCT(($G34:$M34="M")*6+($G34:$M34="T")*6+($G34:$M34="D")*12+($G34:$M34="N")*12+($G34:$M34="NT")*6+($G34:$M34="C")*10+($G34:$M34="A")*8+($G34:$M34="J")*5+($G34:$M34="E")*4+($G34:$M34="P")*6+($G34:$M34="R")*6)</f>
        <v/>
      </c>
      <c r="BF34" s="110">
        <f>SUMPRODUCT(($N34:$T34="M")*6+($N34:$T34="T")*6+($N34:$T34="D")*12+($N34:$T34="N")*12+($N34:$T34="NT")*6+($N34:$T34="C")*10+($N34:$T34="A")*8+($N34:$T34="J")*5+($N34:$T34="E")*4+($N34:$T34="P")*6+($N34:$T34="R")*6)</f>
        <v/>
      </c>
      <c r="BG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H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I34" s="110">
        <f>SUMPRODUCT(($AI34:$AM34="M")*6+($AI34:$AM34="T")*6+($AI34:$AM34="D")*12+($AI34:$AM34="N")*12+($AI34:$AM34="NT")*6+($AI34:$AM34="C")*10+($AI34:$AM34="A")*8+($AI34:$AM34="J")*5+($AI34:$AM34="E")*4+($AI34:$AM34="P")*6+($AI34:$AM34="R")*6)+SUMPRODUCT(($AN34:$AO34="M")*6+($AN34:$AO34="T")*6+($AN34:$AO34="D")*12+($AN34:$AO34="N")*12+($AN34:$AO34="NT")*6+($AN34:$AO34="C")*10+($AN34:$AO34="A")*8+($AN34:$AO34="J")*5+($AN34:$AO34="E")*4+($AN34:$AO34="P")*6+($AN34:$AO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3">
        <f>IFERROR(INDEX(JUN!AK$8:AK$73,MATCH($A35,JUN!$A$8:$A$73,0))&amp;"","")</f>
        <v/>
      </c>
      <c r="H35" s="123">
        <f>IFERROR(INDEX(JUN!AL$8:AL$73,MATCH($A35,JUN!$A$8:$A$73,0))&amp;"","")</f>
        <v/>
      </c>
      <c r="I35" s="117" t="inlineStr">
        <is>
          <t>T</t>
        </is>
      </c>
      <c r="J35" s="115" t="inlineStr">
        <is>
          <t>D</t>
        </is>
      </c>
      <c r="K35" s="107" t="n"/>
      <c r="L35" s="107" t="n"/>
      <c r="M35" s="108" t="inlineStr">
        <is>
          <t>M</t>
        </is>
      </c>
      <c r="N35" s="116" t="inlineStr">
        <is>
          <t>N</t>
        </is>
      </c>
      <c r="O35" s="107" t="n"/>
      <c r="P35" s="107" t="n"/>
      <c r="Q35" s="107" t="n"/>
      <c r="R35" s="116" t="inlineStr">
        <is>
          <t>N</t>
        </is>
      </c>
      <c r="S35" s="107" t="n"/>
      <c r="T35" s="108" t="inlineStr">
        <is>
          <t>M</t>
        </is>
      </c>
      <c r="U35" s="116" t="inlineStr">
        <is>
          <t>N</t>
        </is>
      </c>
      <c r="V35" s="107" t="n"/>
      <c r="W35" s="115" t="inlineStr">
        <is>
          <t>D</t>
        </is>
      </c>
      <c r="X35" s="117" t="inlineStr">
        <is>
          <t>T</t>
        </is>
      </c>
      <c r="Y35" s="107" t="n"/>
      <c r="Z35" s="107" t="n"/>
      <c r="AA35" s="107" t="n"/>
      <c r="AB35" s="107" t="n"/>
      <c r="AC35" s="107" t="n"/>
      <c r="AD35" s="117" t="inlineStr">
        <is>
          <t>T</t>
        </is>
      </c>
      <c r="AE35" s="116" t="inlineStr">
        <is>
          <t>N</t>
        </is>
      </c>
      <c r="AF35" s="116" t="inlineStr">
        <is>
          <t>N</t>
        </is>
      </c>
      <c r="AG35" s="107" t="n"/>
      <c r="AH35" s="107" t="n"/>
      <c r="AI35" s="107" t="n"/>
      <c r="AJ35" s="107" t="n"/>
      <c r="AK35" s="115" t="inlineStr">
        <is>
          <t>D</t>
        </is>
      </c>
      <c r="AL35" s="117" t="inlineStr">
        <is>
          <t>T</t>
        </is>
      </c>
      <c r="AM35" s="107" t="n"/>
      <c r="AN35" s="109">
        <f>IFERROR(INDEX(AGO!I$8:I$73,MATCH($A35,AGO!$A$8:$A$73,0))&amp;"","")</f>
        <v/>
      </c>
      <c r="AO35" s="109">
        <f>IFERROR(INDEX(AGO!J$8:J$73,MATCH($A35,AGO!$A$8:$A$73,0))&amp;"","")</f>
        <v/>
      </c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SUMPRODUCT(($G35:$M35="M")*6+($G35:$M35="T")*6+($G35:$M35="D")*12+($G35:$M35="N")*12+($G35:$M35="NT")*6+($G35:$M35="C")*10+($G35:$M35="A")*8+($G35:$M35="J")*5+($G35:$M35="E")*4+($G35:$M35="P")*6+($G35:$M35="R")*6)</f>
        <v/>
      </c>
      <c r="BF35" s="110">
        <f>SUMPRODUCT(($N35:$T35="M")*6+($N35:$T35="T")*6+($N35:$T35="D")*12+($N35:$T35="N")*12+($N35:$T35="NT")*6+($N35:$T35="C")*10+($N35:$T35="A")*8+($N35:$T35="J")*5+($N35:$T35="E")*4+($N35:$T35="P")*6+($N35:$T35="R")*6)</f>
        <v/>
      </c>
      <c r="BG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H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I35" s="110">
        <f>SUMPRODUCT(($AI35:$AM35="M")*6+($AI35:$AM35="T")*6+($AI35:$AM35="D")*12+($AI35:$AM35="N")*12+($AI35:$AM35="NT")*6+($AI35:$AM35="C")*10+($AI35:$AM35="A")*8+($AI35:$AM35="J")*5+($AI35:$AM35="E")*4+($AI35:$AM35="P")*6+($AI35:$AM35="R")*6)+SUMPRODUCT(($AN35:$AO35="M")*6+($AN35:$AO35="T")*6+($AN35:$AO35="D")*12+($AN35:$AO35="N")*12+($AN35:$AO35="NT")*6+($AN35:$AO35="C")*10+($AN35:$AO35="A")*8+($AN35:$AO35="J")*5+($AN35:$AO35="E")*4+($AN35:$AO35="P")*6+($AN35:$AO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3">
        <f>IFERROR(INDEX(JUN!AK$8:AK$73,MATCH($A36,JUN!$A$8:$A$73,0))&amp;"","")</f>
        <v/>
      </c>
      <c r="H36" s="123">
        <f>IFERROR(INDEX(JUN!AL$8:AL$73,MATCH($A36,JUN!$A$8:$A$73,0))&amp;"","")</f>
        <v/>
      </c>
      <c r="I36" s="107" t="n"/>
      <c r="J36" s="107" t="n"/>
      <c r="K36" s="117" t="inlineStr">
        <is>
          <t>T</t>
        </is>
      </c>
      <c r="L36" s="107" t="n"/>
      <c r="M36" s="115" t="inlineStr">
        <is>
          <t>D</t>
        </is>
      </c>
      <c r="N36" s="107" t="n"/>
      <c r="O36" s="116" t="inlineStr">
        <is>
          <t>N</t>
        </is>
      </c>
      <c r="P36" s="107" t="n"/>
      <c r="Q36" s="115" t="inlineStr">
        <is>
          <t>D</t>
        </is>
      </c>
      <c r="R36" s="115" t="inlineStr">
        <is>
          <t>D</t>
        </is>
      </c>
      <c r="S36" s="107" t="n"/>
      <c r="T36" s="107" t="n"/>
      <c r="U36" s="107" t="n"/>
      <c r="V36" s="116" t="inlineStr">
        <is>
          <t>N</t>
        </is>
      </c>
      <c r="W36" s="107" t="n"/>
      <c r="X36" s="107" t="n"/>
      <c r="Y36" s="115" t="inlineStr">
        <is>
          <t>D</t>
        </is>
      </c>
      <c r="Z36" s="107" t="n"/>
      <c r="AA36" s="115" t="inlineStr">
        <is>
          <t>D</t>
        </is>
      </c>
      <c r="AB36" s="107" t="n"/>
      <c r="AC36" s="116" t="inlineStr">
        <is>
          <t>N</t>
        </is>
      </c>
      <c r="AD36" s="107" t="n"/>
      <c r="AE36" s="115" t="inlineStr">
        <is>
          <t>D</t>
        </is>
      </c>
      <c r="AF36" s="107" t="n"/>
      <c r="AG36" s="116" t="inlineStr">
        <is>
          <t>N</t>
        </is>
      </c>
      <c r="AH36" s="107" t="n"/>
      <c r="AI36" s="107" t="n"/>
      <c r="AJ36" s="116" t="inlineStr">
        <is>
          <t>N</t>
        </is>
      </c>
      <c r="AK36" s="107" t="n"/>
      <c r="AL36" s="115" t="inlineStr">
        <is>
          <t>D</t>
        </is>
      </c>
      <c r="AM36" s="107" t="n"/>
      <c r="AN36" s="109">
        <f>IFERROR(INDEX(AGO!I$8:I$73,MATCH($A36,AGO!$A$8:$A$73,0))&amp;"","")</f>
        <v/>
      </c>
      <c r="AO36" s="109">
        <f>IFERROR(INDEX(AGO!J$8:J$73,MATCH($A36,AGO!$A$8:$A$73,0))&amp;"","")</f>
        <v/>
      </c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SUMPRODUCT(($G36:$M36="M")*6+($G36:$M36="T")*6+($G36:$M36="D")*12+($G36:$M36="N")*12+($G36:$M36="NT")*6+($G36:$M36="C")*10+($G36:$M36="A")*8+($G36:$M36="J")*5+($G36:$M36="E")*4+($G36:$M36="P")*6+($G36:$M36="R")*6)</f>
        <v/>
      </c>
      <c r="BF36" s="110">
        <f>SUMPRODUCT(($N36:$T36="M")*6+($N36:$T36="T")*6+($N36:$T36="D")*12+($N36:$T36="N")*12+($N36:$T36="NT")*6+($N36:$T36="C")*10+($N36:$T36="A")*8+($N36:$T36="J")*5+($N36:$T36="E")*4+($N36:$T36="P")*6+($N36:$T36="R")*6)</f>
        <v/>
      </c>
      <c r="BG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H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I36" s="110">
        <f>SUMPRODUCT(($AI36:$AM36="M")*6+($AI36:$AM36="T")*6+($AI36:$AM36="D")*12+($AI36:$AM36="N")*12+($AI36:$AM36="NT")*6+($AI36:$AM36="C")*10+($AI36:$AM36="A")*8+($AI36:$AM36="J")*5+($AI36:$AM36="E")*4+($AI36:$AM36="P")*6+($AI36:$AM36="R")*6)+SUMPRODUCT(($AN36:$AO36="M")*6+($AN36:$AO36="T")*6+($AN36:$AO36="D")*12+($AN36:$AO36="N")*12+($AN36:$AO36="NT")*6+($AN36:$AO36="C")*10+($AN36:$AO36="A")*8+($AN36:$AO36="J")*5+($AN36:$AO36="E")*4+($AN36:$AO36="P")*6+($AN36:$AO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3">
        <f>IFERROR(INDEX(JUN!AK$8:AK$73,MATCH($A37,JUN!$A$8:$A$73,0))&amp;"","")</f>
        <v/>
      </c>
      <c r="H37" s="123">
        <f>IFERROR(INDEX(JUN!AL$8:AL$73,MATCH($A37,JUN!$A$8:$A$73,0))&amp;"","")</f>
        <v/>
      </c>
      <c r="I37" s="116" t="inlineStr">
        <is>
          <t>N</t>
        </is>
      </c>
      <c r="J37" s="107" t="n"/>
      <c r="K37" s="108" t="inlineStr">
        <is>
          <t>M</t>
        </is>
      </c>
      <c r="L37" s="108" t="inlineStr">
        <is>
          <t>M</t>
        </is>
      </c>
      <c r="M37" s="107" t="n"/>
      <c r="N37" s="107" t="n"/>
      <c r="O37" s="108" t="inlineStr">
        <is>
          <t>M</t>
        </is>
      </c>
      <c r="P37" s="107" t="n"/>
      <c r="Q37" s="117" t="inlineStr">
        <is>
          <t>T</t>
        </is>
      </c>
      <c r="R37" s="108" t="inlineStr">
        <is>
          <t>M</t>
        </is>
      </c>
      <c r="S37" s="107" t="n"/>
      <c r="T37" s="115" t="inlineStr">
        <is>
          <t>D</t>
        </is>
      </c>
      <c r="U37" s="107" t="n"/>
      <c r="V37" s="108" t="inlineStr">
        <is>
          <t>M</t>
        </is>
      </c>
      <c r="W37" s="117" t="inlineStr">
        <is>
          <t>T</t>
        </is>
      </c>
      <c r="X37" s="117" t="inlineStr">
        <is>
          <t>T</t>
        </is>
      </c>
      <c r="Y37" s="108" t="inlineStr">
        <is>
          <t>M</t>
        </is>
      </c>
      <c r="Z37" s="108" t="inlineStr">
        <is>
          <t>M</t>
        </is>
      </c>
      <c r="AA37" s="107" t="n"/>
      <c r="AB37" s="108" t="inlineStr">
        <is>
          <t>M</t>
        </is>
      </c>
      <c r="AC37" s="117" t="inlineStr">
        <is>
          <t>T</t>
        </is>
      </c>
      <c r="AD37" s="107" t="n"/>
      <c r="AE37" s="117" t="inlineStr">
        <is>
          <t>T</t>
        </is>
      </c>
      <c r="AF37" s="108" t="inlineStr">
        <is>
          <t>M</t>
        </is>
      </c>
      <c r="AG37" s="107" t="n"/>
      <c r="AH37" s="117" t="inlineStr">
        <is>
          <t>T</t>
        </is>
      </c>
      <c r="AI37" s="108" t="inlineStr">
        <is>
          <t>M</t>
        </is>
      </c>
      <c r="AJ37" s="108" t="inlineStr">
        <is>
          <t>M</t>
        </is>
      </c>
      <c r="AK37" s="117" t="inlineStr">
        <is>
          <t>T</t>
        </is>
      </c>
      <c r="AL37" s="117" t="inlineStr">
        <is>
          <t>T</t>
        </is>
      </c>
      <c r="AM37" s="108" t="inlineStr">
        <is>
          <t>M</t>
        </is>
      </c>
      <c r="AN37" s="109">
        <f>IFERROR(INDEX(AGO!I$8:I$73,MATCH($A37,AGO!$A$8:$A$73,0))&amp;"","")</f>
        <v/>
      </c>
      <c r="AO37" s="109">
        <f>IFERROR(INDEX(AGO!J$8:J$73,MATCH($A37,AGO!$A$8:$A$73,0))&amp;"","")</f>
        <v/>
      </c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SUMPRODUCT(($G37:$M37="M")*6+($G37:$M37="T")*6+($G37:$M37="D")*12+($G37:$M37="N")*12+($G37:$M37="NT")*6+($G37:$M37="C")*10+($G37:$M37="A")*8+($G37:$M37="J")*5+($G37:$M37="E")*4+($G37:$M37="P")*6+($G37:$M37="R")*6)</f>
        <v/>
      </c>
      <c r="BF37" s="110">
        <f>SUMPRODUCT(($N37:$T37="M")*6+($N37:$T37="T")*6+($N37:$T37="D")*12+($N37:$T37="N")*12+($N37:$T37="NT")*6+($N37:$T37="C")*10+($N37:$T37="A")*8+($N37:$T37="J")*5+($N37:$T37="E")*4+($N37:$T37="P")*6+($N37:$T37="R")*6)</f>
        <v/>
      </c>
      <c r="BG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H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I37" s="110">
        <f>SUMPRODUCT(($AI37:$AM37="M")*6+($AI37:$AM37="T")*6+($AI37:$AM37="D")*12+($AI37:$AM37="N")*12+($AI37:$AM37="NT")*6+($AI37:$AM37="C")*10+($AI37:$AM37="A")*8+($AI37:$AM37="J")*5+($AI37:$AM37="E")*4+($AI37:$AM37="P")*6+($AI37:$AM37="R")*6)+SUMPRODUCT(($AN37:$AO37="M")*6+($AN37:$AO37="T")*6+($AN37:$AO37="D")*12+($AN37:$AO37="N")*12+($AN37:$AO37="NT")*6+($AN37:$AO37="C")*10+($AN37:$AO37="A")*8+($AN37:$AO37="J")*5+($AN37:$AO37="E")*4+($AN37:$AO37="P")*6+($AN37:$AO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3">
        <f>IFERROR(INDEX(JUN!AK$8:AK$73,MATCH($A38,JUN!$A$8:$A$73,0))&amp;"","")</f>
        <v/>
      </c>
      <c r="H38" s="123">
        <f>IFERROR(INDEX(JUN!AL$8:AL$73,MATCH($A38,JUN!$A$8:$A$73,0))&amp;"","")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>
        <f>IFERROR(INDEX(AGO!I$8:I$73,MATCH($A38,AGO!$A$8:$A$73,0))&amp;"","")</f>
        <v/>
      </c>
      <c r="AO38" s="109">
        <f>IFERROR(INDEX(AGO!J$8:J$73,MATCH($A38,AGO!$A$8:$A$73,0))&amp;"","")</f>
        <v/>
      </c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SUMPRODUCT(($G38:$M38="M")*6+($G38:$M38="T")*6+($G38:$M38="D")*12+($G38:$M38="N")*12+($G38:$M38="NT")*6+($G38:$M38="C")*10+($G38:$M38="A")*8+($G38:$M38="J")*5+($G38:$M38="E")*4+($G38:$M38="P")*6+($G38:$M38="R")*6)</f>
        <v/>
      </c>
      <c r="BF38" s="110">
        <f>SUMPRODUCT(($N38:$T38="M")*6+($N38:$T38="T")*6+($N38:$T38="D")*12+($N38:$T38="N")*12+($N38:$T38="NT")*6+($N38:$T38="C")*10+($N38:$T38="A")*8+($N38:$T38="J")*5+($N38:$T38="E")*4+($N38:$T38="P")*6+($N38:$T38="R")*6)</f>
        <v/>
      </c>
      <c r="BG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H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I38" s="110">
        <f>SUMPRODUCT(($AI38:$AM38="M")*6+($AI38:$AM38="T")*6+($AI38:$AM38="D")*12+($AI38:$AM38="N")*12+($AI38:$AM38="NT")*6+($AI38:$AM38="C")*10+($AI38:$AM38="A")*8+($AI38:$AM38="J")*5+($AI38:$AM38="E")*4+($AI38:$AM38="P")*6+($AI38:$AM38="R")*6)+SUMPRODUCT(($AN38:$AO38="M")*6+($AN38:$AO38="T")*6+($AN38:$AO38="D")*12+($AN38:$AO38="N")*12+($AN38:$AO38="NT")*6+($AN38:$AO38="C")*10+($AN38:$AO38="A")*8+($AN38:$AO38="J")*5+($AN38:$AO38="E")*4+($AN38:$AO38="P")*6+($AN38:$AO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3">
        <f>IFERROR(INDEX(JUN!AK$8:AK$73,MATCH($A39,JUN!$A$8:$A$73,0))&amp;"","")</f>
        <v/>
      </c>
      <c r="H39" s="123">
        <f>IFERROR(INDEX(JUN!AL$8:AL$73,MATCH($A39,JUN!$A$8:$A$73,0))&amp;"","")</f>
        <v/>
      </c>
      <c r="I39" s="107" t="n"/>
      <c r="J39" s="107" t="n"/>
      <c r="K39" s="108" t="inlineStr">
        <is>
          <t>M</t>
        </is>
      </c>
      <c r="L39" s="115" t="inlineStr">
        <is>
          <t>D</t>
        </is>
      </c>
      <c r="M39" s="107" t="n"/>
      <c r="N39" s="117" t="inlineStr">
        <is>
          <t>T</t>
        </is>
      </c>
      <c r="O39" s="107" t="n"/>
      <c r="P39" s="107" t="n"/>
      <c r="Q39" s="107" t="n"/>
      <c r="R39" s="108" t="inlineStr">
        <is>
          <t>M</t>
        </is>
      </c>
      <c r="S39" s="116" t="inlineStr">
        <is>
          <t>N</t>
        </is>
      </c>
      <c r="T39" s="107" t="n"/>
      <c r="U39" s="117" t="inlineStr">
        <is>
          <t>T</t>
        </is>
      </c>
      <c r="V39" s="107" t="n"/>
      <c r="W39" s="107" t="n"/>
      <c r="X39" s="107" t="n"/>
      <c r="Y39" s="116" t="inlineStr">
        <is>
          <t>N</t>
        </is>
      </c>
      <c r="Z39" s="107" t="n"/>
      <c r="AA39" s="107" t="n"/>
      <c r="AB39" s="117" t="inlineStr">
        <is>
          <t>T</t>
        </is>
      </c>
      <c r="AC39" s="108" t="inlineStr">
        <is>
          <t>M</t>
        </is>
      </c>
      <c r="AD39" s="117" t="inlineStr">
        <is>
          <t>T</t>
        </is>
      </c>
      <c r="AE39" s="107" t="n"/>
      <c r="AF39" s="108" t="inlineStr">
        <is>
          <t>M</t>
        </is>
      </c>
      <c r="AG39" s="107" t="n"/>
      <c r="AH39" s="107" t="n"/>
      <c r="AI39" s="117" t="inlineStr">
        <is>
          <t>T</t>
        </is>
      </c>
      <c r="AJ39" s="107" t="n"/>
      <c r="AK39" s="107" t="n"/>
      <c r="AL39" s="107" t="n"/>
      <c r="AM39" s="115" t="inlineStr">
        <is>
          <t>D</t>
        </is>
      </c>
      <c r="AN39" s="109">
        <f>IFERROR(INDEX(AGO!I$8:I$73,MATCH($A39,AGO!$A$8:$A$73,0))&amp;"","")</f>
        <v/>
      </c>
      <c r="AO39" s="109">
        <f>IFERROR(INDEX(AGO!J$8:J$73,MATCH($A39,AGO!$A$8:$A$73,0))&amp;"","")</f>
        <v/>
      </c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SUMPRODUCT(($G39:$M39="M")*6+($G39:$M39="T")*6+($G39:$M39="D")*12+($G39:$M39="N")*12+($G39:$M39="NT")*6+($G39:$M39="C")*10+($G39:$M39="A")*8+($G39:$M39="J")*5+($G39:$M39="E")*4+($G39:$M39="P")*6+($G39:$M39="R")*6)</f>
        <v/>
      </c>
      <c r="BF39" s="110">
        <f>SUMPRODUCT(($N39:$T39="M")*6+($N39:$T39="T")*6+($N39:$T39="D")*12+($N39:$T39="N")*12+($N39:$T39="NT")*6+($N39:$T39="C")*10+($N39:$T39="A")*8+($N39:$T39="J")*5+($N39:$T39="E")*4+($N39:$T39="P")*6+($N39:$T39="R")*6)</f>
        <v/>
      </c>
      <c r="BG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H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I39" s="110">
        <f>SUMPRODUCT(($AI39:$AM39="M")*6+($AI39:$AM39="T")*6+($AI39:$AM39="D")*12+($AI39:$AM39="N")*12+($AI39:$AM39="NT")*6+($AI39:$AM39="C")*10+($AI39:$AM39="A")*8+($AI39:$AM39="J")*5+($AI39:$AM39="E")*4+($AI39:$AM39="P")*6+($AI39:$AM39="R")*6)+SUMPRODUCT(($AN39:$AO39="M")*6+($AN39:$AO39="T")*6+($AN39:$AO39="D")*12+($AN39:$AO39="N")*12+($AN39:$AO39="NT")*6+($AN39:$AO39="C")*10+($AN39:$AO39="A")*8+($AN39:$AO39="J")*5+($AN39:$AO39="E")*4+($AN39:$AO39="P")*6+($AN39:$AO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3">
        <f>IFERROR(INDEX(JUN!AK$8:AK$73,MATCH($A40,JUN!$A$8:$A$73,0))&amp;"","")</f>
        <v/>
      </c>
      <c r="H40" s="123">
        <f>IFERROR(INDEX(JUN!AL$8:AL$73,MATCH($A40,JUN!$A$8:$A$73,0))&amp;"","")</f>
        <v/>
      </c>
      <c r="I40" s="127" t="inlineStr">
        <is>
          <t>LM</t>
        </is>
      </c>
      <c r="J40" s="127" t="inlineStr">
        <is>
          <t>LM</t>
        </is>
      </c>
      <c r="K40" s="127" t="inlineStr">
        <is>
          <t>LM</t>
        </is>
      </c>
      <c r="L40" s="127" t="inlineStr">
        <is>
          <t>LM</t>
        </is>
      </c>
      <c r="M40" s="127" t="inlineStr">
        <is>
          <t>LM</t>
        </is>
      </c>
      <c r="N40" s="127" t="inlineStr">
        <is>
          <t>LM</t>
        </is>
      </c>
      <c r="O40" s="127" t="inlineStr">
        <is>
          <t>LM</t>
        </is>
      </c>
      <c r="P40" s="127" t="inlineStr">
        <is>
          <t>LM</t>
        </is>
      </c>
      <c r="Q40" s="127" t="inlineStr">
        <is>
          <t>LM</t>
        </is>
      </c>
      <c r="R40" s="127" t="inlineStr">
        <is>
          <t>LM</t>
        </is>
      </c>
      <c r="S40" s="127" t="inlineStr">
        <is>
          <t>LM</t>
        </is>
      </c>
      <c r="T40" s="127" t="inlineStr">
        <is>
          <t>LM</t>
        </is>
      </c>
      <c r="U40" s="127" t="inlineStr">
        <is>
          <t>LM</t>
        </is>
      </c>
      <c r="V40" s="127" t="inlineStr">
        <is>
          <t>LM</t>
        </is>
      </c>
      <c r="W40" s="127" t="inlineStr">
        <is>
          <t>LM</t>
        </is>
      </c>
      <c r="X40" s="127" t="inlineStr">
        <is>
          <t>LM</t>
        </is>
      </c>
      <c r="Y40" s="127" t="inlineStr">
        <is>
          <t>LM</t>
        </is>
      </c>
      <c r="Z40" s="127" t="inlineStr">
        <is>
          <t>LM</t>
        </is>
      </c>
      <c r="AA40" s="127" t="inlineStr">
        <is>
          <t>LM</t>
        </is>
      </c>
      <c r="AB40" s="127" t="inlineStr">
        <is>
          <t>LM</t>
        </is>
      </c>
      <c r="AC40" s="127" t="inlineStr">
        <is>
          <t>LM</t>
        </is>
      </c>
      <c r="AD40" s="127" t="inlineStr">
        <is>
          <t>LM</t>
        </is>
      </c>
      <c r="AE40" s="127" t="inlineStr">
        <is>
          <t>LM</t>
        </is>
      </c>
      <c r="AF40" s="127" t="inlineStr">
        <is>
          <t>LM</t>
        </is>
      </c>
      <c r="AG40" s="127" t="inlineStr">
        <is>
          <t>LM</t>
        </is>
      </c>
      <c r="AH40" s="127" t="inlineStr">
        <is>
          <t>LM</t>
        </is>
      </c>
      <c r="AI40" s="127" t="inlineStr">
        <is>
          <t>LM</t>
        </is>
      </c>
      <c r="AJ40" s="127" t="inlineStr">
        <is>
          <t>LM</t>
        </is>
      </c>
      <c r="AK40" s="127" t="inlineStr">
        <is>
          <t>LM</t>
        </is>
      </c>
      <c r="AL40" s="127" t="inlineStr">
        <is>
          <t>LM</t>
        </is>
      </c>
      <c r="AM40" s="127" t="inlineStr">
        <is>
          <t>LM</t>
        </is>
      </c>
      <c r="AN40" s="109">
        <f>IFERROR(INDEX(AGO!I$8:I$73,MATCH($A40,AGO!$A$8:$A$73,0))&amp;"","")</f>
        <v/>
      </c>
      <c r="AO40" s="109">
        <f>IFERROR(INDEX(AGO!J$8:J$73,MATCH($A40,AGO!$A$8:$A$73,0))&amp;"","")</f>
        <v/>
      </c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SUMPRODUCT(($G40:$M40="M")*6+($G40:$M40="T")*6+($G40:$M40="D")*12+($G40:$M40="N")*12+($G40:$M40="NT")*6+($G40:$M40="C")*10+($G40:$M40="A")*8+($G40:$M40="J")*5+($G40:$M40="E")*4+($G40:$M40="P")*6+($G40:$M40="R")*6)</f>
        <v/>
      </c>
      <c r="BF40" s="110">
        <f>SUMPRODUCT(($N40:$T40="M")*6+($N40:$T40="T")*6+($N40:$T40="D")*12+($N40:$T40="N")*12+($N40:$T40="NT")*6+($N40:$T40="C")*10+($N40:$T40="A")*8+($N40:$T40="J")*5+($N40:$T40="E")*4+($N40:$T40="P")*6+($N40:$T40="R")*6)</f>
        <v/>
      </c>
      <c r="BG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H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I40" s="110">
        <f>SUMPRODUCT(($AI40:$AM40="M")*6+($AI40:$AM40="T")*6+($AI40:$AM40="D")*12+($AI40:$AM40="N")*12+($AI40:$AM40="NT")*6+($AI40:$AM40="C")*10+($AI40:$AM40="A")*8+($AI40:$AM40="J")*5+($AI40:$AM40="E")*4+($AI40:$AM40="P")*6+($AI40:$AM40="R")*6)+SUMPRODUCT(($AN40:$AO40="M")*6+($AN40:$AO40="T")*6+($AN40:$AO40="D")*12+($AN40:$AO40="N")*12+($AN40:$AO40="NT")*6+($AN40:$AO40="C")*10+($AN40:$AO40="A")*8+($AN40:$AO40="J")*5+($AN40:$AO40="E")*4+($AN40:$AO40="P")*6+($AN40:$AO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3">
        <f>IFERROR(INDEX(JUN!AK$8:AK$73,MATCH($A41,JUN!$A$8:$A$73,0))&amp;"","")</f>
        <v/>
      </c>
      <c r="H41" s="123">
        <f>IFERROR(INDEX(JUN!AL$8:AL$73,MATCH($A41,JUN!$A$8:$A$73,0))&amp;"","")</f>
        <v/>
      </c>
      <c r="I41" s="115" t="inlineStr">
        <is>
          <t>D</t>
        </is>
      </c>
      <c r="J41" s="107" t="n"/>
      <c r="K41" s="107" t="n"/>
      <c r="L41" s="107" t="n"/>
      <c r="M41" s="107" t="n"/>
      <c r="N41" s="115" t="inlineStr">
        <is>
          <t>D</t>
        </is>
      </c>
      <c r="O41" s="107" t="n"/>
      <c r="P41" s="107" t="n"/>
      <c r="Q41" s="107" t="n"/>
      <c r="R41" s="117" t="inlineStr">
        <is>
          <t>T</t>
        </is>
      </c>
      <c r="S41" s="107" t="n"/>
      <c r="T41" s="107" t="n"/>
      <c r="U41" s="107" t="n"/>
      <c r="V41" s="107" t="n"/>
      <c r="W41" s="107" t="n"/>
      <c r="X41" s="108" t="inlineStr">
        <is>
          <t>M</t>
        </is>
      </c>
      <c r="Y41" s="108" t="inlineStr">
        <is>
          <t>M</t>
        </is>
      </c>
      <c r="Z41" s="115" t="inlineStr">
        <is>
          <t>D</t>
        </is>
      </c>
      <c r="AA41" s="117" t="inlineStr">
        <is>
          <t>T</t>
        </is>
      </c>
      <c r="AB41" s="115" t="inlineStr">
        <is>
          <t>D</t>
        </is>
      </c>
      <c r="AC41" s="107" t="n"/>
      <c r="AD41" s="116" t="inlineStr">
        <is>
          <t>N</t>
        </is>
      </c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15" t="inlineStr">
        <is>
          <t>D</t>
        </is>
      </c>
      <c r="AN41" s="109">
        <f>IFERROR(INDEX(AGO!I$8:I$73,MATCH($A41,AGO!$A$8:$A$73,0))&amp;"","")</f>
        <v/>
      </c>
      <c r="AO41" s="109">
        <f>IFERROR(INDEX(AGO!J$8:J$73,MATCH($A41,AGO!$A$8:$A$73,0))&amp;"","")</f>
        <v/>
      </c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SUMPRODUCT(($G41:$M41="M")*6+($G41:$M41="T")*6+($G41:$M41="D")*12+($G41:$M41="N")*12+($G41:$M41="NT")*6+($G41:$M41="C")*10+($G41:$M41="A")*8+($G41:$M41="J")*5+($G41:$M41="E")*4+($G41:$M41="P")*6+($G41:$M41="R")*6)</f>
        <v/>
      </c>
      <c r="BF41" s="110">
        <f>SUMPRODUCT(($N41:$T41="M")*6+($N41:$T41="T")*6+($N41:$T41="D")*12+($N41:$T41="N")*12+($N41:$T41="NT")*6+($N41:$T41="C")*10+($N41:$T41="A")*8+($N41:$T41="J")*5+($N41:$T41="E")*4+($N41:$T41="P")*6+($N41:$T41="R")*6)</f>
        <v/>
      </c>
      <c r="BG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H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I41" s="110">
        <f>SUMPRODUCT(($AI41:$AM41="M")*6+($AI41:$AM41="T")*6+($AI41:$AM41="D")*12+($AI41:$AM41="N")*12+($AI41:$AM41="NT")*6+($AI41:$AM41="C")*10+($AI41:$AM41="A")*8+($AI41:$AM41="J")*5+($AI41:$AM41="E")*4+($AI41:$AM41="P")*6+($AI41:$AM41="R")*6)+SUMPRODUCT(($AN41:$AO41="M")*6+($AN41:$AO41="T")*6+($AN41:$AO41="D")*12+($AN41:$AO41="N")*12+($AN41:$AO41="NT")*6+($AN41:$AO41="C")*10+($AN41:$AO41="A")*8+($AN41:$AO41="J")*5+($AN41:$AO41="E")*4+($AN41:$AO41="P")*6+($AN41:$AO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3">
        <f>IFERROR(INDEX(JUN!AK$8:AK$73,MATCH($A42,JUN!$A$8:$A$73,0))&amp;"","")</f>
        <v/>
      </c>
      <c r="H42" s="123">
        <f>IFERROR(INDEX(JUN!AL$8:AL$73,MATCH($A42,JUN!$A$8:$A$73,0))&amp;"","")</f>
        <v/>
      </c>
      <c r="I42" s="115" t="inlineStr">
        <is>
          <t>D</t>
        </is>
      </c>
      <c r="J42" s="107" t="n"/>
      <c r="K42" s="107" t="n"/>
      <c r="L42" s="107" t="n"/>
      <c r="M42" s="107" t="n"/>
      <c r="N42" s="115" t="inlineStr">
        <is>
          <t>D</t>
        </is>
      </c>
      <c r="O42" s="115" t="inlineStr">
        <is>
          <t>D</t>
        </is>
      </c>
      <c r="P42" s="107" t="n"/>
      <c r="Q42" s="107" t="n"/>
      <c r="R42" s="107" t="n"/>
      <c r="S42" s="107" t="n"/>
      <c r="T42" s="107" t="n"/>
      <c r="U42" s="107" t="n"/>
      <c r="V42" s="107" t="n"/>
      <c r="W42" s="115" t="inlineStr">
        <is>
          <t>D</t>
        </is>
      </c>
      <c r="X42" s="107" t="n"/>
      <c r="Y42" s="107" t="n"/>
      <c r="Z42" s="107" t="n"/>
      <c r="AA42" s="116" t="inlineStr">
        <is>
          <t>N</t>
        </is>
      </c>
      <c r="AB42" s="107" t="n"/>
      <c r="AC42" s="115" t="inlineStr">
        <is>
          <t>D</t>
        </is>
      </c>
      <c r="AD42" s="107" t="n"/>
      <c r="AE42" s="107" t="n"/>
      <c r="AF42" s="107" t="n"/>
      <c r="AG42" s="107" t="n"/>
      <c r="AH42" s="115" t="inlineStr">
        <is>
          <t>D</t>
        </is>
      </c>
      <c r="AI42" s="107" t="n"/>
      <c r="AJ42" s="115" t="inlineStr">
        <is>
          <t>D</t>
        </is>
      </c>
      <c r="AK42" s="107" t="n"/>
      <c r="AL42" s="115" t="inlineStr">
        <is>
          <t>D</t>
        </is>
      </c>
      <c r="AM42" s="107" t="n"/>
      <c r="AN42" s="109">
        <f>IFERROR(INDEX(AGO!I$8:I$73,MATCH($A42,AGO!$A$8:$A$73,0))&amp;"","")</f>
        <v/>
      </c>
      <c r="AO42" s="109">
        <f>IFERROR(INDEX(AGO!J$8:J$73,MATCH($A42,AGO!$A$8:$A$73,0))&amp;"","")</f>
        <v/>
      </c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SUMPRODUCT(($G42:$M42="M")*6+($G42:$M42="T")*6+($G42:$M42="D")*12+($G42:$M42="N")*12+($G42:$M42="NT")*6+($G42:$M42="C")*10+($G42:$M42="A")*8+($G42:$M42="J")*5+($G42:$M42="E")*4+($G42:$M42="P")*6+($G42:$M42="R")*6)</f>
        <v/>
      </c>
      <c r="BF42" s="110">
        <f>SUMPRODUCT(($N42:$T42="M")*6+($N42:$T42="T")*6+($N42:$T42="D")*12+($N42:$T42="N")*12+($N42:$T42="NT")*6+($N42:$T42="C")*10+($N42:$T42="A")*8+($N42:$T42="J")*5+($N42:$T42="E")*4+($N42:$T42="P")*6+($N42:$T42="R")*6)</f>
        <v/>
      </c>
      <c r="BG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H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I42" s="110">
        <f>SUMPRODUCT(($AI42:$AM42="M")*6+($AI42:$AM42="T")*6+($AI42:$AM42="D")*12+($AI42:$AM42="N")*12+($AI42:$AM42="NT")*6+($AI42:$AM42="C")*10+($AI42:$AM42="A")*8+($AI42:$AM42="J")*5+($AI42:$AM42="E")*4+($AI42:$AM42="P")*6+($AI42:$AM42="R")*6)+SUMPRODUCT(($AN42:$AO42="M")*6+($AN42:$AO42="T")*6+($AN42:$AO42="D")*12+($AN42:$AO42="N")*12+($AN42:$AO42="NT")*6+($AN42:$AO42="C")*10+($AN42:$AO42="A")*8+($AN42:$AO42="J")*5+($AN42:$AO42="E")*4+($AN42:$AO42="P")*6+($AN42:$AO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3">
        <f>IFERROR(INDEX(JUN!AK$8:AK$73,MATCH($A43,JUN!$A$8:$A$73,0))&amp;"","")</f>
        <v/>
      </c>
      <c r="H43" s="123">
        <f>IFERROR(INDEX(JUN!AL$8:AL$73,MATCH($A43,JUN!$A$8:$A$73,0))&amp;"","")</f>
        <v/>
      </c>
      <c r="I43" s="128" t="inlineStr">
        <is>
          <t>FE</t>
        </is>
      </c>
      <c r="J43" s="128" t="inlineStr">
        <is>
          <t>FE</t>
        </is>
      </c>
      <c r="K43" s="128" t="inlineStr">
        <is>
          <t>FE</t>
        </is>
      </c>
      <c r="L43" s="128" t="inlineStr">
        <is>
          <t>FE</t>
        </is>
      </c>
      <c r="M43" s="128" t="inlineStr">
        <is>
          <t>FE</t>
        </is>
      </c>
      <c r="N43" s="128" t="inlineStr">
        <is>
          <t>FE</t>
        </is>
      </c>
      <c r="O43" s="128" t="inlineStr">
        <is>
          <t>FE</t>
        </is>
      </c>
      <c r="P43" s="128" t="inlineStr">
        <is>
          <t>FE</t>
        </is>
      </c>
      <c r="Q43" s="128" t="inlineStr">
        <is>
          <t>FE</t>
        </is>
      </c>
      <c r="R43" s="128" t="inlineStr">
        <is>
          <t>FE</t>
        </is>
      </c>
      <c r="S43" s="128" t="inlineStr">
        <is>
          <t>FE</t>
        </is>
      </c>
      <c r="T43" s="128" t="inlineStr">
        <is>
          <t>FE</t>
        </is>
      </c>
      <c r="U43" s="128" t="inlineStr">
        <is>
          <t>FE</t>
        </is>
      </c>
      <c r="V43" s="107" t="n"/>
      <c r="W43" s="107" t="n"/>
      <c r="X43" s="107" t="n"/>
      <c r="Y43" s="117" t="inlineStr">
        <is>
          <t>T</t>
        </is>
      </c>
      <c r="Z43" s="116" t="inlineStr">
        <is>
          <t>N</t>
        </is>
      </c>
      <c r="AA43" s="107" t="n"/>
      <c r="AB43" s="116" t="inlineStr">
        <is>
          <t>N</t>
        </is>
      </c>
      <c r="AC43" s="107" t="n"/>
      <c r="AD43" s="107" t="n"/>
      <c r="AE43" s="107" t="n"/>
      <c r="AF43" s="116" t="inlineStr">
        <is>
          <t>N</t>
        </is>
      </c>
      <c r="AG43" s="107" t="n"/>
      <c r="AH43" s="107" t="n"/>
      <c r="AI43" s="116" t="inlineStr">
        <is>
          <t>N</t>
        </is>
      </c>
      <c r="AJ43" s="107" t="n"/>
      <c r="AK43" s="107" t="n"/>
      <c r="AL43" s="116" t="inlineStr">
        <is>
          <t>N</t>
        </is>
      </c>
      <c r="AM43" s="107" t="n"/>
      <c r="AN43" s="109">
        <f>IFERROR(INDEX(AGO!I$8:I$73,MATCH($A43,AGO!$A$8:$A$73,0))&amp;"","")</f>
        <v/>
      </c>
      <c r="AO43" s="109">
        <f>IFERROR(INDEX(AGO!J$8:J$73,MATCH($A43,AGO!$A$8:$A$73,0))&amp;"","")</f>
        <v/>
      </c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SUMPRODUCT(($G43:$M43="M")*6+($G43:$M43="T")*6+($G43:$M43="D")*12+($G43:$M43="N")*12+($G43:$M43="NT")*6+($G43:$M43="C")*10+($G43:$M43="A")*8+($G43:$M43="J")*5+($G43:$M43="E")*4+($G43:$M43="P")*6+($G43:$M43="R")*6)</f>
        <v/>
      </c>
      <c r="BF43" s="110">
        <f>SUMPRODUCT(($N43:$T43="M")*6+($N43:$T43="T")*6+($N43:$T43="D")*12+($N43:$T43="N")*12+($N43:$T43="NT")*6+($N43:$T43="C")*10+($N43:$T43="A")*8+($N43:$T43="J")*5+($N43:$T43="E")*4+($N43:$T43="P")*6+($N43:$T43="R")*6)</f>
        <v/>
      </c>
      <c r="BG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H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I43" s="110">
        <f>SUMPRODUCT(($AI43:$AM43="M")*6+($AI43:$AM43="T")*6+($AI43:$AM43="D")*12+($AI43:$AM43="N")*12+($AI43:$AM43="NT")*6+($AI43:$AM43="C")*10+($AI43:$AM43="A")*8+($AI43:$AM43="J")*5+($AI43:$AM43="E")*4+($AI43:$AM43="P")*6+($AI43:$AM43="R")*6)+SUMPRODUCT(($AN43:$AO43="M")*6+($AN43:$AO43="T")*6+($AN43:$AO43="D")*12+($AN43:$AO43="N")*12+($AN43:$AO43="NT")*6+($AN43:$AO43="C")*10+($AN43:$AO43="A")*8+($AN43:$AO43="J")*5+($AN43:$AO43="E")*4+($AN43:$AO43="P")*6+($AN43:$AO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3">
        <f>IFERROR(INDEX(JUN!AK$8:AK$73,MATCH($A44,JUN!$A$8:$A$73,0))&amp;"","")</f>
        <v/>
      </c>
      <c r="H44" s="123">
        <f>IFERROR(INDEX(JUN!AL$8:AL$73,MATCH($A44,JUN!$A$8:$A$73,0))&amp;"","")</f>
        <v/>
      </c>
      <c r="I44" s="116" t="inlineStr">
        <is>
          <t>N</t>
        </is>
      </c>
      <c r="J44" s="107" t="n"/>
      <c r="K44" s="107" t="n"/>
      <c r="L44" s="107" t="n"/>
      <c r="M44" s="107" t="n"/>
      <c r="N44" s="107" t="n"/>
      <c r="O44" s="107" t="n"/>
      <c r="P44" s="115" t="inlineStr">
        <is>
          <t>D</t>
        </is>
      </c>
      <c r="Q44" s="107" t="n"/>
      <c r="R44" s="107" t="n"/>
      <c r="S44" s="107" t="n"/>
      <c r="T44" s="115" t="inlineStr">
        <is>
          <t>D</t>
        </is>
      </c>
      <c r="U44" s="107" t="n"/>
      <c r="V44" s="115" t="inlineStr">
        <is>
          <t>D</t>
        </is>
      </c>
      <c r="W44" s="107" t="n"/>
      <c r="X44" s="107" t="n"/>
      <c r="Y44" s="117" t="inlineStr">
        <is>
          <t>T</t>
        </is>
      </c>
      <c r="Z44" s="107" t="n"/>
      <c r="AA44" s="108" t="inlineStr">
        <is>
          <t>M</t>
        </is>
      </c>
      <c r="AB44" s="107" t="n"/>
      <c r="AC44" s="107" t="n"/>
      <c r="AD44" s="115" t="inlineStr">
        <is>
          <t>D</t>
        </is>
      </c>
      <c r="AE44" s="107" t="n"/>
      <c r="AF44" s="116" t="inlineStr">
        <is>
          <t>N</t>
        </is>
      </c>
      <c r="AG44" s="107" t="n"/>
      <c r="AH44" s="107" t="n"/>
      <c r="AI44" s="107" t="n"/>
      <c r="AJ44" s="115" t="inlineStr">
        <is>
          <t>D</t>
        </is>
      </c>
      <c r="AK44" s="115" t="inlineStr">
        <is>
          <t>D</t>
        </is>
      </c>
      <c r="AL44" s="107" t="n"/>
      <c r="AM44" s="107" t="n"/>
      <c r="AN44" s="109">
        <f>IFERROR(INDEX(AGO!I$8:I$73,MATCH($A44,AGO!$A$8:$A$73,0))&amp;"","")</f>
        <v/>
      </c>
      <c r="AO44" s="109">
        <f>IFERROR(INDEX(AGO!J$8:J$73,MATCH($A44,AGO!$A$8:$A$73,0))&amp;"","")</f>
        <v/>
      </c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SUMPRODUCT(($G44:$M44="M")*6+($G44:$M44="T")*6+($G44:$M44="D")*12+($G44:$M44="N")*12+($G44:$M44="NT")*6+($G44:$M44="C")*10+($G44:$M44="A")*8+($G44:$M44="J")*5+($G44:$M44="E")*4+($G44:$M44="P")*6+($G44:$M44="R")*6)</f>
        <v/>
      </c>
      <c r="BF44" s="110">
        <f>SUMPRODUCT(($N44:$T44="M")*6+($N44:$T44="T")*6+($N44:$T44="D")*12+($N44:$T44="N")*12+($N44:$T44="NT")*6+($N44:$T44="C")*10+($N44:$T44="A")*8+($N44:$T44="J")*5+($N44:$T44="E")*4+($N44:$T44="P")*6+($N44:$T44="R")*6)</f>
        <v/>
      </c>
      <c r="BG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H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I44" s="110">
        <f>SUMPRODUCT(($AI44:$AM44="M")*6+($AI44:$AM44="T")*6+($AI44:$AM44="D")*12+($AI44:$AM44="N")*12+($AI44:$AM44="NT")*6+($AI44:$AM44="C")*10+($AI44:$AM44="A")*8+($AI44:$AM44="J")*5+($AI44:$AM44="E")*4+($AI44:$AM44="P")*6+($AI44:$AM44="R")*6)+SUMPRODUCT(($AN44:$AO44="M")*6+($AN44:$AO44="T")*6+($AN44:$AO44="D")*12+($AN44:$AO44="N")*12+($AN44:$AO44="NT")*6+($AN44:$AO44="C")*10+($AN44:$AO44="A")*8+($AN44:$AO44="J")*5+($AN44:$AO44="E")*4+($AN44:$AO44="P")*6+($AN44:$AO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3">
        <f>IFERROR(INDEX(JUN!AK$8:AK$73,MATCH($A45,JUN!$A$8:$A$73,0))&amp;"","")</f>
        <v/>
      </c>
      <c r="H45" s="123">
        <f>IFERROR(INDEX(JUN!AL$8:AL$73,MATCH($A45,JUN!$A$8:$A$73,0))&amp;"","")</f>
        <v/>
      </c>
      <c r="I45" s="107" t="n"/>
      <c r="J45" s="108" t="inlineStr">
        <is>
          <t>M</t>
        </is>
      </c>
      <c r="K45" s="107" t="n"/>
      <c r="L45" s="116" t="inlineStr">
        <is>
          <t>N</t>
        </is>
      </c>
      <c r="M45" s="107" t="n"/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16" t="inlineStr">
        <is>
          <t>N</t>
        </is>
      </c>
      <c r="T45" s="107" t="n"/>
      <c r="U45" s="108" t="inlineStr">
        <is>
          <t>M</t>
        </is>
      </c>
      <c r="V45" s="108" t="inlineStr">
        <is>
          <t>M</t>
        </is>
      </c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16" t="inlineStr">
        <is>
          <t>N</t>
        </is>
      </c>
      <c r="AG45" s="107" t="n"/>
      <c r="AH45" s="107" t="n"/>
      <c r="AI45" s="128" t="inlineStr">
        <is>
          <t>FE</t>
        </is>
      </c>
      <c r="AJ45" s="128" t="inlineStr">
        <is>
          <t>FE</t>
        </is>
      </c>
      <c r="AK45" s="128" t="inlineStr">
        <is>
          <t>FE</t>
        </is>
      </c>
      <c r="AL45" s="128" t="inlineStr">
        <is>
          <t>FE</t>
        </is>
      </c>
      <c r="AM45" s="128" t="inlineStr">
        <is>
          <t>FE</t>
        </is>
      </c>
      <c r="AN45" s="109">
        <f>IFERROR(INDEX(AGO!I$8:I$73,MATCH($A45,AGO!$A$8:$A$73,0))&amp;"","")</f>
        <v/>
      </c>
      <c r="AO45" s="109">
        <f>IFERROR(INDEX(AGO!J$8:J$73,MATCH($A45,AGO!$A$8:$A$73,0))&amp;"","")</f>
        <v/>
      </c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SUMPRODUCT(($G45:$M45="M")*6+($G45:$M45="T")*6+($G45:$M45="D")*12+($G45:$M45="N")*12+($G45:$M45="NT")*6+($G45:$M45="C")*10+($G45:$M45="A")*8+($G45:$M45="J")*5+($G45:$M45="E")*4+($G45:$M45="P")*6+($G45:$M45="R")*6)</f>
        <v/>
      </c>
      <c r="BF45" s="110">
        <f>SUMPRODUCT(($N45:$T45="M")*6+($N45:$T45="T")*6+($N45:$T45="D")*12+($N45:$T45="N")*12+($N45:$T45="NT")*6+($N45:$T45="C")*10+($N45:$T45="A")*8+($N45:$T45="J")*5+($N45:$T45="E")*4+($N45:$T45="P")*6+($N45:$T45="R")*6)</f>
        <v/>
      </c>
      <c r="BG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H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I45" s="110">
        <f>SUMPRODUCT(($AI45:$AM45="M")*6+($AI45:$AM45="T")*6+($AI45:$AM45="D")*12+($AI45:$AM45="N")*12+($AI45:$AM45="NT")*6+($AI45:$AM45="C")*10+($AI45:$AM45="A")*8+($AI45:$AM45="J")*5+($AI45:$AM45="E")*4+($AI45:$AM45="P")*6+($AI45:$AM45="R")*6)+SUMPRODUCT(($AN45:$AO45="M")*6+($AN45:$AO45="T")*6+($AN45:$AO45="D")*12+($AN45:$AO45="N")*12+($AN45:$AO45="NT")*6+($AN45:$AO45="C")*10+($AN45:$AO45="A")*8+($AN45:$AO45="J")*5+($AN45:$AO45="E")*4+($AN45:$AO45="P")*6+($AN45:$AO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3">
        <f>IFERROR(INDEX(JUN!AK$8:AK$73,MATCH($A46,JUN!$A$8:$A$73,0))&amp;"","")</f>
        <v/>
      </c>
      <c r="H46" s="123">
        <f>IFERROR(INDEX(JUN!AL$8:AL$73,MATCH($A46,JUN!$A$8:$A$73,0))&amp;"","")</f>
        <v/>
      </c>
      <c r="I46" s="128" t="inlineStr">
        <is>
          <t>FE</t>
        </is>
      </c>
      <c r="J46" s="128" t="inlineStr">
        <is>
          <t>FE</t>
        </is>
      </c>
      <c r="K46" s="128" t="inlineStr">
        <is>
          <t>FE</t>
        </is>
      </c>
      <c r="L46" s="128" t="inlineStr">
        <is>
          <t>FE</t>
        </is>
      </c>
      <c r="M46" s="128" t="inlineStr">
        <is>
          <t>FE</t>
        </is>
      </c>
      <c r="N46" s="128" t="inlineStr">
        <is>
          <t>FE</t>
        </is>
      </c>
      <c r="O46" s="128" t="inlineStr">
        <is>
          <t>FE</t>
        </is>
      </c>
      <c r="P46" s="128" t="inlineStr">
        <is>
          <t>FE</t>
        </is>
      </c>
      <c r="Q46" s="128" t="inlineStr">
        <is>
          <t>FE</t>
        </is>
      </c>
      <c r="R46" s="128" t="inlineStr">
        <is>
          <t>FE</t>
        </is>
      </c>
      <c r="S46" s="128" t="inlineStr">
        <is>
          <t>FE</t>
        </is>
      </c>
      <c r="T46" s="128" t="inlineStr">
        <is>
          <t>FE</t>
        </is>
      </c>
      <c r="U46" s="128" t="inlineStr">
        <is>
          <t>FE</t>
        </is>
      </c>
      <c r="V46" s="107" t="n"/>
      <c r="W46" s="117" t="inlineStr">
        <is>
          <t>T</t>
        </is>
      </c>
      <c r="X46" s="107" t="n"/>
      <c r="Y46" s="107" t="n"/>
      <c r="Z46" s="107" t="n"/>
      <c r="AA46" s="116" t="inlineStr">
        <is>
          <t>N</t>
        </is>
      </c>
      <c r="AB46" s="107" t="n"/>
      <c r="AC46" s="107" t="n"/>
      <c r="AD46" s="115" t="inlineStr">
        <is>
          <t>D</t>
        </is>
      </c>
      <c r="AE46" s="107" t="n"/>
      <c r="AF46" s="116" t="inlineStr">
        <is>
          <t>N</t>
        </is>
      </c>
      <c r="AG46" s="107" t="n"/>
      <c r="AH46" s="107" t="n"/>
      <c r="AI46" s="107" t="n"/>
      <c r="AJ46" s="107" t="n"/>
      <c r="AK46" s="115" t="inlineStr">
        <is>
          <t>D</t>
        </is>
      </c>
      <c r="AL46" s="107" t="n"/>
      <c r="AM46" s="116" t="inlineStr">
        <is>
          <t>N</t>
        </is>
      </c>
      <c r="AN46" s="109">
        <f>IFERROR(INDEX(AGO!I$8:I$73,MATCH($A46,AGO!$A$8:$A$73,0))&amp;"","")</f>
        <v/>
      </c>
      <c r="AO46" s="109">
        <f>IFERROR(INDEX(AGO!J$8:J$73,MATCH($A46,AGO!$A$8:$A$73,0))&amp;"","")</f>
        <v/>
      </c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SUMPRODUCT(($G46:$M46="M")*6+($G46:$M46="T")*6+($G46:$M46="D")*12+($G46:$M46="N")*12+($G46:$M46="NT")*6+($G46:$M46="C")*10+($G46:$M46="A")*8+($G46:$M46="J")*5+($G46:$M46="E")*4+($G46:$M46="P")*6+($G46:$M46="R")*6)</f>
        <v/>
      </c>
      <c r="BF46" s="110">
        <f>SUMPRODUCT(($N46:$T46="M")*6+($N46:$T46="T")*6+($N46:$T46="D")*12+($N46:$T46="N")*12+($N46:$T46="NT")*6+($N46:$T46="C")*10+($N46:$T46="A")*8+($N46:$T46="J")*5+($N46:$T46="E")*4+($N46:$T46="P")*6+($N46:$T46="R")*6)</f>
        <v/>
      </c>
      <c r="BG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H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I46" s="110">
        <f>SUMPRODUCT(($AI46:$AM46="M")*6+($AI46:$AM46="T")*6+($AI46:$AM46="D")*12+($AI46:$AM46="N")*12+($AI46:$AM46="NT")*6+($AI46:$AM46="C")*10+($AI46:$AM46="A")*8+($AI46:$AM46="J")*5+($AI46:$AM46="E")*4+($AI46:$AM46="P")*6+($AI46:$AM46="R")*6)+SUMPRODUCT(($AN46:$AO46="M")*6+($AN46:$AO46="T")*6+($AN46:$AO46="D")*12+($AN46:$AO46="N")*12+($AN46:$AO46="NT")*6+($AN46:$AO46="C")*10+($AN46:$AO46="A")*8+($AN46:$AO46="J")*5+($AN46:$AO46="E")*4+($AN46:$AO46="P")*6+($AN46:$AO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3">
        <f>IFERROR(INDEX(JUN!AK$8:AK$73,MATCH($A47,JUN!$A$8:$A$73,0))&amp;"","")</f>
        <v/>
      </c>
      <c r="H47" s="123">
        <f>IFERROR(INDEX(JUN!AL$8:AL$73,MATCH($A47,JUN!$A$8:$A$73,0))&amp;"","")</f>
        <v/>
      </c>
      <c r="I47" s="128" t="inlineStr">
        <is>
          <t>FE</t>
        </is>
      </c>
      <c r="J47" s="128" t="inlineStr">
        <is>
          <t>FE</t>
        </is>
      </c>
      <c r="K47" s="128" t="inlineStr">
        <is>
          <t>FE</t>
        </is>
      </c>
      <c r="L47" s="128" t="inlineStr">
        <is>
          <t>FE</t>
        </is>
      </c>
      <c r="M47" s="128" t="inlineStr">
        <is>
          <t>FE</t>
        </is>
      </c>
      <c r="N47" s="128" t="inlineStr">
        <is>
          <t>FE</t>
        </is>
      </c>
      <c r="O47" s="128" t="inlineStr">
        <is>
          <t>FE</t>
        </is>
      </c>
      <c r="P47" s="128" t="inlineStr">
        <is>
          <t>FE</t>
        </is>
      </c>
      <c r="Q47" s="128" t="inlineStr">
        <is>
          <t>FE</t>
        </is>
      </c>
      <c r="R47" s="128" t="inlineStr">
        <is>
          <t>FE</t>
        </is>
      </c>
      <c r="S47" s="128" t="inlineStr">
        <is>
          <t>FE</t>
        </is>
      </c>
      <c r="T47" s="128" t="inlineStr">
        <is>
          <t>FE</t>
        </is>
      </c>
      <c r="U47" s="128" t="inlineStr">
        <is>
          <t>FE</t>
        </is>
      </c>
      <c r="V47" s="107" t="n"/>
      <c r="W47" s="107" t="n"/>
      <c r="X47" s="117" t="inlineStr">
        <is>
          <t>T</t>
        </is>
      </c>
      <c r="Y47" s="116" t="inlineStr">
        <is>
          <t>N</t>
        </is>
      </c>
      <c r="Z47" s="107" t="n"/>
      <c r="AA47" s="107" t="n"/>
      <c r="AB47" s="116" t="inlineStr">
        <is>
          <t>N</t>
        </is>
      </c>
      <c r="AC47" s="107" t="n"/>
      <c r="AD47" s="107" t="n"/>
      <c r="AE47" s="107" t="n"/>
      <c r="AF47" s="107" t="n"/>
      <c r="AG47" s="115" t="inlineStr">
        <is>
          <t>D</t>
        </is>
      </c>
      <c r="AH47" s="107" t="n"/>
      <c r="AI47" s="116" t="inlineStr">
        <is>
          <t>N</t>
        </is>
      </c>
      <c r="AJ47" s="107" t="n"/>
      <c r="AK47" s="107" t="n"/>
      <c r="AL47" s="107" t="n"/>
      <c r="AM47" s="107" t="n"/>
      <c r="AN47" s="109">
        <f>IFERROR(INDEX(AGO!I$8:I$73,MATCH($A47,AGO!$A$8:$A$73,0))&amp;"","")</f>
        <v/>
      </c>
      <c r="AO47" s="109">
        <f>IFERROR(INDEX(AGO!J$8:J$73,MATCH($A47,AGO!$A$8:$A$73,0))&amp;"","")</f>
        <v/>
      </c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SUMPRODUCT(($G47:$M47="M")*6+($G47:$M47="T")*6+($G47:$M47="D")*12+($G47:$M47="N")*12+($G47:$M47="NT")*6+($G47:$M47="C")*10+($G47:$M47="A")*8+($G47:$M47="J")*5+($G47:$M47="E")*4+($G47:$M47="P")*6+($G47:$M47="R")*6)</f>
        <v/>
      </c>
      <c r="BF47" s="110">
        <f>SUMPRODUCT(($N47:$T47="M")*6+($N47:$T47="T")*6+($N47:$T47="D")*12+($N47:$T47="N")*12+($N47:$T47="NT")*6+($N47:$T47="C")*10+($N47:$T47="A")*8+($N47:$T47="J")*5+($N47:$T47="E")*4+($N47:$T47="P")*6+($N47:$T47="R")*6)</f>
        <v/>
      </c>
      <c r="BG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H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I47" s="110">
        <f>SUMPRODUCT(($AI47:$AM47="M")*6+($AI47:$AM47="T")*6+($AI47:$AM47="D")*12+($AI47:$AM47="N")*12+($AI47:$AM47="NT")*6+($AI47:$AM47="C")*10+($AI47:$AM47="A")*8+($AI47:$AM47="J")*5+($AI47:$AM47="E")*4+($AI47:$AM47="P")*6+($AI47:$AM47="R")*6)+SUMPRODUCT(($AN47:$AO47="M")*6+($AN47:$AO47="T")*6+($AN47:$AO47="D")*12+($AN47:$AO47="N")*12+($AN47:$AO47="NT")*6+($AN47:$AO47="C")*10+($AN47:$AO47="A")*8+($AN47:$AO47="J")*5+($AN47:$AO47="E")*4+($AN47:$AO47="P")*6+($AN47:$AO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3">
        <f>IFERROR(INDEX(JUN!AK$8:AK$73,MATCH($A48,JUN!$A$8:$A$73,0))&amp;"","")</f>
        <v/>
      </c>
      <c r="H48" s="123">
        <f>IFERROR(INDEX(JUN!AL$8:AL$73,MATCH($A48,JUN!$A$8:$A$73,0))&amp;"","")</f>
        <v/>
      </c>
      <c r="I48" s="127" t="inlineStr">
        <is>
          <t>LM</t>
        </is>
      </c>
      <c r="J48" s="127" t="inlineStr">
        <is>
          <t>LM</t>
        </is>
      </c>
      <c r="K48" s="127" t="inlineStr">
        <is>
          <t>LM</t>
        </is>
      </c>
      <c r="L48" s="127" t="inlineStr">
        <is>
          <t>LM</t>
        </is>
      </c>
      <c r="M48" s="127" t="inlineStr">
        <is>
          <t>LM</t>
        </is>
      </c>
      <c r="N48" s="127" t="inlineStr">
        <is>
          <t>LM</t>
        </is>
      </c>
      <c r="O48" s="127" t="inlineStr">
        <is>
          <t>LM</t>
        </is>
      </c>
      <c r="P48" s="127" t="inlineStr">
        <is>
          <t>LM</t>
        </is>
      </c>
      <c r="Q48" s="127" t="inlineStr">
        <is>
          <t>LM</t>
        </is>
      </c>
      <c r="R48" s="127" t="inlineStr">
        <is>
          <t>LM</t>
        </is>
      </c>
      <c r="S48" s="127" t="inlineStr">
        <is>
          <t>LM</t>
        </is>
      </c>
      <c r="T48" s="127" t="inlineStr">
        <is>
          <t>LM</t>
        </is>
      </c>
      <c r="U48" s="127" t="inlineStr">
        <is>
          <t>LM</t>
        </is>
      </c>
      <c r="V48" s="127" t="inlineStr">
        <is>
          <t>LM</t>
        </is>
      </c>
      <c r="W48" s="127" t="inlineStr">
        <is>
          <t>LM</t>
        </is>
      </c>
      <c r="X48" s="127" t="inlineStr">
        <is>
          <t>LM</t>
        </is>
      </c>
      <c r="Y48" s="127" t="inlineStr">
        <is>
          <t>LM</t>
        </is>
      </c>
      <c r="Z48" s="127" t="inlineStr">
        <is>
          <t>LM</t>
        </is>
      </c>
      <c r="AA48" s="127" t="inlineStr">
        <is>
          <t>LM</t>
        </is>
      </c>
      <c r="AB48" s="127" t="inlineStr">
        <is>
          <t>LM</t>
        </is>
      </c>
      <c r="AC48" s="127" t="inlineStr">
        <is>
          <t>LM</t>
        </is>
      </c>
      <c r="AD48" s="127" t="inlineStr">
        <is>
          <t>LM</t>
        </is>
      </c>
      <c r="AE48" s="127" t="inlineStr">
        <is>
          <t>LM</t>
        </is>
      </c>
      <c r="AF48" s="127" t="inlineStr">
        <is>
          <t>LM</t>
        </is>
      </c>
      <c r="AG48" s="127" t="inlineStr">
        <is>
          <t>LM</t>
        </is>
      </c>
      <c r="AH48" s="127" t="inlineStr">
        <is>
          <t>LM</t>
        </is>
      </c>
      <c r="AI48" s="127" t="inlineStr">
        <is>
          <t>LM</t>
        </is>
      </c>
      <c r="AJ48" s="127" t="inlineStr">
        <is>
          <t>LM</t>
        </is>
      </c>
      <c r="AK48" s="127" t="inlineStr">
        <is>
          <t>LM</t>
        </is>
      </c>
      <c r="AL48" s="127" t="inlineStr">
        <is>
          <t>LM</t>
        </is>
      </c>
      <c r="AM48" s="127" t="inlineStr">
        <is>
          <t>LM</t>
        </is>
      </c>
      <c r="AN48" s="109">
        <f>IFERROR(INDEX(AGO!I$8:I$73,MATCH($A48,AGO!$A$8:$A$73,0))&amp;"","")</f>
        <v/>
      </c>
      <c r="AO48" s="109">
        <f>IFERROR(INDEX(AGO!J$8:J$73,MATCH($A48,AGO!$A$8:$A$73,0))&amp;"","")</f>
        <v/>
      </c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SUMPRODUCT(($G48:$M48="M")*6+($G48:$M48="T")*6+($G48:$M48="D")*12+($G48:$M48="N")*12+($G48:$M48="NT")*6+($G48:$M48="C")*10+($G48:$M48="A")*8+($G48:$M48="J")*5+($G48:$M48="E")*4+($G48:$M48="P")*6+($G48:$M48="R")*6)</f>
        <v/>
      </c>
      <c r="BF48" s="110">
        <f>SUMPRODUCT(($N48:$T48="M")*6+($N48:$T48="T")*6+($N48:$T48="D")*12+($N48:$T48="N")*12+($N48:$T48="NT")*6+($N48:$T48="C")*10+($N48:$T48="A")*8+($N48:$T48="J")*5+($N48:$T48="E")*4+($N48:$T48="P")*6+($N48:$T48="R")*6)</f>
        <v/>
      </c>
      <c r="BG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H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I48" s="110">
        <f>SUMPRODUCT(($AI48:$AM48="M")*6+($AI48:$AM48="T")*6+($AI48:$AM48="D")*12+($AI48:$AM48="N")*12+($AI48:$AM48="NT")*6+($AI48:$AM48="C")*10+($AI48:$AM48="A")*8+($AI48:$AM48="J")*5+($AI48:$AM48="E")*4+($AI48:$AM48="P")*6+($AI48:$AM48="R")*6)+SUMPRODUCT(($AN48:$AO48="M")*6+($AN48:$AO48="T")*6+($AN48:$AO48="D")*12+($AN48:$AO48="N")*12+($AN48:$AO48="NT")*6+($AN48:$AO48="C")*10+($AN48:$AO48="A")*8+($AN48:$AO48="J")*5+($AN48:$AO48="E")*4+($AN48:$AO48="P")*6+($AN48:$AO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3">
        <f>IFERROR(INDEX(JUN!AK$8:AK$73,MATCH($A49,JUN!$A$8:$A$73,0))&amp;"","")</f>
        <v/>
      </c>
      <c r="H49" s="123">
        <f>IFERROR(INDEX(JUN!AL$8:AL$73,MATCH($A49,JUN!$A$8:$A$73,0))&amp;"","")</f>
        <v/>
      </c>
      <c r="I49" s="115" t="inlineStr">
        <is>
          <t>D</t>
        </is>
      </c>
      <c r="J49" s="107" t="n"/>
      <c r="K49" s="107" t="n"/>
      <c r="L49" s="107" t="n"/>
      <c r="M49" s="107" t="n"/>
      <c r="N49" s="107" t="n"/>
      <c r="O49" s="107" t="n"/>
      <c r="P49" s="115" t="inlineStr">
        <is>
          <t>D</t>
        </is>
      </c>
      <c r="Q49" s="107" t="n"/>
      <c r="R49" s="107" t="n"/>
      <c r="S49" s="115" t="inlineStr">
        <is>
          <t>D</t>
        </is>
      </c>
      <c r="T49" s="107" t="n"/>
      <c r="U49" s="107" t="n"/>
      <c r="V49" s="107" t="n"/>
      <c r="W49" s="115" t="inlineStr">
        <is>
          <t>D</t>
        </is>
      </c>
      <c r="X49" s="107" t="n"/>
      <c r="Y49" s="115" t="inlineStr">
        <is>
          <t>D</t>
        </is>
      </c>
      <c r="Z49" s="107" t="n"/>
      <c r="AA49" s="107" t="n"/>
      <c r="AB49" s="107" t="n"/>
      <c r="AC49" s="107" t="n"/>
      <c r="AD49" s="115" t="inlineStr">
        <is>
          <t>D</t>
        </is>
      </c>
      <c r="AE49" s="107" t="n"/>
      <c r="AF49" s="107" t="n"/>
      <c r="AG49" s="107" t="n"/>
      <c r="AH49" s="115" t="inlineStr">
        <is>
          <t>D</t>
        </is>
      </c>
      <c r="AI49" s="115" t="inlineStr">
        <is>
          <t>D</t>
        </is>
      </c>
      <c r="AJ49" s="107" t="n"/>
      <c r="AK49" s="115" t="inlineStr">
        <is>
          <t>D</t>
        </is>
      </c>
      <c r="AL49" s="107" t="n"/>
      <c r="AM49" s="107" t="n"/>
      <c r="AN49" s="109">
        <f>IFERROR(INDEX(AGO!I$8:I$73,MATCH($A49,AGO!$A$8:$A$73,0))&amp;"","")</f>
        <v/>
      </c>
      <c r="AO49" s="109">
        <f>IFERROR(INDEX(AGO!J$8:J$73,MATCH($A49,AGO!$A$8:$A$73,0))&amp;"","")</f>
        <v/>
      </c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SUMPRODUCT(($G49:$M49="M")*6+($G49:$M49="T")*6+($G49:$M49="D")*12+($G49:$M49="N")*12+($G49:$M49="NT")*6+($G49:$M49="C")*10+($G49:$M49="A")*8+($G49:$M49="J")*5+($G49:$M49="E")*4+($G49:$M49="P")*6+($G49:$M49="R")*6)</f>
        <v/>
      </c>
      <c r="BF49" s="110">
        <f>SUMPRODUCT(($N49:$T49="M")*6+($N49:$T49="T")*6+($N49:$T49="D")*12+($N49:$T49="N")*12+($N49:$T49="NT")*6+($N49:$T49="C")*10+($N49:$T49="A")*8+($N49:$T49="J")*5+($N49:$T49="E")*4+($N49:$T49="P")*6+($N49:$T49="R")*6)</f>
        <v/>
      </c>
      <c r="BG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H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I49" s="110">
        <f>SUMPRODUCT(($AI49:$AM49="M")*6+($AI49:$AM49="T")*6+($AI49:$AM49="D")*12+($AI49:$AM49="N")*12+($AI49:$AM49="NT")*6+($AI49:$AM49="C")*10+($AI49:$AM49="A")*8+($AI49:$AM49="J")*5+($AI49:$AM49="E")*4+($AI49:$AM49="P")*6+($AI49:$AM49="R")*6)+SUMPRODUCT(($AN49:$AO49="M")*6+($AN49:$AO49="T")*6+($AN49:$AO49="D")*12+($AN49:$AO49="N")*12+($AN49:$AO49="NT")*6+($AN49:$AO49="C")*10+($AN49:$AO49="A")*8+($AN49:$AO49="J")*5+($AN49:$AO49="E")*4+($AN49:$AO49="P")*6+($AN49:$AO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3">
        <f>IFERROR(INDEX(JUN!AK$8:AK$73,MATCH($A50,JUN!$A$8:$A$73,0))&amp;"","")</f>
        <v/>
      </c>
      <c r="H50" s="123">
        <f>IFERROR(INDEX(JUN!AL$8:AL$73,MATCH($A50,JUN!$A$8:$A$73,0))&amp;"","")</f>
        <v/>
      </c>
      <c r="I50" s="107" t="n"/>
      <c r="J50" s="107" t="n"/>
      <c r="K50" s="107" t="n"/>
      <c r="L50" s="116" t="inlineStr">
        <is>
          <t>N</t>
        </is>
      </c>
      <c r="M50" s="107" t="n"/>
      <c r="N50" s="107" t="n"/>
      <c r="O50" s="115" t="inlineStr">
        <is>
          <t>D</t>
        </is>
      </c>
      <c r="P50" s="107" t="n"/>
      <c r="Q50" s="107" t="n"/>
      <c r="R50" s="116" t="inlineStr">
        <is>
          <t>N</t>
        </is>
      </c>
      <c r="S50" s="107" t="n"/>
      <c r="T50" s="107" t="n"/>
      <c r="U50" s="108" t="inlineStr">
        <is>
          <t>M</t>
        </is>
      </c>
      <c r="V50" s="116" t="inlineStr">
        <is>
          <t>N</t>
        </is>
      </c>
      <c r="W50" s="107" t="n"/>
      <c r="X50" s="107" t="n"/>
      <c r="Y50" s="117" t="inlineStr">
        <is>
          <t>T</t>
        </is>
      </c>
      <c r="Z50" s="107" t="n"/>
      <c r="AA50" s="107" t="n"/>
      <c r="AB50" s="107" t="n"/>
      <c r="AC50" s="117" t="inlineStr">
        <is>
          <t>T</t>
        </is>
      </c>
      <c r="AD50" s="107" t="n"/>
      <c r="AE50" s="107" t="n"/>
      <c r="AF50" s="107" t="n"/>
      <c r="AG50" s="116" t="inlineStr">
        <is>
          <t>N</t>
        </is>
      </c>
      <c r="AH50" s="117" t="inlineStr">
        <is>
          <t>T</t>
        </is>
      </c>
      <c r="AI50" s="115" t="inlineStr">
        <is>
          <t>D</t>
        </is>
      </c>
      <c r="AJ50" s="107" t="n"/>
      <c r="AK50" s="108" t="inlineStr">
        <is>
          <t>M</t>
        </is>
      </c>
      <c r="AL50" s="107" t="n"/>
      <c r="AM50" s="117" t="inlineStr">
        <is>
          <t>T</t>
        </is>
      </c>
      <c r="AN50" s="109">
        <f>IFERROR(INDEX(AGO!I$8:I$73,MATCH($A50,AGO!$A$8:$A$73,0))&amp;"","")</f>
        <v/>
      </c>
      <c r="AO50" s="109">
        <f>IFERROR(INDEX(AGO!J$8:J$73,MATCH($A50,AGO!$A$8:$A$73,0))&amp;"","")</f>
        <v/>
      </c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SUMPRODUCT(($G50:$M50="M")*6+($G50:$M50="T")*6+($G50:$M50="D")*12+($G50:$M50="N")*12+($G50:$M50="NT")*6+($G50:$M50="C")*10+($G50:$M50="A")*8+($G50:$M50="J")*5+($G50:$M50="E")*4+($G50:$M50="P")*6+($G50:$M50="R")*6)</f>
        <v/>
      </c>
      <c r="BF50" s="110">
        <f>SUMPRODUCT(($N50:$T50="M")*6+($N50:$T50="T")*6+($N50:$T50="D")*12+($N50:$T50="N")*12+($N50:$T50="NT")*6+($N50:$T50="C")*10+($N50:$T50="A")*8+($N50:$T50="J")*5+($N50:$T50="E")*4+($N50:$T50="P")*6+($N50:$T50="R")*6)</f>
        <v/>
      </c>
      <c r="BG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H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I50" s="110">
        <f>SUMPRODUCT(($AI50:$AM50="M")*6+($AI50:$AM50="T")*6+($AI50:$AM50="D")*12+($AI50:$AM50="N")*12+($AI50:$AM50="NT")*6+($AI50:$AM50="C")*10+($AI50:$AM50="A")*8+($AI50:$AM50="J")*5+($AI50:$AM50="E")*4+($AI50:$AM50="P")*6+($AI50:$AM50="R")*6)+SUMPRODUCT(($AN50:$AO50="M")*6+($AN50:$AO50="T")*6+($AN50:$AO50="D")*12+($AN50:$AO50="N")*12+($AN50:$AO50="NT")*6+($AN50:$AO50="C")*10+($AN50:$AO50="A")*8+($AN50:$AO50="J")*5+($AN50:$AO50="E")*4+($AN50:$AO50="P")*6+($AN50:$AO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3">
        <f>IFERROR(INDEX(JUN!AK$8:AK$73,MATCH($A51,JUN!$A$8:$A$73,0))&amp;"","")</f>
        <v/>
      </c>
      <c r="H51" s="123">
        <f>IFERROR(INDEX(JUN!AL$8:AL$73,MATCH($A51,JUN!$A$8:$A$73,0))&amp;"","")</f>
        <v/>
      </c>
      <c r="I51" s="127" t="inlineStr">
        <is>
          <t>LM</t>
        </is>
      </c>
      <c r="J51" s="127" t="inlineStr">
        <is>
          <t>LM</t>
        </is>
      </c>
      <c r="K51" s="127" t="inlineStr">
        <is>
          <t>LM</t>
        </is>
      </c>
      <c r="L51" s="127" t="inlineStr">
        <is>
          <t>LM</t>
        </is>
      </c>
      <c r="M51" s="127" t="inlineStr">
        <is>
          <t>LM</t>
        </is>
      </c>
      <c r="N51" s="127" t="inlineStr">
        <is>
          <t>LM</t>
        </is>
      </c>
      <c r="O51" s="127" t="inlineStr">
        <is>
          <t>LM</t>
        </is>
      </c>
      <c r="P51" s="127" t="inlineStr">
        <is>
          <t>LM</t>
        </is>
      </c>
      <c r="Q51" s="127" t="inlineStr">
        <is>
          <t>LM</t>
        </is>
      </c>
      <c r="R51" s="127" t="inlineStr">
        <is>
          <t>LM</t>
        </is>
      </c>
      <c r="S51" s="127" t="inlineStr">
        <is>
          <t>LM</t>
        </is>
      </c>
      <c r="T51" s="127" t="inlineStr">
        <is>
          <t>LM</t>
        </is>
      </c>
      <c r="U51" s="127" t="inlineStr">
        <is>
          <t>LM</t>
        </is>
      </c>
      <c r="V51" s="127" t="inlineStr">
        <is>
          <t>LM</t>
        </is>
      </c>
      <c r="W51" s="127" t="inlineStr">
        <is>
          <t>LM</t>
        </is>
      </c>
      <c r="X51" s="127" t="inlineStr">
        <is>
          <t>LM</t>
        </is>
      </c>
      <c r="Y51" s="127" t="inlineStr">
        <is>
          <t>LM</t>
        </is>
      </c>
      <c r="Z51" s="127" t="inlineStr">
        <is>
          <t>LM</t>
        </is>
      </c>
      <c r="AA51" s="127" t="inlineStr">
        <is>
          <t>LM</t>
        </is>
      </c>
      <c r="AB51" s="127" t="inlineStr">
        <is>
          <t>LM</t>
        </is>
      </c>
      <c r="AC51" s="127" t="inlineStr">
        <is>
          <t>LM</t>
        </is>
      </c>
      <c r="AD51" s="127" t="inlineStr">
        <is>
          <t>LM</t>
        </is>
      </c>
      <c r="AE51" s="127" t="inlineStr">
        <is>
          <t>LM</t>
        </is>
      </c>
      <c r="AF51" s="127" t="inlineStr">
        <is>
          <t>LM</t>
        </is>
      </c>
      <c r="AG51" s="127" t="inlineStr">
        <is>
          <t>LM</t>
        </is>
      </c>
      <c r="AH51" s="127" t="inlineStr">
        <is>
          <t>LM</t>
        </is>
      </c>
      <c r="AI51" s="127" t="inlineStr">
        <is>
          <t>LM</t>
        </is>
      </c>
      <c r="AJ51" s="127" t="inlineStr">
        <is>
          <t>LM</t>
        </is>
      </c>
      <c r="AK51" s="127" t="inlineStr">
        <is>
          <t>LM</t>
        </is>
      </c>
      <c r="AL51" s="127" t="inlineStr">
        <is>
          <t>LM</t>
        </is>
      </c>
      <c r="AM51" s="127" t="inlineStr">
        <is>
          <t>LM</t>
        </is>
      </c>
      <c r="AN51" s="109">
        <f>IFERROR(INDEX(AGO!I$8:I$73,MATCH($A51,AGO!$A$8:$A$73,0))&amp;"","")</f>
        <v/>
      </c>
      <c r="AO51" s="109">
        <f>IFERROR(INDEX(AGO!J$8:J$73,MATCH($A51,AGO!$A$8:$A$73,0))&amp;"","")</f>
        <v/>
      </c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SUMPRODUCT(($G51:$M51="M")*6+($G51:$M51="T")*6+($G51:$M51="D")*12+($G51:$M51="N")*12+($G51:$M51="NT")*6+($G51:$M51="C")*10+($G51:$M51="A")*8+($G51:$M51="J")*5+($G51:$M51="E")*4+($G51:$M51="P")*6+($G51:$M51="R")*6)</f>
        <v/>
      </c>
      <c r="BF51" s="110">
        <f>SUMPRODUCT(($N51:$T51="M")*6+($N51:$T51="T")*6+($N51:$T51="D")*12+($N51:$T51="N")*12+($N51:$T51="NT")*6+($N51:$T51="C")*10+($N51:$T51="A")*8+($N51:$T51="J")*5+($N51:$T51="E")*4+($N51:$T51="P")*6+($N51:$T51="R")*6)</f>
        <v/>
      </c>
      <c r="BG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H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I51" s="110">
        <f>SUMPRODUCT(($AI51:$AM51="M")*6+($AI51:$AM51="T")*6+($AI51:$AM51="D")*12+($AI51:$AM51="N")*12+($AI51:$AM51="NT")*6+($AI51:$AM51="C")*10+($AI51:$AM51="A")*8+($AI51:$AM51="J")*5+($AI51:$AM51="E")*4+($AI51:$AM51="P")*6+($AI51:$AM51="R")*6)+SUMPRODUCT(($AN51:$AO51="M")*6+($AN51:$AO51="T")*6+($AN51:$AO51="D")*12+($AN51:$AO51="N")*12+($AN51:$AO51="NT")*6+($AN51:$AO51="C")*10+($AN51:$AO51="A")*8+($AN51:$AO51="J")*5+($AN51:$AO51="E")*4+($AN51:$AO51="P")*6+($AN51:$AO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3">
        <f>IFERROR(INDEX(JUN!AK$8:AK$73,MATCH($A52,JUN!$A$8:$A$73,0))&amp;"","")</f>
        <v/>
      </c>
      <c r="H52" s="123">
        <f>IFERROR(INDEX(JUN!AL$8:AL$73,MATCH($A52,JUN!$A$8:$A$73,0))&amp;"","")</f>
        <v/>
      </c>
      <c r="I52" s="107" t="n"/>
      <c r="J52" s="107" t="n"/>
      <c r="K52" s="116" t="inlineStr">
        <is>
          <t>N</t>
        </is>
      </c>
      <c r="L52" s="107" t="n"/>
      <c r="M52" s="107" t="n"/>
      <c r="N52" s="116" t="inlineStr">
        <is>
          <t>N</t>
        </is>
      </c>
      <c r="O52" s="107" t="n"/>
      <c r="P52" s="107" t="n"/>
      <c r="Q52" s="107" t="n"/>
      <c r="R52" s="107" t="n"/>
      <c r="S52" s="116" t="inlineStr">
        <is>
          <t>N</t>
        </is>
      </c>
      <c r="T52" s="107" t="n"/>
      <c r="U52" s="116" t="inlineStr">
        <is>
          <t>N</t>
        </is>
      </c>
      <c r="V52" s="107" t="n"/>
      <c r="W52" s="107" t="n"/>
      <c r="X52" s="107" t="n"/>
      <c r="Y52" s="116" t="inlineStr">
        <is>
          <t>N</t>
        </is>
      </c>
      <c r="Z52" s="107" t="n"/>
      <c r="AA52" s="108" t="inlineStr">
        <is>
          <t>M</t>
        </is>
      </c>
      <c r="AB52" s="116" t="inlineStr">
        <is>
          <t>N</t>
        </is>
      </c>
      <c r="AC52" s="107" t="n"/>
      <c r="AD52" s="107" t="n"/>
      <c r="AE52" s="107" t="n"/>
      <c r="AF52" s="116" t="inlineStr">
        <is>
          <t>N</t>
        </is>
      </c>
      <c r="AG52" s="107" t="n"/>
      <c r="AH52" s="107" t="n"/>
      <c r="AI52" s="118" t="inlineStr">
        <is>
          <t>NT</t>
        </is>
      </c>
      <c r="AJ52" s="107" t="n"/>
      <c r="AK52" s="107" t="n"/>
      <c r="AL52" s="107" t="n"/>
      <c r="AM52" s="107" t="n"/>
      <c r="AN52" s="109">
        <f>IFERROR(INDEX(AGO!I$8:I$73,MATCH($A52,AGO!$A$8:$A$73,0))&amp;"","")</f>
        <v/>
      </c>
      <c r="AO52" s="109">
        <f>IFERROR(INDEX(AGO!J$8:J$73,MATCH($A52,AGO!$A$8:$A$73,0))&amp;"","")</f>
        <v/>
      </c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SUMPRODUCT(($G52:$M52="M")*6+($G52:$M52="T")*6+($G52:$M52="D")*12+($G52:$M52="N")*12+($G52:$M52="NT")*6+($G52:$M52="C")*10+($G52:$M52="A")*8+($G52:$M52="J")*5+($G52:$M52="E")*4+($G52:$M52="P")*6+($G52:$M52="R")*6)</f>
        <v/>
      </c>
      <c r="BF52" s="110">
        <f>SUMPRODUCT(($N52:$T52="M")*6+($N52:$T52="T")*6+($N52:$T52="D")*12+($N52:$T52="N")*12+($N52:$T52="NT")*6+($N52:$T52="C")*10+($N52:$T52="A")*8+($N52:$T52="J")*5+($N52:$T52="E")*4+($N52:$T52="P")*6+($N52:$T52="R")*6)</f>
        <v/>
      </c>
      <c r="BG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H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I52" s="110">
        <f>SUMPRODUCT(($AI52:$AM52="M")*6+($AI52:$AM52="T")*6+($AI52:$AM52="D")*12+($AI52:$AM52="N")*12+($AI52:$AM52="NT")*6+($AI52:$AM52="C")*10+($AI52:$AM52="A")*8+($AI52:$AM52="J")*5+($AI52:$AM52="E")*4+($AI52:$AM52="P")*6+($AI52:$AM52="R")*6)+SUMPRODUCT(($AN52:$AO52="M")*6+($AN52:$AO52="T")*6+($AN52:$AO52="D")*12+($AN52:$AO52="N")*12+($AN52:$AO52="NT")*6+($AN52:$AO52="C")*10+($AN52:$AO52="A")*8+($AN52:$AO52="J")*5+($AN52:$AO52="E")*4+($AN52:$AO52="P")*6+($AN52:$AO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3">
        <f>IFERROR(INDEX(JUN!AK$8:AK$73,MATCH($A53,JUN!$A$8:$A$73,0))&amp;"","")</f>
        <v/>
      </c>
      <c r="H53" s="123">
        <f>IFERROR(INDEX(JUN!AL$8:AL$73,MATCH($A53,JUN!$A$8:$A$73,0))&amp;"","")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16" t="inlineStr">
        <is>
          <t>N</t>
        </is>
      </c>
      <c r="S53" s="107" t="n"/>
      <c r="T53" s="116" t="inlineStr">
        <is>
          <t>N</t>
        </is>
      </c>
      <c r="U53" s="116" t="inlineStr">
        <is>
          <t>N</t>
        </is>
      </c>
      <c r="V53" s="116" t="inlineStr">
        <is>
          <t>N</t>
        </is>
      </c>
      <c r="W53" s="107" t="n"/>
      <c r="X53" s="107" t="n"/>
      <c r="Y53" s="107" t="n"/>
      <c r="Z53" s="107" t="n"/>
      <c r="AA53" s="107" t="n"/>
      <c r="AB53" s="107" t="n"/>
      <c r="AC53" s="116" t="inlineStr">
        <is>
          <t>N</t>
        </is>
      </c>
      <c r="AD53" s="107" t="n"/>
      <c r="AE53" s="107" t="n"/>
      <c r="AF53" s="107" t="n"/>
      <c r="AG53" s="107" t="n"/>
      <c r="AH53" s="116" t="inlineStr">
        <is>
          <t>N</t>
        </is>
      </c>
      <c r="AI53" s="107" t="n"/>
      <c r="AJ53" s="116" t="inlineStr">
        <is>
          <t>N</t>
        </is>
      </c>
      <c r="AK53" s="107" t="n"/>
      <c r="AL53" s="107" t="n"/>
      <c r="AM53" s="107" t="n"/>
      <c r="AN53" s="109">
        <f>IFERROR(INDEX(AGO!I$8:I$73,MATCH($A53,AGO!$A$8:$A$73,0))&amp;"","")</f>
        <v/>
      </c>
      <c r="AO53" s="109">
        <f>IFERROR(INDEX(AGO!J$8:J$73,MATCH($A53,AGO!$A$8:$A$73,0))&amp;"","")</f>
        <v/>
      </c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SUMPRODUCT(($G53:$M53="M")*6+($G53:$M53="T")*6+($G53:$M53="D")*12+($G53:$M53="N")*12+($G53:$M53="NT")*6+($G53:$M53="C")*10+($G53:$M53="A")*8+($G53:$M53="J")*5+($G53:$M53="E")*4+($G53:$M53="P")*6+($G53:$M53="R")*6)</f>
        <v/>
      </c>
      <c r="BF53" s="110">
        <f>SUMPRODUCT(($N53:$T53="M")*6+($N53:$T53="T")*6+($N53:$T53="D")*12+($N53:$T53="N")*12+($N53:$T53="NT")*6+($N53:$T53="C")*10+($N53:$T53="A")*8+($N53:$T53="J")*5+($N53:$T53="E")*4+($N53:$T53="P")*6+($N53:$T53="R")*6)</f>
        <v/>
      </c>
      <c r="BG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H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I53" s="110">
        <f>SUMPRODUCT(($AI53:$AM53="M")*6+($AI53:$AM53="T")*6+($AI53:$AM53="D")*12+($AI53:$AM53="N")*12+($AI53:$AM53="NT")*6+($AI53:$AM53="C")*10+($AI53:$AM53="A")*8+($AI53:$AM53="J")*5+($AI53:$AM53="E")*4+($AI53:$AM53="P")*6+($AI53:$AM53="R")*6)+SUMPRODUCT(($AN53:$AO53="M")*6+($AN53:$AO53="T")*6+($AN53:$AO53="D")*12+($AN53:$AO53="N")*12+($AN53:$AO53="NT")*6+($AN53:$AO53="C")*10+($AN53:$AO53="A")*8+($AN53:$AO53="J")*5+($AN53:$AO53="E")*4+($AN53:$AO53="P")*6+($AN53:$AO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3">
        <f>IFERROR(INDEX(JUN!AK$8:AK$73,MATCH($A54,JUN!$A$8:$A$73,0))&amp;"","")</f>
        <v/>
      </c>
      <c r="H54" s="123">
        <f>IFERROR(INDEX(JUN!AL$8:AL$73,MATCH($A54,JUN!$A$8:$A$73,0))&amp;"","")</f>
        <v/>
      </c>
      <c r="I54" s="107" t="n"/>
      <c r="J54" s="116" t="inlineStr">
        <is>
          <t>N</t>
        </is>
      </c>
      <c r="K54" s="107" t="n"/>
      <c r="L54" s="116" t="inlineStr">
        <is>
          <t>N</t>
        </is>
      </c>
      <c r="M54" s="107" t="n"/>
      <c r="N54" s="107" t="n"/>
      <c r="O54" s="107" t="n"/>
      <c r="P54" s="107" t="n"/>
      <c r="Q54" s="116" t="inlineStr">
        <is>
          <t>N</t>
        </is>
      </c>
      <c r="R54" s="107" t="n"/>
      <c r="S54" s="107" t="n"/>
      <c r="T54" s="116" t="inlineStr">
        <is>
          <t>N</t>
        </is>
      </c>
      <c r="U54" s="107" t="n"/>
      <c r="V54" s="107" t="n"/>
      <c r="W54" s="107" t="n"/>
      <c r="X54" s="116" t="inlineStr">
        <is>
          <t>N</t>
        </is>
      </c>
      <c r="Y54" s="107" t="n"/>
      <c r="Z54" s="116" t="inlineStr">
        <is>
          <t>N</t>
        </is>
      </c>
      <c r="AA54" s="107" t="n"/>
      <c r="AB54" s="107" t="n"/>
      <c r="AC54" s="107" t="n"/>
      <c r="AD54" s="107" t="n"/>
      <c r="AE54" s="116" t="inlineStr">
        <is>
          <t>N</t>
        </is>
      </c>
      <c r="AF54" s="107" t="n"/>
      <c r="AG54" s="116" t="inlineStr">
        <is>
          <t>N</t>
        </is>
      </c>
      <c r="AH54" s="107" t="n"/>
      <c r="AI54" s="107" t="n"/>
      <c r="AJ54" s="107" t="n"/>
      <c r="AK54" s="107" t="n"/>
      <c r="AL54" s="116" t="inlineStr">
        <is>
          <t>N</t>
        </is>
      </c>
      <c r="AM54" s="107" t="n"/>
      <c r="AN54" s="109">
        <f>IFERROR(INDEX(AGO!I$8:I$73,MATCH($A54,AGO!$A$8:$A$73,0))&amp;"","")</f>
        <v/>
      </c>
      <c r="AO54" s="109">
        <f>IFERROR(INDEX(AGO!J$8:J$73,MATCH($A54,AGO!$A$8:$A$73,0))&amp;"","")</f>
        <v/>
      </c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SUMPRODUCT(($G54:$M54="M")*6+($G54:$M54="T")*6+($G54:$M54="D")*12+($G54:$M54="N")*12+($G54:$M54="NT")*6+($G54:$M54="C")*10+($G54:$M54="A")*8+($G54:$M54="J")*5+($G54:$M54="E")*4+($G54:$M54="P")*6+($G54:$M54="R")*6)</f>
        <v/>
      </c>
      <c r="BF54" s="110">
        <f>SUMPRODUCT(($N54:$T54="M")*6+($N54:$T54="T")*6+($N54:$T54="D")*12+($N54:$T54="N")*12+($N54:$T54="NT")*6+($N54:$T54="C")*10+($N54:$T54="A")*8+($N54:$T54="J")*5+($N54:$T54="E")*4+($N54:$T54="P")*6+($N54:$T54="R")*6)</f>
        <v/>
      </c>
      <c r="BG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H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I54" s="110">
        <f>SUMPRODUCT(($AI54:$AM54="M")*6+($AI54:$AM54="T")*6+($AI54:$AM54="D")*12+($AI54:$AM54="N")*12+($AI54:$AM54="NT")*6+($AI54:$AM54="C")*10+($AI54:$AM54="A")*8+($AI54:$AM54="J")*5+($AI54:$AM54="E")*4+($AI54:$AM54="P")*6+($AI54:$AM54="R")*6)+SUMPRODUCT(($AN54:$AO54="M")*6+($AN54:$AO54="T")*6+($AN54:$AO54="D")*12+($AN54:$AO54="N")*12+($AN54:$AO54="NT")*6+($AN54:$AO54="C")*10+($AN54:$AO54="A")*8+($AN54:$AO54="J")*5+($AN54:$AO54="E")*4+($AN54:$AO54="P")*6+($AN54:$AO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3">
        <f>IFERROR(INDEX(JUN!AK$8:AK$73,MATCH($A55,JUN!$A$8:$A$73,0))&amp;"","")</f>
        <v/>
      </c>
      <c r="H55" s="123">
        <f>IFERROR(INDEX(JUN!AL$8:AL$73,MATCH($A55,JUN!$A$8:$A$73,0))&amp;"","")</f>
        <v/>
      </c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7" t="n"/>
      <c r="U55" s="108" t="inlineStr">
        <is>
          <t>M</t>
        </is>
      </c>
      <c r="V55" s="107" t="n"/>
      <c r="W55" s="108" t="inlineStr">
        <is>
          <t>M</t>
        </is>
      </c>
      <c r="X55" s="107" t="n"/>
      <c r="Y55" s="108" t="inlineStr">
        <is>
          <t>M</t>
        </is>
      </c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8" t="inlineStr">
        <is>
          <t>M</t>
        </is>
      </c>
      <c r="AM55" s="107" t="n"/>
      <c r="AN55" s="109">
        <f>IFERROR(INDEX(AGO!I$8:I$73,MATCH($A55,AGO!$A$8:$A$73,0))&amp;"","")</f>
        <v/>
      </c>
      <c r="AO55" s="109">
        <f>IFERROR(INDEX(AGO!J$8:J$73,MATCH($A55,AGO!$A$8:$A$73,0))&amp;"","")</f>
        <v/>
      </c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SUMPRODUCT(($G55:$M55="M")*6+($G55:$M55="T")*6+($G55:$M55="D")*12+($G55:$M55="N")*12+($G55:$M55="NT")*6+($G55:$M55="C")*10+($G55:$M55="A")*8+($G55:$M55="J")*5+($G55:$M55="E")*4+($G55:$M55="P")*6+($G55:$M55="R")*6)</f>
        <v/>
      </c>
      <c r="BF55" s="110">
        <f>SUMPRODUCT(($N55:$T55="M")*6+($N55:$T55="T")*6+($N55:$T55="D")*12+($N55:$T55="N")*12+($N55:$T55="NT")*6+($N55:$T55="C")*10+($N55:$T55="A")*8+($N55:$T55="J")*5+($N55:$T55="E")*4+($N55:$T55="P")*6+($N55:$T55="R")*6)</f>
        <v/>
      </c>
      <c r="BG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H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I55" s="110">
        <f>SUMPRODUCT(($AI55:$AM55="M")*6+($AI55:$AM55="T")*6+($AI55:$AM55="D")*12+($AI55:$AM55="N")*12+($AI55:$AM55="NT")*6+($AI55:$AM55="C")*10+($AI55:$AM55="A")*8+($AI55:$AM55="J")*5+($AI55:$AM55="E")*4+($AI55:$AM55="P")*6+($AI55:$AM55="R")*6)+SUMPRODUCT(($AN55:$AO55="M")*6+($AN55:$AO55="T")*6+($AN55:$AO55="D")*12+($AN55:$AO55="N")*12+($AN55:$AO55="NT")*6+($AN55:$AO55="C")*10+($AN55:$AO55="A")*8+($AN55:$AO55="J")*5+($AN55:$AO55="E")*4+($AN55:$AO55="P")*6+($AN55:$AO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3">
        <f>IFERROR(INDEX(JUN!AK$8:AK$73,MATCH($A56,JUN!$A$8:$A$73,0))&amp;"","")</f>
        <v/>
      </c>
      <c r="H56" s="123">
        <f>IFERROR(INDEX(JUN!AL$8:AL$73,MATCH($A56,JUN!$A$8:$A$73,0))&amp;"","")</f>
        <v/>
      </c>
      <c r="I56" s="107" t="n"/>
      <c r="J56" s="115" t="inlineStr">
        <is>
          <t>D</t>
        </is>
      </c>
      <c r="K56" s="107" t="n"/>
      <c r="L56" s="107" t="n"/>
      <c r="M56" s="107" t="n"/>
      <c r="N56" s="107" t="n"/>
      <c r="O56" s="115" t="inlineStr">
        <is>
          <t>D</t>
        </is>
      </c>
      <c r="P56" s="107" t="n"/>
      <c r="Q56" s="115" t="inlineStr">
        <is>
          <t>D</t>
        </is>
      </c>
      <c r="R56" s="107" t="n"/>
      <c r="S56" s="115" t="inlineStr">
        <is>
          <t>D</t>
        </is>
      </c>
      <c r="T56" s="107" t="n"/>
      <c r="U56" s="107" t="n"/>
      <c r="V56" s="115" t="inlineStr">
        <is>
          <t>D</t>
        </is>
      </c>
      <c r="W56" s="107" t="n"/>
      <c r="X56" s="115" t="inlineStr">
        <is>
          <t>D</t>
        </is>
      </c>
      <c r="Y56" s="107" t="n"/>
      <c r="Z56" s="107" t="n"/>
      <c r="AA56" s="107" t="n"/>
      <c r="AB56" s="107" t="n"/>
      <c r="AC56" s="115" t="inlineStr">
        <is>
          <t>D</t>
        </is>
      </c>
      <c r="AD56" s="107" t="n"/>
      <c r="AE56" s="115" t="inlineStr">
        <is>
          <t>D</t>
        </is>
      </c>
      <c r="AF56" s="107" t="n"/>
      <c r="AG56" s="115" t="inlineStr">
        <is>
          <t>D</t>
        </is>
      </c>
      <c r="AH56" s="107" t="n"/>
      <c r="AI56" s="107" t="n"/>
      <c r="AJ56" s="107" t="n"/>
      <c r="AK56" s="107" t="n"/>
      <c r="AL56" s="115" t="inlineStr">
        <is>
          <t>D</t>
        </is>
      </c>
      <c r="AM56" s="107" t="n"/>
      <c r="AN56" s="109">
        <f>IFERROR(INDEX(AGO!I$8:I$73,MATCH($A56,AGO!$A$8:$A$73,0))&amp;"","")</f>
        <v/>
      </c>
      <c r="AO56" s="109">
        <f>IFERROR(INDEX(AGO!J$8:J$73,MATCH($A56,AGO!$A$8:$A$73,0))&amp;"","")</f>
        <v/>
      </c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SUMPRODUCT(($G56:$M56="M")*6+($G56:$M56="T")*6+($G56:$M56="D")*12+($G56:$M56="N")*12+($G56:$M56="NT")*6+($G56:$M56="C")*10+($G56:$M56="A")*8+($G56:$M56="J")*5+($G56:$M56="E")*4+($G56:$M56="P")*6+($G56:$M56="R")*6)</f>
        <v/>
      </c>
      <c r="BF56" s="110">
        <f>SUMPRODUCT(($N56:$T56="M")*6+($N56:$T56="T")*6+($N56:$T56="D")*12+($N56:$T56="N")*12+($N56:$T56="NT")*6+($N56:$T56="C")*10+($N56:$T56="A")*8+($N56:$T56="J")*5+($N56:$T56="E")*4+($N56:$T56="P")*6+($N56:$T56="R")*6)</f>
        <v/>
      </c>
      <c r="BG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H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I56" s="110">
        <f>SUMPRODUCT(($AI56:$AM56="M")*6+($AI56:$AM56="T")*6+($AI56:$AM56="D")*12+($AI56:$AM56="N")*12+($AI56:$AM56="NT")*6+($AI56:$AM56="C")*10+($AI56:$AM56="A")*8+($AI56:$AM56="J")*5+($AI56:$AM56="E")*4+($AI56:$AM56="P")*6+($AI56:$AM56="R")*6)+SUMPRODUCT(($AN56:$AO56="M")*6+($AN56:$AO56="T")*6+($AN56:$AO56="D")*12+($AN56:$AO56="N")*12+($AN56:$AO56="NT")*6+($AN56:$AO56="C")*10+($AN56:$AO56="A")*8+($AN56:$AO56="J")*5+($AN56:$AO56="E")*4+($AN56:$AO56="P")*6+($AN56:$AO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3">
        <f>IFERROR(INDEX(JUN!AK$8:AK$73,MATCH($A57,JUN!$A$8:$A$73,0))&amp;"","")</f>
        <v/>
      </c>
      <c r="H57" s="123">
        <f>IFERROR(INDEX(JUN!AL$8:AL$73,MATCH($A57,JUN!$A$8:$A$73,0))&amp;"","")</f>
        <v/>
      </c>
      <c r="I57" s="107" t="n"/>
      <c r="J57" s="116" t="inlineStr">
        <is>
          <t>N</t>
        </is>
      </c>
      <c r="K57" s="107" t="n"/>
      <c r="L57" s="115" t="inlineStr">
        <is>
          <t>D</t>
        </is>
      </c>
      <c r="M57" s="107" t="n"/>
      <c r="N57" s="116" t="inlineStr">
        <is>
          <t>N</t>
        </is>
      </c>
      <c r="O57" s="107" t="n"/>
      <c r="P57" s="107" t="n"/>
      <c r="Q57" s="107" t="n"/>
      <c r="R57" s="107" t="n"/>
      <c r="S57" s="115" t="inlineStr">
        <is>
          <t>D</t>
        </is>
      </c>
      <c r="T57" s="107" t="n"/>
      <c r="U57" s="116" t="inlineStr">
        <is>
          <t>N</t>
        </is>
      </c>
      <c r="V57" s="107" t="n"/>
      <c r="W57" s="107" t="n"/>
      <c r="X57" s="107" t="n"/>
      <c r="Y57" s="107" t="n"/>
      <c r="Z57" s="116" t="inlineStr">
        <is>
          <t>N</t>
        </is>
      </c>
      <c r="AA57" s="107" t="n"/>
      <c r="AB57" s="116" t="inlineStr">
        <is>
          <t>N</t>
        </is>
      </c>
      <c r="AC57" s="107" t="n"/>
      <c r="AD57" s="116" t="inlineStr">
        <is>
          <t>N</t>
        </is>
      </c>
      <c r="AE57" s="107" t="n"/>
      <c r="AF57" s="107" t="n"/>
      <c r="AG57" s="107" t="n"/>
      <c r="AH57" s="107" t="n"/>
      <c r="AI57" s="116" t="inlineStr">
        <is>
          <t>N</t>
        </is>
      </c>
      <c r="AJ57" s="107" t="n"/>
      <c r="AK57" s="116" t="inlineStr">
        <is>
          <t>N</t>
        </is>
      </c>
      <c r="AL57" s="107" t="n"/>
      <c r="AM57" s="107" t="n"/>
      <c r="AN57" s="109">
        <f>IFERROR(INDEX(AGO!I$8:I$73,MATCH($A57,AGO!$A$8:$A$73,0))&amp;"","")</f>
        <v/>
      </c>
      <c r="AO57" s="109">
        <f>IFERROR(INDEX(AGO!J$8:J$73,MATCH($A57,AGO!$A$8:$A$73,0))&amp;"","")</f>
        <v/>
      </c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SUMPRODUCT(($G57:$M57="M")*6+($G57:$M57="T")*6+($G57:$M57="D")*12+($G57:$M57="N")*12+($G57:$M57="NT")*6+($G57:$M57="C")*10+($G57:$M57="A")*8+($G57:$M57="J")*5+($G57:$M57="E")*4+($G57:$M57="P")*6+($G57:$M57="R")*6)</f>
        <v/>
      </c>
      <c r="BF57" s="110">
        <f>SUMPRODUCT(($N57:$T57="M")*6+($N57:$T57="T")*6+($N57:$T57="D")*12+($N57:$T57="N")*12+($N57:$T57="NT")*6+($N57:$T57="C")*10+($N57:$T57="A")*8+($N57:$T57="J")*5+($N57:$T57="E")*4+($N57:$T57="P")*6+($N57:$T57="R")*6)</f>
        <v/>
      </c>
      <c r="BG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H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I57" s="110">
        <f>SUMPRODUCT(($AI57:$AM57="M")*6+($AI57:$AM57="T")*6+($AI57:$AM57="D")*12+($AI57:$AM57="N")*12+($AI57:$AM57="NT")*6+($AI57:$AM57="C")*10+($AI57:$AM57="A")*8+($AI57:$AM57="J")*5+($AI57:$AM57="E")*4+($AI57:$AM57="P")*6+($AI57:$AM57="R")*6)+SUMPRODUCT(($AN57:$AO57="M")*6+($AN57:$AO57="T")*6+($AN57:$AO57="D")*12+($AN57:$AO57="N")*12+($AN57:$AO57="NT")*6+($AN57:$AO57="C")*10+($AN57:$AO57="A")*8+($AN57:$AO57="J")*5+($AN57:$AO57="E")*4+($AN57:$AO57="P")*6+($AN57:$AO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3">
        <f>IFERROR(INDEX(JUN!AK$8:AK$73,MATCH($A58,JUN!$A$8:$A$73,0))&amp;"","")</f>
        <v/>
      </c>
      <c r="H58" s="123">
        <f>IFERROR(INDEX(JUN!AL$8:AL$73,MATCH($A58,JUN!$A$8:$A$73,0))&amp;"","")</f>
        <v/>
      </c>
      <c r="I58" s="107" t="n"/>
      <c r="J58" s="107" t="n"/>
      <c r="K58" s="116" t="inlineStr">
        <is>
          <t>N</t>
        </is>
      </c>
      <c r="L58" s="107" t="n"/>
      <c r="M58" s="115" t="inlineStr">
        <is>
          <t>D</t>
        </is>
      </c>
      <c r="N58" s="107" t="n"/>
      <c r="O58" s="107" t="n"/>
      <c r="P58" s="116" t="inlineStr">
        <is>
          <t>N</t>
        </is>
      </c>
      <c r="Q58" s="107" t="n"/>
      <c r="R58" s="107" t="n"/>
      <c r="S58" s="117" t="inlineStr">
        <is>
          <t>T</t>
        </is>
      </c>
      <c r="T58" s="108" t="inlineStr">
        <is>
          <t>M</t>
        </is>
      </c>
      <c r="U58" s="115" t="inlineStr">
        <is>
          <t>D</t>
        </is>
      </c>
      <c r="V58" s="107" t="n"/>
      <c r="W58" s="116" t="inlineStr">
        <is>
          <t>N</t>
        </is>
      </c>
      <c r="X58" s="107" t="n"/>
      <c r="Y58" s="107" t="n"/>
      <c r="Z58" s="107" t="n"/>
      <c r="AA58" s="107" t="n"/>
      <c r="AB58" s="107" t="n"/>
      <c r="AC58" s="107" t="n"/>
      <c r="AD58" s="116" t="inlineStr">
        <is>
          <t>N</t>
        </is>
      </c>
      <c r="AE58" s="107" t="n"/>
      <c r="AF58" s="115" t="inlineStr">
        <is>
          <t>D</t>
        </is>
      </c>
      <c r="AG58" s="107" t="n"/>
      <c r="AH58" s="107" t="n"/>
      <c r="AI58" s="115" t="inlineStr">
        <is>
          <t>D</t>
        </is>
      </c>
      <c r="AJ58" s="107" t="n"/>
      <c r="AK58" s="116" t="inlineStr">
        <is>
          <t>N</t>
        </is>
      </c>
      <c r="AL58" s="107" t="n"/>
      <c r="AM58" s="107" t="n"/>
      <c r="AN58" s="109">
        <f>IFERROR(INDEX(AGO!I$8:I$73,MATCH($A58,AGO!$A$8:$A$73,0))&amp;"","")</f>
        <v/>
      </c>
      <c r="AO58" s="109">
        <f>IFERROR(INDEX(AGO!J$8:J$73,MATCH($A58,AGO!$A$8:$A$73,0))&amp;"","")</f>
        <v/>
      </c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SUMPRODUCT(($G58:$M58="M")*6+($G58:$M58="T")*6+($G58:$M58="D")*12+($G58:$M58="N")*12+($G58:$M58="NT")*6+($G58:$M58="C")*10+($G58:$M58="A")*8+($G58:$M58="J")*5+($G58:$M58="E")*4+($G58:$M58="P")*6+($G58:$M58="R")*6)</f>
        <v/>
      </c>
      <c r="BF58" s="110">
        <f>SUMPRODUCT(($N58:$T58="M")*6+($N58:$T58="T")*6+($N58:$T58="D")*12+($N58:$T58="N")*12+($N58:$T58="NT")*6+($N58:$T58="C")*10+($N58:$T58="A")*8+($N58:$T58="J")*5+($N58:$T58="E")*4+($N58:$T58="P")*6+($N58:$T58="R")*6)</f>
        <v/>
      </c>
      <c r="BG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H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I58" s="110">
        <f>SUMPRODUCT(($AI58:$AM58="M")*6+($AI58:$AM58="T")*6+($AI58:$AM58="D")*12+($AI58:$AM58="N")*12+($AI58:$AM58="NT")*6+($AI58:$AM58="C")*10+($AI58:$AM58="A")*8+($AI58:$AM58="J")*5+($AI58:$AM58="E")*4+($AI58:$AM58="P")*6+($AI58:$AM58="R")*6)+SUMPRODUCT(($AN58:$AO58="M")*6+($AN58:$AO58="T")*6+($AN58:$AO58="D")*12+($AN58:$AO58="N")*12+($AN58:$AO58="NT")*6+($AN58:$AO58="C")*10+($AN58:$AO58="A")*8+($AN58:$AO58="J")*5+($AN58:$AO58="E")*4+($AN58:$AO58="P")*6+($AN58:$AO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3">
        <f>IFERROR(INDEX(JUN!AK$8:AK$73,MATCH($A59,JUN!$A$8:$A$73,0))&amp;"","")</f>
        <v/>
      </c>
      <c r="H59" s="123">
        <f>IFERROR(INDEX(JUN!AL$8:AL$73,MATCH($A59,JUN!$A$8:$A$73,0))&amp;"","")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16" t="inlineStr">
        <is>
          <t>N</t>
        </is>
      </c>
      <c r="T59" s="107" t="n"/>
      <c r="U59" s="107" t="n"/>
      <c r="V59" s="107" t="n"/>
      <c r="W59" s="116" t="inlineStr">
        <is>
          <t>N</t>
        </is>
      </c>
      <c r="X59" s="107" t="n"/>
      <c r="Y59" s="116" t="inlineStr">
        <is>
          <t>N</t>
        </is>
      </c>
      <c r="Z59" s="107" t="n"/>
      <c r="AA59" s="107" t="n"/>
      <c r="AB59" s="117" t="inlineStr">
        <is>
          <t>T</t>
        </is>
      </c>
      <c r="AC59" s="107" t="n"/>
      <c r="AD59" s="116" t="inlineStr">
        <is>
          <t>N</t>
        </is>
      </c>
      <c r="AE59" s="107" t="n"/>
      <c r="AF59" s="117" t="inlineStr">
        <is>
          <t>T</t>
        </is>
      </c>
      <c r="AG59" s="107" t="n"/>
      <c r="AH59" s="107" t="n"/>
      <c r="AI59" s="107" t="n"/>
      <c r="AJ59" s="107" t="n"/>
      <c r="AK59" s="116" t="inlineStr">
        <is>
          <t>N</t>
        </is>
      </c>
      <c r="AL59" s="107" t="n"/>
      <c r="AM59" s="107" t="n"/>
      <c r="AN59" s="109">
        <f>IFERROR(INDEX(AGO!I$8:I$73,MATCH($A59,AGO!$A$8:$A$73,0))&amp;"","")</f>
        <v/>
      </c>
      <c r="AO59" s="109">
        <f>IFERROR(INDEX(AGO!J$8:J$73,MATCH($A59,AGO!$A$8:$A$73,0))&amp;"","")</f>
        <v/>
      </c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SUMPRODUCT(($G59:$M59="M")*6+($G59:$M59="T")*6+($G59:$M59="D")*12+($G59:$M59="N")*12+($G59:$M59="NT")*6+($G59:$M59="C")*10+($G59:$M59="A")*8+($G59:$M59="J")*5+($G59:$M59="E")*4+($G59:$M59="P")*6+($G59:$M59="R")*6)</f>
        <v/>
      </c>
      <c r="BF59" s="110">
        <f>SUMPRODUCT(($N59:$T59="M")*6+($N59:$T59="T")*6+($N59:$T59="D")*12+($N59:$T59="N")*12+($N59:$T59="NT")*6+($N59:$T59="C")*10+($N59:$T59="A")*8+($N59:$T59="J")*5+($N59:$T59="E")*4+($N59:$T59="P")*6+($N59:$T59="R")*6)</f>
        <v/>
      </c>
      <c r="BG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H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I59" s="110">
        <f>SUMPRODUCT(($AI59:$AM59="M")*6+($AI59:$AM59="T")*6+($AI59:$AM59="D")*12+($AI59:$AM59="N")*12+($AI59:$AM59="NT")*6+($AI59:$AM59="C")*10+($AI59:$AM59="A")*8+($AI59:$AM59="J")*5+($AI59:$AM59="E")*4+($AI59:$AM59="P")*6+($AI59:$AM59="R")*6)+SUMPRODUCT(($AN59:$AO59="M")*6+($AN59:$AO59="T")*6+($AN59:$AO59="D")*12+($AN59:$AO59="N")*12+($AN59:$AO59="NT")*6+($AN59:$AO59="C")*10+($AN59:$AO59="A")*8+($AN59:$AO59="J")*5+($AN59:$AO59="E")*4+($AN59:$AO59="P")*6+($AN59:$AO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3">
        <f>IFERROR(INDEX(JUN!AK$8:AK$73,MATCH($A60,JUN!$A$8:$A$73,0))&amp;"","")</f>
        <v/>
      </c>
      <c r="H60" s="123">
        <f>IFERROR(INDEX(JUN!AL$8:AL$73,MATCH($A60,JUN!$A$8:$A$73,0))&amp;"","")</f>
        <v/>
      </c>
      <c r="I60" s="107" t="n"/>
      <c r="J60" s="107" t="n"/>
      <c r="K60" s="116" t="inlineStr">
        <is>
          <t>N</t>
        </is>
      </c>
      <c r="L60" s="107" t="n"/>
      <c r="M60" s="116" t="inlineStr">
        <is>
          <t>N</t>
        </is>
      </c>
      <c r="N60" s="107" t="n"/>
      <c r="O60" s="107" t="n"/>
      <c r="P60" s="107" t="n"/>
      <c r="Q60" s="107" t="n"/>
      <c r="R60" s="116" t="inlineStr">
        <is>
          <t>N</t>
        </is>
      </c>
      <c r="S60" s="107" t="n"/>
      <c r="T60" s="115" t="inlineStr">
        <is>
          <t>D</t>
        </is>
      </c>
      <c r="U60" s="107" t="n"/>
      <c r="V60" s="117" t="inlineStr">
        <is>
          <t>T</t>
        </is>
      </c>
      <c r="W60" s="107" t="n"/>
      <c r="X60" s="117" t="inlineStr">
        <is>
          <t>T</t>
        </is>
      </c>
      <c r="Y60" s="107" t="n"/>
      <c r="Z60" s="107" t="n"/>
      <c r="AA60" s="115" t="inlineStr">
        <is>
          <t>D</t>
        </is>
      </c>
      <c r="AB60" s="107" t="n"/>
      <c r="AC60" s="117" t="inlineStr">
        <is>
          <t>T</t>
        </is>
      </c>
      <c r="AD60" s="117" t="inlineStr">
        <is>
          <t>T</t>
        </is>
      </c>
      <c r="AE60" s="107" t="n"/>
      <c r="AF60" s="107" t="n"/>
      <c r="AG60" s="107" t="n"/>
      <c r="AH60" s="116" t="inlineStr">
        <is>
          <t>N</t>
        </is>
      </c>
      <c r="AI60" s="107" t="n"/>
      <c r="AJ60" s="117" t="inlineStr">
        <is>
          <t>T</t>
        </is>
      </c>
      <c r="AK60" s="107" t="n"/>
      <c r="AL60" s="117" t="inlineStr">
        <is>
          <t>T</t>
        </is>
      </c>
      <c r="AM60" s="107" t="n"/>
      <c r="AN60" s="109">
        <f>IFERROR(INDEX(AGO!I$8:I$73,MATCH($A60,AGO!$A$8:$A$73,0))&amp;"","")</f>
        <v/>
      </c>
      <c r="AO60" s="109">
        <f>IFERROR(INDEX(AGO!J$8:J$73,MATCH($A60,AGO!$A$8:$A$73,0))&amp;"","")</f>
        <v/>
      </c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SUMPRODUCT(($G60:$M60="M")*6+($G60:$M60="T")*6+($G60:$M60="D")*12+($G60:$M60="N")*12+($G60:$M60="NT")*6+($G60:$M60="C")*10+($G60:$M60="A")*8+($G60:$M60="J")*5+($G60:$M60="E")*4+($G60:$M60="P")*6+($G60:$M60="R")*6)</f>
        <v/>
      </c>
      <c r="BF60" s="110">
        <f>SUMPRODUCT(($N60:$T60="M")*6+($N60:$T60="T")*6+($N60:$T60="D")*12+($N60:$T60="N")*12+($N60:$T60="NT")*6+($N60:$T60="C")*10+($N60:$T60="A")*8+($N60:$T60="J")*5+($N60:$T60="E")*4+($N60:$T60="P")*6+($N60:$T60="R")*6)</f>
        <v/>
      </c>
      <c r="BG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H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I60" s="110">
        <f>SUMPRODUCT(($AI60:$AM60="M")*6+($AI60:$AM60="T")*6+($AI60:$AM60="D")*12+($AI60:$AM60="N")*12+($AI60:$AM60="NT")*6+($AI60:$AM60="C")*10+($AI60:$AM60="A")*8+($AI60:$AM60="J")*5+($AI60:$AM60="E")*4+($AI60:$AM60="P")*6+($AI60:$AM60="R")*6)+SUMPRODUCT(($AN60:$AO60="M")*6+($AN60:$AO60="T")*6+($AN60:$AO60="D")*12+($AN60:$AO60="N")*12+($AN60:$AO60="NT")*6+($AN60:$AO60="C")*10+($AN60:$AO60="A")*8+($AN60:$AO60="J")*5+($AN60:$AO60="E")*4+($AN60:$AO60="P")*6+($AN60:$AO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3">
        <f>IFERROR(INDEX(JUN!AK$8:AK$73,MATCH($A61,JUN!$A$8:$A$73,0))&amp;"","")</f>
        <v/>
      </c>
      <c r="H61" s="123">
        <f>IFERROR(INDEX(JUN!AL$8:AL$73,MATCH($A61,JUN!$A$8:$A$73,0))&amp;"","")</f>
        <v/>
      </c>
      <c r="I61" s="107" t="n"/>
      <c r="J61" s="115" t="inlineStr">
        <is>
          <t>D</t>
        </is>
      </c>
      <c r="K61" s="107" t="n"/>
      <c r="L61" s="107" t="n"/>
      <c r="M61" s="107" t="n"/>
      <c r="N61" s="115" t="inlineStr">
        <is>
          <t>D</t>
        </is>
      </c>
      <c r="O61" s="107" t="n"/>
      <c r="P61" s="117" t="inlineStr">
        <is>
          <t>T</t>
        </is>
      </c>
      <c r="Q61" s="107" t="n"/>
      <c r="R61" s="117" t="inlineStr">
        <is>
          <t>T</t>
        </is>
      </c>
      <c r="S61" s="107" t="n"/>
      <c r="T61" s="115" t="inlineStr">
        <is>
          <t>D</t>
        </is>
      </c>
      <c r="U61" s="115" t="inlineStr">
        <is>
          <t>D</t>
        </is>
      </c>
      <c r="V61" s="107" t="n"/>
      <c r="W61" s="107" t="n"/>
      <c r="X61" s="107" t="n"/>
      <c r="Y61" s="107" t="n"/>
      <c r="Z61" s="107" t="n"/>
      <c r="AA61" s="107" t="n"/>
      <c r="AB61" s="115" t="inlineStr">
        <is>
          <t>D</t>
        </is>
      </c>
      <c r="AC61" s="107" t="n"/>
      <c r="AD61" s="107" t="n"/>
      <c r="AE61" s="107" t="n"/>
      <c r="AF61" s="107" t="n"/>
      <c r="AG61" s="107" t="n"/>
      <c r="AH61" s="115" t="inlineStr">
        <is>
          <t>D</t>
        </is>
      </c>
      <c r="AI61" s="115" t="inlineStr">
        <is>
          <t>D</t>
        </is>
      </c>
      <c r="AJ61" s="107" t="n"/>
      <c r="AK61" s="107" t="n"/>
      <c r="AL61" s="107" t="n"/>
      <c r="AM61" s="115" t="inlineStr">
        <is>
          <t>D</t>
        </is>
      </c>
      <c r="AN61" s="109">
        <f>IFERROR(INDEX(AGO!I$8:I$73,MATCH($A61,AGO!$A$8:$A$73,0))&amp;"","")</f>
        <v/>
      </c>
      <c r="AO61" s="109">
        <f>IFERROR(INDEX(AGO!J$8:J$73,MATCH($A61,AGO!$A$8:$A$73,0))&amp;"","")</f>
        <v/>
      </c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SUMPRODUCT(($G61:$M61="M")*6+($G61:$M61="T")*6+($G61:$M61="D")*12+($G61:$M61="N")*12+($G61:$M61="NT")*6+($G61:$M61="C")*10+($G61:$M61="A")*8+($G61:$M61="J")*5+($G61:$M61="E")*4+($G61:$M61="P")*6+($G61:$M61="R")*6)</f>
        <v/>
      </c>
      <c r="BF61" s="110">
        <f>SUMPRODUCT(($N61:$T61="M")*6+($N61:$T61="T")*6+($N61:$T61="D")*12+($N61:$T61="N")*12+($N61:$T61="NT")*6+($N61:$T61="C")*10+($N61:$T61="A")*8+($N61:$T61="J")*5+($N61:$T61="E")*4+($N61:$T61="P")*6+($N61:$T61="R")*6)</f>
        <v/>
      </c>
      <c r="BG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H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I61" s="110">
        <f>SUMPRODUCT(($AI61:$AM61="M")*6+($AI61:$AM61="T")*6+($AI61:$AM61="D")*12+($AI61:$AM61="N")*12+($AI61:$AM61="NT")*6+($AI61:$AM61="C")*10+($AI61:$AM61="A")*8+($AI61:$AM61="J")*5+($AI61:$AM61="E")*4+($AI61:$AM61="P")*6+($AI61:$AM61="R")*6)+SUMPRODUCT(($AN61:$AO61="M")*6+($AN61:$AO61="T")*6+($AN61:$AO61="D")*12+($AN61:$AO61="N")*12+($AN61:$AO61="NT")*6+($AN61:$AO61="C")*10+($AN61:$AO61="A")*8+($AN61:$AO61="J")*5+($AN61:$AO61="E")*4+($AN61:$AO61="P")*6+($AN61:$AO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3">
        <f>IFERROR(INDEX(JUN!AK$8:AK$73,MATCH($A62,JUN!$A$8:$A$73,0))&amp;"","")</f>
        <v/>
      </c>
      <c r="H62" s="123">
        <f>IFERROR(INDEX(JUN!AL$8:AL$73,MATCH($A62,JUN!$A$8:$A$73,0))&amp;"","")</f>
        <v/>
      </c>
      <c r="I62" s="107" t="n"/>
      <c r="J62" s="107" t="n"/>
      <c r="K62" s="107" t="n"/>
      <c r="L62" s="107" t="n"/>
      <c r="M62" s="115" t="inlineStr">
        <is>
          <t>D</t>
        </is>
      </c>
      <c r="N62" s="107" t="n"/>
      <c r="O62" s="116" t="inlineStr">
        <is>
          <t>N</t>
        </is>
      </c>
      <c r="P62" s="107" t="n"/>
      <c r="Q62" s="107" t="n"/>
      <c r="R62" s="107" t="n"/>
      <c r="S62" s="107" t="n"/>
      <c r="T62" s="115" t="inlineStr">
        <is>
          <t>D</t>
        </is>
      </c>
      <c r="U62" s="107" t="n"/>
      <c r="V62" s="116" t="inlineStr">
        <is>
          <t>N</t>
        </is>
      </c>
      <c r="W62" s="107" t="n"/>
      <c r="X62" s="115" t="inlineStr">
        <is>
          <t>D</t>
        </is>
      </c>
      <c r="Y62" s="107" t="n"/>
      <c r="Z62" s="107" t="n"/>
      <c r="AA62" s="107" t="n"/>
      <c r="AB62" s="115" t="inlineStr">
        <is>
          <t>D</t>
        </is>
      </c>
      <c r="AC62" s="116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16" t="inlineStr">
        <is>
          <t>N</t>
        </is>
      </c>
      <c r="AK62" s="107" t="n"/>
      <c r="AL62" s="107" t="n"/>
      <c r="AM62" s="107" t="n"/>
      <c r="AN62" s="109">
        <f>IFERROR(INDEX(AGO!I$8:I$73,MATCH($A62,AGO!$A$8:$A$73,0))&amp;"","")</f>
        <v/>
      </c>
      <c r="AO62" s="109">
        <f>IFERROR(INDEX(AGO!J$8:J$73,MATCH($A62,AGO!$A$8:$A$73,0))&amp;"","")</f>
        <v/>
      </c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SUMPRODUCT(($G62:$M62="M")*6+($G62:$M62="T")*6+($G62:$M62="D")*12+($G62:$M62="N")*12+($G62:$M62="NT")*6+($G62:$M62="C")*10+($G62:$M62="A")*8+($G62:$M62="J")*5+($G62:$M62="E")*4+($G62:$M62="P")*6+($G62:$M62="R")*6)</f>
        <v/>
      </c>
      <c r="BF62" s="110">
        <f>SUMPRODUCT(($N62:$T62="M")*6+($N62:$T62="T")*6+($N62:$T62="D")*12+($N62:$T62="N")*12+($N62:$T62="NT")*6+($N62:$T62="C")*10+($N62:$T62="A")*8+($N62:$T62="J")*5+($N62:$T62="E")*4+($N62:$T62="P")*6+($N62:$T62="R")*6)</f>
        <v/>
      </c>
      <c r="BG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H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I62" s="110">
        <f>SUMPRODUCT(($AI62:$AM62="M")*6+($AI62:$AM62="T")*6+($AI62:$AM62="D")*12+($AI62:$AM62="N")*12+($AI62:$AM62="NT")*6+($AI62:$AM62="C")*10+($AI62:$AM62="A")*8+($AI62:$AM62="J")*5+($AI62:$AM62="E")*4+($AI62:$AM62="P")*6+($AI62:$AM62="R")*6)+SUMPRODUCT(($AN62:$AO62="M")*6+($AN62:$AO62="T")*6+($AN62:$AO62="D")*12+($AN62:$AO62="N")*12+($AN62:$AO62="NT")*6+($AN62:$AO62="C")*10+($AN62:$AO62="A")*8+($AN62:$AO62="J")*5+($AN62:$AO62="E")*4+($AN62:$AO62="P")*6+($AN62:$AO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3">
        <f>IFERROR(INDEX(JUN!AK$8:AK$73,MATCH($A63,JUN!$A$8:$A$73,0))&amp;"","")</f>
        <v/>
      </c>
      <c r="H63" s="123">
        <f>IFERROR(INDEX(JUN!AL$8:AL$73,MATCH($A63,JUN!$A$8:$A$73,0))&amp;"","")</f>
        <v/>
      </c>
      <c r="I63" s="107" t="n"/>
      <c r="J63" s="115" t="inlineStr">
        <is>
          <t>D</t>
        </is>
      </c>
      <c r="K63" s="116" t="inlineStr">
        <is>
          <t>N</t>
        </is>
      </c>
      <c r="L63" s="107" t="n"/>
      <c r="M63" s="107" t="n"/>
      <c r="N63" s="107" t="n"/>
      <c r="O63" s="107" t="n"/>
      <c r="P63" s="107" t="n"/>
      <c r="Q63" s="117" t="inlineStr">
        <is>
          <t>T</t>
        </is>
      </c>
      <c r="R63" s="117" t="inlineStr">
        <is>
          <t>T</t>
        </is>
      </c>
      <c r="S63" s="108" t="inlineStr">
        <is>
          <t>M</t>
        </is>
      </c>
      <c r="T63" s="115" t="inlineStr">
        <is>
          <t>D</t>
        </is>
      </c>
      <c r="U63" s="117" t="inlineStr">
        <is>
          <t>T</t>
        </is>
      </c>
      <c r="V63" s="107" t="n"/>
      <c r="W63" s="107" t="n"/>
      <c r="X63" s="107" t="n"/>
      <c r="Y63" s="107" t="n"/>
      <c r="Z63" s="107" t="n"/>
      <c r="AA63" s="115" t="inlineStr">
        <is>
          <t>D</t>
        </is>
      </c>
      <c r="AB63" s="117" t="inlineStr">
        <is>
          <t>T</t>
        </is>
      </c>
      <c r="AC63" s="107" t="n"/>
      <c r="AD63" s="117" t="inlineStr">
        <is>
          <t>T</t>
        </is>
      </c>
      <c r="AE63" s="115" t="inlineStr">
        <is>
          <t>D</t>
        </is>
      </c>
      <c r="AF63" s="107" t="n"/>
      <c r="AG63" s="107" t="n"/>
      <c r="AH63" s="107" t="n"/>
      <c r="AI63" s="117" t="inlineStr">
        <is>
          <t>T</t>
        </is>
      </c>
      <c r="AJ63" s="107" t="n"/>
      <c r="AK63" s="107" t="n"/>
      <c r="AL63" s="108" t="inlineStr">
        <is>
          <t>M</t>
        </is>
      </c>
      <c r="AM63" s="107" t="n"/>
      <c r="AN63" s="109">
        <f>IFERROR(INDEX(AGO!I$8:I$73,MATCH($A63,AGO!$A$8:$A$73,0))&amp;"","")</f>
        <v/>
      </c>
      <c r="AO63" s="109">
        <f>IFERROR(INDEX(AGO!J$8:J$73,MATCH($A63,AGO!$A$8:$A$73,0))&amp;"","")</f>
        <v/>
      </c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SUMPRODUCT(($G63:$M63="M")*6+($G63:$M63="T")*6+($G63:$M63="D")*12+($G63:$M63="N")*12+($G63:$M63="NT")*6+($G63:$M63="C")*10+($G63:$M63="A")*8+($G63:$M63="J")*5+($G63:$M63="E")*4+($G63:$M63="P")*6+($G63:$M63="R")*6)</f>
        <v/>
      </c>
      <c r="BF63" s="110">
        <f>SUMPRODUCT(($N63:$T63="M")*6+($N63:$T63="T")*6+($N63:$T63="D")*12+($N63:$T63="N")*12+($N63:$T63="NT")*6+($N63:$T63="C")*10+($N63:$T63="A")*8+($N63:$T63="J")*5+($N63:$T63="E")*4+($N63:$T63="P")*6+($N63:$T63="R")*6)</f>
        <v/>
      </c>
      <c r="BG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H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I63" s="110">
        <f>SUMPRODUCT(($AI63:$AM63="M")*6+($AI63:$AM63="T")*6+($AI63:$AM63="D")*12+($AI63:$AM63="N")*12+($AI63:$AM63="NT")*6+($AI63:$AM63="C")*10+($AI63:$AM63="A")*8+($AI63:$AM63="J")*5+($AI63:$AM63="E")*4+($AI63:$AM63="P")*6+($AI63:$AM63="R")*6)+SUMPRODUCT(($AN63:$AO63="M")*6+($AN63:$AO63="T")*6+($AN63:$AO63="D")*12+($AN63:$AO63="N")*12+($AN63:$AO63="NT")*6+($AN63:$AO63="C")*10+($AN63:$AO63="A")*8+($AN63:$AO63="J")*5+($AN63:$AO63="E")*4+($AN63:$AO63="P")*6+($AN63:$AO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3">
        <f>IFERROR(INDEX(JUN!AK$8:AK$73,MATCH($A64,JUN!$A$8:$A$73,0))&amp;"","")</f>
        <v/>
      </c>
      <c r="H64" s="123">
        <f>IFERROR(INDEX(JUN!AL$8:AL$73,MATCH($A64,JUN!$A$8:$A$73,0))&amp;"","")</f>
        <v/>
      </c>
      <c r="I64" s="107" t="n"/>
      <c r="J64" s="107" t="n"/>
      <c r="K64" s="107" t="n"/>
      <c r="L64" s="117" t="inlineStr">
        <is>
          <t>T</t>
        </is>
      </c>
      <c r="M64" s="116" t="inlineStr">
        <is>
          <t>N</t>
        </is>
      </c>
      <c r="N64" s="116" t="inlineStr">
        <is>
          <t>N</t>
        </is>
      </c>
      <c r="O64" s="107" t="n"/>
      <c r="P64" s="107" t="n"/>
      <c r="Q64" s="107" t="n"/>
      <c r="R64" s="116" t="inlineStr">
        <is>
          <t>N</t>
        </is>
      </c>
      <c r="S64" s="107" t="n"/>
      <c r="T64" s="107" t="n"/>
      <c r="U64" s="116" t="inlineStr">
        <is>
          <t>N</t>
        </is>
      </c>
      <c r="V64" s="107" t="n"/>
      <c r="W64" s="116" t="inlineStr">
        <is>
          <t>N</t>
        </is>
      </c>
      <c r="X64" s="107" t="n"/>
      <c r="Y64" s="107" t="n"/>
      <c r="Z64" s="107" t="n"/>
      <c r="AA64" s="107" t="n"/>
      <c r="AB64" s="107" t="n"/>
      <c r="AC64" s="107" t="n"/>
      <c r="AD64" s="116" t="inlineStr">
        <is>
          <t>N</t>
        </is>
      </c>
      <c r="AE64" s="116" t="inlineStr">
        <is>
          <t>N</t>
        </is>
      </c>
      <c r="AF64" s="107" t="n"/>
      <c r="AG64" s="107" t="n"/>
      <c r="AH64" s="107" t="n"/>
      <c r="AI64" s="116" t="inlineStr">
        <is>
          <t>N</t>
        </is>
      </c>
      <c r="AJ64" s="107" t="n"/>
      <c r="AK64" s="116" t="inlineStr">
        <is>
          <t>N</t>
        </is>
      </c>
      <c r="AL64" s="107" t="n"/>
      <c r="AM64" s="107" t="n"/>
      <c r="AN64" s="109">
        <f>IFERROR(INDEX(AGO!I$8:I$73,MATCH($A64,AGO!$A$8:$A$73,0))&amp;"","")</f>
        <v/>
      </c>
      <c r="AO64" s="109">
        <f>IFERROR(INDEX(AGO!J$8:J$73,MATCH($A64,AGO!$A$8:$A$73,0))&amp;"","")</f>
        <v/>
      </c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SUMPRODUCT(($G64:$M64="M")*6+($G64:$M64="T")*6+($G64:$M64="D")*12+($G64:$M64="N")*12+($G64:$M64="NT")*6+($G64:$M64="C")*10+($G64:$M64="A")*8+($G64:$M64="J")*5+($G64:$M64="E")*4+($G64:$M64="P")*6+($G64:$M64="R")*6)</f>
        <v/>
      </c>
      <c r="BF64" s="110">
        <f>SUMPRODUCT(($N64:$T64="M")*6+($N64:$T64="T")*6+($N64:$T64="D")*12+($N64:$T64="N")*12+($N64:$T64="NT")*6+($N64:$T64="C")*10+($N64:$T64="A")*8+($N64:$T64="J")*5+($N64:$T64="E")*4+($N64:$T64="P")*6+($N64:$T64="R")*6)</f>
        <v/>
      </c>
      <c r="BG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H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I64" s="110">
        <f>SUMPRODUCT(($AI64:$AM64="M")*6+($AI64:$AM64="T")*6+($AI64:$AM64="D")*12+($AI64:$AM64="N")*12+($AI64:$AM64="NT")*6+($AI64:$AM64="C")*10+($AI64:$AM64="A")*8+($AI64:$AM64="J")*5+($AI64:$AM64="E")*4+($AI64:$AM64="P")*6+($AI64:$AM64="R")*6)+SUMPRODUCT(($AN64:$AO64="M")*6+($AN64:$AO64="T")*6+($AN64:$AO64="D")*12+($AN64:$AO64="N")*12+($AN64:$AO64="NT")*6+($AN64:$AO64="C")*10+($AN64:$AO64="A")*8+($AN64:$AO64="J")*5+($AN64:$AO64="E")*4+($AN64:$AO64="P")*6+($AN64:$AO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3">
        <f>IFERROR(INDEX(JUN!AK$8:AK$73,MATCH($A65,JUN!$A$8:$A$73,0))&amp;"","")</f>
        <v/>
      </c>
      <c r="H65" s="123">
        <f>IFERROR(INDEX(JUN!AL$8:AL$73,MATCH($A65,JUN!$A$8:$A$73,0))&amp;"","")</f>
        <v/>
      </c>
      <c r="I65" s="116" t="inlineStr">
        <is>
          <t>N</t>
        </is>
      </c>
      <c r="J65" s="107" t="n"/>
      <c r="K65" s="115" t="inlineStr">
        <is>
          <t>D</t>
        </is>
      </c>
      <c r="L65" s="107" t="n"/>
      <c r="M65" s="107" t="n"/>
      <c r="N65" s="107" t="n"/>
      <c r="O65" s="107" t="n"/>
      <c r="P65" s="116" t="inlineStr">
        <is>
          <t>N</t>
        </is>
      </c>
      <c r="Q65" s="107" t="n"/>
      <c r="R65" s="115" t="inlineStr">
        <is>
          <t>D</t>
        </is>
      </c>
      <c r="S65" s="107" t="n"/>
      <c r="T65" s="107" t="n"/>
      <c r="U65" s="107" t="n"/>
      <c r="V65" s="115" t="inlineStr">
        <is>
          <t>D</t>
        </is>
      </c>
      <c r="W65" s="116" t="inlineStr">
        <is>
          <t>N</t>
        </is>
      </c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15" t="inlineStr">
        <is>
          <t>D</t>
        </is>
      </c>
      <c r="AH65" s="115" t="inlineStr">
        <is>
          <t>D</t>
        </is>
      </c>
      <c r="AI65" s="107" t="n"/>
      <c r="AJ65" s="107" t="n"/>
      <c r="AK65" s="116" t="inlineStr">
        <is>
          <t>N</t>
        </is>
      </c>
      <c r="AL65" s="107" t="n"/>
      <c r="AM65" s="115" t="inlineStr">
        <is>
          <t>D</t>
        </is>
      </c>
      <c r="AN65" s="109">
        <f>IFERROR(INDEX(AGO!I$8:I$73,MATCH($A65,AGO!$A$8:$A$73,0))&amp;"","")</f>
        <v/>
      </c>
      <c r="AO65" s="109">
        <f>IFERROR(INDEX(AGO!J$8:J$73,MATCH($A65,AGO!$A$8:$A$73,0))&amp;"","")</f>
        <v/>
      </c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SUMPRODUCT(($G65:$M65="M")*6+($G65:$M65="T")*6+($G65:$M65="D")*12+($G65:$M65="N")*12+($G65:$M65="NT")*6+($G65:$M65="C")*10+($G65:$M65="A")*8+($G65:$M65="J")*5+($G65:$M65="E")*4+($G65:$M65="P")*6+($G65:$M65="R")*6)</f>
        <v/>
      </c>
      <c r="BF65" s="110">
        <f>SUMPRODUCT(($N65:$T65="M")*6+($N65:$T65="T")*6+($N65:$T65="D")*12+($N65:$T65="N")*12+($N65:$T65="NT")*6+($N65:$T65="C")*10+($N65:$T65="A")*8+($N65:$T65="J")*5+($N65:$T65="E")*4+($N65:$T65="P")*6+($N65:$T65="R")*6)</f>
        <v/>
      </c>
      <c r="BG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H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I65" s="110">
        <f>SUMPRODUCT(($AI65:$AM65="M")*6+($AI65:$AM65="T")*6+($AI65:$AM65="D")*12+($AI65:$AM65="N")*12+($AI65:$AM65="NT")*6+($AI65:$AM65="C")*10+($AI65:$AM65="A")*8+($AI65:$AM65="J")*5+($AI65:$AM65="E")*4+($AI65:$AM65="P")*6+($AI65:$AM65="R")*6)+SUMPRODUCT(($AN65:$AO65="M")*6+($AN65:$AO65="T")*6+($AN65:$AO65="D")*12+($AN65:$AO65="N")*12+($AN65:$AO65="NT")*6+($AN65:$AO65="C")*10+($AN65:$AO65="A")*8+($AN65:$AO65="J")*5+($AN65:$AO65="E")*4+($AN65:$AO65="P")*6+($AN65:$AO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3">
        <f>IFERROR(INDEX(JUN!AK$8:AK$73,MATCH($A66,JUN!$A$8:$A$73,0))&amp;"","")</f>
        <v/>
      </c>
      <c r="H66" s="123">
        <f>IFERROR(INDEX(JUN!AL$8:AL$73,MATCH($A66,JUN!$A$8:$A$73,0))&amp;"","")</f>
        <v/>
      </c>
      <c r="I66" s="107" t="n"/>
      <c r="J66" s="107" t="n"/>
      <c r="K66" s="117" t="inlineStr">
        <is>
          <t>T</t>
        </is>
      </c>
      <c r="L66" s="116" t="inlineStr">
        <is>
          <t>N</t>
        </is>
      </c>
      <c r="M66" s="107" t="n"/>
      <c r="N66" s="116" t="inlineStr">
        <is>
          <t>N</t>
        </is>
      </c>
      <c r="O66" s="107" t="n"/>
      <c r="P66" s="107" t="n"/>
      <c r="Q66" s="107" t="n"/>
      <c r="R66" s="107" t="n"/>
      <c r="S66" s="107" t="n"/>
      <c r="T66" s="115" t="inlineStr">
        <is>
          <t>D</t>
        </is>
      </c>
      <c r="U66" s="116" t="inlineStr">
        <is>
          <t>N</t>
        </is>
      </c>
      <c r="V66" s="107" t="n"/>
      <c r="W66" s="107" t="n"/>
      <c r="X66" s="116" t="inlineStr">
        <is>
          <t>N</t>
        </is>
      </c>
      <c r="Y66" s="107" t="n"/>
      <c r="Z66" s="107" t="n"/>
      <c r="AA66" s="107" t="n"/>
      <c r="AB66" s="116" t="inlineStr">
        <is>
          <t>N</t>
        </is>
      </c>
      <c r="AC66" s="107" t="n"/>
      <c r="AD66" s="107" t="n"/>
      <c r="AE66" s="116" t="inlineStr">
        <is>
          <t>N</t>
        </is>
      </c>
      <c r="AF66" s="107" t="n"/>
      <c r="AG66" s="107" t="n"/>
      <c r="AH66" s="107" t="n"/>
      <c r="AI66" s="107" t="n"/>
      <c r="AJ66" s="107" t="n"/>
      <c r="AK66" s="107" t="n"/>
      <c r="AL66" s="116" t="inlineStr">
        <is>
          <t>N</t>
        </is>
      </c>
      <c r="AM66" s="107" t="n"/>
      <c r="AN66" s="109">
        <f>IFERROR(INDEX(AGO!I$8:I$73,MATCH($A66,AGO!$A$8:$A$73,0))&amp;"","")</f>
        <v/>
      </c>
      <c r="AO66" s="109">
        <f>IFERROR(INDEX(AGO!J$8:J$73,MATCH($A66,AGO!$A$8:$A$73,0))&amp;"","")</f>
        <v/>
      </c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SUMPRODUCT(($G66:$M66="M")*6+($G66:$M66="T")*6+($G66:$M66="D")*12+($G66:$M66="N")*12+($G66:$M66="NT")*6+($G66:$M66="C")*10+($G66:$M66="A")*8+($G66:$M66="J")*5+($G66:$M66="E")*4+($G66:$M66="P")*6+($G66:$M66="R")*6)</f>
        <v/>
      </c>
      <c r="BF66" s="110">
        <f>SUMPRODUCT(($N66:$T66="M")*6+($N66:$T66="T")*6+($N66:$T66="D")*12+($N66:$T66="N")*12+($N66:$T66="NT")*6+($N66:$T66="C")*10+($N66:$T66="A")*8+($N66:$T66="J")*5+($N66:$T66="E")*4+($N66:$T66="P")*6+($N66:$T66="R")*6)</f>
        <v/>
      </c>
      <c r="BG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H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I66" s="110">
        <f>SUMPRODUCT(($AI66:$AM66="M")*6+($AI66:$AM66="T")*6+($AI66:$AM66="D")*12+($AI66:$AM66="N")*12+($AI66:$AM66="NT")*6+($AI66:$AM66="C")*10+($AI66:$AM66="A")*8+($AI66:$AM66="J")*5+($AI66:$AM66="E")*4+($AI66:$AM66="P")*6+($AI66:$AM66="R")*6)+SUMPRODUCT(($AN66:$AO66="M")*6+($AN66:$AO66="T")*6+($AN66:$AO66="D")*12+($AN66:$AO66="N")*12+($AN66:$AO66="NT")*6+($AN66:$AO66="C")*10+($AN66:$AO66="A")*8+($AN66:$AO66="J")*5+($AN66:$AO66="E")*4+($AN66:$AO66="P")*6+($AN66:$AO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3">
        <f>IFERROR(INDEX(JUN!AK$8:AK$73,MATCH($A67,JUN!$A$8:$A$73,0))&amp;"","")</f>
        <v/>
      </c>
      <c r="H67" s="123">
        <f>IFERROR(INDEX(JUN!AL$8:AL$73,MATCH($A67,JUN!$A$8:$A$73,0))&amp;"","")</f>
        <v/>
      </c>
      <c r="I67" s="108" t="inlineStr">
        <is>
          <t>M</t>
        </is>
      </c>
      <c r="J67" s="107" t="n"/>
      <c r="K67" s="107" t="n"/>
      <c r="L67" s="108" t="inlineStr">
        <is>
          <t>M</t>
        </is>
      </c>
      <c r="M67" s="116" t="inlineStr">
        <is>
          <t>N</t>
        </is>
      </c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07" t="n"/>
      <c r="U67" s="108" t="inlineStr">
        <is>
          <t>M</t>
        </is>
      </c>
      <c r="V67" s="108" t="inlineStr">
        <is>
          <t>M</t>
        </is>
      </c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07" t="n"/>
      <c r="AB67" s="108" t="inlineStr">
        <is>
          <t>M</t>
        </is>
      </c>
      <c r="AC67" s="107" t="n"/>
      <c r="AD67" s="108" t="inlineStr">
        <is>
          <t>M</t>
        </is>
      </c>
      <c r="AE67" s="107" t="n"/>
      <c r="AF67" s="107" t="n"/>
      <c r="AG67" s="116" t="inlineStr">
        <is>
          <t>N</t>
        </is>
      </c>
      <c r="AH67" s="107" t="n"/>
      <c r="AI67" s="108" t="inlineStr">
        <is>
          <t>M</t>
        </is>
      </c>
      <c r="AJ67" s="107" t="n"/>
      <c r="AK67" s="108" t="inlineStr">
        <is>
          <t>M</t>
        </is>
      </c>
      <c r="AL67" s="107" t="n"/>
      <c r="AM67" s="107" t="n"/>
      <c r="AN67" s="109">
        <f>IFERROR(INDEX(AGO!I$8:I$73,MATCH($A67,AGO!$A$8:$A$73,0))&amp;"","")</f>
        <v/>
      </c>
      <c r="AO67" s="109">
        <f>IFERROR(INDEX(AGO!J$8:J$73,MATCH($A67,AGO!$A$8:$A$73,0))&amp;"","")</f>
        <v/>
      </c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SUMPRODUCT(($G67:$M67="M")*6+($G67:$M67="T")*6+($G67:$M67="D")*12+($G67:$M67="N")*12+($G67:$M67="NT")*6+($G67:$M67="C")*10+($G67:$M67="A")*8+($G67:$M67="J")*5+($G67:$M67="E")*4+($G67:$M67="P")*6+($G67:$M67="R")*6)</f>
        <v/>
      </c>
      <c r="BF67" s="110">
        <f>SUMPRODUCT(($N67:$T67="M")*6+($N67:$T67="T")*6+($N67:$T67="D")*12+($N67:$T67="N")*12+($N67:$T67="NT")*6+($N67:$T67="C")*10+($N67:$T67="A")*8+($N67:$T67="J")*5+($N67:$T67="E")*4+($N67:$T67="P")*6+($N67:$T67="R")*6)</f>
        <v/>
      </c>
      <c r="BG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H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I67" s="110">
        <f>SUMPRODUCT(($AI67:$AM67="M")*6+($AI67:$AM67="T")*6+($AI67:$AM67="D")*12+($AI67:$AM67="N")*12+($AI67:$AM67="NT")*6+($AI67:$AM67="C")*10+($AI67:$AM67="A")*8+($AI67:$AM67="J")*5+($AI67:$AM67="E")*4+($AI67:$AM67="P")*6+($AI67:$AM67="R")*6)+SUMPRODUCT(($AN67:$AO67="M")*6+($AN67:$AO67="T")*6+($AN67:$AO67="D")*12+($AN67:$AO67="N")*12+($AN67:$AO67="NT")*6+($AN67:$AO67="C")*10+($AN67:$AO67="A")*8+($AN67:$AO67="J")*5+($AN67:$AO67="E")*4+($AN67:$AO67="P")*6+($AN67:$AO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3">
        <f>IFERROR(INDEX(JUN!AK$8:AK$73,MATCH($A68,JUN!$A$8:$A$73,0))&amp;"","")</f>
        <v/>
      </c>
      <c r="H68" s="123">
        <f>IFERROR(INDEX(JUN!AL$8:AL$73,MATCH($A68,JUN!$A$8:$A$73,0))&amp;"","")</f>
        <v/>
      </c>
      <c r="I68" s="107" t="n"/>
      <c r="J68" s="107" t="n"/>
      <c r="K68" s="115" t="inlineStr">
        <is>
          <t>D</t>
        </is>
      </c>
      <c r="L68" s="115" t="inlineStr">
        <is>
          <t>D</t>
        </is>
      </c>
      <c r="M68" s="107" t="n"/>
      <c r="N68" s="115" t="inlineStr">
        <is>
          <t>D</t>
        </is>
      </c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15" t="inlineStr">
        <is>
          <t>D</t>
        </is>
      </c>
      <c r="Y68" s="116" t="inlineStr">
        <is>
          <t>N</t>
        </is>
      </c>
      <c r="Z68" s="107" t="n"/>
      <c r="AA68" s="115" t="inlineStr">
        <is>
          <t>D</t>
        </is>
      </c>
      <c r="AB68" s="117" t="inlineStr">
        <is>
          <t>T</t>
        </is>
      </c>
      <c r="AC68" s="107" t="n"/>
      <c r="AD68" s="107" t="n"/>
      <c r="AE68" s="107" t="n"/>
      <c r="AF68" s="115" t="inlineStr">
        <is>
          <t>D</t>
        </is>
      </c>
      <c r="AG68" s="117" t="inlineStr">
        <is>
          <t>T</t>
        </is>
      </c>
      <c r="AH68" s="107" t="n"/>
      <c r="AI68" s="107" t="n"/>
      <c r="AJ68" s="107" t="n"/>
      <c r="AK68" s="107" t="n"/>
      <c r="AL68" s="107" t="n"/>
      <c r="AM68" s="115" t="inlineStr">
        <is>
          <t>D</t>
        </is>
      </c>
      <c r="AN68" s="109">
        <f>IFERROR(INDEX(AGO!I$8:I$73,MATCH($A68,AGO!$A$8:$A$73,0))&amp;"","")</f>
        <v/>
      </c>
      <c r="AO68" s="109">
        <f>IFERROR(INDEX(AGO!J$8:J$73,MATCH($A68,AGO!$A$8:$A$73,0))&amp;"","")</f>
        <v/>
      </c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SUMPRODUCT(($G68:$M68="M")*6+($G68:$M68="T")*6+($G68:$M68="D")*12+($G68:$M68="N")*12+($G68:$M68="NT")*6+($G68:$M68="C")*10+($G68:$M68="A")*8+($G68:$M68="J")*5+($G68:$M68="E")*4+($G68:$M68="P")*6+($G68:$M68="R")*6)</f>
        <v/>
      </c>
      <c r="BF68" s="110">
        <f>SUMPRODUCT(($N68:$T68="M")*6+($N68:$T68="T")*6+($N68:$T68="D")*12+($N68:$T68="N")*12+($N68:$T68="NT")*6+($N68:$T68="C")*10+($N68:$T68="A")*8+($N68:$T68="J")*5+($N68:$T68="E")*4+($N68:$T68="P")*6+($N68:$T68="R")*6)</f>
        <v/>
      </c>
      <c r="BG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H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I68" s="110">
        <f>SUMPRODUCT(($AI68:$AM68="M")*6+($AI68:$AM68="T")*6+($AI68:$AM68="D")*12+($AI68:$AM68="N")*12+($AI68:$AM68="NT")*6+($AI68:$AM68="C")*10+($AI68:$AM68="A")*8+($AI68:$AM68="J")*5+($AI68:$AM68="E")*4+($AI68:$AM68="P")*6+($AI68:$AM68="R")*6)+SUMPRODUCT(($AN68:$AO68="M")*6+($AN68:$AO68="T")*6+($AN68:$AO68="D")*12+($AN68:$AO68="N")*12+($AN68:$AO68="NT")*6+($AN68:$AO68="C")*10+($AN68:$AO68="A")*8+($AN68:$AO68="J")*5+($AN68:$AO68="E")*4+($AN68:$AO68="P")*6+($AN68:$AO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3">
        <f>IFERROR(INDEX(JUN!AK$8:AK$73,MATCH($A69,JUN!$A$8:$A$73,0))&amp;"","")</f>
        <v/>
      </c>
      <c r="H69" s="123">
        <f>IFERROR(INDEX(JUN!AL$8:AL$73,MATCH($A69,JUN!$A$8:$A$73,0))&amp;"","")</f>
        <v/>
      </c>
      <c r="I69" s="115" t="inlineStr">
        <is>
          <t>D</t>
        </is>
      </c>
      <c r="J69" s="107" t="n"/>
      <c r="K69" s="115" t="inlineStr">
        <is>
          <t>D</t>
        </is>
      </c>
      <c r="L69" s="107" t="n"/>
      <c r="M69" s="107" t="n"/>
      <c r="N69" s="107" t="n"/>
      <c r="O69" s="107" t="n"/>
      <c r="P69" s="115" t="inlineStr">
        <is>
          <t>D</t>
        </is>
      </c>
      <c r="Q69" s="107" t="n"/>
      <c r="R69" s="107" t="n"/>
      <c r="S69" s="116" t="inlineStr">
        <is>
          <t>N</t>
        </is>
      </c>
      <c r="T69" s="107" t="n"/>
      <c r="U69" s="107" t="n"/>
      <c r="V69" s="107" t="n"/>
      <c r="W69" s="115" t="inlineStr">
        <is>
          <t>D</t>
        </is>
      </c>
      <c r="X69" s="107" t="n"/>
      <c r="Y69" s="117" t="inlineStr">
        <is>
          <t>T</t>
        </is>
      </c>
      <c r="Z69" s="117" t="inlineStr">
        <is>
          <t>T</t>
        </is>
      </c>
      <c r="AA69" s="107" t="n"/>
      <c r="AB69" s="107" t="n"/>
      <c r="AC69" s="107" t="n"/>
      <c r="AD69" s="108" t="inlineStr">
        <is>
          <t>M</t>
        </is>
      </c>
      <c r="AE69" s="107" t="n"/>
      <c r="AF69" s="115" t="inlineStr">
        <is>
          <t>D</t>
        </is>
      </c>
      <c r="AG69" s="107" t="n"/>
      <c r="AH69" s="108" t="inlineStr">
        <is>
          <t>M</t>
        </is>
      </c>
      <c r="AI69" s="107" t="n"/>
      <c r="AJ69" s="107" t="n"/>
      <c r="AK69" s="115" t="inlineStr">
        <is>
          <t>D</t>
        </is>
      </c>
      <c r="AL69" s="107" t="n"/>
      <c r="AM69" s="107" t="n"/>
      <c r="AN69" s="109">
        <f>IFERROR(INDEX(AGO!I$8:I$73,MATCH($A69,AGO!$A$8:$A$73,0))&amp;"","")</f>
        <v/>
      </c>
      <c r="AO69" s="109">
        <f>IFERROR(INDEX(AGO!J$8:J$73,MATCH($A69,AGO!$A$8:$A$73,0))&amp;"","")</f>
        <v/>
      </c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SUMPRODUCT(($G69:$M69="M")*6+($G69:$M69="T")*6+($G69:$M69="D")*12+($G69:$M69="N")*12+($G69:$M69="NT")*6+($G69:$M69="C")*10+($G69:$M69="A")*8+($G69:$M69="J")*5+($G69:$M69="E")*4+($G69:$M69="P")*6+($G69:$M69="R")*6)</f>
        <v/>
      </c>
      <c r="BF69" s="110">
        <f>SUMPRODUCT(($N69:$T69="M")*6+($N69:$T69="T")*6+($N69:$T69="D")*12+($N69:$T69="N")*12+($N69:$T69="NT")*6+($N69:$T69="C")*10+($N69:$T69="A")*8+($N69:$T69="J")*5+($N69:$T69="E")*4+($N69:$T69="P")*6+($N69:$T69="R")*6)</f>
        <v/>
      </c>
      <c r="BG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H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I69" s="110">
        <f>SUMPRODUCT(($AI69:$AM69="M")*6+($AI69:$AM69="T")*6+($AI69:$AM69="D")*12+($AI69:$AM69="N")*12+($AI69:$AM69="NT")*6+($AI69:$AM69="C")*10+($AI69:$AM69="A")*8+($AI69:$AM69="J")*5+($AI69:$AM69="E")*4+($AI69:$AM69="P")*6+($AI69:$AM69="R")*6)+SUMPRODUCT(($AN69:$AO69="M")*6+($AN69:$AO69="T")*6+($AN69:$AO69="D")*12+($AN69:$AO69="N")*12+($AN69:$AO69="NT")*6+($AN69:$AO69="C")*10+($AN69:$AO69="A")*8+($AN69:$AO69="J")*5+($AN69:$AO69="E")*4+($AN69:$AO69="P")*6+($AN69:$AO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3">
        <f>IFERROR(INDEX(JUN!AK$8:AK$73,MATCH($A70,JUN!$A$8:$A$73,0))&amp;"","")</f>
        <v/>
      </c>
      <c r="H70" s="123">
        <f>IFERROR(INDEX(JUN!AL$8:AL$73,MATCH($A70,JUN!$A$8:$A$73,0))&amp;"","")</f>
        <v/>
      </c>
      <c r="I70" s="116" t="inlineStr">
        <is>
          <t>N</t>
        </is>
      </c>
      <c r="J70" s="107" t="n"/>
      <c r="K70" s="107" t="n"/>
      <c r="L70" s="107" t="n"/>
      <c r="M70" s="116" t="inlineStr">
        <is>
          <t>N</t>
        </is>
      </c>
      <c r="N70" s="107" t="n"/>
      <c r="O70" s="116" t="inlineStr">
        <is>
          <t>N</t>
        </is>
      </c>
      <c r="P70" s="107" t="n"/>
      <c r="Q70" s="116" t="inlineStr">
        <is>
          <t>N</t>
        </is>
      </c>
      <c r="R70" s="107" t="n"/>
      <c r="S70" s="107" t="n"/>
      <c r="T70" s="107" t="n"/>
      <c r="U70" s="107" t="n"/>
      <c r="V70" s="117" t="inlineStr">
        <is>
          <t>T</t>
        </is>
      </c>
      <c r="W70" s="117" t="inlineStr">
        <is>
          <t>T</t>
        </is>
      </c>
      <c r="X70" s="107" t="n"/>
      <c r="Y70" s="107" t="n"/>
      <c r="Z70" s="107" t="n"/>
      <c r="AA70" s="115" t="inlineStr">
        <is>
          <t>D</t>
        </is>
      </c>
      <c r="AB70" s="107" t="n"/>
      <c r="AC70" s="117" t="inlineStr">
        <is>
          <t>T</t>
        </is>
      </c>
      <c r="AD70" s="115" t="inlineStr">
        <is>
          <t>D</t>
        </is>
      </c>
      <c r="AE70" s="117" t="inlineStr">
        <is>
          <t>T</t>
        </is>
      </c>
      <c r="AF70" s="107" t="n"/>
      <c r="AG70" s="107" t="n"/>
      <c r="AH70" s="107" t="n"/>
      <c r="AI70" s="107" t="n"/>
      <c r="AJ70" s="107" t="n"/>
      <c r="AK70" s="107" t="n"/>
      <c r="AL70" s="116" t="inlineStr">
        <is>
          <t>N</t>
        </is>
      </c>
      <c r="AM70" s="107" t="n"/>
      <c r="AN70" s="109">
        <f>IFERROR(INDEX(AGO!I$8:I$73,MATCH($A70,AGO!$A$8:$A$73,0))&amp;"","")</f>
        <v/>
      </c>
      <c r="AO70" s="109">
        <f>IFERROR(INDEX(AGO!J$8:J$73,MATCH($A70,AGO!$A$8:$A$73,0))&amp;"","")</f>
        <v/>
      </c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SUMPRODUCT(($G70:$M70="M")*6+($G70:$M70="T")*6+($G70:$M70="D")*12+($G70:$M70="N")*12+($G70:$M70="NT")*6+($G70:$M70="C")*10+($G70:$M70="A")*8+($G70:$M70="J")*5+($G70:$M70="E")*4+($G70:$M70="P")*6+($G70:$M70="R")*6)</f>
        <v/>
      </c>
      <c r="BF70" s="110">
        <f>SUMPRODUCT(($N70:$T70="M")*6+($N70:$T70="T")*6+($N70:$T70="D")*12+($N70:$T70="N")*12+($N70:$T70="NT")*6+($N70:$T70="C")*10+($N70:$T70="A")*8+($N70:$T70="J")*5+($N70:$T70="E")*4+($N70:$T70="P")*6+($N70:$T70="R")*6)</f>
        <v/>
      </c>
      <c r="BG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H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I70" s="110">
        <f>SUMPRODUCT(($AI70:$AM70="M")*6+($AI70:$AM70="T")*6+($AI70:$AM70="D")*12+($AI70:$AM70="N")*12+($AI70:$AM70="NT")*6+($AI70:$AM70="C")*10+($AI70:$AM70="A")*8+($AI70:$AM70="J")*5+($AI70:$AM70="E")*4+($AI70:$AM70="P")*6+($AI70:$AM70="R")*6)+SUMPRODUCT(($AN70:$AO70="M")*6+($AN70:$AO70="T")*6+($AN70:$AO70="D")*12+($AN70:$AO70="N")*12+($AN70:$AO70="NT")*6+($AN70:$AO70="C")*10+($AN70:$AO70="A")*8+($AN70:$AO70="J")*5+($AN70:$AO70="E")*4+($AN70:$AO70="P")*6+($AN70:$AO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3">
        <f>IFERROR(INDEX(JUN!AK$8:AK$73,MATCH($A71,JUN!$A$8:$A$73,0))&amp;"","")</f>
        <v/>
      </c>
      <c r="H71" s="123">
        <f>IFERROR(INDEX(JUN!AL$8:AL$73,MATCH($A71,JUN!$A$8:$A$73,0))&amp;"","")</f>
        <v/>
      </c>
      <c r="I71" s="117" t="inlineStr">
        <is>
          <t>T</t>
        </is>
      </c>
      <c r="J71" s="107" t="n"/>
      <c r="K71" s="107" t="n"/>
      <c r="L71" s="107" t="n"/>
      <c r="M71" s="107" t="n"/>
      <c r="N71" s="107" t="n"/>
      <c r="O71" s="107" t="n"/>
      <c r="P71" s="117" t="inlineStr">
        <is>
          <t>T</t>
        </is>
      </c>
      <c r="Q71" s="107" t="n"/>
      <c r="R71" s="107" t="n"/>
      <c r="S71" s="116" t="inlineStr">
        <is>
          <t>N</t>
        </is>
      </c>
      <c r="T71" s="107" t="n"/>
      <c r="U71" s="115" t="inlineStr">
        <is>
          <t>D</t>
        </is>
      </c>
      <c r="V71" s="117" t="inlineStr">
        <is>
          <t>T</t>
        </is>
      </c>
      <c r="W71" s="107" t="n"/>
      <c r="X71" s="107" t="n"/>
      <c r="Y71" s="115" t="inlineStr">
        <is>
          <t>D</t>
        </is>
      </c>
      <c r="Z71" s="107" t="n"/>
      <c r="AA71" s="107" t="n"/>
      <c r="AB71" s="107" t="n"/>
      <c r="AC71" s="107" t="n"/>
      <c r="AD71" s="107" t="n"/>
      <c r="AE71" s="108" t="inlineStr">
        <is>
          <t>M</t>
        </is>
      </c>
      <c r="AF71" s="107" t="n"/>
      <c r="AG71" s="115" t="inlineStr">
        <is>
          <t>D</t>
        </is>
      </c>
      <c r="AH71" s="107" t="n"/>
      <c r="AI71" s="108" t="inlineStr">
        <is>
          <t>M</t>
        </is>
      </c>
      <c r="AJ71" s="107" t="n"/>
      <c r="AK71" s="107" t="n"/>
      <c r="AL71" s="115" t="inlineStr">
        <is>
          <t>D</t>
        </is>
      </c>
      <c r="AM71" s="115" t="inlineStr">
        <is>
          <t>D</t>
        </is>
      </c>
      <c r="AN71" s="109">
        <f>IFERROR(INDEX(AGO!I$8:I$73,MATCH($A71,AGO!$A$8:$A$73,0))&amp;"","")</f>
        <v/>
      </c>
      <c r="AO71" s="109">
        <f>IFERROR(INDEX(AGO!J$8:J$73,MATCH($A71,AGO!$A$8:$A$73,0))&amp;"","")</f>
        <v/>
      </c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SUMPRODUCT(($G71:$M71="M")*6+($G71:$M71="T")*6+($G71:$M71="D")*12+($G71:$M71="N")*12+($G71:$M71="NT")*6+($G71:$M71="C")*10+($G71:$M71="A")*8+($G71:$M71="J")*5+($G71:$M71="E")*4+($G71:$M71="P")*6+($G71:$M71="R")*6)</f>
        <v/>
      </c>
      <c r="BF71" s="110">
        <f>SUMPRODUCT(($N71:$T71="M")*6+($N71:$T71="T")*6+($N71:$T71="D")*12+($N71:$T71="N")*12+($N71:$T71="NT")*6+($N71:$T71="C")*10+($N71:$T71="A")*8+($N71:$T71="J")*5+($N71:$T71="E")*4+($N71:$T71="P")*6+($N71:$T71="R")*6)</f>
        <v/>
      </c>
      <c r="BG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H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I71" s="110">
        <f>SUMPRODUCT(($AI71:$AM71="M")*6+($AI71:$AM71="T")*6+($AI71:$AM71="D")*12+($AI71:$AM71="N")*12+($AI71:$AM71="NT")*6+($AI71:$AM71="C")*10+($AI71:$AM71="A")*8+($AI71:$AM71="J")*5+($AI71:$AM71="E")*4+($AI71:$AM71="P")*6+($AI71:$AM71="R")*6)+SUMPRODUCT(($AN71:$AO71="M")*6+($AN71:$AO71="T")*6+($AN71:$AO71="D")*12+($AN71:$AO71="N")*12+($AN71:$AO71="NT")*6+($AN71:$AO71="C")*10+($AN71:$AO71="A")*8+($AN71:$AO71="J")*5+($AN71:$AO71="E")*4+($AN71:$AO71="P")*6+($AN71:$AO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3">
        <f>IFERROR(INDEX(JUN!AK$8:AK$73,MATCH($A72,JUN!$A$8:$A$73,0))&amp;"","")</f>
        <v/>
      </c>
      <c r="H72" s="123">
        <f>IFERROR(INDEX(JUN!AL$8:AL$73,MATCH($A72,JUN!$A$8:$A$73,0))&amp;"","")</f>
        <v/>
      </c>
      <c r="I72" s="108" t="inlineStr">
        <is>
          <t>M</t>
        </is>
      </c>
      <c r="J72" s="108" t="inlineStr">
        <is>
          <t>M</t>
        </is>
      </c>
      <c r="K72" s="108" t="inlineStr">
        <is>
          <t>M</t>
        </is>
      </c>
      <c r="L72" s="108" t="inlineStr">
        <is>
          <t>M</t>
        </is>
      </c>
      <c r="M72" s="107" t="n"/>
      <c r="N72" s="108" t="inlineStr">
        <is>
          <t>M</t>
        </is>
      </c>
      <c r="O72" s="108" t="inlineStr">
        <is>
          <t>M</t>
        </is>
      </c>
      <c r="P72" s="108" t="inlineStr">
        <is>
          <t>M</t>
        </is>
      </c>
      <c r="Q72" s="107" t="n"/>
      <c r="R72" s="108" t="inlineStr">
        <is>
          <t>M</t>
        </is>
      </c>
      <c r="S72" s="108" t="inlineStr">
        <is>
          <t>M</t>
        </is>
      </c>
      <c r="T72" s="107" t="n"/>
      <c r="U72" s="108" t="inlineStr">
        <is>
          <t>M</t>
        </is>
      </c>
      <c r="V72" s="108" t="inlineStr">
        <is>
          <t>M</t>
        </is>
      </c>
      <c r="W72" s="108" t="inlineStr">
        <is>
          <t>M</t>
        </is>
      </c>
      <c r="X72" s="108" t="inlineStr">
        <is>
          <t>M</t>
        </is>
      </c>
      <c r="Y72" s="108" t="inlineStr">
        <is>
          <t>M</t>
        </is>
      </c>
      <c r="Z72" s="107" t="n"/>
      <c r="AA72" s="107" t="n"/>
      <c r="AB72" s="108" t="inlineStr">
        <is>
          <t>M</t>
        </is>
      </c>
      <c r="AC72" s="108" t="inlineStr">
        <is>
          <t>M</t>
        </is>
      </c>
      <c r="AD72" s="108" t="inlineStr">
        <is>
          <t>M</t>
        </is>
      </c>
      <c r="AE72" s="107" t="n"/>
      <c r="AF72" s="108" t="inlineStr">
        <is>
          <t>M</t>
        </is>
      </c>
      <c r="AG72" s="108" t="inlineStr">
        <is>
          <t>M</t>
        </is>
      </c>
      <c r="AH72" s="107" t="n"/>
      <c r="AI72" s="108" t="inlineStr">
        <is>
          <t>M</t>
        </is>
      </c>
      <c r="AJ72" s="108" t="inlineStr">
        <is>
          <t>M</t>
        </is>
      </c>
      <c r="AK72" s="108" t="inlineStr">
        <is>
          <t>M</t>
        </is>
      </c>
      <c r="AL72" s="107" t="n"/>
      <c r="AM72" s="108" t="inlineStr">
        <is>
          <t>M</t>
        </is>
      </c>
      <c r="AN72" s="109">
        <f>IFERROR(INDEX(AGO!I$8:I$73,MATCH($A72,AGO!$A$8:$A$73,0))&amp;"","")</f>
        <v/>
      </c>
      <c r="AO72" s="109">
        <f>IFERROR(INDEX(AGO!J$8:J$73,MATCH($A72,AGO!$A$8:$A$73,0))&amp;"","")</f>
        <v/>
      </c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SUMPRODUCT(($G72:$M72="M")*6+($G72:$M72="T")*6+($G72:$M72="D")*12+($G72:$M72="N")*12+($G72:$M72="NT")*6+($G72:$M72="C")*10+($G72:$M72="A")*8+($G72:$M72="J")*5+($G72:$M72="E")*4+($G72:$M72="P")*6+($G72:$M72="R")*6)</f>
        <v/>
      </c>
      <c r="BF72" s="110">
        <f>SUMPRODUCT(($N72:$T72="M")*6+($N72:$T72="T")*6+($N72:$T72="D")*12+($N72:$T72="N")*12+($N72:$T72="NT")*6+($N72:$T72="C")*10+($N72:$T72="A")*8+($N72:$T72="J")*5+($N72:$T72="E")*4+($N72:$T72="P")*6+($N72:$T72="R")*6)</f>
        <v/>
      </c>
      <c r="BG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H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I72" s="110">
        <f>SUMPRODUCT(($AI72:$AM72="M")*6+($AI72:$AM72="T")*6+($AI72:$AM72="D")*12+($AI72:$AM72="N")*12+($AI72:$AM72="NT")*6+($AI72:$AM72="C")*10+($AI72:$AM72="A")*8+($AI72:$AM72="J")*5+($AI72:$AM72="E")*4+($AI72:$AM72="P")*6+($AI72:$AM72="R")*6)+SUMPRODUCT(($AN72:$AO72="M")*6+($AN72:$AO72="T")*6+($AN72:$AO72="D")*12+($AN72:$AO72="N")*12+($AN72:$AO72="NT")*6+($AN72:$AO72="C")*10+($AN72:$AO72="A")*8+($AN72:$AO72="J")*5+($AN72:$AO72="E")*4+($AN72:$AO72="P")*6+($AN72:$AO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3">
        <f>IFERROR(INDEX(JUN!AK$8:AK$73,MATCH($A73,JUN!$A$8:$A$73,0))&amp;"","")</f>
        <v/>
      </c>
      <c r="H73" s="123">
        <f>IFERROR(INDEX(JUN!AL$8:AL$73,MATCH($A73,JUN!$A$8:$A$73,0))&amp;"","")</f>
        <v/>
      </c>
      <c r="I73" s="107" t="n"/>
      <c r="J73" s="107" t="n"/>
      <c r="K73" s="107" t="n"/>
      <c r="L73" s="117" t="inlineStr">
        <is>
          <t>T</t>
        </is>
      </c>
      <c r="M73" s="115" t="inlineStr">
        <is>
          <t>D</t>
        </is>
      </c>
      <c r="N73" s="107" t="n"/>
      <c r="O73" s="107" t="n"/>
      <c r="P73" s="117" t="inlineStr">
        <is>
          <t>T</t>
        </is>
      </c>
      <c r="Q73" s="116" t="inlineStr">
        <is>
          <t>N</t>
        </is>
      </c>
      <c r="R73" s="117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7" t="inlineStr">
        <is>
          <t>T</t>
        </is>
      </c>
      <c r="X73" s="116" t="inlineStr">
        <is>
          <t>N</t>
        </is>
      </c>
      <c r="Y73" s="107" t="n"/>
      <c r="Z73" s="107" t="n"/>
      <c r="AA73" s="116" t="inlineStr">
        <is>
          <t>N</t>
        </is>
      </c>
      <c r="AB73" s="107" t="n"/>
      <c r="AC73" s="116" t="inlineStr">
        <is>
          <t>N</t>
        </is>
      </c>
      <c r="AD73" s="107" t="n"/>
      <c r="AE73" s="117" t="inlineStr">
        <is>
          <t>T</t>
        </is>
      </c>
      <c r="AF73" s="115" t="inlineStr">
        <is>
          <t>D</t>
        </is>
      </c>
      <c r="AG73" s="107" t="n"/>
      <c r="AH73" s="107" t="n"/>
      <c r="AI73" s="107" t="n"/>
      <c r="AJ73" s="116" t="inlineStr">
        <is>
          <t>N</t>
        </is>
      </c>
      <c r="AK73" s="107" t="n"/>
      <c r="AL73" s="116" t="inlineStr">
        <is>
          <t>N</t>
        </is>
      </c>
      <c r="AM73" s="117" t="inlineStr">
        <is>
          <t>T</t>
        </is>
      </c>
      <c r="AN73" s="109">
        <f>IFERROR(INDEX(AGO!I$8:I$73,MATCH($A73,AGO!$A$8:$A$73,0))&amp;"","")</f>
        <v/>
      </c>
      <c r="AO73" s="109">
        <f>IFERROR(INDEX(AGO!J$8:J$73,MATCH($A73,AGO!$A$8:$A$73,0))&amp;"","")</f>
        <v/>
      </c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SUMPRODUCT(($G73:$M73="M")*6+($G73:$M73="T")*6+($G73:$M73="D")*12+($G73:$M73="N")*12+($G73:$M73="NT")*6+($G73:$M73="C")*10+($G73:$M73="A")*8+($G73:$M73="J")*5+($G73:$M73="E")*4+($G73:$M73="P")*6+($G73:$M73="R")*6)</f>
        <v/>
      </c>
      <c r="BF73" s="110">
        <f>SUMPRODUCT(($N73:$T73="M")*6+($N73:$T73="T")*6+($N73:$T73="D")*12+($N73:$T73="N")*12+($N73:$T73="NT")*6+($N73:$T73="C")*10+($N73:$T73="A")*8+($N73:$T73="J")*5+($N73:$T73="E")*4+($N73:$T73="P")*6+($N73:$T73="R")*6)</f>
        <v/>
      </c>
      <c r="BG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H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I73" s="110">
        <f>SUMPRODUCT(($AI73:$AM73="M")*6+($AI73:$AM73="T")*6+($AI73:$AM73="D")*12+($AI73:$AM73="N")*12+($AI73:$AM73="NT")*6+($AI73:$AM73="C")*10+($AI73:$AM73="A")*8+($AI73:$AM73="J")*5+($AI73:$AM73="E")*4+($AI73:$AM73="P")*6+($AI73:$AM73="R")*6)+SUMPRODUCT(($AN73:$AO73="M")*6+($AN73:$AO73="T")*6+($AN73:$AO73="D")*12+($AN73:$AO73="N")*12+($AN73:$AO73="NT")*6+($AN73:$AO73="C")*10+($AN73:$AO73="A")*8+($AN73:$AO73="J")*5+($AN73:$AO73="E")*4+($AN73:$AO73="P")*6+($AN73:$AO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120">
        <f>COUNTIF(AO8:AO73,"N")+COUNTIF(AO8:AO73,"NT")</f>
        <v/>
      </c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122">
        <f>MAX(0,CONFIG!$B$9-G75)</f>
        <v/>
      </c>
      <c r="H78" s="122">
        <f>MAX(0,CONFIG!$B$9-H75)</f>
        <v/>
      </c>
      <c r="I78" s="122">
        <f>MAX(0,CONFIG!$B$9-I75)</f>
        <v/>
      </c>
      <c r="J78" s="122">
        <f>MAX(0,CONFIG!$B$9-J75)</f>
        <v/>
      </c>
      <c r="K78" s="122">
        <f>MAX(0,CONFIG!$B$9-K75)</f>
        <v/>
      </c>
      <c r="L78" s="122">
        <f>MAX(0,CONFIG!$B$10-L75)</f>
        <v/>
      </c>
      <c r="M78" s="122">
        <f>MAX(0,CONFIG!$B$11-M75)</f>
        <v/>
      </c>
      <c r="N78" s="122">
        <f>MAX(0,CONFIG!$B$9-N75)</f>
        <v/>
      </c>
      <c r="O78" s="122">
        <f>MAX(0,CONFIG!$B$9-O75)</f>
        <v/>
      </c>
      <c r="P78" s="122">
        <f>MAX(0,CONFIG!$B$9-P75)</f>
        <v/>
      </c>
      <c r="Q78" s="122">
        <f>MAX(0,CONFIG!$B$9-Q75)</f>
        <v/>
      </c>
      <c r="R78" s="122">
        <f>MAX(0,CONFIG!$B$9-R75)</f>
        <v/>
      </c>
      <c r="S78" s="122">
        <f>MAX(0,CONFIG!$B$10-S75)</f>
        <v/>
      </c>
      <c r="T78" s="122">
        <f>MAX(0,CONFIG!$B$11-T75)</f>
        <v/>
      </c>
      <c r="U78" s="122">
        <f>MAX(0,CONFIG!$B$9-U75)</f>
        <v/>
      </c>
      <c r="V78" s="122">
        <f>MAX(0,CONFIG!$B$9-V75)</f>
        <v/>
      </c>
      <c r="W78" s="122">
        <f>MAX(0,CONFIG!$B$9-W75)</f>
        <v/>
      </c>
      <c r="X78" s="122">
        <f>MAX(0,CONFIG!$B$9-X75)</f>
        <v/>
      </c>
      <c r="Y78" s="122">
        <f>MAX(0,CONFIG!$B$9-Y75)</f>
        <v/>
      </c>
      <c r="Z78" s="122">
        <f>MAX(0,CONFIG!$B$10-Z75)</f>
        <v/>
      </c>
      <c r="AA78" s="122">
        <f>MAX(0,CONFIG!$B$11-AA75)</f>
        <v/>
      </c>
      <c r="AB78" s="122">
        <f>MAX(0,CONFIG!$B$9-AB75)</f>
        <v/>
      </c>
      <c r="AC78" s="122">
        <f>MAX(0,CONFIG!$B$9-AC75)</f>
        <v/>
      </c>
      <c r="AD78" s="122">
        <f>MAX(0,CONFIG!$B$9-AD75)</f>
        <v/>
      </c>
      <c r="AE78" s="122">
        <f>MAX(0,CONFIG!$B$9-AE75)</f>
        <v/>
      </c>
      <c r="AF78" s="122">
        <f>MAX(0,CONFIG!$B$9-AF75)</f>
        <v/>
      </c>
      <c r="AG78" s="122">
        <f>MAX(0,CONFIG!$B$10-AG75)</f>
        <v/>
      </c>
      <c r="AH78" s="122">
        <f>MAX(0,CONFIG!$B$11-AH75)</f>
        <v/>
      </c>
      <c r="AI78" s="122">
        <f>MAX(0,CONFIG!$B$9-AI75)</f>
        <v/>
      </c>
      <c r="AJ78" s="122">
        <f>MAX(0,CONFIG!$B$9-AJ75)</f>
        <v/>
      </c>
      <c r="AK78" s="122">
        <f>MAX(0,CONFIG!$B$9-AK75)</f>
        <v/>
      </c>
      <c r="AL78" s="122">
        <f>MAX(0,CONFIG!$B$9-AL75)</f>
        <v/>
      </c>
      <c r="AM78" s="122">
        <f>MAX(0,CONFIG!$B$9-AM75)</f>
        <v/>
      </c>
      <c r="AN78" s="122">
        <f>MAX(0,CONFIG!$B$10-AN75)</f>
        <v/>
      </c>
      <c r="AO78" s="122">
        <f>MAX(0,CONFIG!$B$11-AO75)</f>
        <v/>
      </c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122">
        <f>MAX(0,CONFIG!$C$9-G76)</f>
        <v/>
      </c>
      <c r="H79" s="122">
        <f>MAX(0,CONFIG!$C$9-H76)</f>
        <v/>
      </c>
      <c r="I79" s="122">
        <f>MAX(0,CONFIG!$C$9-I76)</f>
        <v/>
      </c>
      <c r="J79" s="122">
        <f>MAX(0,CONFIG!$C$9-J76)</f>
        <v/>
      </c>
      <c r="K79" s="122">
        <f>MAX(0,CONFIG!$C$9-K76)</f>
        <v/>
      </c>
      <c r="L79" s="122">
        <f>MAX(0,CONFIG!$C$10-L76)</f>
        <v/>
      </c>
      <c r="M79" s="122">
        <f>MAX(0,CONFIG!$C$11-M76)</f>
        <v/>
      </c>
      <c r="N79" s="122">
        <f>MAX(0,CONFIG!$C$9-N76)</f>
        <v/>
      </c>
      <c r="O79" s="122">
        <f>MAX(0,CONFIG!$C$9-O76)</f>
        <v/>
      </c>
      <c r="P79" s="122">
        <f>MAX(0,CONFIG!$C$9-P76)</f>
        <v/>
      </c>
      <c r="Q79" s="122">
        <f>MAX(0,CONFIG!$C$9-Q76)</f>
        <v/>
      </c>
      <c r="R79" s="122">
        <f>MAX(0,CONFIG!$C$9-R76)</f>
        <v/>
      </c>
      <c r="S79" s="122">
        <f>MAX(0,CONFIG!$C$10-S76)</f>
        <v/>
      </c>
      <c r="T79" s="122">
        <f>MAX(0,CONFIG!$C$11-T76)</f>
        <v/>
      </c>
      <c r="U79" s="122">
        <f>MAX(0,CONFIG!$C$9-U76)</f>
        <v/>
      </c>
      <c r="V79" s="122">
        <f>MAX(0,CONFIG!$C$9-V76)</f>
        <v/>
      </c>
      <c r="W79" s="122">
        <f>MAX(0,CONFIG!$C$9-W76)</f>
        <v/>
      </c>
      <c r="X79" s="122">
        <f>MAX(0,CONFIG!$C$9-X76)</f>
        <v/>
      </c>
      <c r="Y79" s="122">
        <f>MAX(0,CONFIG!$C$9-Y76)</f>
        <v/>
      </c>
      <c r="Z79" s="122">
        <f>MAX(0,CONFIG!$C$10-Z76)</f>
        <v/>
      </c>
      <c r="AA79" s="122">
        <f>MAX(0,CONFIG!$C$11-AA76)</f>
        <v/>
      </c>
      <c r="AB79" s="122">
        <f>MAX(0,CONFIG!$C$9-AB76)</f>
        <v/>
      </c>
      <c r="AC79" s="122">
        <f>MAX(0,CONFIG!$C$9-AC76)</f>
        <v/>
      </c>
      <c r="AD79" s="122">
        <f>MAX(0,CONFIG!$C$9-AD76)</f>
        <v/>
      </c>
      <c r="AE79" s="122">
        <f>MAX(0,CONFIG!$C$9-AE76)</f>
        <v/>
      </c>
      <c r="AF79" s="122">
        <f>MAX(0,CONFIG!$C$9-AF76)</f>
        <v/>
      </c>
      <c r="AG79" s="122">
        <f>MAX(0,CONFIG!$C$10-AG76)</f>
        <v/>
      </c>
      <c r="AH79" s="122">
        <f>MAX(0,CONFIG!$C$11-AH76)</f>
        <v/>
      </c>
      <c r="AI79" s="122">
        <f>MAX(0,CONFIG!$C$9-AI76)</f>
        <v/>
      </c>
      <c r="AJ79" s="122">
        <f>MAX(0,CONFIG!$C$9-AJ76)</f>
        <v/>
      </c>
      <c r="AK79" s="122">
        <f>MAX(0,CONFIG!$C$9-AK76)</f>
        <v/>
      </c>
      <c r="AL79" s="122">
        <f>MAX(0,CONFIG!$C$9-AL76)</f>
        <v/>
      </c>
      <c r="AM79" s="122">
        <f>MAX(0,CONFIG!$C$9-AM76)</f>
        <v/>
      </c>
      <c r="AN79" s="122">
        <f>MAX(0,CONFIG!$C$10-AN76)</f>
        <v/>
      </c>
      <c r="AO79" s="122">
        <f>MAX(0,CONFIG!$C$11-AO76)</f>
        <v/>
      </c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122">
        <f>MAX(0,CONFIG!$D$9-G77)</f>
        <v/>
      </c>
      <c r="H80" s="122">
        <f>MAX(0,CONFIG!$D$9-H77)</f>
        <v/>
      </c>
      <c r="I80" s="122">
        <f>MAX(0,CONFIG!$D$9-I77)</f>
        <v/>
      </c>
      <c r="J80" s="122">
        <f>MAX(0,CONFIG!$D$9-J77)</f>
        <v/>
      </c>
      <c r="K80" s="122">
        <f>MAX(0,CONFIG!$D$9-K77)</f>
        <v/>
      </c>
      <c r="L80" s="122">
        <f>MAX(0,CONFIG!$D$10-L77)</f>
        <v/>
      </c>
      <c r="M80" s="122">
        <f>MAX(0,CONFIG!$D$11-M77)</f>
        <v/>
      </c>
      <c r="N80" s="122">
        <f>MAX(0,CONFIG!$D$9-N77)</f>
        <v/>
      </c>
      <c r="O80" s="122">
        <f>MAX(0,CONFIG!$D$9-O77)</f>
        <v/>
      </c>
      <c r="P80" s="122">
        <f>MAX(0,CONFIG!$D$9-P77)</f>
        <v/>
      </c>
      <c r="Q80" s="122">
        <f>MAX(0,CONFIG!$D$9-Q77)</f>
        <v/>
      </c>
      <c r="R80" s="122">
        <f>MAX(0,CONFIG!$D$9-R77)</f>
        <v/>
      </c>
      <c r="S80" s="122">
        <f>MAX(0,CONFIG!$D$10-S77)</f>
        <v/>
      </c>
      <c r="T80" s="122">
        <f>MAX(0,CONFIG!$D$11-T77)</f>
        <v/>
      </c>
      <c r="U80" s="122">
        <f>MAX(0,CONFIG!$D$9-U77)</f>
        <v/>
      </c>
      <c r="V80" s="122">
        <f>MAX(0,CONFIG!$D$9-V77)</f>
        <v/>
      </c>
      <c r="W80" s="122">
        <f>MAX(0,CONFIG!$D$9-W77)</f>
        <v/>
      </c>
      <c r="X80" s="122">
        <f>MAX(0,CONFIG!$D$9-X77)</f>
        <v/>
      </c>
      <c r="Y80" s="122">
        <f>MAX(0,CONFIG!$D$9-Y77)</f>
        <v/>
      </c>
      <c r="Z80" s="122">
        <f>MAX(0,CONFIG!$D$10-Z77)</f>
        <v/>
      </c>
      <c r="AA80" s="122">
        <f>MAX(0,CONFIG!$D$11-AA77)</f>
        <v/>
      </c>
      <c r="AB80" s="122">
        <f>MAX(0,CONFIG!$D$9-AB77)</f>
        <v/>
      </c>
      <c r="AC80" s="122">
        <f>MAX(0,CONFIG!$D$9-AC77)</f>
        <v/>
      </c>
      <c r="AD80" s="122">
        <f>MAX(0,CONFIG!$D$9-AD77)</f>
        <v/>
      </c>
      <c r="AE80" s="122">
        <f>MAX(0,CONFIG!$D$9-AE77)</f>
        <v/>
      </c>
      <c r="AF80" s="122">
        <f>MAX(0,CONFIG!$D$9-AF77)</f>
        <v/>
      </c>
      <c r="AG80" s="122">
        <f>MAX(0,CONFIG!$D$10-AG77)</f>
        <v/>
      </c>
      <c r="AH80" s="122">
        <f>MAX(0,CONFIG!$D$11-AH77)</f>
        <v/>
      </c>
      <c r="AI80" s="122">
        <f>MAX(0,CONFIG!$D$9-AI77)</f>
        <v/>
      </c>
      <c r="AJ80" s="122">
        <f>MAX(0,CONFIG!$D$9-AJ77)</f>
        <v/>
      </c>
      <c r="AK80" s="122">
        <f>MAX(0,CONFIG!$D$9-AK77)</f>
        <v/>
      </c>
      <c r="AL80" s="122">
        <f>MAX(0,CONFIG!$D$9-AL77)</f>
        <v/>
      </c>
      <c r="AM80" s="122">
        <f>MAX(0,CONFIG!$D$9-AM77)</f>
        <v/>
      </c>
      <c r="AN80" s="122">
        <f>MAX(0,CONFIG!$D$10-AN77)</f>
        <v/>
      </c>
      <c r="AO80" s="122">
        <f>MAX(0,CONFIG!$D$11-AO77)</f>
        <v/>
      </c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7" t="inlineStr">
        <is>
          <t>27/07</t>
        </is>
      </c>
      <c r="E2" s="97" t="inlineStr">
        <is>
          <t>28/07</t>
        </is>
      </c>
      <c r="F2" s="97" t="inlineStr">
        <is>
          <t>29/07</t>
        </is>
      </c>
      <c r="G2" s="97" t="inlineStr">
        <is>
          <t>30/07</t>
        </is>
      </c>
      <c r="H2" s="97" t="inlineStr">
        <is>
          <t>31/07</t>
        </is>
      </c>
      <c r="I2" s="100" t="n">
        <v>1</v>
      </c>
      <c r="J2" s="100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100" t="n">
        <v>8</v>
      </c>
      <c r="Q2" s="100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100" t="n">
        <v>15</v>
      </c>
      <c r="X2" s="100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100" t="n">
        <v>22</v>
      </c>
      <c r="AE2" s="100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100" t="n">
        <v>29</v>
      </c>
      <c r="AL2" s="100" t="n">
        <v>30</v>
      </c>
      <c r="AM2" s="99" t="n">
        <v>31</v>
      </c>
      <c r="AN2" s="97" t="inlineStr">
        <is>
          <t>01/09</t>
        </is>
      </c>
      <c r="AO2" s="97" t="inlineStr">
        <is>
          <t>02/09</t>
        </is>
      </c>
      <c r="AP2" s="97" t="inlineStr">
        <is>
          <t>03/09</t>
        </is>
      </c>
      <c r="AQ2" s="97" t="inlineStr">
        <is>
          <t>04/09</t>
        </is>
      </c>
      <c r="AR2" s="101" t="inlineStr">
        <is>
          <t>05/09</t>
        </is>
      </c>
      <c r="AS2" s="101" t="inlineStr">
        <is>
          <t>06/09</t>
        </is>
      </c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102" t="inlineStr">
        <is>
          <t>seg</t>
        </is>
      </c>
      <c r="E3" s="102" t="inlineStr">
        <is>
          <t>ter</t>
        </is>
      </c>
      <c r="F3" s="102" t="inlineStr">
        <is>
          <t>qua</t>
        </is>
      </c>
      <c r="G3" s="102" t="inlineStr">
        <is>
          <t>qui</t>
        </is>
      </c>
      <c r="H3" s="102" t="inlineStr">
        <is>
          <t>sex</t>
        </is>
      </c>
      <c r="I3" s="104" t="inlineStr">
        <is>
          <t>sáb</t>
        </is>
      </c>
      <c r="J3" s="104" t="inlineStr">
        <is>
          <t>dom</t>
        </is>
      </c>
      <c r="K3" s="102" t="inlineStr">
        <is>
          <t>seg</t>
        </is>
      </c>
      <c r="L3" s="102" t="inlineStr">
        <is>
          <t>ter</t>
        </is>
      </c>
      <c r="M3" s="102" t="inlineStr">
        <is>
          <t>qua</t>
        </is>
      </c>
      <c r="N3" s="102" t="inlineStr">
        <is>
          <t>qui</t>
        </is>
      </c>
      <c r="O3" s="102" t="inlineStr">
        <is>
          <t>sex</t>
        </is>
      </c>
      <c r="P3" s="104" t="inlineStr">
        <is>
          <t>sáb</t>
        </is>
      </c>
      <c r="Q3" s="104" t="inlineStr">
        <is>
          <t>dom</t>
        </is>
      </c>
      <c r="R3" s="102" t="inlineStr">
        <is>
          <t>seg</t>
        </is>
      </c>
      <c r="S3" s="102" t="inlineStr">
        <is>
          <t>ter</t>
        </is>
      </c>
      <c r="T3" s="102" t="inlineStr">
        <is>
          <t>qua</t>
        </is>
      </c>
      <c r="U3" s="102" t="inlineStr">
        <is>
          <t>qui</t>
        </is>
      </c>
      <c r="V3" s="102" t="inlineStr">
        <is>
          <t>sex</t>
        </is>
      </c>
      <c r="W3" s="104" t="inlineStr">
        <is>
          <t>sáb</t>
        </is>
      </c>
      <c r="X3" s="104" t="inlineStr">
        <is>
          <t>dom</t>
        </is>
      </c>
      <c r="Y3" s="102" t="inlineStr">
        <is>
          <t>seg</t>
        </is>
      </c>
      <c r="Z3" s="102" t="inlineStr">
        <is>
          <t>ter</t>
        </is>
      </c>
      <c r="AA3" s="102" t="inlineStr">
        <is>
          <t>qua</t>
        </is>
      </c>
      <c r="AB3" s="102" t="inlineStr">
        <is>
          <t>qui</t>
        </is>
      </c>
      <c r="AC3" s="102" t="inlineStr">
        <is>
          <t>sex</t>
        </is>
      </c>
      <c r="AD3" s="104" t="inlineStr">
        <is>
          <t>sáb</t>
        </is>
      </c>
      <c r="AE3" s="104" t="inlineStr">
        <is>
          <t>dom</t>
        </is>
      </c>
      <c r="AF3" s="102" t="inlineStr">
        <is>
          <t>seg</t>
        </is>
      </c>
      <c r="AG3" s="102" t="inlineStr">
        <is>
          <t>ter</t>
        </is>
      </c>
      <c r="AH3" s="102" t="inlineStr">
        <is>
          <t>qua</t>
        </is>
      </c>
      <c r="AI3" s="102" t="inlineStr">
        <is>
          <t>qui</t>
        </is>
      </c>
      <c r="AJ3" s="102" t="inlineStr">
        <is>
          <t>sex</t>
        </is>
      </c>
      <c r="AK3" s="104" t="inlineStr">
        <is>
          <t>sáb</t>
        </is>
      </c>
      <c r="AL3" s="104" t="inlineStr">
        <is>
          <t>dom</t>
        </is>
      </c>
      <c r="AM3" s="102" t="inlineStr">
        <is>
          <t>seg</t>
        </is>
      </c>
      <c r="AN3" s="102" t="inlineStr">
        <is>
          <t>ter</t>
        </is>
      </c>
      <c r="AO3" s="102" t="inlineStr">
        <is>
          <t>qua</t>
        </is>
      </c>
      <c r="AP3" s="102" t="inlineStr">
        <is>
          <t>qui</t>
        </is>
      </c>
      <c r="AQ3" s="102" t="inlineStr">
        <is>
          <t>sex</t>
        </is>
      </c>
      <c r="AR3" s="104" t="inlineStr">
        <is>
          <t>sáb</t>
        </is>
      </c>
      <c r="AS3" s="104" t="inlineStr">
        <is>
          <t>dom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1</v>
      </c>
      <c r="AL4" s="39" t="n">
        <v>1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1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123">
        <f>IFERROR(INDEX(JUL!AI$8:AI$73,MATCH($A8,JUL!$A$8:$A$73,0))&amp;"","")</f>
        <v/>
      </c>
      <c r="E8" s="123">
        <f>IFERROR(INDEX(JUL!AJ$8:AJ$73,MATCH($A8,JUL!$A$8:$A$73,0))&amp;"","")</f>
        <v/>
      </c>
      <c r="F8" s="123">
        <f>IFERROR(INDEX(JUL!AK$8:AK$73,MATCH($A8,JUL!$A$8:$A$73,0))&amp;"","")</f>
        <v/>
      </c>
      <c r="G8" s="123">
        <f>IFERROR(INDEX(JUL!AL$8:AL$73,MATCH($A8,JUL!$A$8:$A$73,0))&amp;"","")</f>
        <v/>
      </c>
      <c r="H8" s="123">
        <f>IFERROR(INDEX(JUL!AM$8:AM$73,MATCH($A8,JUL!$A$8:$A$73,0))&amp;"","")</f>
        <v/>
      </c>
      <c r="I8" s="108" t="inlineStr">
        <is>
          <t>M</t>
        </is>
      </c>
      <c r="J8" s="108" t="inlineStr">
        <is>
          <t>M</t>
        </is>
      </c>
      <c r="K8" s="124" t="inlineStr">
        <is>
          <t>C</t>
        </is>
      </c>
      <c r="L8" s="124" t="inlineStr">
        <is>
          <t>C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7" t="n"/>
      <c r="Q8" s="107" t="n"/>
      <c r="R8" s="124" t="inlineStr">
        <is>
          <t>C</t>
        </is>
      </c>
      <c r="S8" s="124" t="inlineStr">
        <is>
          <t>C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7" t="n"/>
      <c r="X8" s="107" t="n"/>
      <c r="Y8" s="124" t="inlineStr">
        <is>
          <t>C</t>
        </is>
      </c>
      <c r="Z8" s="124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4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24" t="inlineStr">
        <is>
          <t>C</t>
        </is>
      </c>
      <c r="AG8" s="124" t="inlineStr">
        <is>
          <t>C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7" t="n"/>
      <c r="AL8" s="107" t="n"/>
      <c r="AM8" s="124" t="inlineStr">
        <is>
          <t>C</t>
        </is>
      </c>
      <c r="AN8" s="123">
        <f>IFERROR(INDEX(SET!I$8:I$73,MATCH($A8,SET!$A$8:$A$73,0))&amp;"","")</f>
        <v/>
      </c>
      <c r="AO8" s="123">
        <f>IFERROR(INDEX(SET!J$8:J$73,MATCH($A8,SET!$A$8:$A$73,0))&amp;"","")</f>
        <v/>
      </c>
      <c r="AP8" s="123">
        <f>IFERROR(INDEX(SET!K$8:K$73,MATCH($A8,SET!$A$8:$A$73,0))&amp;"","")</f>
        <v/>
      </c>
      <c r="AQ8" s="123">
        <f>IFERROR(INDEX(SET!L$8:L$73,MATCH($A8,SET!$A$8:$A$73,0))&amp;"","")</f>
        <v/>
      </c>
      <c r="AR8" s="109">
        <f>IFERROR(INDEX(SET!M$8:M$73,MATCH($A8,SET!$A$8:$A$73,0))&amp;"","")</f>
        <v/>
      </c>
      <c r="AS8" s="109">
        <f>IFERROR(INDEX(SET!N$8:N$73,MATCH($A8,SET!$A$8:$A$73,0))&amp;"","")</f>
        <v/>
      </c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SUMPRODUCT(($D8:$J8="M")*6+($D8:$J8="T")*6+($D8:$J8="D")*12+($D8:$J8="N")*12+($D8:$J8="NT")*6+($D8:$J8="C")*10+($D8:$J8="A")*8+($D8:$J8="J")*5+($D8:$J8="E")*4+($D8:$J8="P")*6+($D8:$J8="R")*6)</f>
        <v/>
      </c>
      <c r="BF8" s="110">
        <f>SUMPRODUCT(($K8:$Q8="M")*6+($K8:$Q8="T")*6+($K8:$Q8="D")*12+($K8:$Q8="N")*12+($K8:$Q8="NT")*6+($K8:$Q8="C")*10+($K8:$Q8="A")*8+($K8:$Q8="J")*5+($K8:$Q8="E")*4+($K8:$Q8="P")*6+($K8:$Q8="R")*6)</f>
        <v/>
      </c>
      <c r="BG8" s="110">
        <f>SUMPRODUCT(($R8:$X8="M")*6+($R8:$X8="T")*6+($R8:$X8="D")*12+($R8:$X8="N")*12+($R8:$X8="NT")*6+($R8:$X8="C")*10+($R8:$X8="A")*8+($R8:$X8="J")*5+($R8:$X8="E")*4+($R8:$X8="P")*6+($R8:$X8="R")*6)</f>
        <v/>
      </c>
      <c r="BH8" s="110">
        <f>SUMPRODUCT(($Y8:$AE8="M")*6+($Y8:$AE8="T")*6+($Y8:$AE8="D")*12+($Y8:$AE8="N")*12+($Y8:$AE8="NT")*6+($Y8:$AE8="C")*10+($Y8:$AE8="A")*8+($Y8:$AE8="J")*5+($Y8:$AE8="E")*4+($Y8:$AE8="P")*6+($Y8:$AE8="R")*6)</f>
        <v/>
      </c>
      <c r="BI8" s="110">
        <f>SUMPRODUCT(($AF8:$AL8="M")*6+($AF8:$AL8="T")*6+($AF8:$AL8="D")*12+($AF8:$AL8="N")*12+($AF8:$AL8="NT")*6+($AF8:$AL8="C")*10+($AF8:$AL8="A")*8+($AF8:$AL8="J")*5+($AF8:$AL8="E")*4+($AF8:$AL8="P")*6+($AF8:$AL8="R")*6)</f>
        <v/>
      </c>
      <c r="BJ8" s="110">
        <f>SUMPRODUCT(($AM8:$AM8="M")*6+($AM8:$AM8="T")*6+($AM8:$AM8="D")*12+($AM8:$AM8="N")*12+($AM8:$AM8="NT")*6+($AM8:$AM8="C")*10+($AM8:$AM8="A")*8+($AM8:$AM8="J")*5+($AM8:$AM8="E")*4+($AM8:$AM8="P")*6+($AM8:$AM8="R")*6)+SUMPRODUCT(($AN8:$AS8="M")*6+($AN8:$AS8="T")*6+($AN8:$AS8="D")*12+($AN8:$AS8="N")*12+($AN8:$AS8="NT")*6+($AN8:$AS8="C")*10+($AN8:$AS8="A")*8+($AN8:$AS8="J")*5+($AN8:$AS8="E")*4+($AN8:$AS8="P")*6+($AN8:$AS8="R")*6)</f>
        <v/>
      </c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123">
        <f>IFERROR(INDEX(JUL!AI$8:AI$73,MATCH($A9,JUL!$A$8:$A$73,0))&amp;"","")</f>
        <v/>
      </c>
      <c r="E9" s="123">
        <f>IFERROR(INDEX(JUL!AJ$8:AJ$73,MATCH($A9,JUL!$A$8:$A$73,0))&amp;"","")</f>
        <v/>
      </c>
      <c r="F9" s="123">
        <f>IFERROR(INDEX(JUL!AK$8:AK$73,MATCH($A9,JUL!$A$8:$A$73,0))&amp;"","")</f>
        <v/>
      </c>
      <c r="G9" s="123">
        <f>IFERROR(INDEX(JUL!AL$8:AL$73,MATCH($A9,JUL!$A$8:$A$73,0))&amp;"","")</f>
        <v/>
      </c>
      <c r="H9" s="123">
        <f>IFERROR(INDEX(JUL!AM$8:AM$73,MATCH($A9,JUL!$A$8:$A$73,0))&amp;"","")</f>
        <v/>
      </c>
      <c r="I9" s="124" t="inlineStr">
        <is>
          <t>C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24" t="inlineStr">
        <is>
          <t>C</t>
        </is>
      </c>
      <c r="O9" s="108" t="inlineStr">
        <is>
          <t>M</t>
        </is>
      </c>
      <c r="P9" s="107" t="n"/>
      <c r="Q9" s="107" t="n"/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24" t="inlineStr">
        <is>
          <t>C</t>
        </is>
      </c>
      <c r="V9" s="124" t="inlineStr">
        <is>
          <t>C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24" t="inlineStr">
        <is>
          <t>C</t>
        </is>
      </c>
      <c r="AC9" s="108" t="inlineStr">
        <is>
          <t>M</t>
        </is>
      </c>
      <c r="AD9" s="107" t="n"/>
      <c r="AE9" s="107" t="n"/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24" t="inlineStr">
        <is>
          <t>C</t>
        </is>
      </c>
      <c r="AJ9" s="108" t="inlineStr">
        <is>
          <t>M</t>
        </is>
      </c>
      <c r="AK9" s="107" t="n"/>
      <c r="AL9" s="107" t="n"/>
      <c r="AM9" s="108" t="inlineStr">
        <is>
          <t>M</t>
        </is>
      </c>
      <c r="AN9" s="123">
        <f>IFERROR(INDEX(SET!I$8:I$73,MATCH($A9,SET!$A$8:$A$73,0))&amp;"","")</f>
        <v/>
      </c>
      <c r="AO9" s="123">
        <f>IFERROR(INDEX(SET!J$8:J$73,MATCH($A9,SET!$A$8:$A$73,0))&amp;"","")</f>
        <v/>
      </c>
      <c r="AP9" s="123">
        <f>IFERROR(INDEX(SET!K$8:K$73,MATCH($A9,SET!$A$8:$A$73,0))&amp;"","")</f>
        <v/>
      </c>
      <c r="AQ9" s="123">
        <f>IFERROR(INDEX(SET!L$8:L$73,MATCH($A9,SET!$A$8:$A$73,0))&amp;"","")</f>
        <v/>
      </c>
      <c r="AR9" s="109">
        <f>IFERROR(INDEX(SET!M$8:M$73,MATCH($A9,SET!$A$8:$A$73,0))&amp;"","")</f>
        <v/>
      </c>
      <c r="AS9" s="109">
        <f>IFERROR(INDEX(SET!N$8:N$73,MATCH($A9,SET!$A$8:$A$73,0))&amp;"","")</f>
        <v/>
      </c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SUMPRODUCT(($D9:$J9="M")*6+($D9:$J9="T")*6+($D9:$J9="D")*12+($D9:$J9="N")*12+($D9:$J9="NT")*6+($D9:$J9="C")*10+($D9:$J9="A")*8+($D9:$J9="J")*5+($D9:$J9="E")*4+($D9:$J9="P")*6+($D9:$J9="R")*6)</f>
        <v/>
      </c>
      <c r="BF9" s="110">
        <f>SUMPRODUCT(($K9:$Q9="M")*6+($K9:$Q9="T")*6+($K9:$Q9="D")*12+($K9:$Q9="N")*12+($K9:$Q9="NT")*6+($K9:$Q9="C")*10+($K9:$Q9="A")*8+($K9:$Q9="J")*5+($K9:$Q9="E")*4+($K9:$Q9="P")*6+($K9:$Q9="R")*6)</f>
        <v/>
      </c>
      <c r="BG9" s="110">
        <f>SUMPRODUCT(($R9:$X9="M")*6+($R9:$X9="T")*6+($R9:$X9="D")*12+($R9:$X9="N")*12+($R9:$X9="NT")*6+($R9:$X9="C")*10+($R9:$X9="A")*8+($R9:$X9="J")*5+($R9:$X9="E")*4+($R9:$X9="P")*6+($R9:$X9="R")*6)</f>
        <v/>
      </c>
      <c r="BH9" s="110">
        <f>SUMPRODUCT(($Y9:$AE9="M")*6+($Y9:$AE9="T")*6+($Y9:$AE9="D")*12+($Y9:$AE9="N")*12+($Y9:$AE9="NT")*6+($Y9:$AE9="C")*10+($Y9:$AE9="A")*8+($Y9:$AE9="J")*5+($Y9:$AE9="E")*4+($Y9:$AE9="P")*6+($Y9:$AE9="R")*6)</f>
        <v/>
      </c>
      <c r="BI9" s="110">
        <f>SUMPRODUCT(($AF9:$AL9="M")*6+($AF9:$AL9="T")*6+($AF9:$AL9="D")*12+($AF9:$AL9="N")*12+($AF9:$AL9="NT")*6+($AF9:$AL9="C")*10+($AF9:$AL9="A")*8+($AF9:$AL9="J")*5+($AF9:$AL9="E")*4+($AF9:$AL9="P")*6+($AF9:$AL9="R")*6)</f>
        <v/>
      </c>
      <c r="BJ9" s="110">
        <f>SUMPRODUCT(($AM9:$AM9="M")*6+($AM9:$AM9="T")*6+($AM9:$AM9="D")*12+($AM9:$AM9="N")*12+($AM9:$AM9="NT")*6+($AM9:$AM9="C")*10+($AM9:$AM9="A")*8+($AM9:$AM9="J")*5+($AM9:$AM9="E")*4+($AM9:$AM9="P")*6+($AM9:$AM9="R")*6)+SUMPRODUCT(($AN9:$AS9="M")*6+($AN9:$AS9="T")*6+($AN9:$AS9="D")*12+($AN9:$AS9="N")*12+($AN9:$AS9="NT")*6+($AN9:$AS9="C")*10+($AN9:$AS9="A")*8+($AN9:$AS9="J")*5+($AN9:$AS9="E")*4+($AN9:$AS9="P")*6+($AN9:$AS9="R")*6)</f>
        <v/>
      </c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123">
        <f>IFERROR(INDEX(JUL!AI$8:AI$73,MATCH($A10,JUL!$A$8:$A$73,0))&amp;"","")</f>
        <v/>
      </c>
      <c r="E10" s="123">
        <f>IFERROR(INDEX(JUL!AJ$8:AJ$73,MATCH($A10,JUL!$A$8:$A$73,0))&amp;"","")</f>
        <v/>
      </c>
      <c r="F10" s="123">
        <f>IFERROR(INDEX(JUL!AK$8:AK$73,MATCH($A10,JUL!$A$8:$A$73,0))&amp;"","")</f>
        <v/>
      </c>
      <c r="G10" s="123">
        <f>IFERROR(INDEX(JUL!AL$8:AL$73,MATCH($A10,JUL!$A$8:$A$73,0))&amp;"","")</f>
        <v/>
      </c>
      <c r="H10" s="123">
        <f>IFERROR(INDEX(JUL!AM$8:AM$73,MATCH($A10,JUL!$A$8:$A$73,0))&amp;"","")</f>
        <v/>
      </c>
      <c r="I10" s="108" t="inlineStr">
        <is>
          <t>M</t>
        </is>
      </c>
      <c r="J10" s="108" t="inlineStr">
        <is>
          <t>M</t>
        </is>
      </c>
      <c r="K10" s="108" t="inlineStr">
        <is>
          <t>M</t>
        </is>
      </c>
      <c r="L10" s="124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24" t="inlineStr">
        <is>
          <t>C</t>
        </is>
      </c>
      <c r="P10" s="108" t="inlineStr">
        <is>
          <t>M</t>
        </is>
      </c>
      <c r="Q10" s="108" t="inlineStr">
        <is>
          <t>M</t>
        </is>
      </c>
      <c r="R10" s="108" t="inlineStr">
        <is>
          <t>M</t>
        </is>
      </c>
      <c r="S10" s="124" t="inlineStr">
        <is>
          <t>C</t>
        </is>
      </c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7" t="n"/>
      <c r="X10" s="107" t="n"/>
      <c r="Y10" s="108" t="inlineStr">
        <is>
          <t>M</t>
        </is>
      </c>
      <c r="Z10" s="124" t="inlineStr">
        <is>
          <t>C</t>
        </is>
      </c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7" t="n"/>
      <c r="AE10" s="107" t="n"/>
      <c r="AF10" s="108" t="inlineStr">
        <is>
          <t>M</t>
        </is>
      </c>
      <c r="AG10" s="124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24" t="inlineStr">
        <is>
          <t>C</t>
        </is>
      </c>
      <c r="AK10" s="108" t="inlineStr">
        <is>
          <t>M</t>
        </is>
      </c>
      <c r="AL10" s="108" t="inlineStr">
        <is>
          <t>M</t>
        </is>
      </c>
      <c r="AM10" s="108" t="inlineStr">
        <is>
          <t>M</t>
        </is>
      </c>
      <c r="AN10" s="123">
        <f>IFERROR(INDEX(SET!I$8:I$73,MATCH($A10,SET!$A$8:$A$73,0))&amp;"","")</f>
        <v/>
      </c>
      <c r="AO10" s="123">
        <f>IFERROR(INDEX(SET!J$8:J$73,MATCH($A10,SET!$A$8:$A$73,0))&amp;"","")</f>
        <v/>
      </c>
      <c r="AP10" s="123">
        <f>IFERROR(INDEX(SET!K$8:K$73,MATCH($A10,SET!$A$8:$A$73,0))&amp;"","")</f>
        <v/>
      </c>
      <c r="AQ10" s="123">
        <f>IFERROR(INDEX(SET!L$8:L$73,MATCH($A10,SET!$A$8:$A$73,0))&amp;"","")</f>
        <v/>
      </c>
      <c r="AR10" s="109">
        <f>IFERROR(INDEX(SET!M$8:M$73,MATCH($A10,SET!$A$8:$A$73,0))&amp;"","")</f>
        <v/>
      </c>
      <c r="AS10" s="109">
        <f>IFERROR(INDEX(SET!N$8:N$73,MATCH($A10,SET!$A$8:$A$73,0))&amp;"","")</f>
        <v/>
      </c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SUMPRODUCT(($D10:$J10="M")*6+($D10:$J10="T")*6+($D10:$J10="D")*12+($D10:$J10="N")*12+($D10:$J10="NT")*6+($D10:$J10="C")*10+($D10:$J10="A")*8+($D10:$J10="J")*5+($D10:$J10="E")*4+($D10:$J10="P")*6+($D10:$J10="R")*6)</f>
        <v/>
      </c>
      <c r="BF10" s="110">
        <f>SUMPRODUCT(($K10:$Q10="M")*6+($K10:$Q10="T")*6+($K10:$Q10="D")*12+($K10:$Q10="N")*12+($K10:$Q10="NT")*6+($K10:$Q10="C")*10+($K10:$Q10="A")*8+($K10:$Q10="J")*5+($K10:$Q10="E")*4+($K10:$Q10="P")*6+($K10:$Q10="R")*6)</f>
        <v/>
      </c>
      <c r="BG10" s="110">
        <f>SUMPRODUCT(($R10:$X10="M")*6+($R10:$X10="T")*6+($R10:$X10="D")*12+($R10:$X10="N")*12+($R10:$X10="NT")*6+($R10:$X10="C")*10+($R10:$X10="A")*8+($R10:$X10="J")*5+($R10:$X10="E")*4+($R10:$X10="P")*6+($R10:$X10="R")*6)</f>
        <v/>
      </c>
      <c r="BH10" s="110">
        <f>SUMPRODUCT(($Y10:$AE10="M")*6+($Y10:$AE10="T")*6+($Y10:$AE10="D")*12+($Y10:$AE10="N")*12+($Y10:$AE10="NT")*6+($Y10:$AE10="C")*10+($Y10:$AE10="A")*8+($Y10:$AE10="J")*5+($Y10:$AE10="E")*4+($Y10:$AE10="P")*6+($Y10:$AE10="R")*6)</f>
        <v/>
      </c>
      <c r="BI10" s="110">
        <f>SUMPRODUCT(($AF10:$AL10="M")*6+($AF10:$AL10="T")*6+($AF10:$AL10="D")*12+($AF10:$AL10="N")*12+($AF10:$AL10="NT")*6+($AF10:$AL10="C")*10+($AF10:$AL10="A")*8+($AF10:$AL10="J")*5+($AF10:$AL10="E")*4+($AF10:$AL10="P")*6+($AF10:$AL10="R")*6)</f>
        <v/>
      </c>
      <c r="BJ10" s="110">
        <f>SUMPRODUCT(($AM10:$AM10="M")*6+($AM10:$AM10="T")*6+($AM10:$AM10="D")*12+($AM10:$AM10="N")*12+($AM10:$AM10="NT")*6+($AM10:$AM10="C")*10+($AM10:$AM10="A")*8+($AM10:$AM10="J")*5+($AM10:$AM10="E")*4+($AM10:$AM10="P")*6+($AM10:$AM10="R")*6)+SUMPRODUCT(($AN10:$AS10="M")*6+($AN10:$AS10="T")*6+($AN10:$AS10="D")*12+($AN10:$AS10="N")*12+($AN10:$AS10="NT")*6+($AN10:$AS10="C")*10+($AN10:$AS10="A")*8+($AN10:$AS10="J")*5+($AN10:$AS10="E")*4+($AN10:$AS10="P")*6+($AN10:$AS10="R")*6)</f>
        <v/>
      </c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123">
        <f>IFERROR(INDEX(JUL!AI$8:AI$73,MATCH($A11,JUL!$A$8:$A$73,0))&amp;"","")</f>
        <v/>
      </c>
      <c r="E11" s="123">
        <f>IFERROR(INDEX(JUL!AJ$8:AJ$73,MATCH($A11,JUL!$A$8:$A$73,0))&amp;"","")</f>
        <v/>
      </c>
      <c r="F11" s="123">
        <f>IFERROR(INDEX(JUL!AK$8:AK$73,MATCH($A11,JUL!$A$8:$A$73,0))&amp;"","")</f>
        <v/>
      </c>
      <c r="G11" s="123">
        <f>IFERROR(INDEX(JUL!AL$8:AL$73,MATCH($A11,JUL!$A$8:$A$73,0))&amp;"","")</f>
        <v/>
      </c>
      <c r="H11" s="123">
        <f>IFERROR(INDEX(JUL!AM$8:AM$73,MATCH($A11,JUL!$A$8:$A$73,0))&amp;"","")</f>
        <v/>
      </c>
      <c r="I11" s="107" t="n"/>
      <c r="J11" s="116" t="inlineStr">
        <is>
          <t>N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6" t="inlineStr">
        <is>
          <t>N</t>
        </is>
      </c>
      <c r="Q11" s="107" t="n"/>
      <c r="R11" s="108" t="inlineStr">
        <is>
          <t>M</t>
        </is>
      </c>
      <c r="S11" s="115" t="inlineStr">
        <is>
          <t>D</t>
        </is>
      </c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7" t="n"/>
      <c r="X11" s="107" t="n"/>
      <c r="Y11" s="128" t="inlineStr">
        <is>
          <t>FE</t>
        </is>
      </c>
      <c r="Z11" s="128" t="inlineStr">
        <is>
          <t>FE</t>
        </is>
      </c>
      <c r="AA11" s="128" t="inlineStr">
        <is>
          <t>FE</t>
        </is>
      </c>
      <c r="AB11" s="128" t="inlineStr">
        <is>
          <t>FE</t>
        </is>
      </c>
      <c r="AC11" s="128" t="inlineStr">
        <is>
          <t>FE</t>
        </is>
      </c>
      <c r="AD11" s="128" t="inlineStr">
        <is>
          <t>FE</t>
        </is>
      </c>
      <c r="AE11" s="128" t="inlineStr">
        <is>
          <t>FE</t>
        </is>
      </c>
      <c r="AF11" s="128" t="inlineStr">
        <is>
          <t>FE</t>
        </is>
      </c>
      <c r="AG11" s="128" t="inlineStr">
        <is>
          <t>FE</t>
        </is>
      </c>
      <c r="AH11" s="128" t="inlineStr">
        <is>
          <t>FE</t>
        </is>
      </c>
      <c r="AI11" s="128" t="inlineStr">
        <is>
          <t>FE</t>
        </is>
      </c>
      <c r="AJ11" s="128" t="inlineStr">
        <is>
          <t>FE</t>
        </is>
      </c>
      <c r="AK11" s="128" t="inlineStr">
        <is>
          <t>FE</t>
        </is>
      </c>
      <c r="AL11" s="128" t="inlineStr">
        <is>
          <t>FE</t>
        </is>
      </c>
      <c r="AM11" s="128" t="inlineStr">
        <is>
          <t>FE</t>
        </is>
      </c>
      <c r="AN11" s="123">
        <f>IFERROR(INDEX(SET!I$8:I$73,MATCH($A11,SET!$A$8:$A$73,0))&amp;"","")</f>
        <v/>
      </c>
      <c r="AO11" s="123">
        <f>IFERROR(INDEX(SET!J$8:J$73,MATCH($A11,SET!$A$8:$A$73,0))&amp;"","")</f>
        <v/>
      </c>
      <c r="AP11" s="123">
        <f>IFERROR(INDEX(SET!K$8:K$73,MATCH($A11,SET!$A$8:$A$73,0))&amp;"","")</f>
        <v/>
      </c>
      <c r="AQ11" s="123">
        <f>IFERROR(INDEX(SET!L$8:L$73,MATCH($A11,SET!$A$8:$A$73,0))&amp;"","")</f>
        <v/>
      </c>
      <c r="AR11" s="109">
        <f>IFERROR(INDEX(SET!M$8:M$73,MATCH($A11,SET!$A$8:$A$73,0))&amp;"","")</f>
        <v/>
      </c>
      <c r="AS11" s="109">
        <f>IFERROR(INDEX(SET!N$8:N$73,MATCH($A11,SET!$A$8:$A$73,0))&amp;"","")</f>
        <v/>
      </c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SUMPRODUCT(($D11:$J11="M")*6+($D11:$J11="T")*6+($D11:$J11="D")*12+($D11:$J11="N")*12+($D11:$J11="NT")*6+($D11:$J11="C")*10+($D11:$J11="A")*8+($D11:$J11="J")*5+($D11:$J11="E")*4+($D11:$J11="P")*6+($D11:$J11="R")*6)</f>
        <v/>
      </c>
      <c r="BF11" s="110">
        <f>SUMPRODUCT(($K11:$Q11="M")*6+($K11:$Q11="T")*6+($K11:$Q11="D")*12+($K11:$Q11="N")*12+($K11:$Q11="NT")*6+($K11:$Q11="C")*10+($K11:$Q11="A")*8+($K11:$Q11="J")*5+($K11:$Q11="E")*4+($K11:$Q11="P")*6+($K11:$Q11="R")*6)</f>
        <v/>
      </c>
      <c r="BG11" s="110">
        <f>SUMPRODUCT(($R11:$X11="M")*6+($R11:$X11="T")*6+($R11:$X11="D")*12+($R11:$X11="N")*12+($R11:$X11="NT")*6+($R11:$X11="C")*10+($R11:$X11="A")*8+($R11:$X11="J")*5+($R11:$X11="E")*4+($R11:$X11="P")*6+($R11:$X11="R")*6)</f>
        <v/>
      </c>
      <c r="BH11" s="110">
        <f>SUMPRODUCT(($Y11:$AE11="M")*6+($Y11:$AE11="T")*6+($Y11:$AE11="D")*12+($Y11:$AE11="N")*12+($Y11:$AE11="NT")*6+($Y11:$AE11="C")*10+($Y11:$AE11="A")*8+($Y11:$AE11="J")*5+($Y11:$AE11="E")*4+($Y11:$AE11="P")*6+($Y11:$AE11="R")*6)</f>
        <v/>
      </c>
      <c r="BI11" s="110">
        <f>SUMPRODUCT(($AF11:$AL11="M")*6+($AF11:$AL11="T")*6+($AF11:$AL11="D")*12+($AF11:$AL11="N")*12+($AF11:$AL11="NT")*6+($AF11:$AL11="C")*10+($AF11:$AL11="A")*8+($AF11:$AL11="J")*5+($AF11:$AL11="E")*4+($AF11:$AL11="P")*6+($AF11:$AL11="R")*6)</f>
        <v/>
      </c>
      <c r="BJ11" s="110">
        <f>SUMPRODUCT(($AM11:$AM11="M")*6+($AM11:$AM11="T")*6+($AM11:$AM11="D")*12+($AM11:$AM11="N")*12+($AM11:$AM11="NT")*6+($AM11:$AM11="C")*10+($AM11:$AM11="A")*8+($AM11:$AM11="J")*5+($AM11:$AM11="E")*4+($AM11:$AM11="P")*6+($AM11:$AM11="R")*6)+SUMPRODUCT(($AN11:$AS11="M")*6+($AN11:$AS11="T")*6+($AN11:$AS11="D")*12+($AN11:$AS11="N")*12+($AN11:$AS11="NT")*6+($AN11:$AS11="C")*10+($AN11:$AS11="A")*8+($AN11:$AS11="J")*5+($AN11:$AS11="E")*4+($AN11:$AS11="P")*6+($AN11:$AS11="R")*6)</f>
        <v/>
      </c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123">
        <f>IFERROR(INDEX(JUL!AI$8:AI$73,MATCH($A12,JUL!$A$8:$A$73,0))&amp;"","")</f>
        <v/>
      </c>
      <c r="E12" s="123">
        <f>IFERROR(INDEX(JUL!AJ$8:AJ$73,MATCH($A12,JUL!$A$8:$A$73,0))&amp;"","")</f>
        <v/>
      </c>
      <c r="F12" s="123">
        <f>IFERROR(INDEX(JUL!AK$8:AK$73,MATCH($A12,JUL!$A$8:$A$73,0))&amp;"","")</f>
        <v/>
      </c>
      <c r="G12" s="123">
        <f>IFERROR(INDEX(JUL!AL$8:AL$73,MATCH($A12,JUL!$A$8:$A$73,0))&amp;"","")</f>
        <v/>
      </c>
      <c r="H12" s="123">
        <f>IFERROR(INDEX(JUL!AM$8:AM$73,MATCH($A12,JUL!$A$8:$A$73,0))&amp;"","")</f>
        <v/>
      </c>
      <c r="I12" s="107" t="n"/>
      <c r="J12" s="107" t="n"/>
      <c r="K12" s="108" t="inlineStr">
        <is>
          <t>M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15" t="inlineStr">
        <is>
          <t>D</t>
        </is>
      </c>
      <c r="P12" s="108" t="inlineStr">
        <is>
          <t>M</t>
        </is>
      </c>
      <c r="Q12" s="107" t="n"/>
      <c r="R12" s="128" t="inlineStr">
        <is>
          <t>FE</t>
        </is>
      </c>
      <c r="S12" s="128" t="inlineStr">
        <is>
          <t>FE</t>
        </is>
      </c>
      <c r="T12" s="128" t="inlineStr">
        <is>
          <t>FE</t>
        </is>
      </c>
      <c r="U12" s="128" t="inlineStr">
        <is>
          <t>FE</t>
        </is>
      </c>
      <c r="V12" s="128" t="inlineStr">
        <is>
          <t>FE</t>
        </is>
      </c>
      <c r="W12" s="128" t="inlineStr">
        <is>
          <t>FE</t>
        </is>
      </c>
      <c r="X12" s="128" t="inlineStr">
        <is>
          <t>FE</t>
        </is>
      </c>
      <c r="Y12" s="128" t="inlineStr">
        <is>
          <t>FE</t>
        </is>
      </c>
      <c r="Z12" s="128" t="inlineStr">
        <is>
          <t>FE</t>
        </is>
      </c>
      <c r="AA12" s="128" t="inlineStr">
        <is>
          <t>FE</t>
        </is>
      </c>
      <c r="AB12" s="128" t="inlineStr">
        <is>
          <t>FE</t>
        </is>
      </c>
      <c r="AC12" s="128" t="inlineStr">
        <is>
          <t>FE</t>
        </is>
      </c>
      <c r="AD12" s="128" t="inlineStr">
        <is>
          <t>FE</t>
        </is>
      </c>
      <c r="AE12" s="128" t="inlineStr">
        <is>
          <t>FE</t>
        </is>
      </c>
      <c r="AF12" s="128" t="inlineStr">
        <is>
          <t>FE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07" t="n"/>
      <c r="AM12" s="108" t="inlineStr">
        <is>
          <t>M</t>
        </is>
      </c>
      <c r="AN12" s="123">
        <f>IFERROR(INDEX(SET!I$8:I$73,MATCH($A12,SET!$A$8:$A$73,0))&amp;"","")</f>
        <v/>
      </c>
      <c r="AO12" s="123">
        <f>IFERROR(INDEX(SET!J$8:J$73,MATCH($A12,SET!$A$8:$A$73,0))&amp;"","")</f>
        <v/>
      </c>
      <c r="AP12" s="123">
        <f>IFERROR(INDEX(SET!K$8:K$73,MATCH($A12,SET!$A$8:$A$73,0))&amp;"","")</f>
        <v/>
      </c>
      <c r="AQ12" s="123">
        <f>IFERROR(INDEX(SET!L$8:L$73,MATCH($A12,SET!$A$8:$A$73,0))&amp;"","")</f>
        <v/>
      </c>
      <c r="AR12" s="109">
        <f>IFERROR(INDEX(SET!M$8:M$73,MATCH($A12,SET!$A$8:$A$73,0))&amp;"","")</f>
        <v/>
      </c>
      <c r="AS12" s="109">
        <f>IFERROR(INDEX(SET!N$8:N$73,MATCH($A12,SET!$A$8:$A$73,0))&amp;"","")</f>
        <v/>
      </c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SUMPRODUCT(($D12:$J12="M")*6+($D12:$J12="T")*6+($D12:$J12="D")*12+($D12:$J12="N")*12+($D12:$J12="NT")*6+($D12:$J12="C")*10+($D12:$J12="A")*8+($D12:$J12="J")*5+($D12:$J12="E")*4+($D12:$J12="P")*6+($D12:$J12="R")*6)</f>
        <v/>
      </c>
      <c r="BF12" s="110">
        <f>SUMPRODUCT(($K12:$Q12="M")*6+($K12:$Q12="T")*6+($K12:$Q12="D")*12+($K12:$Q12="N")*12+($K12:$Q12="NT")*6+($K12:$Q12="C")*10+($K12:$Q12="A")*8+($K12:$Q12="J")*5+($K12:$Q12="E")*4+($K12:$Q12="P")*6+($K12:$Q12="R")*6)</f>
        <v/>
      </c>
      <c r="BG12" s="110">
        <f>SUMPRODUCT(($R12:$X12="M")*6+($R12:$X12="T")*6+($R12:$X12="D")*12+($R12:$X12="N")*12+($R12:$X12="NT")*6+($R12:$X12="C")*10+($R12:$X12="A")*8+($R12:$X12="J")*5+($R12:$X12="E")*4+($R12:$X12="P")*6+($R12:$X12="R")*6)</f>
        <v/>
      </c>
      <c r="BH12" s="110">
        <f>SUMPRODUCT(($Y12:$AE12="M")*6+($Y12:$AE12="T")*6+($Y12:$AE12="D")*12+($Y12:$AE12="N")*12+($Y12:$AE12="NT")*6+($Y12:$AE12="C")*10+($Y12:$AE12="A")*8+($Y12:$AE12="J")*5+($Y12:$AE12="E")*4+($Y12:$AE12="P")*6+($Y12:$AE12="R")*6)</f>
        <v/>
      </c>
      <c r="BI12" s="110">
        <f>SUMPRODUCT(($AF12:$AL12="M")*6+($AF12:$AL12="T")*6+($AF12:$AL12="D")*12+($AF12:$AL12="N")*12+($AF12:$AL12="NT")*6+($AF12:$AL12="C")*10+($AF12:$AL12="A")*8+($AF12:$AL12="J")*5+($AF12:$AL12="E")*4+($AF12:$AL12="P")*6+($AF12:$AL12="R")*6)</f>
        <v/>
      </c>
      <c r="BJ12" s="110">
        <f>SUMPRODUCT(($AM12:$AM12="M")*6+($AM12:$AM12="T")*6+($AM12:$AM12="D")*12+($AM12:$AM12="N")*12+($AM12:$AM12="NT")*6+($AM12:$AM12="C")*10+($AM12:$AM12="A")*8+($AM12:$AM12="J")*5+($AM12:$AM12="E")*4+($AM12:$AM12="P")*6+($AM12:$AM12="R")*6)+SUMPRODUCT(($AN12:$AS12="M")*6+($AN12:$AS12="T")*6+($AN12:$AS12="D")*12+($AN12:$AS12="N")*12+($AN12:$AS12="NT")*6+($AN12:$AS12="C")*10+($AN12:$AS12="A")*8+($AN12:$AS12="J")*5+($AN12:$AS12="E")*4+($AN12:$AS12="P")*6+($AN12:$AS12="R")*6)</f>
        <v/>
      </c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123">
        <f>IFERROR(INDEX(JUL!AI$8:AI$73,MATCH($A13,JUL!$A$8:$A$73,0))&amp;"","")</f>
        <v/>
      </c>
      <c r="E13" s="123">
        <f>IFERROR(INDEX(JUL!AJ$8:AJ$73,MATCH($A13,JUL!$A$8:$A$73,0))&amp;"","")</f>
        <v/>
      </c>
      <c r="F13" s="123">
        <f>IFERROR(INDEX(JUL!AK$8:AK$73,MATCH($A13,JUL!$A$8:$A$73,0))&amp;"","")</f>
        <v/>
      </c>
      <c r="G13" s="123">
        <f>IFERROR(INDEX(JUL!AL$8:AL$73,MATCH($A13,JUL!$A$8:$A$73,0))&amp;"","")</f>
        <v/>
      </c>
      <c r="H13" s="123">
        <f>IFERROR(INDEX(JUL!AM$8:AM$73,MATCH($A13,JUL!$A$8:$A$73,0))&amp;"","")</f>
        <v/>
      </c>
      <c r="I13" s="128" t="inlineStr">
        <is>
          <t>FE</t>
        </is>
      </c>
      <c r="J13" s="128" t="inlineStr">
        <is>
          <t>FE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7" t="n"/>
      <c r="Q13" s="107" t="n"/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7" t="n"/>
      <c r="X13" s="107" t="n"/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16" t="inlineStr">
        <is>
          <t>N</t>
        </is>
      </c>
      <c r="AE13" s="107" t="n"/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7" t="n"/>
      <c r="AL13" s="107" t="n"/>
      <c r="AM13" s="108" t="inlineStr">
        <is>
          <t>M</t>
        </is>
      </c>
      <c r="AN13" s="123">
        <f>IFERROR(INDEX(SET!I$8:I$73,MATCH($A13,SET!$A$8:$A$73,0))&amp;"","")</f>
        <v/>
      </c>
      <c r="AO13" s="123">
        <f>IFERROR(INDEX(SET!J$8:J$73,MATCH($A13,SET!$A$8:$A$73,0))&amp;"","")</f>
        <v/>
      </c>
      <c r="AP13" s="123">
        <f>IFERROR(INDEX(SET!K$8:K$73,MATCH($A13,SET!$A$8:$A$73,0))&amp;"","")</f>
        <v/>
      </c>
      <c r="AQ13" s="123">
        <f>IFERROR(INDEX(SET!L$8:L$73,MATCH($A13,SET!$A$8:$A$73,0))&amp;"","")</f>
        <v/>
      </c>
      <c r="AR13" s="109">
        <f>IFERROR(INDEX(SET!M$8:M$73,MATCH($A13,SET!$A$8:$A$73,0))&amp;"","")</f>
        <v/>
      </c>
      <c r="AS13" s="109">
        <f>IFERROR(INDEX(SET!N$8:N$73,MATCH($A13,SET!$A$8:$A$73,0))&amp;"","")</f>
        <v/>
      </c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SUMPRODUCT(($D13:$J13="M")*6+($D13:$J13="T")*6+($D13:$J13="D")*12+($D13:$J13="N")*12+($D13:$J13="NT")*6+($D13:$J13="C")*10+($D13:$J13="A")*8+($D13:$J13="J")*5+($D13:$J13="E")*4+($D13:$J13="P")*6+($D13:$J13="R")*6)</f>
        <v/>
      </c>
      <c r="BF13" s="110">
        <f>SUMPRODUCT(($K13:$Q13="M")*6+($K13:$Q13="T")*6+($K13:$Q13="D")*12+($K13:$Q13="N")*12+($K13:$Q13="NT")*6+($K13:$Q13="C")*10+($K13:$Q13="A")*8+($K13:$Q13="J")*5+($K13:$Q13="E")*4+($K13:$Q13="P")*6+($K13:$Q13="R")*6)</f>
        <v/>
      </c>
      <c r="BG13" s="110">
        <f>SUMPRODUCT(($R13:$X13="M")*6+($R13:$X13="T")*6+($R13:$X13="D")*12+($R13:$X13="N")*12+($R13:$X13="NT")*6+($R13:$X13="C")*10+($R13:$X13="A")*8+($R13:$X13="J")*5+($R13:$X13="E")*4+($R13:$X13="P")*6+($R13:$X13="R")*6)</f>
        <v/>
      </c>
      <c r="BH13" s="110">
        <f>SUMPRODUCT(($Y13:$AE13="M")*6+($Y13:$AE13="T")*6+($Y13:$AE13="D")*12+($Y13:$AE13="N")*12+($Y13:$AE13="NT")*6+($Y13:$AE13="C")*10+($Y13:$AE13="A")*8+($Y13:$AE13="J")*5+($Y13:$AE13="E")*4+($Y13:$AE13="P")*6+($Y13:$AE13="R")*6)</f>
        <v/>
      </c>
      <c r="BI13" s="110">
        <f>SUMPRODUCT(($AF13:$AL13="M")*6+($AF13:$AL13="T")*6+($AF13:$AL13="D")*12+($AF13:$AL13="N")*12+($AF13:$AL13="NT")*6+($AF13:$AL13="C")*10+($AF13:$AL13="A")*8+($AF13:$AL13="J")*5+($AF13:$AL13="E")*4+($AF13:$AL13="P")*6+($AF13:$AL13="R")*6)</f>
        <v/>
      </c>
      <c r="BJ13" s="110">
        <f>SUMPRODUCT(($AM13:$AM13="M")*6+($AM13:$AM13="T")*6+($AM13:$AM13="D")*12+($AM13:$AM13="N")*12+($AM13:$AM13="NT")*6+($AM13:$AM13="C")*10+($AM13:$AM13="A")*8+($AM13:$AM13="J")*5+($AM13:$AM13="E")*4+($AM13:$AM13="P")*6+($AM13:$AM13="R")*6)+SUMPRODUCT(($AN13:$AS13="M")*6+($AN13:$AS13="T")*6+($AN13:$AS13="D")*12+($AN13:$AS13="N")*12+($AN13:$AS13="NT")*6+($AN13:$AS13="C")*10+($AN13:$AS13="A")*8+($AN13:$AS13="J")*5+($AN13:$AS13="E")*4+($AN13:$AS13="P")*6+($AN13:$AS13="R")*6)</f>
        <v/>
      </c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123">
        <f>IFERROR(INDEX(JUL!AI$8:AI$73,MATCH($A14,JUL!$A$8:$A$73,0))&amp;"","")</f>
        <v/>
      </c>
      <c r="E14" s="123">
        <f>IFERROR(INDEX(JUL!AJ$8:AJ$73,MATCH($A14,JUL!$A$8:$A$73,0))&amp;"","")</f>
        <v/>
      </c>
      <c r="F14" s="123">
        <f>IFERROR(INDEX(JUL!AK$8:AK$73,MATCH($A14,JUL!$A$8:$A$73,0))&amp;"","")</f>
        <v/>
      </c>
      <c r="G14" s="123">
        <f>IFERROR(INDEX(JUL!AL$8:AL$73,MATCH($A14,JUL!$A$8:$A$73,0))&amp;"","")</f>
        <v/>
      </c>
      <c r="H14" s="123">
        <f>IFERROR(INDEX(JUL!AM$8:AM$73,MATCH($A14,JUL!$A$8:$A$73,0))&amp;"","")</f>
        <v/>
      </c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7" t="n"/>
      <c r="X14" s="107" t="n"/>
      <c r="Y14" s="108" t="inlineStr">
        <is>
          <t>M</t>
        </is>
      </c>
      <c r="Z14" s="107" t="n"/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08" t="inlineStr">
        <is>
          <t>M</t>
        </is>
      </c>
      <c r="AJ14" s="107" t="n"/>
      <c r="AK14" s="108" t="inlineStr">
        <is>
          <t>M</t>
        </is>
      </c>
      <c r="AL14" s="108" t="inlineStr">
        <is>
          <t>M</t>
        </is>
      </c>
      <c r="AM14" s="108" t="inlineStr">
        <is>
          <t>M</t>
        </is>
      </c>
      <c r="AN14" s="123">
        <f>IFERROR(INDEX(SET!I$8:I$73,MATCH($A14,SET!$A$8:$A$73,0))&amp;"","")</f>
        <v/>
      </c>
      <c r="AO14" s="123">
        <f>IFERROR(INDEX(SET!J$8:J$73,MATCH($A14,SET!$A$8:$A$73,0))&amp;"","")</f>
        <v/>
      </c>
      <c r="AP14" s="123">
        <f>IFERROR(INDEX(SET!K$8:K$73,MATCH($A14,SET!$A$8:$A$73,0))&amp;"","")</f>
        <v/>
      </c>
      <c r="AQ14" s="123">
        <f>IFERROR(INDEX(SET!L$8:L$73,MATCH($A14,SET!$A$8:$A$73,0))&amp;"","")</f>
        <v/>
      </c>
      <c r="AR14" s="109">
        <f>IFERROR(INDEX(SET!M$8:M$73,MATCH($A14,SET!$A$8:$A$73,0))&amp;"","")</f>
        <v/>
      </c>
      <c r="AS14" s="109">
        <f>IFERROR(INDEX(SET!N$8:N$73,MATCH($A14,SET!$A$8:$A$73,0))&amp;"","")</f>
        <v/>
      </c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SUMPRODUCT(($D14:$J14="M")*6+($D14:$J14="T")*6+($D14:$J14="D")*12+($D14:$J14="N")*12+($D14:$J14="NT")*6+($D14:$J14="C")*10+($D14:$J14="A")*8+($D14:$J14="J")*5+($D14:$J14="E")*4+($D14:$J14="P")*6+($D14:$J14="R")*6)</f>
        <v/>
      </c>
      <c r="BF14" s="110">
        <f>SUMPRODUCT(($K14:$Q14="M")*6+($K14:$Q14="T")*6+($K14:$Q14="D")*12+($K14:$Q14="N")*12+($K14:$Q14="NT")*6+($K14:$Q14="C")*10+($K14:$Q14="A")*8+($K14:$Q14="J")*5+($K14:$Q14="E")*4+($K14:$Q14="P")*6+($K14:$Q14="R")*6)</f>
        <v/>
      </c>
      <c r="BG14" s="110">
        <f>SUMPRODUCT(($R14:$X14="M")*6+($R14:$X14="T")*6+($R14:$X14="D")*12+($R14:$X14="N")*12+($R14:$X14="NT")*6+($R14:$X14="C")*10+($R14:$X14="A")*8+($R14:$X14="J")*5+($R14:$X14="E")*4+($R14:$X14="P")*6+($R14:$X14="R")*6)</f>
        <v/>
      </c>
      <c r="BH14" s="110">
        <f>SUMPRODUCT(($Y14:$AE14="M")*6+($Y14:$AE14="T")*6+($Y14:$AE14="D")*12+($Y14:$AE14="N")*12+($Y14:$AE14="NT")*6+($Y14:$AE14="C")*10+($Y14:$AE14="A")*8+($Y14:$AE14="J")*5+($Y14:$AE14="E")*4+($Y14:$AE14="P")*6+($Y14:$AE14="R")*6)</f>
        <v/>
      </c>
      <c r="BI14" s="110">
        <f>SUMPRODUCT(($AF14:$AL14="M")*6+($AF14:$AL14="T")*6+($AF14:$AL14="D")*12+($AF14:$AL14="N")*12+($AF14:$AL14="NT")*6+($AF14:$AL14="C")*10+($AF14:$AL14="A")*8+($AF14:$AL14="J")*5+($AF14:$AL14="E")*4+($AF14:$AL14="P")*6+($AF14:$AL14="R")*6)</f>
        <v/>
      </c>
      <c r="BJ14" s="110">
        <f>SUMPRODUCT(($AM14:$AM14="M")*6+($AM14:$AM14="T")*6+($AM14:$AM14="D")*12+($AM14:$AM14="N")*12+($AM14:$AM14="NT")*6+($AM14:$AM14="C")*10+($AM14:$AM14="A")*8+($AM14:$AM14="J")*5+($AM14:$AM14="E")*4+($AM14:$AM14="P")*6+($AM14:$AM14="R")*6)+SUMPRODUCT(($AN14:$AS14="M")*6+($AN14:$AS14="T")*6+($AN14:$AS14="D")*12+($AN14:$AS14="N")*12+($AN14:$AS14="NT")*6+($AN14:$AS14="C")*10+($AN14:$AS14="A")*8+($AN14:$AS14="J")*5+($AN14:$AS14="E")*4+($AN14:$AS14="P")*6+($AN14:$AS14="R")*6)</f>
        <v/>
      </c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123">
        <f>IFERROR(INDEX(JUL!AI$8:AI$73,MATCH($A15,JUL!$A$8:$A$73,0))&amp;"","")</f>
        <v/>
      </c>
      <c r="E15" s="123">
        <f>IFERROR(INDEX(JUL!AJ$8:AJ$73,MATCH($A15,JUL!$A$8:$A$73,0))&amp;"","")</f>
        <v/>
      </c>
      <c r="F15" s="123">
        <f>IFERROR(INDEX(JUL!AK$8:AK$73,MATCH($A15,JUL!$A$8:$A$73,0))&amp;"","")</f>
        <v/>
      </c>
      <c r="G15" s="123">
        <f>IFERROR(INDEX(JUL!AL$8:AL$73,MATCH($A15,JUL!$A$8:$A$73,0))&amp;"","")</f>
        <v/>
      </c>
      <c r="H15" s="123">
        <f>IFERROR(INDEX(JUL!AM$8:AM$73,MATCH($A15,JUL!$A$8:$A$73,0))&amp;"","")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27" t="inlineStr">
        <is>
          <t>LM</t>
        </is>
      </c>
      <c r="AN15" s="123">
        <f>IFERROR(INDEX(SET!I$8:I$73,MATCH($A15,SET!$A$8:$A$73,0))&amp;"","")</f>
        <v/>
      </c>
      <c r="AO15" s="123">
        <f>IFERROR(INDEX(SET!J$8:J$73,MATCH($A15,SET!$A$8:$A$73,0))&amp;"","")</f>
        <v/>
      </c>
      <c r="AP15" s="123">
        <f>IFERROR(INDEX(SET!K$8:K$73,MATCH($A15,SET!$A$8:$A$73,0))&amp;"","")</f>
        <v/>
      </c>
      <c r="AQ15" s="123">
        <f>IFERROR(INDEX(SET!L$8:L$73,MATCH($A15,SET!$A$8:$A$73,0))&amp;"","")</f>
        <v/>
      </c>
      <c r="AR15" s="109">
        <f>IFERROR(INDEX(SET!M$8:M$73,MATCH($A15,SET!$A$8:$A$73,0))&amp;"","")</f>
        <v/>
      </c>
      <c r="AS15" s="109">
        <f>IFERROR(INDEX(SET!N$8:N$73,MATCH($A15,SET!$A$8:$A$73,0))&amp;"","")</f>
        <v/>
      </c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SUMPRODUCT(($D15:$J15="M")*6+($D15:$J15="T")*6+($D15:$J15="D")*12+($D15:$J15="N")*12+($D15:$J15="NT")*6+($D15:$J15="C")*10+($D15:$J15="A")*8+($D15:$J15="J")*5+($D15:$J15="E")*4+($D15:$J15="P")*6+($D15:$J15="R")*6)</f>
        <v/>
      </c>
      <c r="BF15" s="110">
        <f>SUMPRODUCT(($K15:$Q15="M")*6+($K15:$Q15="T")*6+($K15:$Q15="D")*12+($K15:$Q15="N")*12+($K15:$Q15="NT")*6+($K15:$Q15="C")*10+($K15:$Q15="A")*8+($K15:$Q15="J")*5+($K15:$Q15="E")*4+($K15:$Q15="P")*6+($K15:$Q15="R")*6)</f>
        <v/>
      </c>
      <c r="BG15" s="110">
        <f>SUMPRODUCT(($R15:$X15="M")*6+($R15:$X15="T")*6+($R15:$X15="D")*12+($R15:$X15="N")*12+($R15:$X15="NT")*6+($R15:$X15="C")*10+($R15:$X15="A")*8+($R15:$X15="J")*5+($R15:$X15="E")*4+($R15:$X15="P")*6+($R15:$X15="R")*6)</f>
        <v/>
      </c>
      <c r="BH15" s="110">
        <f>SUMPRODUCT(($Y15:$AE15="M")*6+($Y15:$AE15="T")*6+($Y15:$AE15="D")*12+($Y15:$AE15="N")*12+($Y15:$AE15="NT")*6+($Y15:$AE15="C")*10+($Y15:$AE15="A")*8+($Y15:$AE15="J")*5+($Y15:$AE15="E")*4+($Y15:$AE15="P")*6+($Y15:$AE15="R")*6)</f>
        <v/>
      </c>
      <c r="BI15" s="110">
        <f>SUMPRODUCT(($AF15:$AL15="M")*6+($AF15:$AL15="T")*6+($AF15:$AL15="D")*12+($AF15:$AL15="N")*12+($AF15:$AL15="NT")*6+($AF15:$AL15="C")*10+($AF15:$AL15="A")*8+($AF15:$AL15="J")*5+($AF15:$AL15="E")*4+($AF15:$AL15="P")*6+($AF15:$AL15="R")*6)</f>
        <v/>
      </c>
      <c r="BJ15" s="110">
        <f>SUMPRODUCT(($AM15:$AM15="M")*6+($AM15:$AM15="T")*6+($AM15:$AM15="D")*12+($AM15:$AM15="N")*12+($AM15:$AM15="NT")*6+($AM15:$AM15="C")*10+($AM15:$AM15="A")*8+($AM15:$AM15="J")*5+($AM15:$AM15="E")*4+($AM15:$AM15="P")*6+($AM15:$AM15="R")*6)+SUMPRODUCT(($AN15:$AS15="M")*6+($AN15:$AS15="T")*6+($AN15:$AS15="D")*12+($AN15:$AS15="N")*12+($AN15:$AS15="NT")*6+($AN15:$AS15="C")*10+($AN15:$AS15="A")*8+($AN15:$AS15="J")*5+($AN15:$AS15="E")*4+($AN15:$AS15="P")*6+($AN15:$AS15="R")*6)</f>
        <v/>
      </c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123">
        <f>IFERROR(INDEX(JUL!AI$8:AI$73,MATCH($A16,JUL!$A$8:$A$73,0))&amp;"","")</f>
        <v/>
      </c>
      <c r="E16" s="123">
        <f>IFERROR(INDEX(JUL!AJ$8:AJ$73,MATCH($A16,JUL!$A$8:$A$73,0))&amp;"","")</f>
        <v/>
      </c>
      <c r="F16" s="123">
        <f>IFERROR(INDEX(JUL!AK$8:AK$73,MATCH($A16,JUL!$A$8:$A$73,0))&amp;"","")</f>
        <v/>
      </c>
      <c r="G16" s="123">
        <f>IFERROR(INDEX(JUL!AL$8:AL$73,MATCH($A16,JUL!$A$8:$A$73,0))&amp;"","")</f>
        <v/>
      </c>
      <c r="H16" s="123">
        <f>IFERROR(INDEX(JUL!AM$8:AM$73,MATCH($A16,JUL!$A$8:$A$73,0))&amp;"","")</f>
        <v/>
      </c>
      <c r="I16" s="129" t="inlineStr">
        <is>
          <t>J</t>
        </is>
      </c>
      <c r="J16" s="107" t="n"/>
      <c r="K16" s="129" t="inlineStr">
        <is>
          <t>J</t>
        </is>
      </c>
      <c r="L16" s="129" t="inlineStr">
        <is>
          <t>J</t>
        </is>
      </c>
      <c r="M16" s="129" t="inlineStr">
        <is>
          <t>J</t>
        </is>
      </c>
      <c r="N16" s="129" t="inlineStr">
        <is>
          <t>J</t>
        </is>
      </c>
      <c r="O16" s="129" t="inlineStr">
        <is>
          <t>J</t>
        </is>
      </c>
      <c r="P16" s="129" t="inlineStr">
        <is>
          <t>J</t>
        </is>
      </c>
      <c r="Q16" s="107" t="n"/>
      <c r="R16" s="129" t="inlineStr">
        <is>
          <t>J</t>
        </is>
      </c>
      <c r="S16" s="129" t="inlineStr">
        <is>
          <t>J</t>
        </is>
      </c>
      <c r="T16" s="129" t="inlineStr">
        <is>
          <t>J</t>
        </is>
      </c>
      <c r="U16" s="129" t="inlineStr">
        <is>
          <t>J</t>
        </is>
      </c>
      <c r="V16" s="129" t="inlineStr">
        <is>
          <t>J</t>
        </is>
      </c>
      <c r="W16" s="129" t="inlineStr">
        <is>
          <t>J</t>
        </is>
      </c>
      <c r="X16" s="107" t="n"/>
      <c r="Y16" s="129" t="inlineStr">
        <is>
          <t>J</t>
        </is>
      </c>
      <c r="Z16" s="129" t="inlineStr">
        <is>
          <t>J</t>
        </is>
      </c>
      <c r="AA16" s="129" t="inlineStr">
        <is>
          <t>J</t>
        </is>
      </c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07" t="n"/>
      <c r="AF16" s="129" t="inlineStr">
        <is>
          <t>J</t>
        </is>
      </c>
      <c r="AG16" s="129" t="inlineStr">
        <is>
          <t>J</t>
        </is>
      </c>
      <c r="AH16" s="129" t="inlineStr">
        <is>
          <t>J</t>
        </is>
      </c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07" t="n"/>
      <c r="AM16" s="129" t="inlineStr">
        <is>
          <t>J</t>
        </is>
      </c>
      <c r="AN16" s="123">
        <f>IFERROR(INDEX(SET!I$8:I$73,MATCH($A16,SET!$A$8:$A$73,0))&amp;"","")</f>
        <v/>
      </c>
      <c r="AO16" s="123">
        <f>IFERROR(INDEX(SET!J$8:J$73,MATCH($A16,SET!$A$8:$A$73,0))&amp;"","")</f>
        <v/>
      </c>
      <c r="AP16" s="123">
        <f>IFERROR(INDEX(SET!K$8:K$73,MATCH($A16,SET!$A$8:$A$73,0))&amp;"","")</f>
        <v/>
      </c>
      <c r="AQ16" s="123">
        <f>IFERROR(INDEX(SET!L$8:L$73,MATCH($A16,SET!$A$8:$A$73,0))&amp;"","")</f>
        <v/>
      </c>
      <c r="AR16" s="109">
        <f>IFERROR(INDEX(SET!M$8:M$73,MATCH($A16,SET!$A$8:$A$73,0))&amp;"","")</f>
        <v/>
      </c>
      <c r="AS16" s="109">
        <f>IFERROR(INDEX(SET!N$8:N$73,MATCH($A16,SET!$A$8:$A$73,0))&amp;"","")</f>
        <v/>
      </c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SUMPRODUCT(($D16:$J16="M")*6+($D16:$J16="T")*6+($D16:$J16="D")*12+($D16:$J16="N")*12+($D16:$J16="NT")*6+($D16:$J16="C")*10+($D16:$J16="A")*8+($D16:$J16="J")*5+($D16:$J16="E")*4+($D16:$J16="P")*6+($D16:$J16="R")*6)</f>
        <v/>
      </c>
      <c r="BF16" s="110">
        <f>SUMPRODUCT(($K16:$Q16="M")*6+($K16:$Q16="T")*6+($K16:$Q16="D")*12+($K16:$Q16="N")*12+($K16:$Q16="NT")*6+($K16:$Q16="C")*10+($K16:$Q16="A")*8+($K16:$Q16="J")*5+($K16:$Q16="E")*4+($K16:$Q16="P")*6+($K16:$Q16="R")*6)</f>
        <v/>
      </c>
      <c r="BG16" s="110">
        <f>SUMPRODUCT(($R16:$X16="M")*6+($R16:$X16="T")*6+($R16:$X16="D")*12+($R16:$X16="N")*12+($R16:$X16="NT")*6+($R16:$X16="C")*10+($R16:$X16="A")*8+($R16:$X16="J")*5+($R16:$X16="E")*4+($R16:$X16="P")*6+($R16:$X16="R")*6)</f>
        <v/>
      </c>
      <c r="BH16" s="110">
        <f>SUMPRODUCT(($Y16:$AE16="M")*6+($Y16:$AE16="T")*6+($Y16:$AE16="D")*12+($Y16:$AE16="N")*12+($Y16:$AE16="NT")*6+($Y16:$AE16="C")*10+($Y16:$AE16="A")*8+($Y16:$AE16="J")*5+($Y16:$AE16="E")*4+($Y16:$AE16="P")*6+($Y16:$AE16="R")*6)</f>
        <v/>
      </c>
      <c r="BI16" s="110">
        <f>SUMPRODUCT(($AF16:$AL16="M")*6+($AF16:$AL16="T")*6+($AF16:$AL16="D")*12+($AF16:$AL16="N")*12+($AF16:$AL16="NT")*6+($AF16:$AL16="C")*10+($AF16:$AL16="A")*8+($AF16:$AL16="J")*5+($AF16:$AL16="E")*4+($AF16:$AL16="P")*6+($AF16:$AL16="R")*6)</f>
        <v/>
      </c>
      <c r="BJ16" s="110">
        <f>SUMPRODUCT(($AM16:$AM16="M")*6+($AM16:$AM16="T")*6+($AM16:$AM16="D")*12+($AM16:$AM16="N")*12+($AM16:$AM16="NT")*6+($AM16:$AM16="C")*10+($AM16:$AM16="A")*8+($AM16:$AM16="J")*5+($AM16:$AM16="E")*4+($AM16:$AM16="P")*6+($AM16:$AM16="R")*6)+SUMPRODUCT(($AN16:$AS16="M")*6+($AN16:$AS16="T")*6+($AN16:$AS16="D")*12+($AN16:$AS16="N")*12+($AN16:$AS16="NT")*6+($AN16:$AS16="C")*10+($AN16:$AS16="A")*8+($AN16:$AS16="J")*5+($AN16:$AS16="E")*4+($AN16:$AS16="P")*6+($AN16:$AS16="R")*6)</f>
        <v/>
      </c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123">
        <f>IFERROR(INDEX(JUL!AI$8:AI$73,MATCH($A17,JUL!$A$8:$A$73,0))&amp;"","")</f>
        <v/>
      </c>
      <c r="E17" s="123">
        <f>IFERROR(INDEX(JUL!AJ$8:AJ$73,MATCH($A17,JUL!$A$8:$A$73,0))&amp;"","")</f>
        <v/>
      </c>
      <c r="F17" s="123">
        <f>IFERROR(INDEX(JUL!AK$8:AK$73,MATCH($A17,JUL!$A$8:$A$73,0))&amp;"","")</f>
        <v/>
      </c>
      <c r="G17" s="123">
        <f>IFERROR(INDEX(JUL!AL$8:AL$73,MATCH($A17,JUL!$A$8:$A$73,0))&amp;"","")</f>
        <v/>
      </c>
      <c r="H17" s="123">
        <f>IFERROR(INDEX(JUL!AM$8:AM$73,MATCH($A17,JUL!$A$8:$A$73,0))&amp;"","")</f>
        <v/>
      </c>
      <c r="I17" s="107" t="n"/>
      <c r="J17" s="107" t="n"/>
      <c r="K17" s="117" t="inlineStr">
        <is>
          <t>T</t>
        </is>
      </c>
      <c r="L17" s="125" t="inlineStr">
        <is>
          <t>E</t>
        </is>
      </c>
      <c r="M17" s="117" t="inlineStr">
        <is>
          <t>T</t>
        </is>
      </c>
      <c r="N17" s="116" t="inlineStr">
        <is>
          <t>N</t>
        </is>
      </c>
      <c r="O17" s="116" t="inlineStr">
        <is>
          <t>N</t>
        </is>
      </c>
      <c r="P17" s="107" t="n"/>
      <c r="Q17" s="107" t="n"/>
      <c r="R17" s="116" t="inlineStr">
        <is>
          <t>N</t>
        </is>
      </c>
      <c r="S17" s="125" t="inlineStr">
        <is>
          <t>E</t>
        </is>
      </c>
      <c r="T17" s="107" t="n"/>
      <c r="U17" s="107" t="n"/>
      <c r="V17" s="117" t="inlineStr">
        <is>
          <t>T</t>
        </is>
      </c>
      <c r="W17" s="117" t="inlineStr">
        <is>
          <t>T</t>
        </is>
      </c>
      <c r="X17" s="116" t="inlineStr">
        <is>
          <t>N</t>
        </is>
      </c>
      <c r="Y17" s="117" t="inlineStr">
        <is>
          <t>T</t>
        </is>
      </c>
      <c r="Z17" s="115" t="inlineStr">
        <is>
          <t>D</t>
        </is>
      </c>
      <c r="AA17" s="115" t="inlineStr">
        <is>
          <t>D</t>
        </is>
      </c>
      <c r="AB17" s="116" t="inlineStr">
        <is>
          <t>N</t>
        </is>
      </c>
      <c r="AC17" s="107" t="n"/>
      <c r="AD17" s="107" t="n"/>
      <c r="AE17" s="107" t="n"/>
      <c r="AF17" s="116" t="inlineStr">
        <is>
          <t>N</t>
        </is>
      </c>
      <c r="AG17" s="125" t="inlineStr">
        <is>
          <t>E</t>
        </is>
      </c>
      <c r="AH17" s="107" t="n"/>
      <c r="AI17" s="107" t="n"/>
      <c r="AJ17" s="117" t="inlineStr">
        <is>
          <t>T</t>
        </is>
      </c>
      <c r="AK17" s="117" t="inlineStr">
        <is>
          <t>T</t>
        </is>
      </c>
      <c r="AL17" s="116" t="inlineStr">
        <is>
          <t>N</t>
        </is>
      </c>
      <c r="AM17" s="117" t="inlineStr">
        <is>
          <t>T</t>
        </is>
      </c>
      <c r="AN17" s="123">
        <f>IFERROR(INDEX(SET!I$8:I$73,MATCH($A17,SET!$A$8:$A$73,0))&amp;"","")</f>
        <v/>
      </c>
      <c r="AO17" s="123">
        <f>IFERROR(INDEX(SET!J$8:J$73,MATCH($A17,SET!$A$8:$A$73,0))&amp;"","")</f>
        <v/>
      </c>
      <c r="AP17" s="123">
        <f>IFERROR(INDEX(SET!K$8:K$73,MATCH($A17,SET!$A$8:$A$73,0))&amp;"","")</f>
        <v/>
      </c>
      <c r="AQ17" s="123">
        <f>IFERROR(INDEX(SET!L$8:L$73,MATCH($A17,SET!$A$8:$A$73,0))&amp;"","")</f>
        <v/>
      </c>
      <c r="AR17" s="109">
        <f>IFERROR(INDEX(SET!M$8:M$73,MATCH($A17,SET!$A$8:$A$73,0))&amp;"","")</f>
        <v/>
      </c>
      <c r="AS17" s="109">
        <f>IFERROR(INDEX(SET!N$8:N$73,MATCH($A17,SET!$A$8:$A$73,0))&amp;"","")</f>
        <v/>
      </c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SUMPRODUCT(($D17:$J17="M")*6+($D17:$J17="T")*6+($D17:$J17="D")*12+($D17:$J17="N")*12+($D17:$J17="NT")*6+($D17:$J17="C")*10+($D17:$J17="A")*8+($D17:$J17="J")*5+($D17:$J17="E")*4+($D17:$J17="P")*6+($D17:$J17="R")*6)</f>
        <v/>
      </c>
      <c r="BF17" s="110">
        <f>SUMPRODUCT(($K17:$Q17="M")*6+($K17:$Q17="T")*6+($K17:$Q17="D")*12+($K17:$Q17="N")*12+($K17:$Q17="NT")*6+($K17:$Q17="C")*10+($K17:$Q17="A")*8+($K17:$Q17="J")*5+($K17:$Q17="E")*4+($K17:$Q17="P")*6+($K17:$Q17="R")*6)</f>
        <v/>
      </c>
      <c r="BG17" s="110">
        <f>SUMPRODUCT(($R17:$X17="M")*6+($R17:$X17="T")*6+($R17:$X17="D")*12+($R17:$X17="N")*12+($R17:$X17="NT")*6+($R17:$X17="C")*10+($R17:$X17="A")*8+($R17:$X17="J")*5+($R17:$X17="E")*4+($R17:$X17="P")*6+($R17:$X17="R")*6)</f>
        <v/>
      </c>
      <c r="BH17" s="110">
        <f>SUMPRODUCT(($Y17:$AE17="M")*6+($Y17:$AE17="T")*6+($Y17:$AE17="D")*12+($Y17:$AE17="N")*12+($Y17:$AE17="NT")*6+($Y17:$AE17="C")*10+($Y17:$AE17="A")*8+($Y17:$AE17="J")*5+($Y17:$AE17="E")*4+($Y17:$AE17="P")*6+($Y17:$AE17="R")*6)</f>
        <v/>
      </c>
      <c r="BI17" s="110">
        <f>SUMPRODUCT(($AF17:$AL17="M")*6+($AF17:$AL17="T")*6+($AF17:$AL17="D")*12+($AF17:$AL17="N")*12+($AF17:$AL17="NT")*6+($AF17:$AL17="C")*10+($AF17:$AL17="A")*8+($AF17:$AL17="J")*5+($AF17:$AL17="E")*4+($AF17:$AL17="P")*6+($AF17:$AL17="R")*6)</f>
        <v/>
      </c>
      <c r="BJ17" s="110">
        <f>SUMPRODUCT(($AM17:$AM17="M")*6+($AM17:$AM17="T")*6+($AM17:$AM17="D")*12+($AM17:$AM17="N")*12+($AM17:$AM17="NT")*6+($AM17:$AM17="C")*10+($AM17:$AM17="A")*8+($AM17:$AM17="J")*5+($AM17:$AM17="E")*4+($AM17:$AM17="P")*6+($AM17:$AM17="R")*6)+SUMPRODUCT(($AN17:$AS17="M")*6+($AN17:$AS17="T")*6+($AN17:$AS17="D")*12+($AN17:$AS17="N")*12+($AN17:$AS17="NT")*6+($AN17:$AS17="C")*10+($AN17:$AS17="A")*8+($AN17:$AS17="J")*5+($AN17:$AS17="E")*4+($AN17:$AS17="P")*6+($AN17:$AS17="R")*6)</f>
        <v/>
      </c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123">
        <f>IFERROR(INDEX(JUL!AI$8:AI$73,MATCH($A18,JUL!$A$8:$A$73,0))&amp;"","")</f>
        <v/>
      </c>
      <c r="E18" s="123">
        <f>IFERROR(INDEX(JUL!AJ$8:AJ$73,MATCH($A18,JUL!$A$8:$A$73,0))&amp;"","")</f>
        <v/>
      </c>
      <c r="F18" s="123">
        <f>IFERROR(INDEX(JUL!AK$8:AK$73,MATCH($A18,JUL!$A$8:$A$73,0))&amp;"","")</f>
        <v/>
      </c>
      <c r="G18" s="123">
        <f>IFERROR(INDEX(JUL!AL$8:AL$73,MATCH($A18,JUL!$A$8:$A$73,0))&amp;"","")</f>
        <v/>
      </c>
      <c r="H18" s="123">
        <f>IFERROR(INDEX(JUL!AM$8:AM$73,MATCH($A18,JUL!$A$8:$A$73,0))&amp;"","")</f>
        <v/>
      </c>
      <c r="I18" s="107" t="n"/>
      <c r="J18" s="115" t="inlineStr">
        <is>
          <t>D</t>
        </is>
      </c>
      <c r="K18" s="115" t="inlineStr">
        <is>
          <t>D</t>
        </is>
      </c>
      <c r="L18" s="117" t="inlineStr">
        <is>
          <t>T</t>
        </is>
      </c>
      <c r="M18" s="115" t="inlineStr">
        <is>
          <t>D</t>
        </is>
      </c>
      <c r="N18" s="107" t="n"/>
      <c r="O18" s="117" t="inlineStr">
        <is>
          <t>T</t>
        </is>
      </c>
      <c r="P18" s="107" t="n"/>
      <c r="Q18" s="107" t="n"/>
      <c r="R18" s="115" t="inlineStr">
        <is>
          <t>D</t>
        </is>
      </c>
      <c r="S18" s="107" t="n"/>
      <c r="T18" s="117" t="inlineStr">
        <is>
          <t>T</t>
        </is>
      </c>
      <c r="U18" s="107" t="n"/>
      <c r="V18" s="107" t="n"/>
      <c r="W18" s="115" t="inlineStr">
        <is>
          <t>D</t>
        </is>
      </c>
      <c r="X18" s="117" t="inlineStr">
        <is>
          <t>T</t>
        </is>
      </c>
      <c r="Y18" s="115" t="inlineStr">
        <is>
          <t>D</t>
        </is>
      </c>
      <c r="Z18" s="107" t="n"/>
      <c r="AA18" s="117" t="inlineStr">
        <is>
          <t>T</t>
        </is>
      </c>
      <c r="AB18" s="107" t="n"/>
      <c r="AC18" s="117" t="inlineStr">
        <is>
          <t>T</t>
        </is>
      </c>
      <c r="AD18" s="116" t="inlineStr">
        <is>
          <t>N</t>
        </is>
      </c>
      <c r="AE18" s="107" t="n"/>
      <c r="AF18" s="115" t="inlineStr">
        <is>
          <t>D</t>
        </is>
      </c>
      <c r="AG18" s="116" t="inlineStr">
        <is>
          <t>N</t>
        </is>
      </c>
      <c r="AH18" s="107" t="n"/>
      <c r="AI18" s="107" t="n"/>
      <c r="AJ18" s="115" t="inlineStr">
        <is>
          <t>D</t>
        </is>
      </c>
      <c r="AK18" s="107" t="n"/>
      <c r="AL18" s="107" t="n"/>
      <c r="AM18" s="115" t="inlineStr">
        <is>
          <t>D</t>
        </is>
      </c>
      <c r="AN18" s="123">
        <f>IFERROR(INDEX(SET!I$8:I$73,MATCH($A18,SET!$A$8:$A$73,0))&amp;"","")</f>
        <v/>
      </c>
      <c r="AO18" s="123">
        <f>IFERROR(INDEX(SET!J$8:J$73,MATCH($A18,SET!$A$8:$A$73,0))&amp;"","")</f>
        <v/>
      </c>
      <c r="AP18" s="123">
        <f>IFERROR(INDEX(SET!K$8:K$73,MATCH($A18,SET!$A$8:$A$73,0))&amp;"","")</f>
        <v/>
      </c>
      <c r="AQ18" s="123">
        <f>IFERROR(INDEX(SET!L$8:L$73,MATCH($A18,SET!$A$8:$A$73,0))&amp;"","")</f>
        <v/>
      </c>
      <c r="AR18" s="109">
        <f>IFERROR(INDEX(SET!M$8:M$73,MATCH($A18,SET!$A$8:$A$73,0))&amp;"","")</f>
        <v/>
      </c>
      <c r="AS18" s="109">
        <f>IFERROR(INDEX(SET!N$8:N$73,MATCH($A18,SET!$A$8:$A$73,0))&amp;"","")</f>
        <v/>
      </c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SUMPRODUCT(($D18:$J18="M")*6+($D18:$J18="T")*6+($D18:$J18="D")*12+($D18:$J18="N")*12+($D18:$J18="NT")*6+($D18:$J18="C")*10+($D18:$J18="A")*8+($D18:$J18="J")*5+($D18:$J18="E")*4+($D18:$J18="P")*6+($D18:$J18="R")*6)</f>
        <v/>
      </c>
      <c r="BF18" s="110">
        <f>SUMPRODUCT(($K18:$Q18="M")*6+($K18:$Q18="T")*6+($K18:$Q18="D")*12+($K18:$Q18="N")*12+($K18:$Q18="NT")*6+($K18:$Q18="C")*10+($K18:$Q18="A")*8+($K18:$Q18="J")*5+($K18:$Q18="E")*4+($K18:$Q18="P")*6+($K18:$Q18="R")*6)</f>
        <v/>
      </c>
      <c r="BG18" s="110">
        <f>SUMPRODUCT(($R18:$X18="M")*6+($R18:$X18="T")*6+($R18:$X18="D")*12+($R18:$X18="N")*12+($R18:$X18="NT")*6+($R18:$X18="C")*10+($R18:$X18="A")*8+($R18:$X18="J")*5+($R18:$X18="E")*4+($R18:$X18="P")*6+($R18:$X18="R")*6)</f>
        <v/>
      </c>
      <c r="BH18" s="110">
        <f>SUMPRODUCT(($Y18:$AE18="M")*6+($Y18:$AE18="T")*6+($Y18:$AE18="D")*12+($Y18:$AE18="N")*12+($Y18:$AE18="NT")*6+($Y18:$AE18="C")*10+($Y18:$AE18="A")*8+($Y18:$AE18="J")*5+($Y18:$AE18="E")*4+($Y18:$AE18="P")*6+($Y18:$AE18="R")*6)</f>
        <v/>
      </c>
      <c r="BI18" s="110">
        <f>SUMPRODUCT(($AF18:$AL18="M")*6+($AF18:$AL18="T")*6+($AF18:$AL18="D")*12+($AF18:$AL18="N")*12+($AF18:$AL18="NT")*6+($AF18:$AL18="C")*10+($AF18:$AL18="A")*8+($AF18:$AL18="J")*5+($AF18:$AL18="E")*4+($AF18:$AL18="P")*6+($AF18:$AL18="R")*6)</f>
        <v/>
      </c>
      <c r="BJ18" s="110">
        <f>SUMPRODUCT(($AM18:$AM18="M")*6+($AM18:$AM18="T")*6+($AM18:$AM18="D")*12+($AM18:$AM18="N")*12+($AM18:$AM18="NT")*6+($AM18:$AM18="C")*10+($AM18:$AM18="A")*8+($AM18:$AM18="J")*5+($AM18:$AM18="E")*4+($AM18:$AM18="P")*6+($AM18:$AM18="R")*6)+SUMPRODUCT(($AN18:$AS18="M")*6+($AN18:$AS18="T")*6+($AN18:$AS18="D")*12+($AN18:$AS18="N")*12+($AN18:$AS18="NT")*6+($AN18:$AS18="C")*10+($AN18:$AS18="A")*8+($AN18:$AS18="J")*5+($AN18:$AS18="E")*4+($AN18:$AS18="P")*6+($AN18:$AS18="R")*6)</f>
        <v/>
      </c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123">
        <f>IFERROR(INDEX(JUL!AI$8:AI$73,MATCH($A19,JUL!$A$8:$A$73,0))&amp;"","")</f>
        <v/>
      </c>
      <c r="E19" s="123">
        <f>IFERROR(INDEX(JUL!AJ$8:AJ$73,MATCH($A19,JUL!$A$8:$A$73,0))&amp;"","")</f>
        <v/>
      </c>
      <c r="F19" s="123">
        <f>IFERROR(INDEX(JUL!AK$8:AK$73,MATCH($A19,JUL!$A$8:$A$73,0))&amp;"","")</f>
        <v/>
      </c>
      <c r="G19" s="123">
        <f>IFERROR(INDEX(JUL!AL$8:AL$73,MATCH($A19,JUL!$A$8:$A$73,0))&amp;"","")</f>
        <v/>
      </c>
      <c r="H19" s="123">
        <f>IFERROR(INDEX(JUL!AM$8:AM$73,MATCH($A19,JUL!$A$8:$A$73,0))&amp;"","")</f>
        <v/>
      </c>
      <c r="I19" s="107" t="n"/>
      <c r="J19" s="107" t="n"/>
      <c r="K19" s="107" t="n"/>
      <c r="L19" s="107" t="n"/>
      <c r="M19" s="116" t="inlineStr">
        <is>
          <t>N</t>
        </is>
      </c>
      <c r="N19" s="116" t="inlineStr">
        <is>
          <t>N</t>
        </is>
      </c>
      <c r="O19" s="107" t="n"/>
      <c r="P19" s="107" t="n"/>
      <c r="Q19" s="116" t="inlineStr">
        <is>
          <t>N</t>
        </is>
      </c>
      <c r="R19" s="107" t="n"/>
      <c r="S19" s="107" t="n"/>
      <c r="T19" s="107" t="n"/>
      <c r="U19" s="116" t="inlineStr">
        <is>
          <t>N</t>
        </is>
      </c>
      <c r="V19" s="117" t="inlineStr">
        <is>
          <t>T</t>
        </is>
      </c>
      <c r="W19" s="116" t="inlineStr">
        <is>
          <t>N</t>
        </is>
      </c>
      <c r="X19" s="117" t="inlineStr">
        <is>
          <t>T</t>
        </is>
      </c>
      <c r="Y19" s="128" t="inlineStr">
        <is>
          <t>FE</t>
        </is>
      </c>
      <c r="Z19" s="128" t="inlineStr">
        <is>
          <t>FE</t>
        </is>
      </c>
      <c r="AA19" s="128" t="inlineStr">
        <is>
          <t>FE</t>
        </is>
      </c>
      <c r="AB19" s="128" t="inlineStr">
        <is>
          <t>FE</t>
        </is>
      </c>
      <c r="AC19" s="128" t="inlineStr">
        <is>
          <t>FE</t>
        </is>
      </c>
      <c r="AD19" s="128" t="inlineStr">
        <is>
          <t>FE</t>
        </is>
      </c>
      <c r="AE19" s="128" t="inlineStr">
        <is>
          <t>FE</t>
        </is>
      </c>
      <c r="AF19" s="128" t="inlineStr">
        <is>
          <t>FE</t>
        </is>
      </c>
      <c r="AG19" s="128" t="inlineStr">
        <is>
          <t>FE</t>
        </is>
      </c>
      <c r="AH19" s="128" t="inlineStr">
        <is>
          <t>FE</t>
        </is>
      </c>
      <c r="AI19" s="128" t="inlineStr">
        <is>
          <t>FE</t>
        </is>
      </c>
      <c r="AJ19" s="128" t="inlineStr">
        <is>
          <t>FE</t>
        </is>
      </c>
      <c r="AK19" s="128" t="inlineStr">
        <is>
          <t>FE</t>
        </is>
      </c>
      <c r="AL19" s="128" t="inlineStr">
        <is>
          <t>FE</t>
        </is>
      </c>
      <c r="AM19" s="128" t="inlineStr">
        <is>
          <t>FE</t>
        </is>
      </c>
      <c r="AN19" s="123">
        <f>IFERROR(INDEX(SET!I$8:I$73,MATCH($A19,SET!$A$8:$A$73,0))&amp;"","")</f>
        <v/>
      </c>
      <c r="AO19" s="123">
        <f>IFERROR(INDEX(SET!J$8:J$73,MATCH($A19,SET!$A$8:$A$73,0))&amp;"","")</f>
        <v/>
      </c>
      <c r="AP19" s="123">
        <f>IFERROR(INDEX(SET!K$8:K$73,MATCH($A19,SET!$A$8:$A$73,0))&amp;"","")</f>
        <v/>
      </c>
      <c r="AQ19" s="123">
        <f>IFERROR(INDEX(SET!L$8:L$73,MATCH($A19,SET!$A$8:$A$73,0))&amp;"","")</f>
        <v/>
      </c>
      <c r="AR19" s="109">
        <f>IFERROR(INDEX(SET!M$8:M$73,MATCH($A19,SET!$A$8:$A$73,0))&amp;"","")</f>
        <v/>
      </c>
      <c r="AS19" s="109">
        <f>IFERROR(INDEX(SET!N$8:N$73,MATCH($A19,SET!$A$8:$A$73,0))&amp;"","")</f>
        <v/>
      </c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SUMPRODUCT(($D19:$J19="M")*6+($D19:$J19="T")*6+($D19:$J19="D")*12+($D19:$J19="N")*12+($D19:$J19="NT")*6+($D19:$J19="C")*10+($D19:$J19="A")*8+($D19:$J19="J")*5+($D19:$J19="E")*4+($D19:$J19="P")*6+($D19:$J19="R")*6)</f>
        <v/>
      </c>
      <c r="BF19" s="110">
        <f>SUMPRODUCT(($K19:$Q19="M")*6+($K19:$Q19="T")*6+($K19:$Q19="D")*12+($K19:$Q19="N")*12+($K19:$Q19="NT")*6+($K19:$Q19="C")*10+($K19:$Q19="A")*8+($K19:$Q19="J")*5+($K19:$Q19="E")*4+($K19:$Q19="P")*6+($K19:$Q19="R")*6)</f>
        <v/>
      </c>
      <c r="BG19" s="110">
        <f>SUMPRODUCT(($R19:$X19="M")*6+($R19:$X19="T")*6+($R19:$X19="D")*12+($R19:$X19="N")*12+($R19:$X19="NT")*6+($R19:$X19="C")*10+($R19:$X19="A")*8+($R19:$X19="J")*5+($R19:$X19="E")*4+($R19:$X19="P")*6+($R19:$X19="R")*6)</f>
        <v/>
      </c>
      <c r="BH19" s="110">
        <f>SUMPRODUCT(($Y19:$AE19="M")*6+($Y19:$AE19="T")*6+($Y19:$AE19="D")*12+($Y19:$AE19="N")*12+($Y19:$AE19="NT")*6+($Y19:$AE19="C")*10+($Y19:$AE19="A")*8+($Y19:$AE19="J")*5+($Y19:$AE19="E")*4+($Y19:$AE19="P")*6+($Y19:$AE19="R")*6)</f>
        <v/>
      </c>
      <c r="BI19" s="110">
        <f>SUMPRODUCT(($AF19:$AL19="M")*6+($AF19:$AL19="T")*6+($AF19:$AL19="D")*12+($AF19:$AL19="N")*12+($AF19:$AL19="NT")*6+($AF19:$AL19="C")*10+($AF19:$AL19="A")*8+($AF19:$AL19="J")*5+($AF19:$AL19="E")*4+($AF19:$AL19="P")*6+($AF19:$AL19="R")*6)</f>
        <v/>
      </c>
      <c r="BJ19" s="110">
        <f>SUMPRODUCT(($AM19:$AM19="M")*6+($AM19:$AM19="T")*6+($AM19:$AM19="D")*12+($AM19:$AM19="N")*12+($AM19:$AM19="NT")*6+($AM19:$AM19="C")*10+($AM19:$AM19="A")*8+($AM19:$AM19="J")*5+($AM19:$AM19="E")*4+($AM19:$AM19="P")*6+($AM19:$AM19="R")*6)+SUMPRODUCT(($AN19:$AS19="M")*6+($AN19:$AS19="T")*6+($AN19:$AS19="D")*12+($AN19:$AS19="N")*12+($AN19:$AS19="NT")*6+($AN19:$AS19="C")*10+($AN19:$AS19="A")*8+($AN19:$AS19="J")*5+($AN19:$AS19="E")*4+($AN19:$AS19="P")*6+($AN19:$AS19="R")*6)</f>
        <v/>
      </c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123">
        <f>IFERROR(INDEX(JUL!AI$8:AI$73,MATCH($A20,JUL!$A$8:$A$73,0))&amp;"","")</f>
        <v/>
      </c>
      <c r="E20" s="123">
        <f>IFERROR(INDEX(JUL!AJ$8:AJ$73,MATCH($A20,JUL!$A$8:$A$73,0))&amp;"","")</f>
        <v/>
      </c>
      <c r="F20" s="123">
        <f>IFERROR(INDEX(JUL!AK$8:AK$73,MATCH($A20,JUL!$A$8:$A$73,0))&amp;"","")</f>
        <v/>
      </c>
      <c r="G20" s="123">
        <f>IFERROR(INDEX(JUL!AL$8:AL$73,MATCH($A20,JUL!$A$8:$A$73,0))&amp;"","")</f>
        <v/>
      </c>
      <c r="H20" s="123">
        <f>IFERROR(INDEX(JUL!AM$8:AM$73,MATCH($A20,JUL!$A$8:$A$73,0))&amp;"","")</f>
        <v/>
      </c>
      <c r="I20" s="107" t="n"/>
      <c r="J20" s="107" t="n"/>
      <c r="K20" s="107" t="n"/>
      <c r="L20" s="116" t="inlineStr">
        <is>
          <t>N</t>
        </is>
      </c>
      <c r="M20" s="107" t="n"/>
      <c r="N20" s="116" t="inlineStr">
        <is>
          <t>N</t>
        </is>
      </c>
      <c r="O20" s="107" t="n"/>
      <c r="P20" s="107" t="n"/>
      <c r="Q20" s="116" t="inlineStr">
        <is>
          <t>N</t>
        </is>
      </c>
      <c r="R20" s="107" t="n"/>
      <c r="S20" s="107" t="n"/>
      <c r="T20" s="107" t="n"/>
      <c r="U20" s="116" t="inlineStr">
        <is>
          <t>N</t>
        </is>
      </c>
      <c r="V20" s="116" t="inlineStr">
        <is>
          <t>N</t>
        </is>
      </c>
      <c r="W20" s="107" t="n"/>
      <c r="X20" s="116" t="inlineStr">
        <is>
          <t>N</t>
        </is>
      </c>
      <c r="Y20" s="107" t="n"/>
      <c r="Z20" s="116" t="inlineStr">
        <is>
          <t>N</t>
        </is>
      </c>
      <c r="AA20" s="116" t="inlineStr">
        <is>
          <t>N</t>
        </is>
      </c>
      <c r="AB20" s="107" t="n"/>
      <c r="AC20" s="107" t="n"/>
      <c r="AD20" s="107" t="n"/>
      <c r="AE20" s="116" t="inlineStr">
        <is>
          <t>N</t>
        </is>
      </c>
      <c r="AF20" s="107" t="n"/>
      <c r="AG20" s="116" t="inlineStr">
        <is>
          <t>N</t>
        </is>
      </c>
      <c r="AH20" s="116" t="inlineStr">
        <is>
          <t>N</t>
        </is>
      </c>
      <c r="AI20" s="107" t="n"/>
      <c r="AJ20" s="107" t="n"/>
      <c r="AK20" s="107" t="n"/>
      <c r="AL20" s="116" t="inlineStr">
        <is>
          <t>N</t>
        </is>
      </c>
      <c r="AM20" s="107" t="n"/>
      <c r="AN20" s="123">
        <f>IFERROR(INDEX(SET!I$8:I$73,MATCH($A20,SET!$A$8:$A$73,0))&amp;"","")</f>
        <v/>
      </c>
      <c r="AO20" s="123">
        <f>IFERROR(INDEX(SET!J$8:J$73,MATCH($A20,SET!$A$8:$A$73,0))&amp;"","")</f>
        <v/>
      </c>
      <c r="AP20" s="123">
        <f>IFERROR(INDEX(SET!K$8:K$73,MATCH($A20,SET!$A$8:$A$73,0))&amp;"","")</f>
        <v/>
      </c>
      <c r="AQ20" s="123">
        <f>IFERROR(INDEX(SET!L$8:L$73,MATCH($A20,SET!$A$8:$A$73,0))&amp;"","")</f>
        <v/>
      </c>
      <c r="AR20" s="109">
        <f>IFERROR(INDEX(SET!M$8:M$73,MATCH($A20,SET!$A$8:$A$73,0))&amp;"","")</f>
        <v/>
      </c>
      <c r="AS20" s="109">
        <f>IFERROR(INDEX(SET!N$8:N$73,MATCH($A20,SET!$A$8:$A$73,0))&amp;"","")</f>
        <v/>
      </c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SUMPRODUCT(($D20:$J20="M")*6+($D20:$J20="T")*6+($D20:$J20="D")*12+($D20:$J20="N")*12+($D20:$J20="NT")*6+($D20:$J20="C")*10+($D20:$J20="A")*8+($D20:$J20="J")*5+($D20:$J20="E")*4+($D20:$J20="P")*6+($D20:$J20="R")*6)</f>
        <v/>
      </c>
      <c r="BF20" s="110">
        <f>SUMPRODUCT(($K20:$Q20="M")*6+($K20:$Q20="T")*6+($K20:$Q20="D")*12+($K20:$Q20="N")*12+($K20:$Q20="NT")*6+($K20:$Q20="C")*10+($K20:$Q20="A")*8+($K20:$Q20="J")*5+($K20:$Q20="E")*4+($K20:$Q20="P")*6+($K20:$Q20="R")*6)</f>
        <v/>
      </c>
      <c r="BG20" s="110">
        <f>SUMPRODUCT(($R20:$X20="M")*6+($R20:$X20="T")*6+($R20:$X20="D")*12+($R20:$X20="N")*12+($R20:$X20="NT")*6+($R20:$X20="C")*10+($R20:$X20="A")*8+($R20:$X20="J")*5+($R20:$X20="E")*4+($R20:$X20="P")*6+($R20:$X20="R")*6)</f>
        <v/>
      </c>
      <c r="BH20" s="110">
        <f>SUMPRODUCT(($Y20:$AE20="M")*6+($Y20:$AE20="T")*6+($Y20:$AE20="D")*12+($Y20:$AE20="N")*12+($Y20:$AE20="NT")*6+($Y20:$AE20="C")*10+($Y20:$AE20="A")*8+($Y20:$AE20="J")*5+($Y20:$AE20="E")*4+($Y20:$AE20="P")*6+($Y20:$AE20="R")*6)</f>
        <v/>
      </c>
      <c r="BI20" s="110">
        <f>SUMPRODUCT(($AF20:$AL20="M")*6+($AF20:$AL20="T")*6+($AF20:$AL20="D")*12+($AF20:$AL20="N")*12+($AF20:$AL20="NT")*6+($AF20:$AL20="C")*10+($AF20:$AL20="A")*8+($AF20:$AL20="J")*5+($AF20:$AL20="E")*4+($AF20:$AL20="P")*6+($AF20:$AL20="R")*6)</f>
        <v/>
      </c>
      <c r="BJ20" s="110">
        <f>SUMPRODUCT(($AM20:$AM20="M")*6+($AM20:$AM20="T")*6+($AM20:$AM20="D")*12+($AM20:$AM20="N")*12+($AM20:$AM20="NT")*6+($AM20:$AM20="C")*10+($AM20:$AM20="A")*8+($AM20:$AM20="J")*5+($AM20:$AM20="E")*4+($AM20:$AM20="P")*6+($AM20:$AM20="R")*6)+SUMPRODUCT(($AN20:$AS20="M")*6+($AN20:$AS20="T")*6+($AN20:$AS20="D")*12+($AN20:$AS20="N")*12+($AN20:$AS20="NT")*6+($AN20:$AS20="C")*10+($AN20:$AS20="A")*8+($AN20:$AS20="J")*5+($AN20:$AS20="E")*4+($AN20:$AS20="P")*6+($AN20:$AS20="R")*6)</f>
        <v/>
      </c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123">
        <f>IFERROR(INDEX(JUL!AI$8:AI$73,MATCH($A21,JUL!$A$8:$A$73,0))&amp;"","")</f>
        <v/>
      </c>
      <c r="E21" s="123">
        <f>IFERROR(INDEX(JUL!AJ$8:AJ$73,MATCH($A21,JUL!$A$8:$A$73,0))&amp;"","")</f>
        <v/>
      </c>
      <c r="F21" s="123">
        <f>IFERROR(INDEX(JUL!AK$8:AK$73,MATCH($A21,JUL!$A$8:$A$73,0))&amp;"","")</f>
        <v/>
      </c>
      <c r="G21" s="123">
        <f>IFERROR(INDEX(JUL!AL$8:AL$73,MATCH($A21,JUL!$A$8:$A$73,0))&amp;"","")</f>
        <v/>
      </c>
      <c r="H21" s="123">
        <f>IFERROR(INDEX(JUL!AM$8:AM$73,MATCH($A21,JUL!$A$8:$A$73,0))&amp;"","")</f>
        <v/>
      </c>
      <c r="I21" s="107" t="n"/>
      <c r="J21" s="116" t="inlineStr">
        <is>
          <t>N</t>
        </is>
      </c>
      <c r="K21" s="117" t="inlineStr">
        <is>
          <t>T</t>
        </is>
      </c>
      <c r="L21" s="115" t="inlineStr">
        <is>
          <t>D</t>
        </is>
      </c>
      <c r="M21" s="115" t="inlineStr">
        <is>
          <t>D</t>
        </is>
      </c>
      <c r="N21" s="117" t="inlineStr">
        <is>
          <t>T</t>
        </is>
      </c>
      <c r="O21" s="107" t="n"/>
      <c r="P21" s="107" t="n"/>
      <c r="Q21" s="107" t="n"/>
      <c r="R21" s="117" t="inlineStr">
        <is>
          <t>T</t>
        </is>
      </c>
      <c r="S21" s="115" t="inlineStr">
        <is>
          <t>D</t>
        </is>
      </c>
      <c r="T21" s="115" t="inlineStr">
        <is>
          <t>D</t>
        </is>
      </c>
      <c r="U21" s="117" t="inlineStr">
        <is>
          <t>T</t>
        </is>
      </c>
      <c r="V21" s="107" t="n"/>
      <c r="W21" s="107" t="n"/>
      <c r="X21" s="107" t="n"/>
      <c r="Y21" s="107" t="n"/>
      <c r="Z21" s="107" t="n"/>
      <c r="AA21" s="108" t="inlineStr">
        <is>
          <t>M</t>
        </is>
      </c>
      <c r="AB21" s="117" t="inlineStr">
        <is>
          <t>T</t>
        </is>
      </c>
      <c r="AC21" s="116" t="inlineStr">
        <is>
          <t>N</t>
        </is>
      </c>
      <c r="AD21" s="107" t="n"/>
      <c r="AE21" s="107" t="n"/>
      <c r="AF21" s="117" t="inlineStr">
        <is>
          <t>T</t>
        </is>
      </c>
      <c r="AG21" s="107" t="n"/>
      <c r="AH21" s="115" t="inlineStr">
        <is>
          <t>D</t>
        </is>
      </c>
      <c r="AI21" s="117" t="inlineStr">
        <is>
          <t>T</t>
        </is>
      </c>
      <c r="AJ21" s="107" t="n"/>
      <c r="AK21" s="107" t="n"/>
      <c r="AL21" s="117" t="inlineStr">
        <is>
          <t>T</t>
        </is>
      </c>
      <c r="AM21" s="117" t="inlineStr">
        <is>
          <t>T</t>
        </is>
      </c>
      <c r="AN21" s="123">
        <f>IFERROR(INDEX(SET!I$8:I$73,MATCH($A21,SET!$A$8:$A$73,0))&amp;"","")</f>
        <v/>
      </c>
      <c r="AO21" s="123">
        <f>IFERROR(INDEX(SET!J$8:J$73,MATCH($A21,SET!$A$8:$A$73,0))&amp;"","")</f>
        <v/>
      </c>
      <c r="AP21" s="123">
        <f>IFERROR(INDEX(SET!K$8:K$73,MATCH($A21,SET!$A$8:$A$73,0))&amp;"","")</f>
        <v/>
      </c>
      <c r="AQ21" s="123">
        <f>IFERROR(INDEX(SET!L$8:L$73,MATCH($A21,SET!$A$8:$A$73,0))&amp;"","")</f>
        <v/>
      </c>
      <c r="AR21" s="109">
        <f>IFERROR(INDEX(SET!M$8:M$73,MATCH($A21,SET!$A$8:$A$73,0))&amp;"","")</f>
        <v/>
      </c>
      <c r="AS21" s="109">
        <f>IFERROR(INDEX(SET!N$8:N$73,MATCH($A21,SET!$A$8:$A$73,0))&amp;"","")</f>
        <v/>
      </c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SUMPRODUCT(($D21:$J21="M")*6+($D21:$J21="T")*6+($D21:$J21="D")*12+($D21:$J21="N")*12+($D21:$J21="NT")*6+($D21:$J21="C")*10+($D21:$J21="A")*8+($D21:$J21="J")*5+($D21:$J21="E")*4+($D21:$J21="P")*6+($D21:$J21="R")*6)</f>
        <v/>
      </c>
      <c r="BF21" s="110">
        <f>SUMPRODUCT(($K21:$Q21="M")*6+($K21:$Q21="T")*6+($K21:$Q21="D")*12+($K21:$Q21="N")*12+($K21:$Q21="NT")*6+($K21:$Q21="C")*10+($K21:$Q21="A")*8+($K21:$Q21="J")*5+($K21:$Q21="E")*4+($K21:$Q21="P")*6+($K21:$Q21="R")*6)</f>
        <v/>
      </c>
      <c r="BG21" s="110">
        <f>SUMPRODUCT(($R21:$X21="M")*6+($R21:$X21="T")*6+($R21:$X21="D")*12+($R21:$X21="N")*12+($R21:$X21="NT")*6+($R21:$X21="C")*10+($R21:$X21="A")*8+($R21:$X21="J")*5+($R21:$X21="E")*4+($R21:$X21="P")*6+($R21:$X21="R")*6)</f>
        <v/>
      </c>
      <c r="BH21" s="110">
        <f>SUMPRODUCT(($Y21:$AE21="M")*6+($Y21:$AE21="T")*6+($Y21:$AE21="D")*12+($Y21:$AE21="N")*12+($Y21:$AE21="NT")*6+($Y21:$AE21="C")*10+($Y21:$AE21="A")*8+($Y21:$AE21="J")*5+($Y21:$AE21="E")*4+($Y21:$AE21="P")*6+($Y21:$AE21="R")*6)</f>
        <v/>
      </c>
      <c r="BI21" s="110">
        <f>SUMPRODUCT(($AF21:$AL21="M")*6+($AF21:$AL21="T")*6+($AF21:$AL21="D")*12+($AF21:$AL21="N")*12+($AF21:$AL21="NT")*6+($AF21:$AL21="C")*10+($AF21:$AL21="A")*8+($AF21:$AL21="J")*5+($AF21:$AL21="E")*4+($AF21:$AL21="P")*6+($AF21:$AL21="R")*6)</f>
        <v/>
      </c>
      <c r="BJ21" s="110">
        <f>SUMPRODUCT(($AM21:$AM21="M")*6+($AM21:$AM21="T")*6+($AM21:$AM21="D")*12+($AM21:$AM21="N")*12+($AM21:$AM21="NT")*6+($AM21:$AM21="C")*10+($AM21:$AM21="A")*8+($AM21:$AM21="J")*5+($AM21:$AM21="E")*4+($AM21:$AM21="P")*6+($AM21:$AM21="R")*6)+SUMPRODUCT(($AN21:$AS21="M")*6+($AN21:$AS21="T")*6+($AN21:$AS21="D")*12+($AN21:$AS21="N")*12+($AN21:$AS21="NT")*6+($AN21:$AS21="C")*10+($AN21:$AS21="A")*8+($AN21:$AS21="J")*5+($AN21:$AS21="E")*4+($AN21:$AS21="P")*6+($AN21:$AS21="R")*6)</f>
        <v/>
      </c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123">
        <f>IFERROR(INDEX(JUL!AI$8:AI$73,MATCH($A22,JUL!$A$8:$A$73,0))&amp;"","")</f>
        <v/>
      </c>
      <c r="E22" s="123">
        <f>IFERROR(INDEX(JUL!AJ$8:AJ$73,MATCH($A22,JUL!$A$8:$A$73,0))&amp;"","")</f>
        <v/>
      </c>
      <c r="F22" s="123">
        <f>IFERROR(INDEX(JUL!AK$8:AK$73,MATCH($A22,JUL!$A$8:$A$73,0))&amp;"","")</f>
        <v/>
      </c>
      <c r="G22" s="123">
        <f>IFERROR(INDEX(JUL!AL$8:AL$73,MATCH($A22,JUL!$A$8:$A$73,0))&amp;"","")</f>
        <v/>
      </c>
      <c r="H22" s="123">
        <f>IFERROR(INDEX(JUL!AM$8:AM$73,MATCH($A22,JUL!$A$8:$A$73,0))&amp;"","")</f>
        <v/>
      </c>
      <c r="I22" s="115" t="inlineStr">
        <is>
          <t>D</t>
        </is>
      </c>
      <c r="J22" s="107" t="n"/>
      <c r="K22" s="108" t="inlineStr">
        <is>
          <t>M</t>
        </is>
      </c>
      <c r="L22" s="115" t="inlineStr">
        <is>
          <t>D</t>
        </is>
      </c>
      <c r="M22" s="108" t="inlineStr">
        <is>
          <t>M</t>
        </is>
      </c>
      <c r="N22" s="115" t="inlineStr">
        <is>
          <t>D</t>
        </is>
      </c>
      <c r="O22" s="108" t="inlineStr">
        <is>
          <t>M</t>
        </is>
      </c>
      <c r="P22" s="107" t="n"/>
      <c r="Q22" s="107" t="n"/>
      <c r="R22" s="107" t="n"/>
      <c r="S22" s="115" t="inlineStr">
        <is>
          <t>D</t>
        </is>
      </c>
      <c r="T22" s="108" t="inlineStr">
        <is>
          <t>M</t>
        </is>
      </c>
      <c r="U22" s="107" t="n"/>
      <c r="V22" s="117" t="inlineStr">
        <is>
          <t>T</t>
        </is>
      </c>
      <c r="W22" s="107" t="n"/>
      <c r="X22" s="115" t="inlineStr">
        <is>
          <t>D</t>
        </is>
      </c>
      <c r="Y22" s="107" t="n"/>
      <c r="Z22" s="115" t="inlineStr">
        <is>
          <t>D</t>
        </is>
      </c>
      <c r="AA22" s="107" t="n"/>
      <c r="AB22" s="115" t="inlineStr">
        <is>
          <t>D</t>
        </is>
      </c>
      <c r="AC22" s="115" t="inlineStr">
        <is>
          <t>D</t>
        </is>
      </c>
      <c r="AD22" s="107" t="n"/>
      <c r="AE22" s="107" t="n"/>
      <c r="AF22" s="107" t="n"/>
      <c r="AG22" s="115" t="inlineStr">
        <is>
          <t>D</t>
        </is>
      </c>
      <c r="AH22" s="108" t="inlineStr">
        <is>
          <t>M</t>
        </is>
      </c>
      <c r="AI22" s="107" t="n"/>
      <c r="AJ22" s="108" t="inlineStr">
        <is>
          <t>M</t>
        </is>
      </c>
      <c r="AK22" s="107" t="n"/>
      <c r="AL22" s="115" t="inlineStr">
        <is>
          <t>D</t>
        </is>
      </c>
      <c r="AM22" s="107" t="n"/>
      <c r="AN22" s="123">
        <f>IFERROR(INDEX(SET!I$8:I$73,MATCH($A22,SET!$A$8:$A$73,0))&amp;"","")</f>
        <v/>
      </c>
      <c r="AO22" s="123">
        <f>IFERROR(INDEX(SET!J$8:J$73,MATCH($A22,SET!$A$8:$A$73,0))&amp;"","")</f>
        <v/>
      </c>
      <c r="AP22" s="123">
        <f>IFERROR(INDEX(SET!K$8:K$73,MATCH($A22,SET!$A$8:$A$73,0))&amp;"","")</f>
        <v/>
      </c>
      <c r="AQ22" s="123">
        <f>IFERROR(INDEX(SET!L$8:L$73,MATCH($A22,SET!$A$8:$A$73,0))&amp;"","")</f>
        <v/>
      </c>
      <c r="AR22" s="109">
        <f>IFERROR(INDEX(SET!M$8:M$73,MATCH($A22,SET!$A$8:$A$73,0))&amp;"","")</f>
        <v/>
      </c>
      <c r="AS22" s="109">
        <f>IFERROR(INDEX(SET!N$8:N$73,MATCH($A22,SET!$A$8:$A$73,0))&amp;"","")</f>
        <v/>
      </c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SUMPRODUCT(($D22:$J22="M")*6+($D22:$J22="T")*6+($D22:$J22="D")*12+($D22:$J22="N")*12+($D22:$J22="NT")*6+($D22:$J22="C")*10+($D22:$J22="A")*8+($D22:$J22="J")*5+($D22:$J22="E")*4+($D22:$J22="P")*6+($D22:$J22="R")*6)</f>
        <v/>
      </c>
      <c r="BF22" s="110">
        <f>SUMPRODUCT(($K22:$Q22="M")*6+($K22:$Q22="T")*6+($K22:$Q22="D")*12+($K22:$Q22="N")*12+($K22:$Q22="NT")*6+($K22:$Q22="C")*10+($K22:$Q22="A")*8+($K22:$Q22="J")*5+($K22:$Q22="E")*4+($K22:$Q22="P")*6+($K22:$Q22="R")*6)</f>
        <v/>
      </c>
      <c r="BG22" s="110">
        <f>SUMPRODUCT(($R22:$X22="M")*6+($R22:$X22="T")*6+($R22:$X22="D")*12+($R22:$X22="N")*12+($R22:$X22="NT")*6+($R22:$X22="C")*10+($R22:$X22="A")*8+($R22:$X22="J")*5+($R22:$X22="E")*4+($R22:$X22="P")*6+($R22:$X22="R")*6)</f>
        <v/>
      </c>
      <c r="BH22" s="110">
        <f>SUMPRODUCT(($Y22:$AE22="M")*6+($Y22:$AE22="T")*6+($Y22:$AE22="D")*12+($Y22:$AE22="N")*12+($Y22:$AE22="NT")*6+($Y22:$AE22="C")*10+($Y22:$AE22="A")*8+($Y22:$AE22="J")*5+($Y22:$AE22="E")*4+($Y22:$AE22="P")*6+($Y22:$AE22="R")*6)</f>
        <v/>
      </c>
      <c r="BI22" s="110">
        <f>SUMPRODUCT(($AF22:$AL22="M")*6+($AF22:$AL22="T")*6+($AF22:$AL22="D")*12+($AF22:$AL22="N")*12+($AF22:$AL22="NT")*6+($AF22:$AL22="C")*10+($AF22:$AL22="A")*8+($AF22:$AL22="J")*5+($AF22:$AL22="E")*4+($AF22:$AL22="P")*6+($AF22:$AL22="R")*6)</f>
        <v/>
      </c>
      <c r="BJ22" s="110">
        <f>SUMPRODUCT(($AM22:$AM22="M")*6+($AM22:$AM22="T")*6+($AM22:$AM22="D")*12+($AM22:$AM22="N")*12+($AM22:$AM22="NT")*6+($AM22:$AM22="C")*10+($AM22:$AM22="A")*8+($AM22:$AM22="J")*5+($AM22:$AM22="E")*4+($AM22:$AM22="P")*6+($AM22:$AM22="R")*6)+SUMPRODUCT(($AN22:$AS22="M")*6+($AN22:$AS22="T")*6+($AN22:$AS22="D")*12+($AN22:$AS22="N")*12+($AN22:$AS22="NT")*6+($AN22:$AS22="C")*10+($AN22:$AS22="A")*8+($AN22:$AS22="J")*5+($AN22:$AS22="E")*4+($AN22:$AS22="P")*6+($AN22:$AS22="R")*6)</f>
        <v/>
      </c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123">
        <f>IFERROR(INDEX(JUL!AI$8:AI$73,MATCH($A23,JUL!$A$8:$A$73,0))&amp;"","")</f>
        <v/>
      </c>
      <c r="E23" s="123">
        <f>IFERROR(INDEX(JUL!AJ$8:AJ$73,MATCH($A23,JUL!$A$8:$A$73,0))&amp;"","")</f>
        <v/>
      </c>
      <c r="F23" s="123">
        <f>IFERROR(INDEX(JUL!AK$8:AK$73,MATCH($A23,JUL!$A$8:$A$73,0))&amp;"","")</f>
        <v/>
      </c>
      <c r="G23" s="123">
        <f>IFERROR(INDEX(JUL!AL$8:AL$73,MATCH($A23,JUL!$A$8:$A$73,0))&amp;"","")</f>
        <v/>
      </c>
      <c r="H23" s="123">
        <f>IFERROR(INDEX(JUL!AM$8:AM$73,MATCH($A23,JUL!$A$8:$A$73,0))&amp;"","")</f>
        <v/>
      </c>
      <c r="I23" s="115" t="inlineStr">
        <is>
          <t>D</t>
        </is>
      </c>
      <c r="J23" s="115" t="inlineStr">
        <is>
          <t>D</t>
        </is>
      </c>
      <c r="K23" s="115" t="inlineStr">
        <is>
          <t>D</t>
        </is>
      </c>
      <c r="L23" s="115" t="inlineStr">
        <is>
          <t>D</t>
        </is>
      </c>
      <c r="M23" s="107" t="n"/>
      <c r="N23" s="115" t="inlineStr">
        <is>
          <t>D</t>
        </is>
      </c>
      <c r="O23" s="107" t="n"/>
      <c r="P23" s="107" t="n"/>
      <c r="Q23" s="107" t="n"/>
      <c r="R23" s="115" t="inlineStr">
        <is>
          <t>D</t>
        </is>
      </c>
      <c r="S23" s="115" t="inlineStr">
        <is>
          <t>D</t>
        </is>
      </c>
      <c r="T23" s="107" t="n"/>
      <c r="U23" s="115" t="inlineStr">
        <is>
          <t>D</t>
        </is>
      </c>
      <c r="V23" s="107" t="n"/>
      <c r="W23" s="107" t="n"/>
      <c r="X23" s="107" t="n"/>
      <c r="Y23" s="115" t="inlineStr">
        <is>
          <t>D</t>
        </is>
      </c>
      <c r="Z23" s="107" t="n"/>
      <c r="AA23" s="107" t="n"/>
      <c r="AB23" s="115" t="inlineStr">
        <is>
          <t>D</t>
        </is>
      </c>
      <c r="AC23" s="107" t="n"/>
      <c r="AD23" s="115" t="inlineStr">
        <is>
          <t>D</t>
        </is>
      </c>
      <c r="AE23" s="107" t="n"/>
      <c r="AF23" s="117" t="inlineStr">
        <is>
          <t>T</t>
        </is>
      </c>
      <c r="AG23" s="115" t="inlineStr">
        <is>
          <t>D</t>
        </is>
      </c>
      <c r="AH23" s="107" t="n"/>
      <c r="AI23" s="115" t="inlineStr">
        <is>
          <t>D</t>
        </is>
      </c>
      <c r="AJ23" s="107" t="n"/>
      <c r="AK23" s="107" t="n"/>
      <c r="AL23" s="107" t="n"/>
      <c r="AM23" s="115" t="inlineStr">
        <is>
          <t>D</t>
        </is>
      </c>
      <c r="AN23" s="123">
        <f>IFERROR(INDEX(SET!I$8:I$73,MATCH($A23,SET!$A$8:$A$73,0))&amp;"","")</f>
        <v/>
      </c>
      <c r="AO23" s="123">
        <f>IFERROR(INDEX(SET!J$8:J$73,MATCH($A23,SET!$A$8:$A$73,0))&amp;"","")</f>
        <v/>
      </c>
      <c r="AP23" s="123">
        <f>IFERROR(INDEX(SET!K$8:K$73,MATCH($A23,SET!$A$8:$A$73,0))&amp;"","")</f>
        <v/>
      </c>
      <c r="AQ23" s="123">
        <f>IFERROR(INDEX(SET!L$8:L$73,MATCH($A23,SET!$A$8:$A$73,0))&amp;"","")</f>
        <v/>
      </c>
      <c r="AR23" s="109">
        <f>IFERROR(INDEX(SET!M$8:M$73,MATCH($A23,SET!$A$8:$A$73,0))&amp;"","")</f>
        <v/>
      </c>
      <c r="AS23" s="109">
        <f>IFERROR(INDEX(SET!N$8:N$73,MATCH($A23,SET!$A$8:$A$73,0))&amp;"","")</f>
        <v/>
      </c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SUMPRODUCT(($D23:$J23="M")*6+($D23:$J23="T")*6+($D23:$J23="D")*12+($D23:$J23="N")*12+($D23:$J23="NT")*6+($D23:$J23="C")*10+($D23:$J23="A")*8+($D23:$J23="J")*5+($D23:$J23="E")*4+($D23:$J23="P")*6+($D23:$J23="R")*6)</f>
        <v/>
      </c>
      <c r="BF23" s="110">
        <f>SUMPRODUCT(($K23:$Q23="M")*6+($K23:$Q23="T")*6+($K23:$Q23="D")*12+($K23:$Q23="N")*12+($K23:$Q23="NT")*6+($K23:$Q23="C")*10+($K23:$Q23="A")*8+($K23:$Q23="J")*5+($K23:$Q23="E")*4+($K23:$Q23="P")*6+($K23:$Q23="R")*6)</f>
        <v/>
      </c>
      <c r="BG23" s="110">
        <f>SUMPRODUCT(($R23:$X23="M")*6+($R23:$X23="T")*6+($R23:$X23="D")*12+($R23:$X23="N")*12+($R23:$X23="NT")*6+($R23:$X23="C")*10+($R23:$X23="A")*8+($R23:$X23="J")*5+($R23:$X23="E")*4+($R23:$X23="P")*6+($R23:$X23="R")*6)</f>
        <v/>
      </c>
      <c r="BH23" s="110">
        <f>SUMPRODUCT(($Y23:$AE23="M")*6+($Y23:$AE23="T")*6+($Y23:$AE23="D")*12+($Y23:$AE23="N")*12+($Y23:$AE23="NT")*6+($Y23:$AE23="C")*10+($Y23:$AE23="A")*8+($Y23:$AE23="J")*5+($Y23:$AE23="E")*4+($Y23:$AE23="P")*6+($Y23:$AE23="R")*6)</f>
        <v/>
      </c>
      <c r="BI23" s="110">
        <f>SUMPRODUCT(($AF23:$AL23="M")*6+($AF23:$AL23="T")*6+($AF23:$AL23="D")*12+($AF23:$AL23="N")*12+($AF23:$AL23="NT")*6+($AF23:$AL23="C")*10+($AF23:$AL23="A")*8+($AF23:$AL23="J")*5+($AF23:$AL23="E")*4+($AF23:$AL23="P")*6+($AF23:$AL23="R")*6)</f>
        <v/>
      </c>
      <c r="BJ23" s="110">
        <f>SUMPRODUCT(($AM23:$AM23="M")*6+($AM23:$AM23="T")*6+($AM23:$AM23="D")*12+($AM23:$AM23="N")*12+($AM23:$AM23="NT")*6+($AM23:$AM23="C")*10+($AM23:$AM23="A")*8+($AM23:$AM23="J")*5+($AM23:$AM23="E")*4+($AM23:$AM23="P")*6+($AM23:$AM23="R")*6)+SUMPRODUCT(($AN23:$AS23="M")*6+($AN23:$AS23="T")*6+($AN23:$AS23="D")*12+($AN23:$AS23="N")*12+($AN23:$AS23="NT")*6+($AN23:$AS23="C")*10+($AN23:$AS23="A")*8+($AN23:$AS23="J")*5+($AN23:$AS23="E")*4+($AN23:$AS23="P")*6+($AN23:$AS23="R")*6)</f>
        <v/>
      </c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123">
        <f>IFERROR(INDEX(JUL!AI$8:AI$73,MATCH($A24,JUL!$A$8:$A$73,0))&amp;"","")</f>
        <v/>
      </c>
      <c r="E24" s="123">
        <f>IFERROR(INDEX(JUL!AJ$8:AJ$73,MATCH($A24,JUL!$A$8:$A$73,0))&amp;"","")</f>
        <v/>
      </c>
      <c r="F24" s="123">
        <f>IFERROR(INDEX(JUL!AK$8:AK$73,MATCH($A24,JUL!$A$8:$A$73,0))&amp;"","")</f>
        <v/>
      </c>
      <c r="G24" s="123">
        <f>IFERROR(INDEX(JUL!AL$8:AL$73,MATCH($A24,JUL!$A$8:$A$73,0))&amp;"","")</f>
        <v/>
      </c>
      <c r="H24" s="123">
        <f>IFERROR(INDEX(JUL!AM$8:AM$73,MATCH($A24,JUL!$A$8:$A$73,0))&amp;"","")</f>
        <v/>
      </c>
      <c r="I24" s="107" t="n"/>
      <c r="J24" s="107" t="n"/>
      <c r="K24" s="128" t="inlineStr">
        <is>
          <t>FE</t>
        </is>
      </c>
      <c r="L24" s="128" t="inlineStr">
        <is>
          <t>FE</t>
        </is>
      </c>
      <c r="M24" s="128" t="inlineStr">
        <is>
          <t>FE</t>
        </is>
      </c>
      <c r="N24" s="128" t="inlineStr">
        <is>
          <t>FE</t>
        </is>
      </c>
      <c r="O24" s="128" t="inlineStr">
        <is>
          <t>FE</t>
        </is>
      </c>
      <c r="P24" s="128" t="inlineStr">
        <is>
          <t>FE</t>
        </is>
      </c>
      <c r="Q24" s="128" t="inlineStr">
        <is>
          <t>FE</t>
        </is>
      </c>
      <c r="R24" s="128" t="inlineStr">
        <is>
          <t>FE</t>
        </is>
      </c>
      <c r="S24" s="128" t="inlineStr">
        <is>
          <t>FE</t>
        </is>
      </c>
      <c r="T24" s="128" t="inlineStr">
        <is>
          <t>FE</t>
        </is>
      </c>
      <c r="U24" s="128" t="inlineStr">
        <is>
          <t>FE</t>
        </is>
      </c>
      <c r="V24" s="128" t="inlineStr">
        <is>
          <t>FE</t>
        </is>
      </c>
      <c r="W24" s="128" t="inlineStr">
        <is>
          <t>FE</t>
        </is>
      </c>
      <c r="X24" s="128" t="inlineStr">
        <is>
          <t>FE</t>
        </is>
      </c>
      <c r="Y24" s="107" t="n"/>
      <c r="Z24" s="115" t="inlineStr">
        <is>
          <t>D</t>
        </is>
      </c>
      <c r="AA24" s="107" t="n"/>
      <c r="AB24" s="108" t="inlineStr">
        <is>
          <t>M</t>
        </is>
      </c>
      <c r="AC24" s="107" t="n"/>
      <c r="AD24" s="116" t="inlineStr">
        <is>
          <t>N</t>
        </is>
      </c>
      <c r="AE24" s="107" t="n"/>
      <c r="AF24" s="107" t="n"/>
      <c r="AG24" s="117" t="inlineStr">
        <is>
          <t>T</t>
        </is>
      </c>
      <c r="AH24" s="107" t="n"/>
      <c r="AI24" s="115" t="inlineStr">
        <is>
          <t>D</t>
        </is>
      </c>
      <c r="AJ24" s="107" t="n"/>
      <c r="AK24" s="116" t="inlineStr">
        <is>
          <t>N</t>
        </is>
      </c>
      <c r="AL24" s="117" t="inlineStr">
        <is>
          <t>T</t>
        </is>
      </c>
      <c r="AM24" s="115" t="inlineStr">
        <is>
          <t>D</t>
        </is>
      </c>
      <c r="AN24" s="123">
        <f>IFERROR(INDEX(SET!I$8:I$73,MATCH($A24,SET!$A$8:$A$73,0))&amp;"","")</f>
        <v/>
      </c>
      <c r="AO24" s="123">
        <f>IFERROR(INDEX(SET!J$8:J$73,MATCH($A24,SET!$A$8:$A$73,0))&amp;"","")</f>
        <v/>
      </c>
      <c r="AP24" s="123">
        <f>IFERROR(INDEX(SET!K$8:K$73,MATCH($A24,SET!$A$8:$A$73,0))&amp;"","")</f>
        <v/>
      </c>
      <c r="AQ24" s="123">
        <f>IFERROR(INDEX(SET!L$8:L$73,MATCH($A24,SET!$A$8:$A$73,0))&amp;"","")</f>
        <v/>
      </c>
      <c r="AR24" s="109">
        <f>IFERROR(INDEX(SET!M$8:M$73,MATCH($A24,SET!$A$8:$A$73,0))&amp;"","")</f>
        <v/>
      </c>
      <c r="AS24" s="109">
        <f>IFERROR(INDEX(SET!N$8:N$73,MATCH($A24,SET!$A$8:$A$73,0))&amp;"","")</f>
        <v/>
      </c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SUMPRODUCT(($D24:$J24="M")*6+($D24:$J24="T")*6+($D24:$J24="D")*12+($D24:$J24="N")*12+($D24:$J24="NT")*6+($D24:$J24="C")*10+($D24:$J24="A")*8+($D24:$J24="J")*5+($D24:$J24="E")*4+($D24:$J24="P")*6+($D24:$J24="R")*6)</f>
        <v/>
      </c>
      <c r="BF24" s="110">
        <f>SUMPRODUCT(($K24:$Q24="M")*6+($K24:$Q24="T")*6+($K24:$Q24="D")*12+($K24:$Q24="N")*12+($K24:$Q24="NT")*6+($K24:$Q24="C")*10+($K24:$Q24="A")*8+($K24:$Q24="J")*5+($K24:$Q24="E")*4+($K24:$Q24="P")*6+($K24:$Q24="R")*6)</f>
        <v/>
      </c>
      <c r="BG24" s="110">
        <f>SUMPRODUCT(($R24:$X24="M")*6+($R24:$X24="T")*6+($R24:$X24="D")*12+($R24:$X24="N")*12+($R24:$X24="NT")*6+($R24:$X24="C")*10+($R24:$X24="A")*8+($R24:$X24="J")*5+($R24:$X24="E")*4+($R24:$X24="P")*6+($R24:$X24="R")*6)</f>
        <v/>
      </c>
      <c r="BH24" s="110">
        <f>SUMPRODUCT(($Y24:$AE24="M")*6+($Y24:$AE24="T")*6+($Y24:$AE24="D")*12+($Y24:$AE24="N")*12+($Y24:$AE24="NT")*6+($Y24:$AE24="C")*10+($Y24:$AE24="A")*8+($Y24:$AE24="J")*5+($Y24:$AE24="E")*4+($Y24:$AE24="P")*6+($Y24:$AE24="R")*6)</f>
        <v/>
      </c>
      <c r="BI24" s="110">
        <f>SUMPRODUCT(($AF24:$AL24="M")*6+($AF24:$AL24="T")*6+($AF24:$AL24="D")*12+($AF24:$AL24="N")*12+($AF24:$AL24="NT")*6+($AF24:$AL24="C")*10+($AF24:$AL24="A")*8+($AF24:$AL24="J")*5+($AF24:$AL24="E")*4+($AF24:$AL24="P")*6+($AF24:$AL24="R")*6)</f>
        <v/>
      </c>
      <c r="BJ24" s="110">
        <f>SUMPRODUCT(($AM24:$AM24="M")*6+($AM24:$AM24="T")*6+($AM24:$AM24="D")*12+($AM24:$AM24="N")*12+($AM24:$AM24="NT")*6+($AM24:$AM24="C")*10+($AM24:$AM24="A")*8+($AM24:$AM24="J")*5+($AM24:$AM24="E")*4+($AM24:$AM24="P")*6+($AM24:$AM24="R")*6)+SUMPRODUCT(($AN24:$AS24="M")*6+($AN24:$AS24="T")*6+($AN24:$AS24="D")*12+($AN24:$AS24="N")*12+($AN24:$AS24="NT")*6+($AN24:$AS24="C")*10+($AN24:$AS24="A")*8+($AN24:$AS24="J")*5+($AN24:$AS24="E")*4+($AN24:$AS24="P")*6+($AN24:$AS24="R")*6)</f>
        <v/>
      </c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123">
        <f>IFERROR(INDEX(JUL!AI$8:AI$73,MATCH($A25,JUL!$A$8:$A$73,0))&amp;"","")</f>
        <v/>
      </c>
      <c r="E25" s="123">
        <f>IFERROR(INDEX(JUL!AJ$8:AJ$73,MATCH($A25,JUL!$A$8:$A$73,0))&amp;"","")</f>
        <v/>
      </c>
      <c r="F25" s="123">
        <f>IFERROR(INDEX(JUL!AK$8:AK$73,MATCH($A25,JUL!$A$8:$A$73,0))&amp;"","")</f>
        <v/>
      </c>
      <c r="G25" s="123">
        <f>IFERROR(INDEX(JUL!AL$8:AL$73,MATCH($A25,JUL!$A$8:$A$73,0))&amp;"","")</f>
        <v/>
      </c>
      <c r="H25" s="123">
        <f>IFERROR(INDEX(JUL!AM$8:AM$73,MATCH($A25,JUL!$A$8:$A$73,0))&amp;"","")</f>
        <v/>
      </c>
      <c r="I25" s="107" t="n"/>
      <c r="J25" s="116" t="inlineStr">
        <is>
          <t>N</t>
        </is>
      </c>
      <c r="K25" s="107" t="n"/>
      <c r="L25" s="116" t="inlineStr">
        <is>
          <t>N</t>
        </is>
      </c>
      <c r="M25" s="116" t="inlineStr">
        <is>
          <t>N</t>
        </is>
      </c>
      <c r="N25" s="107" t="n"/>
      <c r="O25" s="107" t="n"/>
      <c r="P25" s="107" t="n"/>
      <c r="Q25" s="116" t="inlineStr">
        <is>
          <t>N</t>
        </is>
      </c>
      <c r="R25" s="107" t="n"/>
      <c r="S25" s="116" t="inlineStr">
        <is>
          <t>N</t>
        </is>
      </c>
      <c r="T25" s="116" t="inlineStr">
        <is>
          <t>N</t>
        </is>
      </c>
      <c r="U25" s="107" t="n"/>
      <c r="V25" s="107" t="n"/>
      <c r="W25" s="107" t="n"/>
      <c r="X25" s="116" t="inlineStr">
        <is>
          <t>N</t>
        </is>
      </c>
      <c r="Y25" s="116" t="inlineStr">
        <is>
          <t>N</t>
        </is>
      </c>
      <c r="Z25" s="116" t="inlineStr">
        <is>
          <t>N</t>
        </is>
      </c>
      <c r="AA25" s="116" t="inlineStr">
        <is>
          <t>N</t>
        </is>
      </c>
      <c r="AB25" s="107" t="n"/>
      <c r="AC25" s="107" t="n"/>
      <c r="AD25" s="107" t="n"/>
      <c r="AE25" s="107" t="n"/>
      <c r="AF25" s="116" t="inlineStr">
        <is>
          <t>N</t>
        </is>
      </c>
      <c r="AG25" s="116" t="inlineStr">
        <is>
          <t>N</t>
        </is>
      </c>
      <c r="AH25" s="116" t="inlineStr">
        <is>
          <t>N</t>
        </is>
      </c>
      <c r="AI25" s="107" t="n"/>
      <c r="AJ25" s="107" t="n"/>
      <c r="AK25" s="107" t="n"/>
      <c r="AL25" s="107" t="n"/>
      <c r="AM25" s="107" t="n"/>
      <c r="AN25" s="123">
        <f>IFERROR(INDEX(SET!I$8:I$73,MATCH($A25,SET!$A$8:$A$73,0))&amp;"","")</f>
        <v/>
      </c>
      <c r="AO25" s="123">
        <f>IFERROR(INDEX(SET!J$8:J$73,MATCH($A25,SET!$A$8:$A$73,0))&amp;"","")</f>
        <v/>
      </c>
      <c r="AP25" s="123">
        <f>IFERROR(INDEX(SET!K$8:K$73,MATCH($A25,SET!$A$8:$A$73,0))&amp;"","")</f>
        <v/>
      </c>
      <c r="AQ25" s="123">
        <f>IFERROR(INDEX(SET!L$8:L$73,MATCH($A25,SET!$A$8:$A$73,0))&amp;"","")</f>
        <v/>
      </c>
      <c r="AR25" s="109">
        <f>IFERROR(INDEX(SET!M$8:M$73,MATCH($A25,SET!$A$8:$A$73,0))&amp;"","")</f>
        <v/>
      </c>
      <c r="AS25" s="109">
        <f>IFERROR(INDEX(SET!N$8:N$73,MATCH($A25,SET!$A$8:$A$73,0))&amp;"","")</f>
        <v/>
      </c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SUMPRODUCT(($D25:$J25="M")*6+($D25:$J25="T")*6+($D25:$J25="D")*12+($D25:$J25="N")*12+($D25:$J25="NT")*6+($D25:$J25="C")*10+($D25:$J25="A")*8+($D25:$J25="J")*5+($D25:$J25="E")*4+($D25:$J25="P")*6+($D25:$J25="R")*6)</f>
        <v/>
      </c>
      <c r="BF25" s="110">
        <f>SUMPRODUCT(($K25:$Q25="M")*6+($K25:$Q25="T")*6+($K25:$Q25="D")*12+($K25:$Q25="N")*12+($K25:$Q25="NT")*6+($K25:$Q25="C")*10+($K25:$Q25="A")*8+($K25:$Q25="J")*5+($K25:$Q25="E")*4+($K25:$Q25="P")*6+($K25:$Q25="R")*6)</f>
        <v/>
      </c>
      <c r="BG25" s="110">
        <f>SUMPRODUCT(($R25:$X25="M")*6+($R25:$X25="T")*6+($R25:$X25="D")*12+($R25:$X25="N")*12+($R25:$X25="NT")*6+($R25:$X25="C")*10+($R25:$X25="A")*8+($R25:$X25="J")*5+($R25:$X25="E")*4+($R25:$X25="P")*6+($R25:$X25="R")*6)</f>
        <v/>
      </c>
      <c r="BH25" s="110">
        <f>SUMPRODUCT(($Y25:$AE25="M")*6+($Y25:$AE25="T")*6+($Y25:$AE25="D")*12+($Y25:$AE25="N")*12+($Y25:$AE25="NT")*6+($Y25:$AE25="C")*10+($Y25:$AE25="A")*8+($Y25:$AE25="J")*5+($Y25:$AE25="E")*4+($Y25:$AE25="P")*6+($Y25:$AE25="R")*6)</f>
        <v/>
      </c>
      <c r="BI25" s="110">
        <f>SUMPRODUCT(($AF25:$AL25="M")*6+($AF25:$AL25="T")*6+($AF25:$AL25="D")*12+($AF25:$AL25="N")*12+($AF25:$AL25="NT")*6+($AF25:$AL25="C")*10+($AF25:$AL25="A")*8+($AF25:$AL25="J")*5+($AF25:$AL25="E")*4+($AF25:$AL25="P")*6+($AF25:$AL25="R")*6)</f>
        <v/>
      </c>
      <c r="BJ25" s="110">
        <f>SUMPRODUCT(($AM25:$AM25="M")*6+($AM25:$AM25="T")*6+($AM25:$AM25="D")*12+($AM25:$AM25="N")*12+($AM25:$AM25="NT")*6+($AM25:$AM25="C")*10+($AM25:$AM25="A")*8+($AM25:$AM25="J")*5+($AM25:$AM25="E")*4+($AM25:$AM25="P")*6+($AM25:$AM25="R")*6)+SUMPRODUCT(($AN25:$AS25="M")*6+($AN25:$AS25="T")*6+($AN25:$AS25="D")*12+($AN25:$AS25="N")*12+($AN25:$AS25="NT")*6+($AN25:$AS25="C")*10+($AN25:$AS25="A")*8+($AN25:$AS25="J")*5+($AN25:$AS25="E")*4+($AN25:$AS25="P")*6+($AN25:$AS25="R")*6)</f>
        <v/>
      </c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123">
        <f>IFERROR(INDEX(JUL!AI$8:AI$73,MATCH($A26,JUL!$A$8:$A$73,0))&amp;"","")</f>
        <v/>
      </c>
      <c r="E26" s="123">
        <f>IFERROR(INDEX(JUL!AJ$8:AJ$73,MATCH($A26,JUL!$A$8:$A$73,0))&amp;"","")</f>
        <v/>
      </c>
      <c r="F26" s="123">
        <f>IFERROR(INDEX(JUL!AK$8:AK$73,MATCH($A26,JUL!$A$8:$A$73,0))&amp;"","")</f>
        <v/>
      </c>
      <c r="G26" s="123">
        <f>IFERROR(INDEX(JUL!AL$8:AL$73,MATCH($A26,JUL!$A$8:$A$73,0))&amp;"","")</f>
        <v/>
      </c>
      <c r="H26" s="123">
        <f>IFERROR(INDEX(JUL!AM$8:AM$73,MATCH($A26,JUL!$A$8:$A$73,0))&amp;"","")</f>
        <v/>
      </c>
      <c r="I26" s="108" t="inlineStr">
        <is>
          <t>M</t>
        </is>
      </c>
      <c r="J26" s="117" t="inlineStr">
        <is>
          <t>T</t>
        </is>
      </c>
      <c r="K26" s="107" t="n"/>
      <c r="L26" s="107" t="n"/>
      <c r="M26" s="115" t="inlineStr">
        <is>
          <t>D</t>
        </is>
      </c>
      <c r="N26" s="107" t="n"/>
      <c r="O26" s="116" t="inlineStr">
        <is>
          <t>N</t>
        </is>
      </c>
      <c r="P26" s="107" t="n"/>
      <c r="Q26" s="116" t="inlineStr">
        <is>
          <t>N</t>
        </is>
      </c>
      <c r="R26" s="117" t="inlineStr">
        <is>
          <t>T</t>
        </is>
      </c>
      <c r="S26" s="107" t="n"/>
      <c r="T26" s="115" t="inlineStr">
        <is>
          <t>D</t>
        </is>
      </c>
      <c r="U26" s="116" t="inlineStr">
        <is>
          <t>N</t>
        </is>
      </c>
      <c r="V26" s="107" t="n"/>
      <c r="W26" s="107" t="n"/>
      <c r="X26" s="108" t="inlineStr">
        <is>
          <t>M</t>
        </is>
      </c>
      <c r="Y26" s="116" t="inlineStr">
        <is>
          <t>N</t>
        </is>
      </c>
      <c r="Z26" s="107" t="n"/>
      <c r="AA26" s="115" t="inlineStr">
        <is>
          <t>D</t>
        </is>
      </c>
      <c r="AB26" s="107" t="n"/>
      <c r="AC26" s="115" t="inlineStr">
        <is>
          <t>D</t>
        </is>
      </c>
      <c r="AD26" s="107" t="n"/>
      <c r="AE26" s="107" t="n"/>
      <c r="AF26" s="107" t="n"/>
      <c r="AG26" s="116" t="inlineStr">
        <is>
          <t>N</t>
        </is>
      </c>
      <c r="AH26" s="107" t="n"/>
      <c r="AI26" s="107" t="n"/>
      <c r="AJ26" s="115" t="inlineStr">
        <is>
          <t>D</t>
        </is>
      </c>
      <c r="AK26" s="107" t="n"/>
      <c r="AL26" s="116" t="inlineStr">
        <is>
          <t>N</t>
        </is>
      </c>
      <c r="AM26" s="107" t="n"/>
      <c r="AN26" s="123">
        <f>IFERROR(INDEX(SET!I$8:I$73,MATCH($A26,SET!$A$8:$A$73,0))&amp;"","")</f>
        <v/>
      </c>
      <c r="AO26" s="123">
        <f>IFERROR(INDEX(SET!J$8:J$73,MATCH($A26,SET!$A$8:$A$73,0))&amp;"","")</f>
        <v/>
      </c>
      <c r="AP26" s="123">
        <f>IFERROR(INDEX(SET!K$8:K$73,MATCH($A26,SET!$A$8:$A$73,0))&amp;"","")</f>
        <v/>
      </c>
      <c r="AQ26" s="123">
        <f>IFERROR(INDEX(SET!L$8:L$73,MATCH($A26,SET!$A$8:$A$73,0))&amp;"","")</f>
        <v/>
      </c>
      <c r="AR26" s="109">
        <f>IFERROR(INDEX(SET!M$8:M$73,MATCH($A26,SET!$A$8:$A$73,0))&amp;"","")</f>
        <v/>
      </c>
      <c r="AS26" s="109">
        <f>IFERROR(INDEX(SET!N$8:N$73,MATCH($A26,SET!$A$8:$A$73,0))&amp;"","")</f>
        <v/>
      </c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SUMPRODUCT(($D26:$J26="M")*6+($D26:$J26="T")*6+($D26:$J26="D")*12+($D26:$J26="N")*12+($D26:$J26="NT")*6+($D26:$J26="C")*10+($D26:$J26="A")*8+($D26:$J26="J")*5+($D26:$J26="E")*4+($D26:$J26="P")*6+($D26:$J26="R")*6)</f>
        <v/>
      </c>
      <c r="BF26" s="110">
        <f>SUMPRODUCT(($K26:$Q26="M")*6+($K26:$Q26="T")*6+($K26:$Q26="D")*12+($K26:$Q26="N")*12+($K26:$Q26="NT")*6+($K26:$Q26="C")*10+($K26:$Q26="A")*8+($K26:$Q26="J")*5+($K26:$Q26="E")*4+($K26:$Q26="P")*6+($K26:$Q26="R")*6)</f>
        <v/>
      </c>
      <c r="BG26" s="110">
        <f>SUMPRODUCT(($R26:$X26="M")*6+($R26:$X26="T")*6+($R26:$X26="D")*12+($R26:$X26="N")*12+($R26:$X26="NT")*6+($R26:$X26="C")*10+($R26:$X26="A")*8+($R26:$X26="J")*5+($R26:$X26="E")*4+($R26:$X26="P")*6+($R26:$X26="R")*6)</f>
        <v/>
      </c>
      <c r="BH26" s="110">
        <f>SUMPRODUCT(($Y26:$AE26="M")*6+($Y26:$AE26="T")*6+($Y26:$AE26="D")*12+($Y26:$AE26="N")*12+($Y26:$AE26="NT")*6+($Y26:$AE26="C")*10+($Y26:$AE26="A")*8+($Y26:$AE26="J")*5+($Y26:$AE26="E")*4+($Y26:$AE26="P")*6+($Y26:$AE26="R")*6)</f>
        <v/>
      </c>
      <c r="BI26" s="110">
        <f>SUMPRODUCT(($AF26:$AL26="M")*6+($AF26:$AL26="T")*6+($AF26:$AL26="D")*12+($AF26:$AL26="N")*12+($AF26:$AL26="NT")*6+($AF26:$AL26="C")*10+($AF26:$AL26="A")*8+($AF26:$AL26="J")*5+($AF26:$AL26="E")*4+($AF26:$AL26="P")*6+($AF26:$AL26="R")*6)</f>
        <v/>
      </c>
      <c r="BJ26" s="110">
        <f>SUMPRODUCT(($AM26:$AM26="M")*6+($AM26:$AM26="T")*6+($AM26:$AM26="D")*12+($AM26:$AM26="N")*12+($AM26:$AM26="NT")*6+($AM26:$AM26="C")*10+($AM26:$AM26="A")*8+($AM26:$AM26="J")*5+($AM26:$AM26="E")*4+($AM26:$AM26="P")*6+($AM26:$AM26="R")*6)+SUMPRODUCT(($AN26:$AS26="M")*6+($AN26:$AS26="T")*6+($AN26:$AS26="D")*12+($AN26:$AS26="N")*12+($AN26:$AS26="NT")*6+($AN26:$AS26="C")*10+($AN26:$AS26="A")*8+($AN26:$AS26="J")*5+($AN26:$AS26="E")*4+($AN26:$AS26="P")*6+($AN26:$AS26="R")*6)</f>
        <v/>
      </c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123">
        <f>IFERROR(INDEX(JUL!AI$8:AI$73,MATCH($A27,JUL!$A$8:$A$73,0))&amp;"","")</f>
        <v/>
      </c>
      <c r="E27" s="123">
        <f>IFERROR(INDEX(JUL!AJ$8:AJ$73,MATCH($A27,JUL!$A$8:$A$73,0))&amp;"","")</f>
        <v/>
      </c>
      <c r="F27" s="123">
        <f>IFERROR(INDEX(JUL!AK$8:AK$73,MATCH($A27,JUL!$A$8:$A$73,0))&amp;"","")</f>
        <v/>
      </c>
      <c r="G27" s="123">
        <f>IFERROR(INDEX(JUL!AL$8:AL$73,MATCH($A27,JUL!$A$8:$A$73,0))&amp;"","")</f>
        <v/>
      </c>
      <c r="H27" s="123">
        <f>IFERROR(INDEX(JUL!AM$8:AM$73,MATCH($A27,JUL!$A$8:$A$73,0))&amp;"","")</f>
        <v/>
      </c>
      <c r="I27" s="107" t="n"/>
      <c r="J27" s="107" t="n"/>
      <c r="K27" s="107" t="n"/>
      <c r="L27" s="116" t="inlineStr">
        <is>
          <t>N</t>
        </is>
      </c>
      <c r="M27" s="107" t="n"/>
      <c r="N27" s="116" t="inlineStr">
        <is>
          <t>N</t>
        </is>
      </c>
      <c r="O27" s="107" t="n"/>
      <c r="P27" s="116" t="inlineStr">
        <is>
          <t>N</t>
        </is>
      </c>
      <c r="Q27" s="107" t="n"/>
      <c r="R27" s="107" t="n"/>
      <c r="S27" s="116" t="inlineStr">
        <is>
          <t>N</t>
        </is>
      </c>
      <c r="T27" s="107" t="n"/>
      <c r="U27" s="116" t="inlineStr">
        <is>
          <t>N</t>
        </is>
      </c>
      <c r="V27" s="107" t="n"/>
      <c r="W27" s="116" t="inlineStr">
        <is>
          <t>N</t>
        </is>
      </c>
      <c r="X27" s="107" t="n"/>
      <c r="Y27" s="107" t="n"/>
      <c r="Z27" s="116" t="inlineStr">
        <is>
          <t>N</t>
        </is>
      </c>
      <c r="AA27" s="107" t="n"/>
      <c r="AB27" s="116" t="inlineStr">
        <is>
          <t>N</t>
        </is>
      </c>
      <c r="AC27" s="107" t="n"/>
      <c r="AD27" s="116" t="inlineStr">
        <is>
          <t>N</t>
        </is>
      </c>
      <c r="AE27" s="107" t="n"/>
      <c r="AF27" s="107" t="n"/>
      <c r="AG27" s="116" t="inlineStr">
        <is>
          <t>N</t>
        </is>
      </c>
      <c r="AH27" s="117" t="inlineStr">
        <is>
          <t>T</t>
        </is>
      </c>
      <c r="AI27" s="116" t="inlineStr">
        <is>
          <t>N</t>
        </is>
      </c>
      <c r="AJ27" s="117" t="inlineStr">
        <is>
          <t>T</t>
        </is>
      </c>
      <c r="AK27" s="107" t="n"/>
      <c r="AL27" s="107" t="n"/>
      <c r="AM27" s="107" t="n"/>
      <c r="AN27" s="123">
        <f>IFERROR(INDEX(SET!I$8:I$73,MATCH($A27,SET!$A$8:$A$73,0))&amp;"","")</f>
        <v/>
      </c>
      <c r="AO27" s="123">
        <f>IFERROR(INDEX(SET!J$8:J$73,MATCH($A27,SET!$A$8:$A$73,0))&amp;"","")</f>
        <v/>
      </c>
      <c r="AP27" s="123">
        <f>IFERROR(INDEX(SET!K$8:K$73,MATCH($A27,SET!$A$8:$A$73,0))&amp;"","")</f>
        <v/>
      </c>
      <c r="AQ27" s="123">
        <f>IFERROR(INDEX(SET!L$8:L$73,MATCH($A27,SET!$A$8:$A$73,0))&amp;"","")</f>
        <v/>
      </c>
      <c r="AR27" s="109">
        <f>IFERROR(INDEX(SET!M$8:M$73,MATCH($A27,SET!$A$8:$A$73,0))&amp;"","")</f>
        <v/>
      </c>
      <c r="AS27" s="109">
        <f>IFERROR(INDEX(SET!N$8:N$73,MATCH($A27,SET!$A$8:$A$73,0))&amp;"","")</f>
        <v/>
      </c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SUMPRODUCT(($D27:$J27="M")*6+($D27:$J27="T")*6+($D27:$J27="D")*12+($D27:$J27="N")*12+($D27:$J27="NT")*6+($D27:$J27="C")*10+($D27:$J27="A")*8+($D27:$J27="J")*5+($D27:$J27="E")*4+($D27:$J27="P")*6+($D27:$J27="R")*6)</f>
        <v/>
      </c>
      <c r="BF27" s="110">
        <f>SUMPRODUCT(($K27:$Q27="M")*6+($K27:$Q27="T")*6+($K27:$Q27="D")*12+($K27:$Q27="N")*12+($K27:$Q27="NT")*6+($K27:$Q27="C")*10+($K27:$Q27="A")*8+($K27:$Q27="J")*5+($K27:$Q27="E")*4+($K27:$Q27="P")*6+($K27:$Q27="R")*6)</f>
        <v/>
      </c>
      <c r="BG27" s="110">
        <f>SUMPRODUCT(($R27:$X27="M")*6+($R27:$X27="T")*6+($R27:$X27="D")*12+($R27:$X27="N")*12+($R27:$X27="NT")*6+($R27:$X27="C")*10+($R27:$X27="A")*8+($R27:$X27="J")*5+($R27:$X27="E")*4+($R27:$X27="P")*6+($R27:$X27="R")*6)</f>
        <v/>
      </c>
      <c r="BH27" s="110">
        <f>SUMPRODUCT(($Y27:$AE27="M")*6+($Y27:$AE27="T")*6+($Y27:$AE27="D")*12+($Y27:$AE27="N")*12+($Y27:$AE27="NT")*6+($Y27:$AE27="C")*10+($Y27:$AE27="A")*8+($Y27:$AE27="J")*5+($Y27:$AE27="E")*4+($Y27:$AE27="P")*6+($Y27:$AE27="R")*6)</f>
        <v/>
      </c>
      <c r="BI27" s="110">
        <f>SUMPRODUCT(($AF27:$AL27="M")*6+($AF27:$AL27="T")*6+($AF27:$AL27="D")*12+($AF27:$AL27="N")*12+($AF27:$AL27="NT")*6+($AF27:$AL27="C")*10+($AF27:$AL27="A")*8+($AF27:$AL27="J")*5+($AF27:$AL27="E")*4+($AF27:$AL27="P")*6+($AF27:$AL27="R")*6)</f>
        <v/>
      </c>
      <c r="BJ27" s="110">
        <f>SUMPRODUCT(($AM27:$AM27="M")*6+($AM27:$AM27="T")*6+($AM27:$AM27="D")*12+($AM27:$AM27="N")*12+($AM27:$AM27="NT")*6+($AM27:$AM27="C")*10+($AM27:$AM27="A")*8+($AM27:$AM27="J")*5+($AM27:$AM27="E")*4+($AM27:$AM27="P")*6+($AM27:$AM27="R")*6)+SUMPRODUCT(($AN27:$AS27="M")*6+($AN27:$AS27="T")*6+($AN27:$AS27="D")*12+($AN27:$AS27="N")*12+($AN27:$AS27="NT")*6+($AN27:$AS27="C")*10+($AN27:$AS27="A")*8+($AN27:$AS27="J")*5+($AN27:$AS27="E")*4+($AN27:$AS27="P")*6+($AN27:$AS27="R")*6)</f>
        <v/>
      </c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123">
        <f>IFERROR(INDEX(JUL!AI$8:AI$73,MATCH($A28,JUL!$A$8:$A$73,0))&amp;"","")</f>
        <v/>
      </c>
      <c r="E28" s="123">
        <f>IFERROR(INDEX(JUL!AJ$8:AJ$73,MATCH($A28,JUL!$A$8:$A$73,0))&amp;"","")</f>
        <v/>
      </c>
      <c r="F28" s="123">
        <f>IFERROR(INDEX(JUL!AK$8:AK$73,MATCH($A28,JUL!$A$8:$A$73,0))&amp;"","")</f>
        <v/>
      </c>
      <c r="G28" s="123">
        <f>IFERROR(INDEX(JUL!AL$8:AL$73,MATCH($A28,JUL!$A$8:$A$73,0))&amp;"","")</f>
        <v/>
      </c>
      <c r="H28" s="123">
        <f>IFERROR(INDEX(JUL!AM$8:AM$73,MATCH($A28,JUL!$A$8:$A$73,0))&amp;"","")</f>
        <v/>
      </c>
      <c r="I28" s="107" t="n"/>
      <c r="J28" s="117" t="inlineStr">
        <is>
          <t>T</t>
        </is>
      </c>
      <c r="K28" s="115" t="inlineStr">
        <is>
          <t>D</t>
        </is>
      </c>
      <c r="L28" s="117" t="inlineStr">
        <is>
          <t>T</t>
        </is>
      </c>
      <c r="M28" s="107" t="n"/>
      <c r="N28" s="116" t="inlineStr">
        <is>
          <t>N</t>
        </is>
      </c>
      <c r="O28" s="107" t="n"/>
      <c r="P28" s="107" t="n"/>
      <c r="Q28" s="107" t="n"/>
      <c r="R28" s="117" t="inlineStr">
        <is>
          <t>T</t>
        </is>
      </c>
      <c r="S28" s="117" t="inlineStr">
        <is>
          <t>T</t>
        </is>
      </c>
      <c r="T28" s="117" t="inlineStr">
        <is>
          <t>T</t>
        </is>
      </c>
      <c r="U28" s="107" t="n"/>
      <c r="V28" s="116" t="inlineStr">
        <is>
          <t>N</t>
        </is>
      </c>
      <c r="W28" s="107" t="n"/>
      <c r="X28" s="107" t="n"/>
      <c r="Y28" s="107" t="n"/>
      <c r="Z28" s="107" t="n"/>
      <c r="AA28" s="107" t="n"/>
      <c r="AB28" s="116" t="inlineStr">
        <is>
          <t>N</t>
        </is>
      </c>
      <c r="AC28" s="107" t="n"/>
      <c r="AD28" s="117" t="inlineStr">
        <is>
          <t>T</t>
        </is>
      </c>
      <c r="AE28" s="116" t="inlineStr">
        <is>
          <t>N</t>
        </is>
      </c>
      <c r="AF28" s="107" t="n"/>
      <c r="AG28" s="115" t="inlineStr">
        <is>
          <t>D</t>
        </is>
      </c>
      <c r="AH28" s="116" t="inlineStr">
        <is>
          <t>N</t>
        </is>
      </c>
      <c r="AI28" s="107" t="n"/>
      <c r="AJ28" s="107" t="n"/>
      <c r="AK28" s="107" t="n"/>
      <c r="AL28" s="108" t="inlineStr">
        <is>
          <t>M</t>
        </is>
      </c>
      <c r="AM28" s="107" t="n"/>
      <c r="AN28" s="123">
        <f>IFERROR(INDEX(SET!I$8:I$73,MATCH($A28,SET!$A$8:$A$73,0))&amp;"","")</f>
        <v/>
      </c>
      <c r="AO28" s="123">
        <f>IFERROR(INDEX(SET!J$8:J$73,MATCH($A28,SET!$A$8:$A$73,0))&amp;"","")</f>
        <v/>
      </c>
      <c r="AP28" s="123">
        <f>IFERROR(INDEX(SET!K$8:K$73,MATCH($A28,SET!$A$8:$A$73,0))&amp;"","")</f>
        <v/>
      </c>
      <c r="AQ28" s="123">
        <f>IFERROR(INDEX(SET!L$8:L$73,MATCH($A28,SET!$A$8:$A$73,0))&amp;"","")</f>
        <v/>
      </c>
      <c r="AR28" s="109">
        <f>IFERROR(INDEX(SET!M$8:M$73,MATCH($A28,SET!$A$8:$A$73,0))&amp;"","")</f>
        <v/>
      </c>
      <c r="AS28" s="109">
        <f>IFERROR(INDEX(SET!N$8:N$73,MATCH($A28,SET!$A$8:$A$73,0))&amp;"","")</f>
        <v/>
      </c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SUMPRODUCT(($D28:$J28="M")*6+($D28:$J28="T")*6+($D28:$J28="D")*12+($D28:$J28="N")*12+($D28:$J28="NT")*6+($D28:$J28="C")*10+($D28:$J28="A")*8+($D28:$J28="J")*5+($D28:$J28="E")*4+($D28:$J28="P")*6+($D28:$J28="R")*6)</f>
        <v/>
      </c>
      <c r="BF28" s="110">
        <f>SUMPRODUCT(($K28:$Q28="M")*6+($K28:$Q28="T")*6+($K28:$Q28="D")*12+($K28:$Q28="N")*12+($K28:$Q28="NT")*6+($K28:$Q28="C")*10+($K28:$Q28="A")*8+($K28:$Q28="J")*5+($K28:$Q28="E")*4+($K28:$Q28="P")*6+($K28:$Q28="R")*6)</f>
        <v/>
      </c>
      <c r="BG28" s="110">
        <f>SUMPRODUCT(($R28:$X28="M")*6+($R28:$X28="T")*6+($R28:$X28="D")*12+($R28:$X28="N")*12+($R28:$X28="NT")*6+($R28:$X28="C")*10+($R28:$X28="A")*8+($R28:$X28="J")*5+($R28:$X28="E")*4+($R28:$X28="P")*6+($R28:$X28="R")*6)</f>
        <v/>
      </c>
      <c r="BH28" s="110">
        <f>SUMPRODUCT(($Y28:$AE28="M")*6+($Y28:$AE28="T")*6+($Y28:$AE28="D")*12+($Y28:$AE28="N")*12+($Y28:$AE28="NT")*6+($Y28:$AE28="C")*10+($Y28:$AE28="A")*8+($Y28:$AE28="J")*5+($Y28:$AE28="E")*4+($Y28:$AE28="P")*6+($Y28:$AE28="R")*6)</f>
        <v/>
      </c>
      <c r="BI28" s="110">
        <f>SUMPRODUCT(($AF28:$AL28="M")*6+($AF28:$AL28="T")*6+($AF28:$AL28="D")*12+($AF28:$AL28="N")*12+($AF28:$AL28="NT")*6+($AF28:$AL28="C")*10+($AF28:$AL28="A")*8+($AF28:$AL28="J")*5+($AF28:$AL28="E")*4+($AF28:$AL28="P")*6+($AF28:$AL28="R")*6)</f>
        <v/>
      </c>
      <c r="BJ28" s="110">
        <f>SUMPRODUCT(($AM28:$AM28="M")*6+($AM28:$AM28="T")*6+($AM28:$AM28="D")*12+($AM28:$AM28="N")*12+($AM28:$AM28="NT")*6+($AM28:$AM28="C")*10+($AM28:$AM28="A")*8+($AM28:$AM28="J")*5+($AM28:$AM28="E")*4+($AM28:$AM28="P")*6+($AM28:$AM28="R")*6)+SUMPRODUCT(($AN28:$AS28="M")*6+($AN28:$AS28="T")*6+($AN28:$AS28="D")*12+($AN28:$AS28="N")*12+($AN28:$AS28="NT")*6+($AN28:$AS28="C")*10+($AN28:$AS28="A")*8+($AN28:$AS28="J")*5+($AN28:$AS28="E")*4+($AN28:$AS28="P")*6+($AN28:$AS28="R")*6)</f>
        <v/>
      </c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123">
        <f>IFERROR(INDEX(JUL!AI$8:AI$73,MATCH($A29,JUL!$A$8:$A$73,0))&amp;"","")</f>
        <v/>
      </c>
      <c r="E29" s="123">
        <f>IFERROR(INDEX(JUL!AJ$8:AJ$73,MATCH($A29,JUL!$A$8:$A$73,0))&amp;"","")</f>
        <v/>
      </c>
      <c r="F29" s="123">
        <f>IFERROR(INDEX(JUL!AK$8:AK$73,MATCH($A29,JUL!$A$8:$A$73,0))&amp;"","")</f>
        <v/>
      </c>
      <c r="G29" s="123">
        <f>IFERROR(INDEX(JUL!AL$8:AL$73,MATCH($A29,JUL!$A$8:$A$73,0))&amp;"","")</f>
        <v/>
      </c>
      <c r="H29" s="123">
        <f>IFERROR(INDEX(JUL!AM$8:AM$73,MATCH($A29,JUL!$A$8:$A$73,0))&amp;"","")</f>
        <v/>
      </c>
      <c r="I29" s="107" t="n"/>
      <c r="J29" s="108" t="inlineStr">
        <is>
          <t>M</t>
        </is>
      </c>
      <c r="K29" s="116" t="inlineStr">
        <is>
          <t>N</t>
        </is>
      </c>
      <c r="L29" s="107" t="n"/>
      <c r="M29" s="108" t="inlineStr">
        <is>
          <t>M</t>
        </is>
      </c>
      <c r="N29" s="108" t="inlineStr">
        <is>
          <t>M</t>
        </is>
      </c>
      <c r="O29" s="107" t="n"/>
      <c r="P29" s="107" t="n"/>
      <c r="Q29" s="108" t="inlineStr">
        <is>
          <t>M</t>
        </is>
      </c>
      <c r="R29" s="116" t="inlineStr">
        <is>
          <t>N</t>
        </is>
      </c>
      <c r="S29" s="107" t="n"/>
      <c r="T29" s="108" t="inlineStr">
        <is>
          <t>M</t>
        </is>
      </c>
      <c r="U29" s="108" t="inlineStr">
        <is>
          <t>M</t>
        </is>
      </c>
      <c r="V29" s="107" t="n"/>
      <c r="W29" s="107" t="n"/>
      <c r="X29" s="108" t="inlineStr">
        <is>
          <t>M</t>
        </is>
      </c>
      <c r="Y29" s="107" t="n"/>
      <c r="Z29" s="107" t="n"/>
      <c r="AA29" s="107" t="n"/>
      <c r="AB29" s="107" t="n"/>
      <c r="AC29" s="116" t="inlineStr">
        <is>
          <t>N</t>
        </is>
      </c>
      <c r="AD29" s="107" t="n"/>
      <c r="AE29" s="108" t="inlineStr">
        <is>
          <t>M</t>
        </is>
      </c>
      <c r="AF29" s="116" t="inlineStr">
        <is>
          <t>N</t>
        </is>
      </c>
      <c r="AG29" s="107" t="n"/>
      <c r="AH29" s="108" t="inlineStr">
        <is>
          <t>M</t>
        </is>
      </c>
      <c r="AI29" s="117" t="inlineStr">
        <is>
          <t>T</t>
        </is>
      </c>
      <c r="AJ29" s="107" t="n"/>
      <c r="AK29" s="107" t="n"/>
      <c r="AL29" s="108" t="inlineStr">
        <is>
          <t>M</t>
        </is>
      </c>
      <c r="AM29" s="116" t="inlineStr">
        <is>
          <t>N</t>
        </is>
      </c>
      <c r="AN29" s="123">
        <f>IFERROR(INDEX(SET!I$8:I$73,MATCH($A29,SET!$A$8:$A$73,0))&amp;"","")</f>
        <v/>
      </c>
      <c r="AO29" s="123">
        <f>IFERROR(INDEX(SET!J$8:J$73,MATCH($A29,SET!$A$8:$A$73,0))&amp;"","")</f>
        <v/>
      </c>
      <c r="AP29" s="123">
        <f>IFERROR(INDEX(SET!K$8:K$73,MATCH($A29,SET!$A$8:$A$73,0))&amp;"","")</f>
        <v/>
      </c>
      <c r="AQ29" s="123">
        <f>IFERROR(INDEX(SET!L$8:L$73,MATCH($A29,SET!$A$8:$A$73,0))&amp;"","")</f>
        <v/>
      </c>
      <c r="AR29" s="109">
        <f>IFERROR(INDEX(SET!M$8:M$73,MATCH($A29,SET!$A$8:$A$73,0))&amp;"","")</f>
        <v/>
      </c>
      <c r="AS29" s="109">
        <f>IFERROR(INDEX(SET!N$8:N$73,MATCH($A29,SET!$A$8:$A$73,0))&amp;"","")</f>
        <v/>
      </c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SUMPRODUCT(($D29:$J29="M")*6+($D29:$J29="T")*6+($D29:$J29="D")*12+($D29:$J29="N")*12+($D29:$J29="NT")*6+($D29:$J29="C")*10+($D29:$J29="A")*8+($D29:$J29="J")*5+($D29:$J29="E")*4+($D29:$J29="P")*6+($D29:$J29="R")*6)</f>
        <v/>
      </c>
      <c r="BF29" s="110">
        <f>SUMPRODUCT(($K29:$Q29="M")*6+($K29:$Q29="T")*6+($K29:$Q29="D")*12+($K29:$Q29="N")*12+($K29:$Q29="NT")*6+($K29:$Q29="C")*10+($K29:$Q29="A")*8+($K29:$Q29="J")*5+($K29:$Q29="E")*4+($K29:$Q29="P")*6+($K29:$Q29="R")*6)</f>
        <v/>
      </c>
      <c r="BG29" s="110">
        <f>SUMPRODUCT(($R29:$X29="M")*6+($R29:$X29="T")*6+($R29:$X29="D")*12+($R29:$X29="N")*12+($R29:$X29="NT")*6+($R29:$X29="C")*10+($R29:$X29="A")*8+($R29:$X29="J")*5+($R29:$X29="E")*4+($R29:$X29="P")*6+($R29:$X29="R")*6)</f>
        <v/>
      </c>
      <c r="BH29" s="110">
        <f>SUMPRODUCT(($Y29:$AE29="M")*6+($Y29:$AE29="T")*6+($Y29:$AE29="D")*12+($Y29:$AE29="N")*12+($Y29:$AE29="NT")*6+($Y29:$AE29="C")*10+($Y29:$AE29="A")*8+($Y29:$AE29="J")*5+($Y29:$AE29="E")*4+($Y29:$AE29="P")*6+($Y29:$AE29="R")*6)</f>
        <v/>
      </c>
      <c r="BI29" s="110">
        <f>SUMPRODUCT(($AF29:$AL29="M")*6+($AF29:$AL29="T")*6+($AF29:$AL29="D")*12+($AF29:$AL29="N")*12+($AF29:$AL29="NT")*6+($AF29:$AL29="C")*10+($AF29:$AL29="A")*8+($AF29:$AL29="J")*5+($AF29:$AL29="E")*4+($AF29:$AL29="P")*6+($AF29:$AL29="R")*6)</f>
        <v/>
      </c>
      <c r="BJ29" s="110">
        <f>SUMPRODUCT(($AM29:$AM29="M")*6+($AM29:$AM29="T")*6+($AM29:$AM29="D")*12+($AM29:$AM29="N")*12+($AM29:$AM29="NT")*6+($AM29:$AM29="C")*10+($AM29:$AM29="A")*8+($AM29:$AM29="J")*5+($AM29:$AM29="E")*4+($AM29:$AM29="P")*6+($AM29:$AM29="R")*6)+SUMPRODUCT(($AN29:$AS29="M")*6+($AN29:$AS29="T")*6+($AN29:$AS29="D")*12+($AN29:$AS29="N")*12+($AN29:$AS29="NT")*6+($AN29:$AS29="C")*10+($AN29:$AS29="A")*8+($AN29:$AS29="J")*5+($AN29:$AS29="E")*4+($AN29:$AS29="P")*6+($AN29:$AS29="R")*6)</f>
        <v/>
      </c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123">
        <f>IFERROR(INDEX(JUL!AI$8:AI$73,MATCH($A30,JUL!$A$8:$A$73,0))&amp;"","")</f>
        <v/>
      </c>
      <c r="E30" s="123">
        <f>IFERROR(INDEX(JUL!AJ$8:AJ$73,MATCH($A30,JUL!$A$8:$A$73,0))&amp;"","")</f>
        <v/>
      </c>
      <c r="F30" s="123">
        <f>IFERROR(INDEX(JUL!AK$8:AK$73,MATCH($A30,JUL!$A$8:$A$73,0))&amp;"","")</f>
        <v/>
      </c>
      <c r="G30" s="123">
        <f>IFERROR(INDEX(JUL!AL$8:AL$73,MATCH($A30,JUL!$A$8:$A$73,0))&amp;"","")</f>
        <v/>
      </c>
      <c r="H30" s="123">
        <f>IFERROR(INDEX(JUL!AM$8:AM$73,MATCH($A30,JUL!$A$8:$A$73,0))&amp;"","")</f>
        <v/>
      </c>
      <c r="I30" s="107" t="n"/>
      <c r="J30" s="116" t="inlineStr">
        <is>
          <t>N</t>
        </is>
      </c>
      <c r="K30" s="107" t="n"/>
      <c r="L30" s="107" t="n"/>
      <c r="M30" s="116" t="inlineStr">
        <is>
          <t>N</t>
        </is>
      </c>
      <c r="N30" s="107" t="n"/>
      <c r="O30" s="108" t="inlineStr">
        <is>
          <t>M</t>
        </is>
      </c>
      <c r="P30" s="107" t="n"/>
      <c r="Q30" s="116" t="inlineStr">
        <is>
          <t>N</t>
        </is>
      </c>
      <c r="R30" s="107" t="n"/>
      <c r="S30" s="115" t="inlineStr">
        <is>
          <t>D</t>
        </is>
      </c>
      <c r="T30" s="107" t="n"/>
      <c r="U30" s="117" t="inlineStr">
        <is>
          <t>T</t>
        </is>
      </c>
      <c r="V30" s="107" t="n"/>
      <c r="W30" s="116" t="inlineStr">
        <is>
          <t>N</t>
        </is>
      </c>
      <c r="X30" s="107" t="n"/>
      <c r="Y30" s="107" t="n"/>
      <c r="Z30" s="117" t="inlineStr">
        <is>
          <t>T</t>
        </is>
      </c>
      <c r="AA30" s="116" t="inlineStr">
        <is>
          <t>N</t>
        </is>
      </c>
      <c r="AB30" s="117" t="inlineStr">
        <is>
          <t>T</t>
        </is>
      </c>
      <c r="AC30" s="117" t="inlineStr">
        <is>
          <t>T</t>
        </is>
      </c>
      <c r="AD30" s="107" t="n"/>
      <c r="AE30" s="107" t="n"/>
      <c r="AF30" s="107" t="n"/>
      <c r="AG30" s="107" t="n"/>
      <c r="AH30" s="117" t="inlineStr">
        <is>
          <t>T</t>
        </is>
      </c>
      <c r="AI30" s="116" t="inlineStr">
        <is>
          <t>N</t>
        </is>
      </c>
      <c r="AJ30" s="107" t="n"/>
      <c r="AK30" s="116" t="inlineStr">
        <is>
          <t>N</t>
        </is>
      </c>
      <c r="AL30" s="107" t="n"/>
      <c r="AM30" s="107" t="n"/>
      <c r="AN30" s="123">
        <f>IFERROR(INDEX(SET!I$8:I$73,MATCH($A30,SET!$A$8:$A$73,0))&amp;"","")</f>
        <v/>
      </c>
      <c r="AO30" s="123">
        <f>IFERROR(INDEX(SET!J$8:J$73,MATCH($A30,SET!$A$8:$A$73,0))&amp;"","")</f>
        <v/>
      </c>
      <c r="AP30" s="123">
        <f>IFERROR(INDEX(SET!K$8:K$73,MATCH($A30,SET!$A$8:$A$73,0))&amp;"","")</f>
        <v/>
      </c>
      <c r="AQ30" s="123">
        <f>IFERROR(INDEX(SET!L$8:L$73,MATCH($A30,SET!$A$8:$A$73,0))&amp;"","")</f>
        <v/>
      </c>
      <c r="AR30" s="109">
        <f>IFERROR(INDEX(SET!M$8:M$73,MATCH($A30,SET!$A$8:$A$73,0))&amp;"","")</f>
        <v/>
      </c>
      <c r="AS30" s="109">
        <f>IFERROR(INDEX(SET!N$8:N$73,MATCH($A30,SET!$A$8:$A$73,0))&amp;"","")</f>
        <v/>
      </c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SUMPRODUCT(($D30:$J30="M")*6+($D30:$J30="T")*6+($D30:$J30="D")*12+($D30:$J30="N")*12+($D30:$J30="NT")*6+($D30:$J30="C")*10+($D30:$J30="A")*8+($D30:$J30="J")*5+($D30:$J30="E")*4+($D30:$J30="P")*6+($D30:$J30="R")*6)</f>
        <v/>
      </c>
      <c r="BF30" s="110">
        <f>SUMPRODUCT(($K30:$Q30="M")*6+($K30:$Q30="T")*6+($K30:$Q30="D")*12+($K30:$Q30="N")*12+($K30:$Q30="NT")*6+($K30:$Q30="C")*10+($K30:$Q30="A")*8+($K30:$Q30="J")*5+($K30:$Q30="E")*4+($K30:$Q30="P")*6+($K30:$Q30="R")*6)</f>
        <v/>
      </c>
      <c r="BG30" s="110">
        <f>SUMPRODUCT(($R30:$X30="M")*6+($R30:$X30="T")*6+($R30:$X30="D")*12+($R30:$X30="N")*12+($R30:$X30="NT")*6+($R30:$X30="C")*10+($R30:$X30="A")*8+($R30:$X30="J")*5+($R30:$X30="E")*4+($R30:$X30="P")*6+($R30:$X30="R")*6)</f>
        <v/>
      </c>
      <c r="BH30" s="110">
        <f>SUMPRODUCT(($Y30:$AE30="M")*6+($Y30:$AE30="T")*6+($Y30:$AE30="D")*12+($Y30:$AE30="N")*12+($Y30:$AE30="NT")*6+($Y30:$AE30="C")*10+($Y30:$AE30="A")*8+($Y30:$AE30="J")*5+($Y30:$AE30="E")*4+($Y30:$AE30="P")*6+($Y30:$AE30="R")*6)</f>
        <v/>
      </c>
      <c r="BI30" s="110">
        <f>SUMPRODUCT(($AF30:$AL30="M")*6+($AF30:$AL30="T")*6+($AF30:$AL30="D")*12+($AF30:$AL30="N")*12+($AF30:$AL30="NT")*6+($AF30:$AL30="C")*10+($AF30:$AL30="A")*8+($AF30:$AL30="J")*5+($AF30:$AL30="E")*4+($AF30:$AL30="P")*6+($AF30:$AL30="R")*6)</f>
        <v/>
      </c>
      <c r="BJ30" s="110">
        <f>SUMPRODUCT(($AM30:$AM30="M")*6+($AM30:$AM30="T")*6+($AM30:$AM30="D")*12+($AM30:$AM30="N")*12+($AM30:$AM30="NT")*6+($AM30:$AM30="C")*10+($AM30:$AM30="A")*8+($AM30:$AM30="J")*5+($AM30:$AM30="E")*4+($AM30:$AM30="P")*6+($AM30:$AM30="R")*6)+SUMPRODUCT(($AN30:$AS30="M")*6+($AN30:$AS30="T")*6+($AN30:$AS30="D")*12+($AN30:$AS30="N")*12+($AN30:$AS30="NT")*6+($AN30:$AS30="C")*10+($AN30:$AS30="A")*8+($AN30:$AS30="J")*5+($AN30:$AS30="E")*4+($AN30:$AS30="P")*6+($AN30:$AS30="R")*6)</f>
        <v/>
      </c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123">
        <f>IFERROR(INDEX(JUL!AI$8:AI$73,MATCH($A31,JUL!$A$8:$A$73,0))&amp;"","")</f>
        <v/>
      </c>
      <c r="E31" s="123">
        <f>IFERROR(INDEX(JUL!AJ$8:AJ$73,MATCH($A31,JUL!$A$8:$A$73,0))&amp;"","")</f>
        <v/>
      </c>
      <c r="F31" s="123">
        <f>IFERROR(INDEX(JUL!AK$8:AK$73,MATCH($A31,JUL!$A$8:$A$73,0))&amp;"","")</f>
        <v/>
      </c>
      <c r="G31" s="123">
        <f>IFERROR(INDEX(JUL!AL$8:AL$73,MATCH($A31,JUL!$A$8:$A$73,0))&amp;"","")</f>
        <v/>
      </c>
      <c r="H31" s="123">
        <f>IFERROR(INDEX(JUL!AM$8:AM$73,MATCH($A31,JUL!$A$8:$A$73,0))&amp;"","")</f>
        <v/>
      </c>
      <c r="I31" s="107" t="n"/>
      <c r="J31" s="107" t="n"/>
      <c r="K31" s="107" t="n"/>
      <c r="L31" s="108" t="inlineStr">
        <is>
          <t>M</t>
        </is>
      </c>
      <c r="M31" s="108" t="inlineStr">
        <is>
          <t>M</t>
        </is>
      </c>
      <c r="N31" s="108" t="inlineStr">
        <is>
          <t>M</t>
        </is>
      </c>
      <c r="O31" s="116" t="inlineStr">
        <is>
          <t>N</t>
        </is>
      </c>
      <c r="P31" s="107" t="n"/>
      <c r="Q31" s="107" t="n"/>
      <c r="R31" s="108" t="inlineStr">
        <is>
          <t>M</t>
        </is>
      </c>
      <c r="S31" s="107" t="n"/>
      <c r="T31" s="108" t="inlineStr">
        <is>
          <t>M</t>
        </is>
      </c>
      <c r="U31" s="107" t="n"/>
      <c r="V31" s="107" t="n"/>
      <c r="W31" s="108" t="inlineStr">
        <is>
          <t>M</t>
        </is>
      </c>
      <c r="X31" s="116" t="inlineStr">
        <is>
          <t>N</t>
        </is>
      </c>
      <c r="Y31" s="107" t="n"/>
      <c r="Z31" s="108" t="inlineStr">
        <is>
          <t>M</t>
        </is>
      </c>
      <c r="AA31" s="115" t="inlineStr">
        <is>
          <t>D</t>
        </is>
      </c>
      <c r="AB31" s="108" t="inlineStr">
        <is>
          <t>M</t>
        </is>
      </c>
      <c r="AC31" s="108" t="inlineStr">
        <is>
          <t>M</t>
        </is>
      </c>
      <c r="AD31" s="107" t="n"/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08" t="inlineStr">
        <is>
          <t>M</t>
        </is>
      </c>
      <c r="AJ31" s="107" t="n"/>
      <c r="AK31" s="107" t="n"/>
      <c r="AL31" s="116" t="inlineStr">
        <is>
          <t>N</t>
        </is>
      </c>
      <c r="AM31" s="107" t="n"/>
      <c r="AN31" s="123">
        <f>IFERROR(INDEX(SET!I$8:I$73,MATCH($A31,SET!$A$8:$A$73,0))&amp;"","")</f>
        <v/>
      </c>
      <c r="AO31" s="123">
        <f>IFERROR(INDEX(SET!J$8:J$73,MATCH($A31,SET!$A$8:$A$73,0))&amp;"","")</f>
        <v/>
      </c>
      <c r="AP31" s="123">
        <f>IFERROR(INDEX(SET!K$8:K$73,MATCH($A31,SET!$A$8:$A$73,0))&amp;"","")</f>
        <v/>
      </c>
      <c r="AQ31" s="123">
        <f>IFERROR(INDEX(SET!L$8:L$73,MATCH($A31,SET!$A$8:$A$73,0))&amp;"","")</f>
        <v/>
      </c>
      <c r="AR31" s="109">
        <f>IFERROR(INDEX(SET!M$8:M$73,MATCH($A31,SET!$A$8:$A$73,0))&amp;"","")</f>
        <v/>
      </c>
      <c r="AS31" s="109">
        <f>IFERROR(INDEX(SET!N$8:N$73,MATCH($A31,SET!$A$8:$A$73,0))&amp;"","")</f>
        <v/>
      </c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SUMPRODUCT(($D31:$J31="M")*6+($D31:$J31="T")*6+($D31:$J31="D")*12+($D31:$J31="N")*12+($D31:$J31="NT")*6+($D31:$J31="C")*10+($D31:$J31="A")*8+($D31:$J31="J")*5+($D31:$J31="E")*4+($D31:$J31="P")*6+($D31:$J31="R")*6)</f>
        <v/>
      </c>
      <c r="BF31" s="110">
        <f>SUMPRODUCT(($K31:$Q31="M")*6+($K31:$Q31="T")*6+($K31:$Q31="D")*12+($K31:$Q31="N")*12+($K31:$Q31="NT")*6+($K31:$Q31="C")*10+($K31:$Q31="A")*8+($K31:$Q31="J")*5+($K31:$Q31="E")*4+($K31:$Q31="P")*6+($K31:$Q31="R")*6)</f>
        <v/>
      </c>
      <c r="BG31" s="110">
        <f>SUMPRODUCT(($R31:$X31="M")*6+($R31:$X31="T")*6+($R31:$X31="D")*12+($R31:$X31="N")*12+($R31:$X31="NT")*6+($R31:$X31="C")*10+($R31:$X31="A")*8+($R31:$X31="J")*5+($R31:$X31="E")*4+($R31:$X31="P")*6+($R31:$X31="R")*6)</f>
        <v/>
      </c>
      <c r="BH31" s="110">
        <f>SUMPRODUCT(($Y31:$AE31="M")*6+($Y31:$AE31="T")*6+($Y31:$AE31="D")*12+($Y31:$AE31="N")*12+($Y31:$AE31="NT")*6+($Y31:$AE31="C")*10+($Y31:$AE31="A")*8+($Y31:$AE31="J")*5+($Y31:$AE31="E")*4+($Y31:$AE31="P")*6+($Y31:$AE31="R")*6)</f>
        <v/>
      </c>
      <c r="BI31" s="110">
        <f>SUMPRODUCT(($AF31:$AL31="M")*6+($AF31:$AL31="T")*6+($AF31:$AL31="D")*12+($AF31:$AL31="N")*12+($AF31:$AL31="NT")*6+($AF31:$AL31="C")*10+($AF31:$AL31="A")*8+($AF31:$AL31="J")*5+($AF31:$AL31="E")*4+($AF31:$AL31="P")*6+($AF31:$AL31="R")*6)</f>
        <v/>
      </c>
      <c r="BJ31" s="110">
        <f>SUMPRODUCT(($AM31:$AM31="M")*6+($AM31:$AM31="T")*6+($AM31:$AM31="D")*12+($AM31:$AM31="N")*12+($AM31:$AM31="NT")*6+($AM31:$AM31="C")*10+($AM31:$AM31="A")*8+($AM31:$AM31="J")*5+($AM31:$AM31="E")*4+($AM31:$AM31="P")*6+($AM31:$AM31="R")*6)+SUMPRODUCT(($AN31:$AS31="M")*6+($AN31:$AS31="T")*6+($AN31:$AS31="D")*12+($AN31:$AS31="N")*12+($AN31:$AS31="NT")*6+($AN31:$AS31="C")*10+($AN31:$AS31="A")*8+($AN31:$AS31="J")*5+($AN31:$AS31="E")*4+($AN31:$AS31="P")*6+($AN31:$AS31="R")*6)</f>
        <v/>
      </c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123">
        <f>IFERROR(INDEX(JUL!AI$8:AI$73,MATCH($A32,JUL!$A$8:$A$73,0))&amp;"","")</f>
        <v/>
      </c>
      <c r="E32" s="123">
        <f>IFERROR(INDEX(JUL!AJ$8:AJ$73,MATCH($A32,JUL!$A$8:$A$73,0))&amp;"","")</f>
        <v/>
      </c>
      <c r="F32" s="123">
        <f>IFERROR(INDEX(JUL!AK$8:AK$73,MATCH($A32,JUL!$A$8:$A$73,0))&amp;"","")</f>
        <v/>
      </c>
      <c r="G32" s="123">
        <f>IFERROR(INDEX(JUL!AL$8:AL$73,MATCH($A32,JUL!$A$8:$A$73,0))&amp;"","")</f>
        <v/>
      </c>
      <c r="H32" s="123">
        <f>IFERROR(INDEX(JUL!AM$8:AM$73,MATCH($A32,JUL!$A$8:$A$73,0))&amp;"","")</f>
        <v/>
      </c>
      <c r="I32" s="107" t="n"/>
      <c r="J32" s="115" t="inlineStr">
        <is>
          <t>D</t>
        </is>
      </c>
      <c r="K32" s="116" t="inlineStr">
        <is>
          <t>N</t>
        </is>
      </c>
      <c r="L32" s="107" t="n"/>
      <c r="M32" s="107" t="n"/>
      <c r="N32" s="107" t="n"/>
      <c r="O32" s="108" t="inlineStr">
        <is>
          <t>M</t>
        </is>
      </c>
      <c r="P32" s="107" t="n"/>
      <c r="Q32" s="115" t="inlineStr">
        <is>
          <t>D</t>
        </is>
      </c>
      <c r="R32" s="115" t="inlineStr">
        <is>
          <t>D</t>
        </is>
      </c>
      <c r="S32" s="107" t="n"/>
      <c r="T32" s="107" t="n"/>
      <c r="U32" s="117" t="inlineStr">
        <is>
          <t>T</t>
        </is>
      </c>
      <c r="V32" s="115" t="inlineStr">
        <is>
          <t>D</t>
        </is>
      </c>
      <c r="W32" s="107" t="n"/>
      <c r="X32" s="107" t="n"/>
      <c r="Y32" s="115" t="inlineStr">
        <is>
          <t>D</t>
        </is>
      </c>
      <c r="Z32" s="115" t="inlineStr">
        <is>
          <t>D</t>
        </is>
      </c>
      <c r="AA32" s="117" t="inlineStr">
        <is>
          <t>T</t>
        </is>
      </c>
      <c r="AB32" s="107" t="n"/>
      <c r="AC32" s="107" t="n"/>
      <c r="AD32" s="107" t="n"/>
      <c r="AE32" s="107" t="n"/>
      <c r="AF32" s="107" t="n"/>
      <c r="AG32" s="107" t="n"/>
      <c r="AH32" s="107" t="n"/>
      <c r="AI32" s="115" t="inlineStr">
        <is>
          <t>D</t>
        </is>
      </c>
      <c r="AJ32" s="115" t="inlineStr">
        <is>
          <t>D</t>
        </is>
      </c>
      <c r="AK32" s="108" t="inlineStr">
        <is>
          <t>M</t>
        </is>
      </c>
      <c r="AL32" s="107" t="n"/>
      <c r="AM32" s="116" t="inlineStr">
        <is>
          <t>N</t>
        </is>
      </c>
      <c r="AN32" s="123">
        <f>IFERROR(INDEX(SET!I$8:I$73,MATCH($A32,SET!$A$8:$A$73,0))&amp;"","")</f>
        <v/>
      </c>
      <c r="AO32" s="123">
        <f>IFERROR(INDEX(SET!J$8:J$73,MATCH($A32,SET!$A$8:$A$73,0))&amp;"","")</f>
        <v/>
      </c>
      <c r="AP32" s="123">
        <f>IFERROR(INDEX(SET!K$8:K$73,MATCH($A32,SET!$A$8:$A$73,0))&amp;"","")</f>
        <v/>
      </c>
      <c r="AQ32" s="123">
        <f>IFERROR(INDEX(SET!L$8:L$73,MATCH($A32,SET!$A$8:$A$73,0))&amp;"","")</f>
        <v/>
      </c>
      <c r="AR32" s="109">
        <f>IFERROR(INDEX(SET!M$8:M$73,MATCH($A32,SET!$A$8:$A$73,0))&amp;"","")</f>
        <v/>
      </c>
      <c r="AS32" s="109">
        <f>IFERROR(INDEX(SET!N$8:N$73,MATCH($A32,SET!$A$8:$A$73,0))&amp;"","")</f>
        <v/>
      </c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SUMPRODUCT(($D32:$J32="M")*6+($D32:$J32="T")*6+($D32:$J32="D")*12+($D32:$J32="N")*12+($D32:$J32="NT")*6+($D32:$J32="C")*10+($D32:$J32="A")*8+($D32:$J32="J")*5+($D32:$J32="E")*4+($D32:$J32="P")*6+($D32:$J32="R")*6)</f>
        <v/>
      </c>
      <c r="BF32" s="110">
        <f>SUMPRODUCT(($K32:$Q32="M")*6+($K32:$Q32="T")*6+($K32:$Q32="D")*12+($K32:$Q32="N")*12+($K32:$Q32="NT")*6+($K32:$Q32="C")*10+($K32:$Q32="A")*8+($K32:$Q32="J")*5+($K32:$Q32="E")*4+($K32:$Q32="P")*6+($K32:$Q32="R")*6)</f>
        <v/>
      </c>
      <c r="BG32" s="110">
        <f>SUMPRODUCT(($R32:$X32="M")*6+($R32:$X32="T")*6+($R32:$X32="D")*12+($R32:$X32="N")*12+($R32:$X32="NT")*6+($R32:$X32="C")*10+($R32:$X32="A")*8+($R32:$X32="J")*5+($R32:$X32="E")*4+($R32:$X32="P")*6+($R32:$X32="R")*6)</f>
        <v/>
      </c>
      <c r="BH32" s="110">
        <f>SUMPRODUCT(($Y32:$AE32="M")*6+($Y32:$AE32="T")*6+($Y32:$AE32="D")*12+($Y32:$AE32="N")*12+($Y32:$AE32="NT")*6+($Y32:$AE32="C")*10+($Y32:$AE32="A")*8+($Y32:$AE32="J")*5+($Y32:$AE32="E")*4+($Y32:$AE32="P")*6+($Y32:$AE32="R")*6)</f>
        <v/>
      </c>
      <c r="BI32" s="110">
        <f>SUMPRODUCT(($AF32:$AL32="M")*6+($AF32:$AL32="T")*6+($AF32:$AL32="D")*12+($AF32:$AL32="N")*12+($AF32:$AL32="NT")*6+($AF32:$AL32="C")*10+($AF32:$AL32="A")*8+($AF32:$AL32="J")*5+($AF32:$AL32="E")*4+($AF32:$AL32="P")*6+($AF32:$AL32="R")*6)</f>
        <v/>
      </c>
      <c r="BJ32" s="110">
        <f>SUMPRODUCT(($AM32:$AM32="M")*6+($AM32:$AM32="T")*6+($AM32:$AM32="D")*12+($AM32:$AM32="N")*12+($AM32:$AM32="NT")*6+($AM32:$AM32="C")*10+($AM32:$AM32="A")*8+($AM32:$AM32="J")*5+($AM32:$AM32="E")*4+($AM32:$AM32="P")*6+($AM32:$AM32="R")*6)+SUMPRODUCT(($AN32:$AS32="M")*6+($AN32:$AS32="T")*6+($AN32:$AS32="D")*12+($AN32:$AS32="N")*12+($AN32:$AS32="NT")*6+($AN32:$AS32="C")*10+($AN32:$AS32="A")*8+($AN32:$AS32="J")*5+($AN32:$AS32="E")*4+($AN32:$AS32="P")*6+($AN32:$AS32="R")*6)</f>
        <v/>
      </c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123">
        <f>IFERROR(INDEX(JUL!AI$8:AI$73,MATCH($A33,JUL!$A$8:$A$73,0))&amp;"","")</f>
        <v/>
      </c>
      <c r="E33" s="123">
        <f>IFERROR(INDEX(JUL!AJ$8:AJ$73,MATCH($A33,JUL!$A$8:$A$73,0))&amp;"","")</f>
        <v/>
      </c>
      <c r="F33" s="123">
        <f>IFERROR(INDEX(JUL!AK$8:AK$73,MATCH($A33,JUL!$A$8:$A$73,0))&amp;"","")</f>
        <v/>
      </c>
      <c r="G33" s="123">
        <f>IFERROR(INDEX(JUL!AL$8:AL$73,MATCH($A33,JUL!$A$8:$A$73,0))&amp;"","")</f>
        <v/>
      </c>
      <c r="H33" s="123">
        <f>IFERROR(INDEX(JUL!AM$8:AM$73,MATCH($A33,JUL!$A$8:$A$73,0))&amp;"","")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15" t="inlineStr">
        <is>
          <t>D</t>
        </is>
      </c>
      <c r="Q33" s="115" t="inlineStr">
        <is>
          <t>D</t>
        </is>
      </c>
      <c r="R33" s="108" t="inlineStr">
        <is>
          <t>M</t>
        </is>
      </c>
      <c r="S33" s="107" t="n"/>
      <c r="T33" s="107" t="n"/>
      <c r="U33" s="107" t="n"/>
      <c r="V33" s="115" t="inlineStr">
        <is>
          <t>D</t>
        </is>
      </c>
      <c r="W33" s="108" t="inlineStr">
        <is>
          <t>M</t>
        </is>
      </c>
      <c r="X33" s="107" t="n"/>
      <c r="Y33" s="115" t="inlineStr">
        <is>
          <t>D</t>
        </is>
      </c>
      <c r="Z33" s="107" t="n"/>
      <c r="AA33" s="107" t="n"/>
      <c r="AB33" s="107" t="n"/>
      <c r="AC33" s="116" t="inlineStr">
        <is>
          <t>N</t>
        </is>
      </c>
      <c r="AD33" s="107" t="n"/>
      <c r="AE33" s="107" t="n"/>
      <c r="AF33" s="115" t="inlineStr">
        <is>
          <t>D</t>
        </is>
      </c>
      <c r="AG33" s="107" t="n"/>
      <c r="AH33" s="107" t="n"/>
      <c r="AI33" s="107" t="n"/>
      <c r="AJ33" s="116" t="inlineStr">
        <is>
          <t>N</t>
        </is>
      </c>
      <c r="AK33" s="107" t="n"/>
      <c r="AL33" s="107" t="n"/>
      <c r="AM33" s="115" t="inlineStr">
        <is>
          <t>D</t>
        </is>
      </c>
      <c r="AN33" s="123">
        <f>IFERROR(INDEX(SET!I$8:I$73,MATCH($A33,SET!$A$8:$A$73,0))&amp;"","")</f>
        <v/>
      </c>
      <c r="AO33" s="123">
        <f>IFERROR(INDEX(SET!J$8:J$73,MATCH($A33,SET!$A$8:$A$73,0))&amp;"","")</f>
        <v/>
      </c>
      <c r="AP33" s="123">
        <f>IFERROR(INDEX(SET!K$8:K$73,MATCH($A33,SET!$A$8:$A$73,0))&amp;"","")</f>
        <v/>
      </c>
      <c r="AQ33" s="123">
        <f>IFERROR(INDEX(SET!L$8:L$73,MATCH($A33,SET!$A$8:$A$73,0))&amp;"","")</f>
        <v/>
      </c>
      <c r="AR33" s="109">
        <f>IFERROR(INDEX(SET!M$8:M$73,MATCH($A33,SET!$A$8:$A$73,0))&amp;"","")</f>
        <v/>
      </c>
      <c r="AS33" s="109">
        <f>IFERROR(INDEX(SET!N$8:N$73,MATCH($A33,SET!$A$8:$A$73,0))&amp;"","")</f>
        <v/>
      </c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SUMPRODUCT(($D33:$J33="M")*6+($D33:$J33="T")*6+($D33:$J33="D")*12+($D33:$J33="N")*12+($D33:$J33="NT")*6+($D33:$J33="C")*10+($D33:$J33="A")*8+($D33:$J33="J")*5+($D33:$J33="E")*4+($D33:$J33="P")*6+($D33:$J33="R")*6)</f>
        <v/>
      </c>
      <c r="BF33" s="110">
        <f>SUMPRODUCT(($K33:$Q33="M")*6+($K33:$Q33="T")*6+($K33:$Q33="D")*12+($K33:$Q33="N")*12+($K33:$Q33="NT")*6+($K33:$Q33="C")*10+($K33:$Q33="A")*8+($K33:$Q33="J")*5+($K33:$Q33="E")*4+($K33:$Q33="P")*6+($K33:$Q33="R")*6)</f>
        <v/>
      </c>
      <c r="BG33" s="110">
        <f>SUMPRODUCT(($R33:$X33="M")*6+($R33:$X33="T")*6+($R33:$X33="D")*12+($R33:$X33="N")*12+($R33:$X33="NT")*6+($R33:$X33="C")*10+($R33:$X33="A")*8+($R33:$X33="J")*5+($R33:$X33="E")*4+($R33:$X33="P")*6+($R33:$X33="R")*6)</f>
        <v/>
      </c>
      <c r="BH33" s="110">
        <f>SUMPRODUCT(($Y33:$AE33="M")*6+($Y33:$AE33="T")*6+($Y33:$AE33="D")*12+($Y33:$AE33="N")*12+($Y33:$AE33="NT")*6+($Y33:$AE33="C")*10+($Y33:$AE33="A")*8+($Y33:$AE33="J")*5+($Y33:$AE33="E")*4+($Y33:$AE33="P")*6+($Y33:$AE33="R")*6)</f>
        <v/>
      </c>
      <c r="BI33" s="110">
        <f>SUMPRODUCT(($AF33:$AL33="M")*6+($AF33:$AL33="T")*6+($AF33:$AL33="D")*12+($AF33:$AL33="N")*12+($AF33:$AL33="NT")*6+($AF33:$AL33="C")*10+($AF33:$AL33="A")*8+($AF33:$AL33="J")*5+($AF33:$AL33="E")*4+($AF33:$AL33="P")*6+($AF33:$AL33="R")*6)</f>
        <v/>
      </c>
      <c r="BJ33" s="110">
        <f>SUMPRODUCT(($AM33:$AM33="M")*6+($AM33:$AM33="T")*6+($AM33:$AM33="D")*12+($AM33:$AM33="N")*12+($AM33:$AM33="NT")*6+($AM33:$AM33="C")*10+($AM33:$AM33="A")*8+($AM33:$AM33="J")*5+($AM33:$AM33="E")*4+($AM33:$AM33="P")*6+($AM33:$AM33="R")*6)+SUMPRODUCT(($AN33:$AS33="M")*6+($AN33:$AS33="T")*6+($AN33:$AS33="D")*12+($AN33:$AS33="N")*12+($AN33:$AS33="NT")*6+($AN33:$AS33="C")*10+($AN33:$AS33="A")*8+($AN33:$AS33="J")*5+($AN33:$AS33="E")*4+($AN33:$AS33="P")*6+($AN33:$AS33="R")*6)</f>
        <v/>
      </c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123">
        <f>IFERROR(INDEX(JUL!AI$8:AI$73,MATCH($A34,JUL!$A$8:$A$73,0))&amp;"","")</f>
        <v/>
      </c>
      <c r="E34" s="123">
        <f>IFERROR(INDEX(JUL!AJ$8:AJ$73,MATCH($A34,JUL!$A$8:$A$73,0))&amp;"","")</f>
        <v/>
      </c>
      <c r="F34" s="123">
        <f>IFERROR(INDEX(JUL!AK$8:AK$73,MATCH($A34,JUL!$A$8:$A$73,0))&amp;"","")</f>
        <v/>
      </c>
      <c r="G34" s="123">
        <f>IFERROR(INDEX(JUL!AL$8:AL$73,MATCH($A34,JUL!$A$8:$A$73,0))&amp;"","")</f>
        <v/>
      </c>
      <c r="H34" s="123">
        <f>IFERROR(INDEX(JUL!AM$8:AM$73,MATCH($A34,JUL!$A$8:$A$73,0))&amp;"","")</f>
        <v/>
      </c>
      <c r="I34" s="107" t="n"/>
      <c r="J34" s="107" t="n"/>
      <c r="K34" s="115" t="inlineStr">
        <is>
          <t>D</t>
        </is>
      </c>
      <c r="L34" s="115" t="inlineStr">
        <is>
          <t>D</t>
        </is>
      </c>
      <c r="M34" s="117" t="inlineStr">
        <is>
          <t>T</t>
        </is>
      </c>
      <c r="N34" s="107" t="n"/>
      <c r="O34" s="107" t="n"/>
      <c r="P34" s="107" t="n"/>
      <c r="Q34" s="107" t="n"/>
      <c r="R34" s="107" t="n"/>
      <c r="S34" s="107" t="n"/>
      <c r="T34" s="116" t="inlineStr">
        <is>
          <t>N</t>
        </is>
      </c>
      <c r="U34" s="107" t="n"/>
      <c r="V34" s="107" t="n"/>
      <c r="W34" s="115" t="inlineStr">
        <is>
          <t>D</t>
        </is>
      </c>
      <c r="X34" s="108" t="inlineStr">
        <is>
          <t>M</t>
        </is>
      </c>
      <c r="Y34" s="107" t="n"/>
      <c r="Z34" s="115" t="inlineStr">
        <is>
          <t>D</t>
        </is>
      </c>
      <c r="AA34" s="107" t="n"/>
      <c r="AB34" s="107" t="n"/>
      <c r="AC34" s="107" t="n"/>
      <c r="AD34" s="115" t="inlineStr">
        <is>
          <t>D</t>
        </is>
      </c>
      <c r="AE34" s="108" t="inlineStr">
        <is>
          <t>M</t>
        </is>
      </c>
      <c r="AF34" s="115" t="inlineStr">
        <is>
          <t>D</t>
        </is>
      </c>
      <c r="AG34" s="107" t="n"/>
      <c r="AH34" s="108" t="inlineStr">
        <is>
          <t>M</t>
        </is>
      </c>
      <c r="AI34" s="115" t="inlineStr">
        <is>
          <t>D</t>
        </is>
      </c>
      <c r="AJ34" s="107" t="n"/>
      <c r="AK34" s="107" t="n"/>
      <c r="AL34" s="107" t="n"/>
      <c r="AM34" s="107" t="n"/>
      <c r="AN34" s="123">
        <f>IFERROR(INDEX(SET!I$8:I$73,MATCH($A34,SET!$A$8:$A$73,0))&amp;"","")</f>
        <v/>
      </c>
      <c r="AO34" s="123">
        <f>IFERROR(INDEX(SET!J$8:J$73,MATCH($A34,SET!$A$8:$A$73,0))&amp;"","")</f>
        <v/>
      </c>
      <c r="AP34" s="123">
        <f>IFERROR(INDEX(SET!K$8:K$73,MATCH($A34,SET!$A$8:$A$73,0))&amp;"","")</f>
        <v/>
      </c>
      <c r="AQ34" s="123">
        <f>IFERROR(INDEX(SET!L$8:L$73,MATCH($A34,SET!$A$8:$A$73,0))&amp;"","")</f>
        <v/>
      </c>
      <c r="AR34" s="109">
        <f>IFERROR(INDEX(SET!M$8:M$73,MATCH($A34,SET!$A$8:$A$73,0))&amp;"","")</f>
        <v/>
      </c>
      <c r="AS34" s="109">
        <f>IFERROR(INDEX(SET!N$8:N$73,MATCH($A34,SET!$A$8:$A$73,0))&amp;"","")</f>
        <v/>
      </c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SUMPRODUCT(($D34:$J34="M")*6+($D34:$J34="T")*6+($D34:$J34="D")*12+($D34:$J34="N")*12+($D34:$J34="NT")*6+($D34:$J34="C")*10+($D34:$J34="A")*8+($D34:$J34="J")*5+($D34:$J34="E")*4+($D34:$J34="P")*6+($D34:$J34="R")*6)</f>
        <v/>
      </c>
      <c r="BF34" s="110">
        <f>SUMPRODUCT(($K34:$Q34="M")*6+($K34:$Q34="T")*6+($K34:$Q34="D")*12+($K34:$Q34="N")*12+($K34:$Q34="NT")*6+($K34:$Q34="C")*10+($K34:$Q34="A")*8+($K34:$Q34="J")*5+($K34:$Q34="E")*4+($K34:$Q34="P")*6+($K34:$Q34="R")*6)</f>
        <v/>
      </c>
      <c r="BG34" s="110">
        <f>SUMPRODUCT(($R34:$X34="M")*6+($R34:$X34="T")*6+($R34:$X34="D")*12+($R34:$X34="N")*12+($R34:$X34="NT")*6+($R34:$X34="C")*10+($R34:$X34="A")*8+($R34:$X34="J")*5+($R34:$X34="E")*4+($R34:$X34="P")*6+($R34:$X34="R")*6)</f>
        <v/>
      </c>
      <c r="BH34" s="110">
        <f>SUMPRODUCT(($Y34:$AE34="M")*6+($Y34:$AE34="T")*6+($Y34:$AE34="D")*12+($Y34:$AE34="N")*12+($Y34:$AE34="NT")*6+($Y34:$AE34="C")*10+($Y34:$AE34="A")*8+($Y34:$AE34="J")*5+($Y34:$AE34="E")*4+($Y34:$AE34="P")*6+($Y34:$AE34="R")*6)</f>
        <v/>
      </c>
      <c r="BI34" s="110">
        <f>SUMPRODUCT(($AF34:$AL34="M")*6+($AF34:$AL34="T")*6+($AF34:$AL34="D")*12+($AF34:$AL34="N")*12+($AF34:$AL34="NT")*6+($AF34:$AL34="C")*10+($AF34:$AL34="A")*8+($AF34:$AL34="J")*5+($AF34:$AL34="E")*4+($AF34:$AL34="P")*6+($AF34:$AL34="R")*6)</f>
        <v/>
      </c>
      <c r="BJ34" s="110">
        <f>SUMPRODUCT(($AM34:$AM34="M")*6+($AM34:$AM34="T")*6+($AM34:$AM34="D")*12+($AM34:$AM34="N")*12+($AM34:$AM34="NT")*6+($AM34:$AM34="C")*10+($AM34:$AM34="A")*8+($AM34:$AM34="J")*5+($AM34:$AM34="E")*4+($AM34:$AM34="P")*6+($AM34:$AM34="R")*6)+SUMPRODUCT(($AN34:$AS34="M")*6+($AN34:$AS34="T")*6+($AN34:$AS34="D")*12+($AN34:$AS34="N")*12+($AN34:$AS34="NT")*6+($AN34:$AS34="C")*10+($AN34:$AS34="A")*8+($AN34:$AS34="J")*5+($AN34:$AS34="E")*4+($AN34:$AS34="P")*6+($AN34:$AS34="R")*6)</f>
        <v/>
      </c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123">
        <f>IFERROR(INDEX(JUL!AI$8:AI$73,MATCH($A35,JUL!$A$8:$A$73,0))&amp;"","")</f>
        <v/>
      </c>
      <c r="E35" s="123">
        <f>IFERROR(INDEX(JUL!AJ$8:AJ$73,MATCH($A35,JUL!$A$8:$A$73,0))&amp;"","")</f>
        <v/>
      </c>
      <c r="F35" s="123">
        <f>IFERROR(INDEX(JUL!AK$8:AK$73,MATCH($A35,JUL!$A$8:$A$73,0))&amp;"","")</f>
        <v/>
      </c>
      <c r="G35" s="123">
        <f>IFERROR(INDEX(JUL!AL$8:AL$73,MATCH($A35,JUL!$A$8:$A$73,0))&amp;"","")</f>
        <v/>
      </c>
      <c r="H35" s="123">
        <f>IFERROR(INDEX(JUL!AM$8:AM$73,MATCH($A35,JUL!$A$8:$A$73,0))&amp;"","")</f>
        <v/>
      </c>
      <c r="I35" s="107" t="n"/>
      <c r="J35" s="115" t="inlineStr">
        <is>
          <t>D</t>
        </is>
      </c>
      <c r="K35" s="116" t="inlineStr">
        <is>
          <t>N</t>
        </is>
      </c>
      <c r="L35" s="107" t="n"/>
      <c r="M35" s="107" t="n"/>
      <c r="N35" s="117" t="inlineStr">
        <is>
          <t>T</t>
        </is>
      </c>
      <c r="O35" s="107" t="n"/>
      <c r="P35" s="107" t="n"/>
      <c r="Q35" s="115" t="inlineStr">
        <is>
          <t>D</t>
        </is>
      </c>
      <c r="R35" s="116" t="inlineStr">
        <is>
          <t>N</t>
        </is>
      </c>
      <c r="S35" s="107" t="n"/>
      <c r="T35" s="117" t="inlineStr">
        <is>
          <t>T</t>
        </is>
      </c>
      <c r="U35" s="116" t="inlineStr">
        <is>
          <t>N</t>
        </is>
      </c>
      <c r="V35" s="107" t="n"/>
      <c r="W35" s="107" t="n"/>
      <c r="X35" s="107" t="n"/>
      <c r="Y35" s="107" t="n"/>
      <c r="Z35" s="107" t="n"/>
      <c r="AA35" s="107" t="n"/>
      <c r="AB35" s="117" t="inlineStr">
        <is>
          <t>T</t>
        </is>
      </c>
      <c r="AC35" s="116" t="inlineStr">
        <is>
          <t>N</t>
        </is>
      </c>
      <c r="AD35" s="107" t="n"/>
      <c r="AE35" s="115" t="inlineStr">
        <is>
          <t>D</t>
        </is>
      </c>
      <c r="AF35" s="116" t="inlineStr">
        <is>
          <t>N</t>
        </is>
      </c>
      <c r="AG35" s="117" t="inlineStr">
        <is>
          <t>T</t>
        </is>
      </c>
      <c r="AH35" s="116" t="inlineStr">
        <is>
          <t>N</t>
        </is>
      </c>
      <c r="AI35" s="107" t="n"/>
      <c r="AJ35" s="107" t="n"/>
      <c r="AK35" s="107" t="n"/>
      <c r="AL35" s="107" t="n"/>
      <c r="AM35" s="116" t="inlineStr">
        <is>
          <t>N</t>
        </is>
      </c>
      <c r="AN35" s="123">
        <f>IFERROR(INDEX(SET!I$8:I$73,MATCH($A35,SET!$A$8:$A$73,0))&amp;"","")</f>
        <v/>
      </c>
      <c r="AO35" s="123">
        <f>IFERROR(INDEX(SET!J$8:J$73,MATCH($A35,SET!$A$8:$A$73,0))&amp;"","")</f>
        <v/>
      </c>
      <c r="AP35" s="123">
        <f>IFERROR(INDEX(SET!K$8:K$73,MATCH($A35,SET!$A$8:$A$73,0))&amp;"","")</f>
        <v/>
      </c>
      <c r="AQ35" s="123">
        <f>IFERROR(INDEX(SET!L$8:L$73,MATCH($A35,SET!$A$8:$A$73,0))&amp;"","")</f>
        <v/>
      </c>
      <c r="AR35" s="109">
        <f>IFERROR(INDEX(SET!M$8:M$73,MATCH($A35,SET!$A$8:$A$73,0))&amp;"","")</f>
        <v/>
      </c>
      <c r="AS35" s="109">
        <f>IFERROR(INDEX(SET!N$8:N$73,MATCH($A35,SET!$A$8:$A$73,0))&amp;"","")</f>
        <v/>
      </c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SUMPRODUCT(($D35:$J35="M")*6+($D35:$J35="T")*6+($D35:$J35="D")*12+($D35:$J35="N")*12+($D35:$J35="NT")*6+($D35:$J35="C")*10+($D35:$J35="A")*8+($D35:$J35="J")*5+($D35:$J35="E")*4+($D35:$J35="P")*6+($D35:$J35="R")*6)</f>
        <v/>
      </c>
      <c r="BF35" s="110">
        <f>SUMPRODUCT(($K35:$Q35="M")*6+($K35:$Q35="T")*6+($K35:$Q35="D")*12+($K35:$Q35="N")*12+($K35:$Q35="NT")*6+($K35:$Q35="C")*10+($K35:$Q35="A")*8+($K35:$Q35="J")*5+($K35:$Q35="E")*4+($K35:$Q35="P")*6+($K35:$Q35="R")*6)</f>
        <v/>
      </c>
      <c r="BG35" s="110">
        <f>SUMPRODUCT(($R35:$X35="M")*6+($R35:$X35="T")*6+($R35:$X35="D")*12+($R35:$X35="N")*12+($R35:$X35="NT")*6+($R35:$X35="C")*10+($R35:$X35="A")*8+($R35:$X35="J")*5+($R35:$X35="E")*4+($R35:$X35="P")*6+($R35:$X35="R")*6)</f>
        <v/>
      </c>
      <c r="BH35" s="110">
        <f>SUMPRODUCT(($Y35:$AE35="M")*6+($Y35:$AE35="T")*6+($Y35:$AE35="D")*12+($Y35:$AE35="N")*12+($Y35:$AE35="NT")*6+($Y35:$AE35="C")*10+($Y35:$AE35="A")*8+($Y35:$AE35="J")*5+($Y35:$AE35="E")*4+($Y35:$AE35="P")*6+($Y35:$AE35="R")*6)</f>
        <v/>
      </c>
      <c r="BI35" s="110">
        <f>SUMPRODUCT(($AF35:$AL35="M")*6+($AF35:$AL35="T")*6+($AF35:$AL35="D")*12+($AF35:$AL35="N")*12+($AF35:$AL35="NT")*6+($AF35:$AL35="C")*10+($AF35:$AL35="A")*8+($AF35:$AL35="J")*5+($AF35:$AL35="E")*4+($AF35:$AL35="P")*6+($AF35:$AL35="R")*6)</f>
        <v/>
      </c>
      <c r="BJ35" s="110">
        <f>SUMPRODUCT(($AM35:$AM35="M")*6+($AM35:$AM35="T")*6+($AM35:$AM35="D")*12+($AM35:$AM35="N")*12+($AM35:$AM35="NT")*6+($AM35:$AM35="C")*10+($AM35:$AM35="A")*8+($AM35:$AM35="J")*5+($AM35:$AM35="E")*4+($AM35:$AM35="P")*6+($AM35:$AM35="R")*6)+SUMPRODUCT(($AN35:$AS35="M")*6+($AN35:$AS35="T")*6+($AN35:$AS35="D")*12+($AN35:$AS35="N")*12+($AN35:$AS35="NT")*6+($AN35:$AS35="C")*10+($AN35:$AS35="A")*8+($AN35:$AS35="J")*5+($AN35:$AS35="E")*4+($AN35:$AS35="P")*6+($AN35:$AS35="R")*6)</f>
        <v/>
      </c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123">
        <f>IFERROR(INDEX(JUL!AI$8:AI$73,MATCH($A36,JUL!$A$8:$A$73,0))&amp;"","")</f>
        <v/>
      </c>
      <c r="E36" s="123">
        <f>IFERROR(INDEX(JUL!AJ$8:AJ$73,MATCH($A36,JUL!$A$8:$A$73,0))&amp;"","")</f>
        <v/>
      </c>
      <c r="F36" s="123">
        <f>IFERROR(INDEX(JUL!AK$8:AK$73,MATCH($A36,JUL!$A$8:$A$73,0))&amp;"","")</f>
        <v/>
      </c>
      <c r="G36" s="123">
        <f>IFERROR(INDEX(JUL!AL$8:AL$73,MATCH($A36,JUL!$A$8:$A$73,0))&amp;"","")</f>
        <v/>
      </c>
      <c r="H36" s="123">
        <f>IFERROR(INDEX(JUL!AM$8:AM$73,MATCH($A36,JUL!$A$8:$A$73,0))&amp;"","")</f>
        <v/>
      </c>
      <c r="I36" s="116" t="inlineStr">
        <is>
          <t>N</t>
        </is>
      </c>
      <c r="J36" s="107" t="n"/>
      <c r="K36" s="107" t="n"/>
      <c r="L36" s="116" t="inlineStr">
        <is>
          <t>N</t>
        </is>
      </c>
      <c r="M36" s="107" t="n"/>
      <c r="N36" s="115" t="inlineStr">
        <is>
          <t>D</t>
        </is>
      </c>
      <c r="O36" s="117" t="inlineStr">
        <is>
          <t>T</t>
        </is>
      </c>
      <c r="P36" s="107" t="n"/>
      <c r="Q36" s="107" t="n"/>
      <c r="R36" s="115" t="inlineStr">
        <is>
          <t>D</t>
        </is>
      </c>
      <c r="S36" s="116" t="inlineStr">
        <is>
          <t>N</t>
        </is>
      </c>
      <c r="T36" s="117" t="inlineStr">
        <is>
          <t>T</t>
        </is>
      </c>
      <c r="U36" s="107" t="n"/>
      <c r="V36" s="107" t="n"/>
      <c r="W36" s="107" t="n"/>
      <c r="X36" s="107" t="n"/>
      <c r="Y36" s="107" t="n"/>
      <c r="Z36" s="116" t="inlineStr">
        <is>
          <t>N</t>
        </is>
      </c>
      <c r="AA36" s="107" t="n"/>
      <c r="AB36" s="107" t="n"/>
      <c r="AC36" s="107" t="n"/>
      <c r="AD36" s="115" t="inlineStr">
        <is>
          <t>D</t>
        </is>
      </c>
      <c r="AE36" s="117" t="inlineStr">
        <is>
          <t>T</t>
        </is>
      </c>
      <c r="AF36" s="107" t="n"/>
      <c r="AG36" s="115" t="inlineStr">
        <is>
          <t>D</t>
        </is>
      </c>
      <c r="AH36" s="117" t="inlineStr">
        <is>
          <t>T</t>
        </is>
      </c>
      <c r="AI36" s="107" t="n"/>
      <c r="AJ36" s="116" t="inlineStr">
        <is>
          <t>N</t>
        </is>
      </c>
      <c r="AK36" s="107" t="n"/>
      <c r="AL36" s="107" t="n"/>
      <c r="AM36" s="128" t="inlineStr">
        <is>
          <t>FE</t>
        </is>
      </c>
      <c r="AN36" s="123">
        <f>IFERROR(INDEX(SET!I$8:I$73,MATCH($A36,SET!$A$8:$A$73,0))&amp;"","")</f>
        <v/>
      </c>
      <c r="AO36" s="123">
        <f>IFERROR(INDEX(SET!J$8:J$73,MATCH($A36,SET!$A$8:$A$73,0))&amp;"","")</f>
        <v/>
      </c>
      <c r="AP36" s="123">
        <f>IFERROR(INDEX(SET!K$8:K$73,MATCH($A36,SET!$A$8:$A$73,0))&amp;"","")</f>
        <v/>
      </c>
      <c r="AQ36" s="123">
        <f>IFERROR(INDEX(SET!L$8:L$73,MATCH($A36,SET!$A$8:$A$73,0))&amp;"","")</f>
        <v/>
      </c>
      <c r="AR36" s="109">
        <f>IFERROR(INDEX(SET!M$8:M$73,MATCH($A36,SET!$A$8:$A$73,0))&amp;"","")</f>
        <v/>
      </c>
      <c r="AS36" s="109">
        <f>IFERROR(INDEX(SET!N$8:N$73,MATCH($A36,SET!$A$8:$A$73,0))&amp;"","")</f>
        <v/>
      </c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SUMPRODUCT(($D36:$J36="M")*6+($D36:$J36="T")*6+($D36:$J36="D")*12+($D36:$J36="N")*12+($D36:$J36="NT")*6+($D36:$J36="C")*10+($D36:$J36="A")*8+($D36:$J36="J")*5+($D36:$J36="E")*4+($D36:$J36="P")*6+($D36:$J36="R")*6)</f>
        <v/>
      </c>
      <c r="BF36" s="110">
        <f>SUMPRODUCT(($K36:$Q36="M")*6+($K36:$Q36="T")*6+($K36:$Q36="D")*12+($K36:$Q36="N")*12+($K36:$Q36="NT")*6+($K36:$Q36="C")*10+($K36:$Q36="A")*8+($K36:$Q36="J")*5+($K36:$Q36="E")*4+($K36:$Q36="P")*6+($K36:$Q36="R")*6)</f>
        <v/>
      </c>
      <c r="BG36" s="110">
        <f>SUMPRODUCT(($R36:$X36="M")*6+($R36:$X36="T")*6+($R36:$X36="D")*12+($R36:$X36="N")*12+($R36:$X36="NT")*6+($R36:$X36="C")*10+($R36:$X36="A")*8+($R36:$X36="J")*5+($R36:$X36="E")*4+($R36:$X36="P")*6+($R36:$X36="R")*6)</f>
        <v/>
      </c>
      <c r="BH36" s="110">
        <f>SUMPRODUCT(($Y36:$AE36="M")*6+($Y36:$AE36="T")*6+($Y36:$AE36="D")*12+($Y36:$AE36="N")*12+($Y36:$AE36="NT")*6+($Y36:$AE36="C")*10+($Y36:$AE36="A")*8+($Y36:$AE36="J")*5+($Y36:$AE36="E")*4+($Y36:$AE36="P")*6+($Y36:$AE36="R")*6)</f>
        <v/>
      </c>
      <c r="BI36" s="110">
        <f>SUMPRODUCT(($AF36:$AL36="M")*6+($AF36:$AL36="T")*6+($AF36:$AL36="D")*12+($AF36:$AL36="N")*12+($AF36:$AL36="NT")*6+($AF36:$AL36="C")*10+($AF36:$AL36="A")*8+($AF36:$AL36="J")*5+($AF36:$AL36="E")*4+($AF36:$AL36="P")*6+($AF36:$AL36="R")*6)</f>
        <v/>
      </c>
      <c r="BJ36" s="110">
        <f>SUMPRODUCT(($AM36:$AM36="M")*6+($AM36:$AM36="T")*6+($AM36:$AM36="D")*12+($AM36:$AM36="N")*12+($AM36:$AM36="NT")*6+($AM36:$AM36="C")*10+($AM36:$AM36="A")*8+($AM36:$AM36="J")*5+($AM36:$AM36="E")*4+($AM36:$AM36="P")*6+($AM36:$AM36="R")*6)+SUMPRODUCT(($AN36:$AS36="M")*6+($AN36:$AS36="T")*6+($AN36:$AS36="D")*12+($AN36:$AS36="N")*12+($AN36:$AS36="NT")*6+($AN36:$AS36="C")*10+($AN36:$AS36="A")*8+($AN36:$AS36="J")*5+($AN36:$AS36="E")*4+($AN36:$AS36="P")*6+($AN36:$AS36="R")*6)</f>
        <v/>
      </c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123">
        <f>IFERROR(INDEX(JUL!AI$8:AI$73,MATCH($A37,JUL!$A$8:$A$73,0))&amp;"","")</f>
        <v/>
      </c>
      <c r="E37" s="123">
        <f>IFERROR(INDEX(JUL!AJ$8:AJ$73,MATCH($A37,JUL!$A$8:$A$73,0))&amp;"","")</f>
        <v/>
      </c>
      <c r="F37" s="123">
        <f>IFERROR(INDEX(JUL!AK$8:AK$73,MATCH($A37,JUL!$A$8:$A$73,0))&amp;"","")</f>
        <v/>
      </c>
      <c r="G37" s="123">
        <f>IFERROR(INDEX(JUL!AL$8:AL$73,MATCH($A37,JUL!$A$8:$A$73,0))&amp;"","")</f>
        <v/>
      </c>
      <c r="H37" s="123">
        <f>IFERROR(INDEX(JUL!AM$8:AM$73,MATCH($A37,JUL!$A$8:$A$73,0))&amp;"","")</f>
        <v/>
      </c>
      <c r="I37" s="107" t="n"/>
      <c r="J37" s="107" t="n"/>
      <c r="K37" s="117" t="inlineStr">
        <is>
          <t>T</t>
        </is>
      </c>
      <c r="L37" s="107" t="n"/>
      <c r="M37" s="116" t="inlineStr">
        <is>
          <t>N</t>
        </is>
      </c>
      <c r="N37" s="107" t="n"/>
      <c r="O37" s="115" t="inlineStr">
        <is>
          <t>D</t>
        </is>
      </c>
      <c r="P37" s="107" t="n"/>
      <c r="Q37" s="107" t="n"/>
      <c r="R37" s="107" t="n"/>
      <c r="S37" s="107" t="n"/>
      <c r="T37" s="107" t="n"/>
      <c r="U37" s="117" t="inlineStr">
        <is>
          <t>T</t>
        </is>
      </c>
      <c r="V37" s="116" t="inlineStr">
        <is>
          <t>N</t>
        </is>
      </c>
      <c r="W37" s="107" t="n"/>
      <c r="X37" s="116" t="inlineStr">
        <is>
          <t>N</t>
        </is>
      </c>
      <c r="Y37" s="107" t="n"/>
      <c r="Z37" s="108" t="inlineStr">
        <is>
          <t>M</t>
        </is>
      </c>
      <c r="AA37" s="107" t="n"/>
      <c r="AB37" s="107" t="n"/>
      <c r="AC37" s="108" t="inlineStr">
        <is>
          <t>M</t>
        </is>
      </c>
      <c r="AD37" s="108" t="inlineStr">
        <is>
          <t>M</t>
        </is>
      </c>
      <c r="AE37" s="116" t="inlineStr">
        <is>
          <t>N</t>
        </is>
      </c>
      <c r="AF37" s="107" t="n"/>
      <c r="AG37" s="115" t="inlineStr">
        <is>
          <t>D</t>
        </is>
      </c>
      <c r="AH37" s="116" t="inlineStr">
        <is>
          <t>N</t>
        </is>
      </c>
      <c r="AI37" s="107" t="n"/>
      <c r="AJ37" s="107" t="n"/>
      <c r="AK37" s="117" t="inlineStr">
        <is>
          <t>T</t>
        </is>
      </c>
      <c r="AL37" s="107" t="n"/>
      <c r="AM37" s="108" t="inlineStr">
        <is>
          <t>M</t>
        </is>
      </c>
      <c r="AN37" s="123">
        <f>IFERROR(INDEX(SET!I$8:I$73,MATCH($A37,SET!$A$8:$A$73,0))&amp;"","")</f>
        <v/>
      </c>
      <c r="AO37" s="123">
        <f>IFERROR(INDEX(SET!J$8:J$73,MATCH($A37,SET!$A$8:$A$73,0))&amp;"","")</f>
        <v/>
      </c>
      <c r="AP37" s="123">
        <f>IFERROR(INDEX(SET!K$8:K$73,MATCH($A37,SET!$A$8:$A$73,0))&amp;"","")</f>
        <v/>
      </c>
      <c r="AQ37" s="123">
        <f>IFERROR(INDEX(SET!L$8:L$73,MATCH($A37,SET!$A$8:$A$73,0))&amp;"","")</f>
        <v/>
      </c>
      <c r="AR37" s="109">
        <f>IFERROR(INDEX(SET!M$8:M$73,MATCH($A37,SET!$A$8:$A$73,0))&amp;"","")</f>
        <v/>
      </c>
      <c r="AS37" s="109">
        <f>IFERROR(INDEX(SET!N$8:N$73,MATCH($A37,SET!$A$8:$A$73,0))&amp;"","")</f>
        <v/>
      </c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SUMPRODUCT(($D37:$J37="M")*6+($D37:$J37="T")*6+($D37:$J37="D")*12+($D37:$J37="N")*12+($D37:$J37="NT")*6+($D37:$J37="C")*10+($D37:$J37="A")*8+($D37:$J37="J")*5+($D37:$J37="E")*4+($D37:$J37="P")*6+($D37:$J37="R")*6)</f>
        <v/>
      </c>
      <c r="BF37" s="110">
        <f>SUMPRODUCT(($K37:$Q37="M")*6+($K37:$Q37="T")*6+($K37:$Q37="D")*12+($K37:$Q37="N")*12+($K37:$Q37="NT")*6+($K37:$Q37="C")*10+($K37:$Q37="A")*8+($K37:$Q37="J")*5+($K37:$Q37="E")*4+($K37:$Q37="P")*6+($K37:$Q37="R")*6)</f>
        <v/>
      </c>
      <c r="BG37" s="110">
        <f>SUMPRODUCT(($R37:$X37="M")*6+($R37:$X37="T")*6+($R37:$X37="D")*12+($R37:$X37="N")*12+($R37:$X37="NT")*6+($R37:$X37="C")*10+($R37:$X37="A")*8+($R37:$X37="J")*5+($R37:$X37="E")*4+($R37:$X37="P")*6+($R37:$X37="R")*6)</f>
        <v/>
      </c>
      <c r="BH37" s="110">
        <f>SUMPRODUCT(($Y37:$AE37="M")*6+($Y37:$AE37="T")*6+($Y37:$AE37="D")*12+($Y37:$AE37="N")*12+($Y37:$AE37="NT")*6+($Y37:$AE37="C")*10+($Y37:$AE37="A")*8+($Y37:$AE37="J")*5+($Y37:$AE37="E")*4+($Y37:$AE37="P")*6+($Y37:$AE37="R")*6)</f>
        <v/>
      </c>
      <c r="BI37" s="110">
        <f>SUMPRODUCT(($AF37:$AL37="M")*6+($AF37:$AL37="T")*6+($AF37:$AL37="D")*12+($AF37:$AL37="N")*12+($AF37:$AL37="NT")*6+($AF37:$AL37="C")*10+($AF37:$AL37="A")*8+($AF37:$AL37="J")*5+($AF37:$AL37="E")*4+($AF37:$AL37="P")*6+($AF37:$AL37="R")*6)</f>
        <v/>
      </c>
      <c r="BJ37" s="110">
        <f>SUMPRODUCT(($AM37:$AM37="M")*6+($AM37:$AM37="T")*6+($AM37:$AM37="D")*12+($AM37:$AM37="N")*12+($AM37:$AM37="NT")*6+($AM37:$AM37="C")*10+($AM37:$AM37="A")*8+($AM37:$AM37="J")*5+($AM37:$AM37="E")*4+($AM37:$AM37="P")*6+($AM37:$AM37="R")*6)+SUMPRODUCT(($AN37:$AS37="M")*6+($AN37:$AS37="T")*6+($AN37:$AS37="D")*12+($AN37:$AS37="N")*12+($AN37:$AS37="NT")*6+($AN37:$AS37="C")*10+($AN37:$AS37="A")*8+($AN37:$AS37="J")*5+($AN37:$AS37="E")*4+($AN37:$AS37="P")*6+($AN37:$AS37="R")*6)</f>
        <v/>
      </c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123">
        <f>IFERROR(INDEX(JUL!AI$8:AI$73,MATCH($A38,JUL!$A$8:$A$73,0))&amp;"","")</f>
        <v/>
      </c>
      <c r="E38" s="123">
        <f>IFERROR(INDEX(JUL!AJ$8:AJ$73,MATCH($A38,JUL!$A$8:$A$73,0))&amp;"","")</f>
        <v/>
      </c>
      <c r="F38" s="123">
        <f>IFERROR(INDEX(JUL!AK$8:AK$73,MATCH($A38,JUL!$A$8:$A$73,0))&amp;"","")</f>
        <v/>
      </c>
      <c r="G38" s="123">
        <f>IFERROR(INDEX(JUL!AL$8:AL$73,MATCH($A38,JUL!$A$8:$A$73,0))&amp;"","")</f>
        <v/>
      </c>
      <c r="H38" s="123">
        <f>IFERROR(INDEX(JUL!AM$8:AM$73,MATCH($A38,JUL!$A$8:$A$73,0))&amp;"","")</f>
        <v/>
      </c>
      <c r="I38" s="116" t="inlineStr">
        <is>
          <t>N</t>
        </is>
      </c>
      <c r="J38" s="107" t="n"/>
      <c r="K38" s="107" t="n"/>
      <c r="L38" s="107" t="n"/>
      <c r="M38" s="107" t="n"/>
      <c r="N38" s="116" t="inlineStr">
        <is>
          <t>N</t>
        </is>
      </c>
      <c r="O38" s="107" t="n"/>
      <c r="P38" s="116" t="inlineStr">
        <is>
          <t>N</t>
        </is>
      </c>
      <c r="Q38" s="107" t="n"/>
      <c r="R38" s="115" t="inlineStr">
        <is>
          <t>D</t>
        </is>
      </c>
      <c r="S38" s="107" t="n"/>
      <c r="T38" s="107" t="n"/>
      <c r="U38" s="116" t="inlineStr">
        <is>
          <t>N</t>
        </is>
      </c>
      <c r="V38" s="107" t="n"/>
      <c r="W38" s="107" t="n"/>
      <c r="X38" s="107" t="n"/>
      <c r="Y38" s="115" t="inlineStr">
        <is>
          <t>D</t>
        </is>
      </c>
      <c r="Z38" s="108" t="inlineStr">
        <is>
          <t>M</t>
        </is>
      </c>
      <c r="AA38" s="107" t="n"/>
      <c r="AB38" s="107" t="n"/>
      <c r="AC38" s="107" t="n"/>
      <c r="AD38" s="107" t="n"/>
      <c r="AE38" s="117" t="inlineStr">
        <is>
          <t>T</t>
        </is>
      </c>
      <c r="AF38" s="115" t="inlineStr">
        <is>
          <t>D</t>
        </is>
      </c>
      <c r="AG38" s="107" t="n"/>
      <c r="AH38" s="107" t="n"/>
      <c r="AI38" s="107" t="n"/>
      <c r="AJ38" s="116" t="inlineStr">
        <is>
          <t>N</t>
        </is>
      </c>
      <c r="AK38" s="107" t="n"/>
      <c r="AL38" s="107" t="n"/>
      <c r="AM38" s="107" t="n"/>
      <c r="AN38" s="123">
        <f>IFERROR(INDEX(SET!I$8:I$73,MATCH($A38,SET!$A$8:$A$73,0))&amp;"","")</f>
        <v/>
      </c>
      <c r="AO38" s="123">
        <f>IFERROR(INDEX(SET!J$8:J$73,MATCH($A38,SET!$A$8:$A$73,0))&amp;"","")</f>
        <v/>
      </c>
      <c r="AP38" s="123">
        <f>IFERROR(INDEX(SET!K$8:K$73,MATCH($A38,SET!$A$8:$A$73,0))&amp;"","")</f>
        <v/>
      </c>
      <c r="AQ38" s="123">
        <f>IFERROR(INDEX(SET!L$8:L$73,MATCH($A38,SET!$A$8:$A$73,0))&amp;"","")</f>
        <v/>
      </c>
      <c r="AR38" s="109">
        <f>IFERROR(INDEX(SET!M$8:M$73,MATCH($A38,SET!$A$8:$A$73,0))&amp;"","")</f>
        <v/>
      </c>
      <c r="AS38" s="109">
        <f>IFERROR(INDEX(SET!N$8:N$73,MATCH($A38,SET!$A$8:$A$73,0))&amp;"","")</f>
        <v/>
      </c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SUMPRODUCT(($D38:$J38="M")*6+($D38:$J38="T")*6+($D38:$J38="D")*12+($D38:$J38="N")*12+($D38:$J38="NT")*6+($D38:$J38="C")*10+($D38:$J38="A")*8+($D38:$J38="J")*5+($D38:$J38="E")*4+($D38:$J38="P")*6+($D38:$J38="R")*6)</f>
        <v/>
      </c>
      <c r="BF38" s="110">
        <f>SUMPRODUCT(($K38:$Q38="M")*6+($K38:$Q38="T")*6+($K38:$Q38="D")*12+($K38:$Q38="N")*12+($K38:$Q38="NT")*6+($K38:$Q38="C")*10+($K38:$Q38="A")*8+($K38:$Q38="J")*5+($K38:$Q38="E")*4+($K38:$Q38="P")*6+($K38:$Q38="R")*6)</f>
        <v/>
      </c>
      <c r="BG38" s="110">
        <f>SUMPRODUCT(($R38:$X38="M")*6+($R38:$X38="T")*6+($R38:$X38="D")*12+($R38:$X38="N")*12+($R38:$X38="NT")*6+($R38:$X38="C")*10+($R38:$X38="A")*8+($R38:$X38="J")*5+($R38:$X38="E")*4+($R38:$X38="P")*6+($R38:$X38="R")*6)</f>
        <v/>
      </c>
      <c r="BH38" s="110">
        <f>SUMPRODUCT(($Y38:$AE38="M")*6+($Y38:$AE38="T")*6+($Y38:$AE38="D")*12+($Y38:$AE38="N")*12+($Y38:$AE38="NT")*6+($Y38:$AE38="C")*10+($Y38:$AE38="A")*8+($Y38:$AE38="J")*5+($Y38:$AE38="E")*4+($Y38:$AE38="P")*6+($Y38:$AE38="R")*6)</f>
        <v/>
      </c>
      <c r="BI38" s="110">
        <f>SUMPRODUCT(($AF38:$AL38="M")*6+($AF38:$AL38="T")*6+($AF38:$AL38="D")*12+($AF38:$AL38="N")*12+($AF38:$AL38="NT")*6+($AF38:$AL38="C")*10+($AF38:$AL38="A")*8+($AF38:$AL38="J")*5+($AF38:$AL38="E")*4+($AF38:$AL38="P")*6+($AF38:$AL38="R")*6)</f>
        <v/>
      </c>
      <c r="BJ38" s="110">
        <f>SUMPRODUCT(($AM38:$AM38="M")*6+($AM38:$AM38="T")*6+($AM38:$AM38="D")*12+($AM38:$AM38="N")*12+($AM38:$AM38="NT")*6+($AM38:$AM38="C")*10+($AM38:$AM38="A")*8+($AM38:$AM38="J")*5+($AM38:$AM38="E")*4+($AM38:$AM38="P")*6+($AM38:$AM38="R")*6)+SUMPRODUCT(($AN38:$AS38="M")*6+($AN38:$AS38="T")*6+($AN38:$AS38="D")*12+($AN38:$AS38="N")*12+($AN38:$AS38="NT")*6+($AN38:$AS38="C")*10+($AN38:$AS38="A")*8+($AN38:$AS38="J")*5+($AN38:$AS38="E")*4+($AN38:$AS38="P")*6+($AN38:$AS38="R")*6)</f>
        <v/>
      </c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123">
        <f>IFERROR(INDEX(JUL!AI$8:AI$73,MATCH($A39,JUL!$A$8:$A$73,0))&amp;"","")</f>
        <v/>
      </c>
      <c r="E39" s="123">
        <f>IFERROR(INDEX(JUL!AJ$8:AJ$73,MATCH($A39,JUL!$A$8:$A$73,0))&amp;"","")</f>
        <v/>
      </c>
      <c r="F39" s="123">
        <f>IFERROR(INDEX(JUL!AK$8:AK$73,MATCH($A39,JUL!$A$8:$A$73,0))&amp;"","")</f>
        <v/>
      </c>
      <c r="G39" s="123">
        <f>IFERROR(INDEX(JUL!AL$8:AL$73,MATCH($A39,JUL!$A$8:$A$73,0))&amp;"","")</f>
        <v/>
      </c>
      <c r="H39" s="123">
        <f>IFERROR(INDEX(JUL!AM$8:AM$73,MATCH($A39,JUL!$A$8:$A$73,0))&amp;"","")</f>
        <v/>
      </c>
      <c r="I39" s="117" t="inlineStr">
        <is>
          <t>T</t>
        </is>
      </c>
      <c r="J39" s="107" t="n"/>
      <c r="K39" s="107" t="n"/>
      <c r="L39" s="107" t="n"/>
      <c r="M39" s="116" t="inlineStr">
        <is>
          <t>N</t>
        </is>
      </c>
      <c r="N39" s="107" t="n"/>
      <c r="O39" s="107" t="n"/>
      <c r="P39" s="115" t="inlineStr">
        <is>
          <t>D</t>
        </is>
      </c>
      <c r="Q39" s="107" t="n"/>
      <c r="R39" s="107" t="n"/>
      <c r="S39" s="108" t="inlineStr">
        <is>
          <t>M</t>
        </is>
      </c>
      <c r="T39" s="115" t="inlineStr">
        <is>
          <t>D</t>
        </is>
      </c>
      <c r="U39" s="107" t="n"/>
      <c r="V39" s="108" t="inlineStr">
        <is>
          <t>M</t>
        </is>
      </c>
      <c r="W39" s="107" t="n"/>
      <c r="X39" s="107" t="n"/>
      <c r="Y39" s="117" t="inlineStr">
        <is>
          <t>T</t>
        </is>
      </c>
      <c r="Z39" s="107" t="n"/>
      <c r="AA39" s="117" t="inlineStr">
        <is>
          <t>T</t>
        </is>
      </c>
      <c r="AB39" s="107" t="n"/>
      <c r="AC39" s="107" t="n"/>
      <c r="AD39" s="116" t="inlineStr">
        <is>
          <t>N</t>
        </is>
      </c>
      <c r="AE39" s="107" t="n"/>
      <c r="AF39" s="117" t="inlineStr">
        <is>
          <t>T</t>
        </is>
      </c>
      <c r="AG39" s="107" t="n"/>
      <c r="AH39" s="115" t="inlineStr">
        <is>
          <t>D</t>
        </is>
      </c>
      <c r="AI39" s="107" t="n"/>
      <c r="AJ39" s="108" t="inlineStr">
        <is>
          <t>M</t>
        </is>
      </c>
      <c r="AK39" s="107" t="n"/>
      <c r="AL39" s="107" t="n"/>
      <c r="AM39" s="117" t="inlineStr">
        <is>
          <t>T</t>
        </is>
      </c>
      <c r="AN39" s="123">
        <f>IFERROR(INDEX(SET!I$8:I$73,MATCH($A39,SET!$A$8:$A$73,0))&amp;"","")</f>
        <v/>
      </c>
      <c r="AO39" s="123">
        <f>IFERROR(INDEX(SET!J$8:J$73,MATCH($A39,SET!$A$8:$A$73,0))&amp;"","")</f>
        <v/>
      </c>
      <c r="AP39" s="123">
        <f>IFERROR(INDEX(SET!K$8:K$73,MATCH($A39,SET!$A$8:$A$73,0))&amp;"","")</f>
        <v/>
      </c>
      <c r="AQ39" s="123">
        <f>IFERROR(INDEX(SET!L$8:L$73,MATCH($A39,SET!$A$8:$A$73,0))&amp;"","")</f>
        <v/>
      </c>
      <c r="AR39" s="109">
        <f>IFERROR(INDEX(SET!M$8:M$73,MATCH($A39,SET!$A$8:$A$73,0))&amp;"","")</f>
        <v/>
      </c>
      <c r="AS39" s="109">
        <f>IFERROR(INDEX(SET!N$8:N$73,MATCH($A39,SET!$A$8:$A$73,0))&amp;"","")</f>
        <v/>
      </c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SUMPRODUCT(($D39:$J39="M")*6+($D39:$J39="T")*6+($D39:$J39="D")*12+($D39:$J39="N")*12+($D39:$J39="NT")*6+($D39:$J39="C")*10+($D39:$J39="A")*8+($D39:$J39="J")*5+($D39:$J39="E")*4+($D39:$J39="P")*6+($D39:$J39="R")*6)</f>
        <v/>
      </c>
      <c r="BF39" s="110">
        <f>SUMPRODUCT(($K39:$Q39="M")*6+($K39:$Q39="T")*6+($K39:$Q39="D")*12+($K39:$Q39="N")*12+($K39:$Q39="NT")*6+($K39:$Q39="C")*10+($K39:$Q39="A")*8+($K39:$Q39="J")*5+($K39:$Q39="E")*4+($K39:$Q39="P")*6+($K39:$Q39="R")*6)</f>
        <v/>
      </c>
      <c r="BG39" s="110">
        <f>SUMPRODUCT(($R39:$X39="M")*6+($R39:$X39="T")*6+($R39:$X39="D")*12+($R39:$X39="N")*12+($R39:$X39="NT")*6+($R39:$X39="C")*10+($R39:$X39="A")*8+($R39:$X39="J")*5+($R39:$X39="E")*4+($R39:$X39="P")*6+($R39:$X39="R")*6)</f>
        <v/>
      </c>
      <c r="BH39" s="110">
        <f>SUMPRODUCT(($Y39:$AE39="M")*6+($Y39:$AE39="T")*6+($Y39:$AE39="D")*12+($Y39:$AE39="N")*12+($Y39:$AE39="NT")*6+($Y39:$AE39="C")*10+($Y39:$AE39="A")*8+($Y39:$AE39="J")*5+($Y39:$AE39="E")*4+($Y39:$AE39="P")*6+($Y39:$AE39="R")*6)</f>
        <v/>
      </c>
      <c r="BI39" s="110">
        <f>SUMPRODUCT(($AF39:$AL39="M")*6+($AF39:$AL39="T")*6+($AF39:$AL39="D")*12+($AF39:$AL39="N")*12+($AF39:$AL39="NT")*6+($AF39:$AL39="C")*10+($AF39:$AL39="A")*8+($AF39:$AL39="J")*5+($AF39:$AL39="E")*4+($AF39:$AL39="P")*6+($AF39:$AL39="R")*6)</f>
        <v/>
      </c>
      <c r="BJ39" s="110">
        <f>SUMPRODUCT(($AM39:$AM39="M")*6+($AM39:$AM39="T")*6+($AM39:$AM39="D")*12+($AM39:$AM39="N")*12+($AM39:$AM39="NT")*6+($AM39:$AM39="C")*10+($AM39:$AM39="A")*8+($AM39:$AM39="J")*5+($AM39:$AM39="E")*4+($AM39:$AM39="P")*6+($AM39:$AM39="R")*6)+SUMPRODUCT(($AN39:$AS39="M")*6+($AN39:$AS39="T")*6+($AN39:$AS39="D")*12+($AN39:$AS39="N")*12+($AN39:$AS39="NT")*6+($AN39:$AS39="C")*10+($AN39:$AS39="A")*8+($AN39:$AS39="J")*5+($AN39:$AS39="E")*4+($AN39:$AS39="P")*6+($AN39:$AS39="R")*6)</f>
        <v/>
      </c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123">
        <f>IFERROR(INDEX(JUL!AI$8:AI$73,MATCH($A40,JUL!$A$8:$A$73,0))&amp;"","")</f>
        <v/>
      </c>
      <c r="E40" s="123">
        <f>IFERROR(INDEX(JUL!AJ$8:AJ$73,MATCH($A40,JUL!$A$8:$A$73,0))&amp;"","")</f>
        <v/>
      </c>
      <c r="F40" s="123">
        <f>IFERROR(INDEX(JUL!AK$8:AK$73,MATCH($A40,JUL!$A$8:$A$73,0))&amp;"","")</f>
        <v/>
      </c>
      <c r="G40" s="123">
        <f>IFERROR(INDEX(JUL!AL$8:AL$73,MATCH($A40,JUL!$A$8:$A$73,0))&amp;"","")</f>
        <v/>
      </c>
      <c r="H40" s="123">
        <f>IFERROR(INDEX(JUL!AM$8:AM$73,MATCH($A40,JUL!$A$8:$A$73,0))&amp;"","")</f>
        <v/>
      </c>
      <c r="I40" s="127" t="inlineStr">
        <is>
          <t>LM</t>
        </is>
      </c>
      <c r="J40" s="127" t="inlineStr">
        <is>
          <t>LM</t>
        </is>
      </c>
      <c r="K40" s="127" t="inlineStr">
        <is>
          <t>LM</t>
        </is>
      </c>
      <c r="L40" s="127" t="inlineStr">
        <is>
          <t>LM</t>
        </is>
      </c>
      <c r="M40" s="127" t="inlineStr">
        <is>
          <t>LM</t>
        </is>
      </c>
      <c r="N40" s="127" t="inlineStr">
        <is>
          <t>LM</t>
        </is>
      </c>
      <c r="O40" s="127" t="inlineStr">
        <is>
          <t>LM</t>
        </is>
      </c>
      <c r="P40" s="127" t="inlineStr">
        <is>
          <t>LM</t>
        </is>
      </c>
      <c r="Q40" s="127" t="inlineStr">
        <is>
          <t>LM</t>
        </is>
      </c>
      <c r="R40" s="127" t="inlineStr">
        <is>
          <t>LM</t>
        </is>
      </c>
      <c r="S40" s="127" t="inlineStr">
        <is>
          <t>LM</t>
        </is>
      </c>
      <c r="T40" s="127" t="inlineStr">
        <is>
          <t>LM</t>
        </is>
      </c>
      <c r="U40" s="127" t="inlineStr">
        <is>
          <t>LM</t>
        </is>
      </c>
      <c r="V40" s="127" t="inlineStr">
        <is>
          <t>LM</t>
        </is>
      </c>
      <c r="W40" s="127" t="inlineStr">
        <is>
          <t>LM</t>
        </is>
      </c>
      <c r="X40" s="127" t="inlineStr">
        <is>
          <t>LM</t>
        </is>
      </c>
      <c r="Y40" s="127" t="inlineStr">
        <is>
          <t>LM</t>
        </is>
      </c>
      <c r="Z40" s="127" t="inlineStr">
        <is>
          <t>LM</t>
        </is>
      </c>
      <c r="AA40" s="127" t="inlineStr">
        <is>
          <t>LM</t>
        </is>
      </c>
      <c r="AB40" s="127" t="inlineStr">
        <is>
          <t>LM</t>
        </is>
      </c>
      <c r="AC40" s="127" t="inlineStr">
        <is>
          <t>LM</t>
        </is>
      </c>
      <c r="AD40" s="127" t="inlineStr">
        <is>
          <t>LM</t>
        </is>
      </c>
      <c r="AE40" s="127" t="inlineStr">
        <is>
          <t>LM</t>
        </is>
      </c>
      <c r="AF40" s="127" t="inlineStr">
        <is>
          <t>LM</t>
        </is>
      </c>
      <c r="AG40" s="127" t="inlineStr">
        <is>
          <t>LM</t>
        </is>
      </c>
      <c r="AH40" s="127" t="inlineStr">
        <is>
          <t>LM</t>
        </is>
      </c>
      <c r="AI40" s="127" t="inlineStr">
        <is>
          <t>LM</t>
        </is>
      </c>
      <c r="AJ40" s="127" t="inlineStr">
        <is>
          <t>LM</t>
        </is>
      </c>
      <c r="AK40" s="127" t="inlineStr">
        <is>
          <t>LM</t>
        </is>
      </c>
      <c r="AL40" s="127" t="inlineStr">
        <is>
          <t>LM</t>
        </is>
      </c>
      <c r="AM40" s="127" t="inlineStr">
        <is>
          <t>LM</t>
        </is>
      </c>
      <c r="AN40" s="123">
        <f>IFERROR(INDEX(SET!I$8:I$73,MATCH($A40,SET!$A$8:$A$73,0))&amp;"","")</f>
        <v/>
      </c>
      <c r="AO40" s="123">
        <f>IFERROR(INDEX(SET!J$8:J$73,MATCH($A40,SET!$A$8:$A$73,0))&amp;"","")</f>
        <v/>
      </c>
      <c r="AP40" s="123">
        <f>IFERROR(INDEX(SET!K$8:K$73,MATCH($A40,SET!$A$8:$A$73,0))&amp;"","")</f>
        <v/>
      </c>
      <c r="AQ40" s="123">
        <f>IFERROR(INDEX(SET!L$8:L$73,MATCH($A40,SET!$A$8:$A$73,0))&amp;"","")</f>
        <v/>
      </c>
      <c r="AR40" s="109">
        <f>IFERROR(INDEX(SET!M$8:M$73,MATCH($A40,SET!$A$8:$A$73,0))&amp;"","")</f>
        <v/>
      </c>
      <c r="AS40" s="109">
        <f>IFERROR(INDEX(SET!N$8:N$73,MATCH($A40,SET!$A$8:$A$73,0))&amp;"","")</f>
        <v/>
      </c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SUMPRODUCT(($D40:$J40="M")*6+($D40:$J40="T")*6+($D40:$J40="D")*12+($D40:$J40="N")*12+($D40:$J40="NT")*6+($D40:$J40="C")*10+($D40:$J40="A")*8+($D40:$J40="J")*5+($D40:$J40="E")*4+($D40:$J40="P")*6+($D40:$J40="R")*6)</f>
        <v/>
      </c>
      <c r="BF40" s="110">
        <f>SUMPRODUCT(($K40:$Q40="M")*6+($K40:$Q40="T")*6+($K40:$Q40="D")*12+($K40:$Q40="N")*12+($K40:$Q40="NT")*6+($K40:$Q40="C")*10+($K40:$Q40="A")*8+($K40:$Q40="J")*5+($K40:$Q40="E")*4+($K40:$Q40="P")*6+($K40:$Q40="R")*6)</f>
        <v/>
      </c>
      <c r="BG40" s="110">
        <f>SUMPRODUCT(($R40:$X40="M")*6+($R40:$X40="T")*6+($R40:$X40="D")*12+($R40:$X40="N")*12+($R40:$X40="NT")*6+($R40:$X40="C")*10+($R40:$X40="A")*8+($R40:$X40="J")*5+($R40:$X40="E")*4+($R40:$X40="P")*6+($R40:$X40="R")*6)</f>
        <v/>
      </c>
      <c r="BH40" s="110">
        <f>SUMPRODUCT(($Y40:$AE40="M")*6+($Y40:$AE40="T")*6+($Y40:$AE40="D")*12+($Y40:$AE40="N")*12+($Y40:$AE40="NT")*6+($Y40:$AE40="C")*10+($Y40:$AE40="A")*8+($Y40:$AE40="J")*5+($Y40:$AE40="E")*4+($Y40:$AE40="P")*6+($Y40:$AE40="R")*6)</f>
        <v/>
      </c>
      <c r="BI40" s="110">
        <f>SUMPRODUCT(($AF40:$AL40="M")*6+($AF40:$AL40="T")*6+($AF40:$AL40="D")*12+($AF40:$AL40="N")*12+($AF40:$AL40="NT")*6+($AF40:$AL40="C")*10+($AF40:$AL40="A")*8+($AF40:$AL40="J")*5+($AF40:$AL40="E")*4+($AF40:$AL40="P")*6+($AF40:$AL40="R")*6)</f>
        <v/>
      </c>
      <c r="BJ40" s="110">
        <f>SUMPRODUCT(($AM40:$AM40="M")*6+($AM40:$AM40="T")*6+($AM40:$AM40="D")*12+($AM40:$AM40="N")*12+($AM40:$AM40="NT")*6+($AM40:$AM40="C")*10+($AM40:$AM40="A")*8+($AM40:$AM40="J")*5+($AM40:$AM40="E")*4+($AM40:$AM40="P")*6+($AM40:$AM40="R")*6)+SUMPRODUCT(($AN40:$AS40="M")*6+($AN40:$AS40="T")*6+($AN40:$AS40="D")*12+($AN40:$AS40="N")*12+($AN40:$AS40="NT")*6+($AN40:$AS40="C")*10+($AN40:$AS40="A")*8+($AN40:$AS40="J")*5+($AN40:$AS40="E")*4+($AN40:$AS40="P")*6+($AN40:$AS40="R")*6)</f>
        <v/>
      </c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123">
        <f>IFERROR(INDEX(JUL!AI$8:AI$73,MATCH($A41,JUL!$A$8:$A$73,0))&amp;"","")</f>
        <v/>
      </c>
      <c r="E41" s="123">
        <f>IFERROR(INDEX(JUL!AJ$8:AJ$73,MATCH($A41,JUL!$A$8:$A$73,0))&amp;"","")</f>
        <v/>
      </c>
      <c r="F41" s="123">
        <f>IFERROR(INDEX(JUL!AK$8:AK$73,MATCH($A41,JUL!$A$8:$A$73,0))&amp;"","")</f>
        <v/>
      </c>
      <c r="G41" s="123">
        <f>IFERROR(INDEX(JUL!AL$8:AL$73,MATCH($A41,JUL!$A$8:$A$73,0))&amp;"","")</f>
        <v/>
      </c>
      <c r="H41" s="123">
        <f>IFERROR(INDEX(JUL!AM$8:AM$73,MATCH($A41,JUL!$A$8:$A$73,0))&amp;"","")</f>
        <v/>
      </c>
      <c r="I41" s="107" t="n"/>
      <c r="J41" s="116" t="inlineStr">
        <is>
          <t>N</t>
        </is>
      </c>
      <c r="K41" s="117" t="inlineStr">
        <is>
          <t>T</t>
        </is>
      </c>
      <c r="L41" s="107" t="n"/>
      <c r="M41" s="107" t="n"/>
      <c r="N41" s="107" t="n"/>
      <c r="O41" s="117" t="inlineStr">
        <is>
          <t>T</t>
        </is>
      </c>
      <c r="P41" s="107" t="n"/>
      <c r="Q41" s="115" t="inlineStr">
        <is>
          <t>D</t>
        </is>
      </c>
      <c r="R41" s="115" t="inlineStr">
        <is>
          <t>D</t>
        </is>
      </c>
      <c r="S41" s="107" t="n"/>
      <c r="T41" s="107" t="n"/>
      <c r="U41" s="107" t="n"/>
      <c r="V41" s="115" t="inlineStr">
        <is>
          <t>D</t>
        </is>
      </c>
      <c r="W41" s="107" t="n"/>
      <c r="X41" s="107" t="n"/>
      <c r="Y41" s="115" t="inlineStr">
        <is>
          <t>D</t>
        </is>
      </c>
      <c r="Z41" s="115" t="inlineStr">
        <is>
          <t>D</t>
        </is>
      </c>
      <c r="AA41" s="107" t="n"/>
      <c r="AB41" s="107" t="n"/>
      <c r="AC41" s="107" t="n"/>
      <c r="AD41" s="107" t="n"/>
      <c r="AE41" s="107" t="n"/>
      <c r="AF41" s="117" t="inlineStr">
        <is>
          <t>T</t>
        </is>
      </c>
      <c r="AG41" s="107" t="n"/>
      <c r="AH41" s="107" t="n"/>
      <c r="AI41" s="116" t="inlineStr">
        <is>
          <t>N</t>
        </is>
      </c>
      <c r="AJ41" s="107" t="n"/>
      <c r="AK41" s="117" t="inlineStr">
        <is>
          <t>T</t>
        </is>
      </c>
      <c r="AL41" s="107" t="n"/>
      <c r="AM41" s="115" t="inlineStr">
        <is>
          <t>D</t>
        </is>
      </c>
      <c r="AN41" s="123">
        <f>IFERROR(INDEX(SET!I$8:I$73,MATCH($A41,SET!$A$8:$A$73,0))&amp;"","")</f>
        <v/>
      </c>
      <c r="AO41" s="123">
        <f>IFERROR(INDEX(SET!J$8:J$73,MATCH($A41,SET!$A$8:$A$73,0))&amp;"","")</f>
        <v/>
      </c>
      <c r="AP41" s="123">
        <f>IFERROR(INDEX(SET!K$8:K$73,MATCH($A41,SET!$A$8:$A$73,0))&amp;"","")</f>
        <v/>
      </c>
      <c r="AQ41" s="123">
        <f>IFERROR(INDEX(SET!L$8:L$73,MATCH($A41,SET!$A$8:$A$73,0))&amp;"","")</f>
        <v/>
      </c>
      <c r="AR41" s="109">
        <f>IFERROR(INDEX(SET!M$8:M$73,MATCH($A41,SET!$A$8:$A$73,0))&amp;"","")</f>
        <v/>
      </c>
      <c r="AS41" s="109">
        <f>IFERROR(INDEX(SET!N$8:N$73,MATCH($A41,SET!$A$8:$A$73,0))&amp;"","")</f>
        <v/>
      </c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SUMPRODUCT(($D41:$J41="M")*6+($D41:$J41="T")*6+($D41:$J41="D")*12+($D41:$J41="N")*12+($D41:$J41="NT")*6+($D41:$J41="C")*10+($D41:$J41="A")*8+($D41:$J41="J")*5+($D41:$J41="E")*4+($D41:$J41="P")*6+($D41:$J41="R")*6)</f>
        <v/>
      </c>
      <c r="BF41" s="110">
        <f>SUMPRODUCT(($K41:$Q41="M")*6+($K41:$Q41="T")*6+($K41:$Q41="D")*12+($K41:$Q41="N")*12+($K41:$Q41="NT")*6+($K41:$Q41="C")*10+($K41:$Q41="A")*8+($K41:$Q41="J")*5+($K41:$Q41="E")*4+($K41:$Q41="P")*6+($K41:$Q41="R")*6)</f>
        <v/>
      </c>
      <c r="BG41" s="110">
        <f>SUMPRODUCT(($R41:$X41="M")*6+($R41:$X41="T")*6+($R41:$X41="D")*12+($R41:$X41="N")*12+($R41:$X41="NT")*6+($R41:$X41="C")*10+($R41:$X41="A")*8+($R41:$X41="J")*5+($R41:$X41="E")*4+($R41:$X41="P")*6+($R41:$X41="R")*6)</f>
        <v/>
      </c>
      <c r="BH41" s="110">
        <f>SUMPRODUCT(($Y41:$AE41="M")*6+($Y41:$AE41="T")*6+($Y41:$AE41="D")*12+($Y41:$AE41="N")*12+($Y41:$AE41="NT")*6+($Y41:$AE41="C")*10+($Y41:$AE41="A")*8+($Y41:$AE41="J")*5+($Y41:$AE41="E")*4+($Y41:$AE41="P")*6+($Y41:$AE41="R")*6)</f>
        <v/>
      </c>
      <c r="BI41" s="110">
        <f>SUMPRODUCT(($AF41:$AL41="M")*6+($AF41:$AL41="T")*6+($AF41:$AL41="D")*12+($AF41:$AL41="N")*12+($AF41:$AL41="NT")*6+($AF41:$AL41="C")*10+($AF41:$AL41="A")*8+($AF41:$AL41="J")*5+($AF41:$AL41="E")*4+($AF41:$AL41="P")*6+($AF41:$AL41="R")*6)</f>
        <v/>
      </c>
      <c r="BJ41" s="110">
        <f>SUMPRODUCT(($AM41:$AM41="M")*6+($AM41:$AM41="T")*6+($AM41:$AM41="D")*12+($AM41:$AM41="N")*12+($AM41:$AM41="NT")*6+($AM41:$AM41="C")*10+($AM41:$AM41="A")*8+($AM41:$AM41="J")*5+($AM41:$AM41="E")*4+($AM41:$AM41="P")*6+($AM41:$AM41="R")*6)+SUMPRODUCT(($AN41:$AS41="M")*6+($AN41:$AS41="T")*6+($AN41:$AS41="D")*12+($AN41:$AS41="N")*12+($AN41:$AS41="NT")*6+($AN41:$AS41="C")*10+($AN41:$AS41="A")*8+($AN41:$AS41="J")*5+($AN41:$AS41="E")*4+($AN41:$AS41="P")*6+($AN41:$AS41="R")*6)</f>
        <v/>
      </c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123">
        <f>IFERROR(INDEX(JUL!AI$8:AI$73,MATCH($A42,JUL!$A$8:$A$73,0))&amp;"","")</f>
        <v/>
      </c>
      <c r="E42" s="123">
        <f>IFERROR(INDEX(JUL!AJ$8:AJ$73,MATCH($A42,JUL!$A$8:$A$73,0))&amp;"","")</f>
        <v/>
      </c>
      <c r="F42" s="123">
        <f>IFERROR(INDEX(JUL!AK$8:AK$73,MATCH($A42,JUL!$A$8:$A$73,0))&amp;"","")</f>
        <v/>
      </c>
      <c r="G42" s="123">
        <f>IFERROR(INDEX(JUL!AL$8:AL$73,MATCH($A42,JUL!$A$8:$A$73,0))&amp;"","")</f>
        <v/>
      </c>
      <c r="H42" s="123">
        <f>IFERROR(INDEX(JUL!AM$8:AM$73,MATCH($A42,JUL!$A$8:$A$73,0))&amp;"","")</f>
        <v/>
      </c>
      <c r="I42" s="107" t="n"/>
      <c r="J42" s="107" t="n"/>
      <c r="K42" s="107" t="n"/>
      <c r="L42" s="115" t="inlineStr">
        <is>
          <t>D</t>
        </is>
      </c>
      <c r="M42" s="107" t="n"/>
      <c r="N42" s="107" t="n"/>
      <c r="O42" s="116" t="inlineStr">
        <is>
          <t>N</t>
        </is>
      </c>
      <c r="P42" s="107" t="n"/>
      <c r="Q42" s="107" t="n"/>
      <c r="R42" s="107" t="n"/>
      <c r="S42" s="107" t="n"/>
      <c r="T42" s="117" t="inlineStr">
        <is>
          <t>T</t>
        </is>
      </c>
      <c r="U42" s="107" t="n"/>
      <c r="V42" s="107" t="n"/>
      <c r="W42" s="117" t="inlineStr">
        <is>
          <t>T</t>
        </is>
      </c>
      <c r="X42" s="115" t="inlineStr">
        <is>
          <t>D</t>
        </is>
      </c>
      <c r="Y42" s="115" t="inlineStr">
        <is>
          <t>D</t>
        </is>
      </c>
      <c r="Z42" s="107" t="n"/>
      <c r="AA42" s="107" t="n"/>
      <c r="AB42" s="107" t="n"/>
      <c r="AC42" s="107" t="n"/>
      <c r="AD42" s="107" t="n"/>
      <c r="AE42" s="115" t="inlineStr">
        <is>
          <t>D</t>
        </is>
      </c>
      <c r="AF42" s="107" t="n"/>
      <c r="AG42" s="115" t="inlineStr">
        <is>
          <t>D</t>
        </is>
      </c>
      <c r="AH42" s="107" t="n"/>
      <c r="AI42" s="115" t="inlineStr">
        <is>
          <t>D</t>
        </is>
      </c>
      <c r="AJ42" s="107" t="n"/>
      <c r="AK42" s="107" t="n"/>
      <c r="AL42" s="107" t="n"/>
      <c r="AM42" s="107" t="n"/>
      <c r="AN42" s="123">
        <f>IFERROR(INDEX(SET!I$8:I$73,MATCH($A42,SET!$A$8:$A$73,0))&amp;"","")</f>
        <v/>
      </c>
      <c r="AO42" s="123">
        <f>IFERROR(INDEX(SET!J$8:J$73,MATCH($A42,SET!$A$8:$A$73,0))&amp;"","")</f>
        <v/>
      </c>
      <c r="AP42" s="123">
        <f>IFERROR(INDEX(SET!K$8:K$73,MATCH($A42,SET!$A$8:$A$73,0))&amp;"","")</f>
        <v/>
      </c>
      <c r="AQ42" s="123">
        <f>IFERROR(INDEX(SET!L$8:L$73,MATCH($A42,SET!$A$8:$A$73,0))&amp;"","")</f>
        <v/>
      </c>
      <c r="AR42" s="109">
        <f>IFERROR(INDEX(SET!M$8:M$73,MATCH($A42,SET!$A$8:$A$73,0))&amp;"","")</f>
        <v/>
      </c>
      <c r="AS42" s="109">
        <f>IFERROR(INDEX(SET!N$8:N$73,MATCH($A42,SET!$A$8:$A$73,0))&amp;"","")</f>
        <v/>
      </c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SUMPRODUCT(($D42:$J42="M")*6+($D42:$J42="T")*6+($D42:$J42="D")*12+($D42:$J42="N")*12+($D42:$J42="NT")*6+($D42:$J42="C")*10+($D42:$J42="A")*8+($D42:$J42="J")*5+($D42:$J42="E")*4+($D42:$J42="P")*6+($D42:$J42="R")*6)</f>
        <v/>
      </c>
      <c r="BF42" s="110">
        <f>SUMPRODUCT(($K42:$Q42="M")*6+($K42:$Q42="T")*6+($K42:$Q42="D")*12+($K42:$Q42="N")*12+($K42:$Q42="NT")*6+($K42:$Q42="C")*10+($K42:$Q42="A")*8+($K42:$Q42="J")*5+($K42:$Q42="E")*4+($K42:$Q42="P")*6+($K42:$Q42="R")*6)</f>
        <v/>
      </c>
      <c r="BG42" s="110">
        <f>SUMPRODUCT(($R42:$X42="M")*6+($R42:$X42="T")*6+($R42:$X42="D")*12+($R42:$X42="N")*12+($R42:$X42="NT")*6+($R42:$X42="C")*10+($R42:$X42="A")*8+($R42:$X42="J")*5+($R42:$X42="E")*4+($R42:$X42="P")*6+($R42:$X42="R")*6)</f>
        <v/>
      </c>
      <c r="BH42" s="110">
        <f>SUMPRODUCT(($Y42:$AE42="M")*6+($Y42:$AE42="T")*6+($Y42:$AE42="D")*12+($Y42:$AE42="N")*12+($Y42:$AE42="NT")*6+($Y42:$AE42="C")*10+($Y42:$AE42="A")*8+($Y42:$AE42="J")*5+($Y42:$AE42="E")*4+($Y42:$AE42="P")*6+($Y42:$AE42="R")*6)</f>
        <v/>
      </c>
      <c r="BI42" s="110">
        <f>SUMPRODUCT(($AF42:$AL42="M")*6+($AF42:$AL42="T")*6+($AF42:$AL42="D")*12+($AF42:$AL42="N")*12+($AF42:$AL42="NT")*6+($AF42:$AL42="C")*10+($AF42:$AL42="A")*8+($AF42:$AL42="J")*5+($AF42:$AL42="E")*4+($AF42:$AL42="P")*6+($AF42:$AL42="R")*6)</f>
        <v/>
      </c>
      <c r="BJ42" s="110">
        <f>SUMPRODUCT(($AM42:$AM42="M")*6+($AM42:$AM42="T")*6+($AM42:$AM42="D")*12+($AM42:$AM42="N")*12+($AM42:$AM42="NT")*6+($AM42:$AM42="C")*10+($AM42:$AM42="A")*8+($AM42:$AM42="J")*5+($AM42:$AM42="E")*4+($AM42:$AM42="P")*6+($AM42:$AM42="R")*6)+SUMPRODUCT(($AN42:$AS42="M")*6+($AN42:$AS42="T")*6+($AN42:$AS42="D")*12+($AN42:$AS42="N")*12+($AN42:$AS42="NT")*6+($AN42:$AS42="C")*10+($AN42:$AS42="A")*8+($AN42:$AS42="J")*5+($AN42:$AS42="E")*4+($AN42:$AS42="P")*6+($AN42:$AS42="R")*6)</f>
        <v/>
      </c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123">
        <f>IFERROR(INDEX(JUL!AI$8:AI$73,MATCH($A43,JUL!$A$8:$A$73,0))&amp;"","")</f>
        <v/>
      </c>
      <c r="E43" s="123">
        <f>IFERROR(INDEX(JUL!AJ$8:AJ$73,MATCH($A43,JUL!$A$8:$A$73,0))&amp;"","")</f>
        <v/>
      </c>
      <c r="F43" s="123">
        <f>IFERROR(INDEX(JUL!AK$8:AK$73,MATCH($A43,JUL!$A$8:$A$73,0))&amp;"","")</f>
        <v/>
      </c>
      <c r="G43" s="123">
        <f>IFERROR(INDEX(JUL!AL$8:AL$73,MATCH($A43,JUL!$A$8:$A$73,0))&amp;"","")</f>
        <v/>
      </c>
      <c r="H43" s="123">
        <f>IFERROR(INDEX(JUL!AM$8:AM$73,MATCH($A43,JUL!$A$8:$A$73,0))&amp;"","")</f>
        <v/>
      </c>
      <c r="I43" s="107" t="n"/>
      <c r="J43" s="107" t="n"/>
      <c r="K43" s="116" t="inlineStr">
        <is>
          <t>N</t>
        </is>
      </c>
      <c r="L43" s="107" t="n"/>
      <c r="M43" s="107" t="n"/>
      <c r="N43" s="107" t="n"/>
      <c r="O43" s="107" t="n"/>
      <c r="P43" s="107" t="n"/>
      <c r="Q43" s="116" t="inlineStr">
        <is>
          <t>N</t>
        </is>
      </c>
      <c r="R43" s="107" t="n"/>
      <c r="S43" s="116" t="inlineStr">
        <is>
          <t>N</t>
        </is>
      </c>
      <c r="T43" s="107" t="n"/>
      <c r="U43" s="107" t="n"/>
      <c r="V43" s="107" t="n"/>
      <c r="W43" s="116" t="inlineStr">
        <is>
          <t>N</t>
        </is>
      </c>
      <c r="X43" s="107" t="n"/>
      <c r="Y43" s="116" t="inlineStr">
        <is>
          <t>N</t>
        </is>
      </c>
      <c r="Z43" s="107" t="n"/>
      <c r="AA43" s="107" t="n"/>
      <c r="AB43" s="116" t="inlineStr">
        <is>
          <t>N</t>
        </is>
      </c>
      <c r="AC43" s="107" t="n"/>
      <c r="AD43" s="107" t="n"/>
      <c r="AE43" s="107" t="n"/>
      <c r="AF43" s="116" t="inlineStr">
        <is>
          <t>N</t>
        </is>
      </c>
      <c r="AG43" s="107" t="n"/>
      <c r="AH43" s="107" t="n"/>
      <c r="AI43" s="107" t="n"/>
      <c r="AJ43" s="107" t="n"/>
      <c r="AK43" s="116" t="inlineStr">
        <is>
          <t>N</t>
        </is>
      </c>
      <c r="AL43" s="107" t="n"/>
      <c r="AM43" s="116" t="inlineStr">
        <is>
          <t>N</t>
        </is>
      </c>
      <c r="AN43" s="123">
        <f>IFERROR(INDEX(SET!I$8:I$73,MATCH($A43,SET!$A$8:$A$73,0))&amp;"","")</f>
        <v/>
      </c>
      <c r="AO43" s="123">
        <f>IFERROR(INDEX(SET!J$8:J$73,MATCH($A43,SET!$A$8:$A$73,0))&amp;"","")</f>
        <v/>
      </c>
      <c r="AP43" s="123">
        <f>IFERROR(INDEX(SET!K$8:K$73,MATCH($A43,SET!$A$8:$A$73,0))&amp;"","")</f>
        <v/>
      </c>
      <c r="AQ43" s="123">
        <f>IFERROR(INDEX(SET!L$8:L$73,MATCH($A43,SET!$A$8:$A$73,0))&amp;"","")</f>
        <v/>
      </c>
      <c r="AR43" s="109">
        <f>IFERROR(INDEX(SET!M$8:M$73,MATCH($A43,SET!$A$8:$A$73,0))&amp;"","")</f>
        <v/>
      </c>
      <c r="AS43" s="109">
        <f>IFERROR(INDEX(SET!N$8:N$73,MATCH($A43,SET!$A$8:$A$73,0))&amp;"","")</f>
        <v/>
      </c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SUMPRODUCT(($D43:$J43="M")*6+($D43:$J43="T")*6+($D43:$J43="D")*12+($D43:$J43="N")*12+($D43:$J43="NT")*6+($D43:$J43="C")*10+($D43:$J43="A")*8+($D43:$J43="J")*5+($D43:$J43="E")*4+($D43:$J43="P")*6+($D43:$J43="R")*6)</f>
        <v/>
      </c>
      <c r="BF43" s="110">
        <f>SUMPRODUCT(($K43:$Q43="M")*6+($K43:$Q43="T")*6+($K43:$Q43="D")*12+($K43:$Q43="N")*12+($K43:$Q43="NT")*6+($K43:$Q43="C")*10+($K43:$Q43="A")*8+($K43:$Q43="J")*5+($K43:$Q43="E")*4+($K43:$Q43="P")*6+($K43:$Q43="R")*6)</f>
        <v/>
      </c>
      <c r="BG43" s="110">
        <f>SUMPRODUCT(($R43:$X43="M")*6+($R43:$X43="T")*6+($R43:$X43="D")*12+($R43:$X43="N")*12+($R43:$X43="NT")*6+($R43:$X43="C")*10+($R43:$X43="A")*8+($R43:$X43="J")*5+($R43:$X43="E")*4+($R43:$X43="P")*6+($R43:$X43="R")*6)</f>
        <v/>
      </c>
      <c r="BH43" s="110">
        <f>SUMPRODUCT(($Y43:$AE43="M")*6+($Y43:$AE43="T")*6+($Y43:$AE43="D")*12+($Y43:$AE43="N")*12+($Y43:$AE43="NT")*6+($Y43:$AE43="C")*10+($Y43:$AE43="A")*8+($Y43:$AE43="J")*5+($Y43:$AE43="E")*4+($Y43:$AE43="P")*6+($Y43:$AE43="R")*6)</f>
        <v/>
      </c>
      <c r="BI43" s="110">
        <f>SUMPRODUCT(($AF43:$AL43="M")*6+($AF43:$AL43="T")*6+($AF43:$AL43="D")*12+($AF43:$AL43="N")*12+($AF43:$AL43="NT")*6+($AF43:$AL43="C")*10+($AF43:$AL43="A")*8+($AF43:$AL43="J")*5+($AF43:$AL43="E")*4+($AF43:$AL43="P")*6+($AF43:$AL43="R")*6)</f>
        <v/>
      </c>
      <c r="BJ43" s="110">
        <f>SUMPRODUCT(($AM43:$AM43="M")*6+($AM43:$AM43="T")*6+($AM43:$AM43="D")*12+($AM43:$AM43="N")*12+($AM43:$AM43="NT")*6+($AM43:$AM43="C")*10+($AM43:$AM43="A")*8+($AM43:$AM43="J")*5+($AM43:$AM43="E")*4+($AM43:$AM43="P")*6+($AM43:$AM43="R")*6)+SUMPRODUCT(($AN43:$AS43="M")*6+($AN43:$AS43="T")*6+($AN43:$AS43="D")*12+($AN43:$AS43="N")*12+($AN43:$AS43="NT")*6+($AN43:$AS43="C")*10+($AN43:$AS43="A")*8+($AN43:$AS43="J")*5+($AN43:$AS43="E")*4+($AN43:$AS43="P")*6+($AN43:$AS43="R")*6)</f>
        <v/>
      </c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123">
        <f>IFERROR(INDEX(JUL!AI$8:AI$73,MATCH($A44,JUL!$A$8:$A$73,0))&amp;"","")</f>
        <v/>
      </c>
      <c r="E44" s="123">
        <f>IFERROR(INDEX(JUL!AJ$8:AJ$73,MATCH($A44,JUL!$A$8:$A$73,0))&amp;"","")</f>
        <v/>
      </c>
      <c r="F44" s="123">
        <f>IFERROR(INDEX(JUL!AK$8:AK$73,MATCH($A44,JUL!$A$8:$A$73,0))&amp;"","")</f>
        <v/>
      </c>
      <c r="G44" s="123">
        <f>IFERROR(INDEX(JUL!AL$8:AL$73,MATCH($A44,JUL!$A$8:$A$73,0))&amp;"","")</f>
        <v/>
      </c>
      <c r="H44" s="123">
        <f>IFERROR(INDEX(JUL!AM$8:AM$73,MATCH($A44,JUL!$A$8:$A$73,0))&amp;"","")</f>
        <v/>
      </c>
      <c r="I44" s="107" t="n"/>
      <c r="J44" s="107" t="n"/>
      <c r="K44" s="107" t="n"/>
      <c r="L44" s="107" t="n"/>
      <c r="M44" s="107" t="n"/>
      <c r="N44" s="107" t="n"/>
      <c r="O44" s="115" t="inlineStr">
        <is>
          <t>D</t>
        </is>
      </c>
      <c r="P44" s="115" t="inlineStr">
        <is>
          <t>D</t>
        </is>
      </c>
      <c r="Q44" s="107" t="n"/>
      <c r="R44" s="107" t="n"/>
      <c r="S44" s="115" t="inlineStr">
        <is>
          <t>D</t>
        </is>
      </c>
      <c r="T44" s="115" t="inlineStr">
        <is>
          <t>D</t>
        </is>
      </c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5" t="inlineStr">
        <is>
          <t>D</t>
        </is>
      </c>
      <c r="AD44" s="115" t="inlineStr">
        <is>
          <t>D</t>
        </is>
      </c>
      <c r="AE44" s="107" t="n"/>
      <c r="AF44" s="107" t="n"/>
      <c r="AG44" s="115" t="inlineStr">
        <is>
          <t>D</t>
        </is>
      </c>
      <c r="AH44" s="117" t="inlineStr">
        <is>
          <t>T</t>
        </is>
      </c>
      <c r="AI44" s="107" t="n"/>
      <c r="AJ44" s="117" t="inlineStr">
        <is>
          <t>T</t>
        </is>
      </c>
      <c r="AK44" s="107" t="n"/>
      <c r="AL44" s="107" t="n"/>
      <c r="AM44" s="107" t="n"/>
      <c r="AN44" s="123">
        <f>IFERROR(INDEX(SET!I$8:I$73,MATCH($A44,SET!$A$8:$A$73,0))&amp;"","")</f>
        <v/>
      </c>
      <c r="AO44" s="123">
        <f>IFERROR(INDEX(SET!J$8:J$73,MATCH($A44,SET!$A$8:$A$73,0))&amp;"","")</f>
        <v/>
      </c>
      <c r="AP44" s="123">
        <f>IFERROR(INDEX(SET!K$8:K$73,MATCH($A44,SET!$A$8:$A$73,0))&amp;"","")</f>
        <v/>
      </c>
      <c r="AQ44" s="123">
        <f>IFERROR(INDEX(SET!L$8:L$73,MATCH($A44,SET!$A$8:$A$73,0))&amp;"","")</f>
        <v/>
      </c>
      <c r="AR44" s="109">
        <f>IFERROR(INDEX(SET!M$8:M$73,MATCH($A44,SET!$A$8:$A$73,0))&amp;"","")</f>
        <v/>
      </c>
      <c r="AS44" s="109">
        <f>IFERROR(INDEX(SET!N$8:N$73,MATCH($A44,SET!$A$8:$A$73,0))&amp;"","")</f>
        <v/>
      </c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SUMPRODUCT(($D44:$J44="M")*6+($D44:$J44="T")*6+($D44:$J44="D")*12+($D44:$J44="N")*12+($D44:$J44="NT")*6+($D44:$J44="C")*10+($D44:$J44="A")*8+($D44:$J44="J")*5+($D44:$J44="E")*4+($D44:$J44="P")*6+($D44:$J44="R")*6)</f>
        <v/>
      </c>
      <c r="BF44" s="110">
        <f>SUMPRODUCT(($K44:$Q44="M")*6+($K44:$Q44="T")*6+($K44:$Q44="D")*12+($K44:$Q44="N")*12+($K44:$Q44="NT")*6+($K44:$Q44="C")*10+($K44:$Q44="A")*8+($K44:$Q44="J")*5+($K44:$Q44="E")*4+($K44:$Q44="P")*6+($K44:$Q44="R")*6)</f>
        <v/>
      </c>
      <c r="BG44" s="110">
        <f>SUMPRODUCT(($R44:$X44="M")*6+($R44:$X44="T")*6+($R44:$X44="D")*12+($R44:$X44="N")*12+($R44:$X44="NT")*6+($R44:$X44="C")*10+($R44:$X44="A")*8+($R44:$X44="J")*5+($R44:$X44="E")*4+($R44:$X44="P")*6+($R44:$X44="R")*6)</f>
        <v/>
      </c>
      <c r="BH44" s="110">
        <f>SUMPRODUCT(($Y44:$AE44="M")*6+($Y44:$AE44="T")*6+($Y44:$AE44="D")*12+($Y44:$AE44="N")*12+($Y44:$AE44="NT")*6+($Y44:$AE44="C")*10+($Y44:$AE44="A")*8+($Y44:$AE44="J")*5+($Y44:$AE44="E")*4+($Y44:$AE44="P")*6+($Y44:$AE44="R")*6)</f>
        <v/>
      </c>
      <c r="BI44" s="110">
        <f>SUMPRODUCT(($AF44:$AL44="M")*6+($AF44:$AL44="T")*6+($AF44:$AL44="D")*12+($AF44:$AL44="N")*12+($AF44:$AL44="NT")*6+($AF44:$AL44="C")*10+($AF44:$AL44="A")*8+($AF44:$AL44="J")*5+($AF44:$AL44="E")*4+($AF44:$AL44="P")*6+($AF44:$AL44="R")*6)</f>
        <v/>
      </c>
      <c r="BJ44" s="110">
        <f>SUMPRODUCT(($AM44:$AM44="M")*6+($AM44:$AM44="T")*6+($AM44:$AM44="D")*12+($AM44:$AM44="N")*12+($AM44:$AM44="NT")*6+($AM44:$AM44="C")*10+($AM44:$AM44="A")*8+($AM44:$AM44="J")*5+($AM44:$AM44="E")*4+($AM44:$AM44="P")*6+($AM44:$AM44="R")*6)+SUMPRODUCT(($AN44:$AS44="M")*6+($AN44:$AS44="T")*6+($AN44:$AS44="D")*12+($AN44:$AS44="N")*12+($AN44:$AS44="NT")*6+($AN44:$AS44="C")*10+($AN44:$AS44="A")*8+($AN44:$AS44="J")*5+($AN44:$AS44="E")*4+($AN44:$AS44="P")*6+($AN44:$AS44="R")*6)</f>
        <v/>
      </c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123">
        <f>IFERROR(INDEX(JUL!AI$8:AI$73,MATCH($A45,JUL!$A$8:$A$73,0))&amp;"","")</f>
        <v/>
      </c>
      <c r="E45" s="123">
        <f>IFERROR(INDEX(JUL!AJ$8:AJ$73,MATCH($A45,JUL!$A$8:$A$73,0))&amp;"","")</f>
        <v/>
      </c>
      <c r="F45" s="123">
        <f>IFERROR(INDEX(JUL!AK$8:AK$73,MATCH($A45,JUL!$A$8:$A$73,0))&amp;"","")</f>
        <v/>
      </c>
      <c r="G45" s="123">
        <f>IFERROR(INDEX(JUL!AL$8:AL$73,MATCH($A45,JUL!$A$8:$A$73,0))&amp;"","")</f>
        <v/>
      </c>
      <c r="H45" s="123">
        <f>IFERROR(INDEX(JUL!AM$8:AM$73,MATCH($A45,JUL!$A$8:$A$73,0))&amp;"","")</f>
        <v/>
      </c>
      <c r="I45" s="128" t="inlineStr">
        <is>
          <t>FE</t>
        </is>
      </c>
      <c r="J45" s="128" t="inlineStr">
        <is>
          <t>FE</t>
        </is>
      </c>
      <c r="K45" s="128" t="inlineStr">
        <is>
          <t>FE</t>
        </is>
      </c>
      <c r="L45" s="128" t="inlineStr">
        <is>
          <t>FE</t>
        </is>
      </c>
      <c r="M45" s="128" t="inlineStr">
        <is>
          <t>FE</t>
        </is>
      </c>
      <c r="N45" s="128" t="inlineStr">
        <is>
          <t>FE</t>
        </is>
      </c>
      <c r="O45" s="128" t="inlineStr">
        <is>
          <t>FE</t>
        </is>
      </c>
      <c r="P45" s="128" t="inlineStr">
        <is>
          <t>FE</t>
        </is>
      </c>
      <c r="Q45" s="128" t="inlineStr">
        <is>
          <t>FE</t>
        </is>
      </c>
      <c r="R45" s="128" t="inlineStr">
        <is>
          <t>FE</t>
        </is>
      </c>
      <c r="S45" s="107" t="n"/>
      <c r="T45" s="107" t="n"/>
      <c r="U45" s="108" t="inlineStr">
        <is>
          <t>M</t>
        </is>
      </c>
      <c r="V45" s="107" t="n"/>
      <c r="W45" s="116" t="inlineStr">
        <is>
          <t>N</t>
        </is>
      </c>
      <c r="X45" s="107" t="n"/>
      <c r="Y45" s="108" t="inlineStr">
        <is>
          <t>M</t>
        </is>
      </c>
      <c r="Z45" s="108" t="inlineStr">
        <is>
          <t>M</t>
        </is>
      </c>
      <c r="AA45" s="107" t="n"/>
      <c r="AB45" s="108" t="inlineStr">
        <is>
          <t>M</t>
        </is>
      </c>
      <c r="AC45" s="108" t="inlineStr">
        <is>
          <t>M</t>
        </is>
      </c>
      <c r="AD45" s="107" t="n"/>
      <c r="AE45" s="107" t="n"/>
      <c r="AF45" s="108" t="inlineStr">
        <is>
          <t>M</t>
        </is>
      </c>
      <c r="AG45" s="108" t="inlineStr">
        <is>
          <t>M</t>
        </is>
      </c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7" t="n"/>
      <c r="AM45" s="108" t="inlineStr">
        <is>
          <t>M</t>
        </is>
      </c>
      <c r="AN45" s="123">
        <f>IFERROR(INDEX(SET!I$8:I$73,MATCH($A45,SET!$A$8:$A$73,0))&amp;"","")</f>
        <v/>
      </c>
      <c r="AO45" s="123">
        <f>IFERROR(INDEX(SET!J$8:J$73,MATCH($A45,SET!$A$8:$A$73,0))&amp;"","")</f>
        <v/>
      </c>
      <c r="AP45" s="123">
        <f>IFERROR(INDEX(SET!K$8:K$73,MATCH($A45,SET!$A$8:$A$73,0))&amp;"","")</f>
        <v/>
      </c>
      <c r="AQ45" s="123">
        <f>IFERROR(INDEX(SET!L$8:L$73,MATCH($A45,SET!$A$8:$A$73,0))&amp;"","")</f>
        <v/>
      </c>
      <c r="AR45" s="109">
        <f>IFERROR(INDEX(SET!M$8:M$73,MATCH($A45,SET!$A$8:$A$73,0))&amp;"","")</f>
        <v/>
      </c>
      <c r="AS45" s="109">
        <f>IFERROR(INDEX(SET!N$8:N$73,MATCH($A45,SET!$A$8:$A$73,0))&amp;"","")</f>
        <v/>
      </c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SUMPRODUCT(($D45:$J45="M")*6+($D45:$J45="T")*6+($D45:$J45="D")*12+($D45:$J45="N")*12+($D45:$J45="NT")*6+($D45:$J45="C")*10+($D45:$J45="A")*8+($D45:$J45="J")*5+($D45:$J45="E")*4+($D45:$J45="P")*6+($D45:$J45="R")*6)</f>
        <v/>
      </c>
      <c r="BF45" s="110">
        <f>SUMPRODUCT(($K45:$Q45="M")*6+($K45:$Q45="T")*6+($K45:$Q45="D")*12+($K45:$Q45="N")*12+($K45:$Q45="NT")*6+($K45:$Q45="C")*10+($K45:$Q45="A")*8+($K45:$Q45="J")*5+($K45:$Q45="E")*4+($K45:$Q45="P")*6+($K45:$Q45="R")*6)</f>
        <v/>
      </c>
      <c r="BG45" s="110">
        <f>SUMPRODUCT(($R45:$X45="M")*6+($R45:$X45="T")*6+($R45:$X45="D")*12+($R45:$X45="N")*12+($R45:$X45="NT")*6+($R45:$X45="C")*10+($R45:$X45="A")*8+($R45:$X45="J")*5+($R45:$X45="E")*4+($R45:$X45="P")*6+($R45:$X45="R")*6)</f>
        <v/>
      </c>
      <c r="BH45" s="110">
        <f>SUMPRODUCT(($Y45:$AE45="M")*6+($Y45:$AE45="T")*6+($Y45:$AE45="D")*12+($Y45:$AE45="N")*12+($Y45:$AE45="NT")*6+($Y45:$AE45="C")*10+($Y45:$AE45="A")*8+($Y45:$AE45="J")*5+($Y45:$AE45="E")*4+($Y45:$AE45="P")*6+($Y45:$AE45="R")*6)</f>
        <v/>
      </c>
      <c r="BI45" s="110">
        <f>SUMPRODUCT(($AF45:$AL45="M")*6+($AF45:$AL45="T")*6+($AF45:$AL45="D")*12+($AF45:$AL45="N")*12+($AF45:$AL45="NT")*6+($AF45:$AL45="C")*10+($AF45:$AL45="A")*8+($AF45:$AL45="J")*5+($AF45:$AL45="E")*4+($AF45:$AL45="P")*6+($AF45:$AL45="R")*6)</f>
        <v/>
      </c>
      <c r="BJ45" s="110">
        <f>SUMPRODUCT(($AM45:$AM45="M")*6+($AM45:$AM45="T")*6+($AM45:$AM45="D")*12+($AM45:$AM45="N")*12+($AM45:$AM45="NT")*6+($AM45:$AM45="C")*10+($AM45:$AM45="A")*8+($AM45:$AM45="J")*5+($AM45:$AM45="E")*4+($AM45:$AM45="P")*6+($AM45:$AM45="R")*6)+SUMPRODUCT(($AN45:$AS45="M")*6+($AN45:$AS45="T")*6+($AN45:$AS45="D")*12+($AN45:$AS45="N")*12+($AN45:$AS45="NT")*6+($AN45:$AS45="C")*10+($AN45:$AS45="A")*8+($AN45:$AS45="J")*5+($AN45:$AS45="E")*4+($AN45:$AS45="P")*6+($AN45:$AS45="R")*6)</f>
        <v/>
      </c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123">
        <f>IFERROR(INDEX(JUL!AI$8:AI$73,MATCH($A46,JUL!$A$8:$A$73,0))&amp;"","")</f>
        <v/>
      </c>
      <c r="E46" s="123">
        <f>IFERROR(INDEX(JUL!AJ$8:AJ$73,MATCH($A46,JUL!$A$8:$A$73,0))&amp;"","")</f>
        <v/>
      </c>
      <c r="F46" s="123">
        <f>IFERROR(INDEX(JUL!AK$8:AK$73,MATCH($A46,JUL!$A$8:$A$73,0))&amp;"","")</f>
        <v/>
      </c>
      <c r="G46" s="123">
        <f>IFERROR(INDEX(JUL!AL$8:AL$73,MATCH($A46,JUL!$A$8:$A$73,0))&amp;"","")</f>
        <v/>
      </c>
      <c r="H46" s="123">
        <f>IFERROR(INDEX(JUL!AM$8:AM$73,MATCH($A46,JUL!$A$8:$A$73,0))&amp;"","")</f>
        <v/>
      </c>
      <c r="I46" s="107" t="n"/>
      <c r="J46" s="107" t="n"/>
      <c r="K46" s="107" t="n"/>
      <c r="L46" s="107" t="n"/>
      <c r="M46" s="115" t="inlineStr">
        <is>
          <t>D</t>
        </is>
      </c>
      <c r="N46" s="107" t="n"/>
      <c r="O46" s="107" t="n"/>
      <c r="P46" s="107" t="n"/>
      <c r="Q46" s="116" t="inlineStr">
        <is>
          <t>N</t>
        </is>
      </c>
      <c r="R46" s="107" t="n"/>
      <c r="S46" s="107" t="n"/>
      <c r="T46" s="115" t="inlineStr">
        <is>
          <t>D</t>
        </is>
      </c>
      <c r="U46" s="107" t="n"/>
      <c r="V46" s="116" t="inlineStr">
        <is>
          <t>N</t>
        </is>
      </c>
      <c r="W46" s="107" t="n"/>
      <c r="X46" s="107" t="n"/>
      <c r="Y46" s="107" t="n"/>
      <c r="Z46" s="107" t="n"/>
      <c r="AA46" s="115" t="inlineStr">
        <is>
          <t>D</t>
        </is>
      </c>
      <c r="AB46" s="107" t="n"/>
      <c r="AC46" s="107" t="n"/>
      <c r="AD46" s="107" t="n"/>
      <c r="AE46" s="116" t="inlineStr">
        <is>
          <t>N</t>
        </is>
      </c>
      <c r="AF46" s="107" t="n"/>
      <c r="AG46" s="107" t="n"/>
      <c r="AH46" s="117" t="inlineStr">
        <is>
          <t>T</t>
        </is>
      </c>
      <c r="AI46" s="107" t="n"/>
      <c r="AJ46" s="116" t="inlineStr">
        <is>
          <t>N</t>
        </is>
      </c>
      <c r="AK46" s="107" t="n"/>
      <c r="AL46" s="117" t="inlineStr">
        <is>
          <t>T</t>
        </is>
      </c>
      <c r="AM46" s="107" t="n"/>
      <c r="AN46" s="123">
        <f>IFERROR(INDEX(SET!I$8:I$73,MATCH($A46,SET!$A$8:$A$73,0))&amp;"","")</f>
        <v/>
      </c>
      <c r="AO46" s="123">
        <f>IFERROR(INDEX(SET!J$8:J$73,MATCH($A46,SET!$A$8:$A$73,0))&amp;"","")</f>
        <v/>
      </c>
      <c r="AP46" s="123">
        <f>IFERROR(INDEX(SET!K$8:K$73,MATCH($A46,SET!$A$8:$A$73,0))&amp;"","")</f>
        <v/>
      </c>
      <c r="AQ46" s="123">
        <f>IFERROR(INDEX(SET!L$8:L$73,MATCH($A46,SET!$A$8:$A$73,0))&amp;"","")</f>
        <v/>
      </c>
      <c r="AR46" s="109">
        <f>IFERROR(INDEX(SET!M$8:M$73,MATCH($A46,SET!$A$8:$A$73,0))&amp;"","")</f>
        <v/>
      </c>
      <c r="AS46" s="109">
        <f>IFERROR(INDEX(SET!N$8:N$73,MATCH($A46,SET!$A$8:$A$73,0))&amp;"","")</f>
        <v/>
      </c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SUMPRODUCT(($D46:$J46="M")*6+($D46:$J46="T")*6+($D46:$J46="D")*12+($D46:$J46="N")*12+($D46:$J46="NT")*6+($D46:$J46="C")*10+($D46:$J46="A")*8+($D46:$J46="J")*5+($D46:$J46="E")*4+($D46:$J46="P")*6+($D46:$J46="R")*6)</f>
        <v/>
      </c>
      <c r="BF46" s="110">
        <f>SUMPRODUCT(($K46:$Q46="M")*6+($K46:$Q46="T")*6+($K46:$Q46="D")*12+($K46:$Q46="N")*12+($K46:$Q46="NT")*6+($K46:$Q46="C")*10+($K46:$Q46="A")*8+($K46:$Q46="J")*5+($K46:$Q46="E")*4+($K46:$Q46="P")*6+($K46:$Q46="R")*6)</f>
        <v/>
      </c>
      <c r="BG46" s="110">
        <f>SUMPRODUCT(($R46:$X46="M")*6+($R46:$X46="T")*6+($R46:$X46="D")*12+($R46:$X46="N")*12+($R46:$X46="NT")*6+($R46:$X46="C")*10+($R46:$X46="A")*8+($R46:$X46="J")*5+($R46:$X46="E")*4+($R46:$X46="P")*6+($R46:$X46="R")*6)</f>
        <v/>
      </c>
      <c r="BH46" s="110">
        <f>SUMPRODUCT(($Y46:$AE46="M")*6+($Y46:$AE46="T")*6+($Y46:$AE46="D")*12+($Y46:$AE46="N")*12+($Y46:$AE46="NT")*6+($Y46:$AE46="C")*10+($Y46:$AE46="A")*8+($Y46:$AE46="J")*5+($Y46:$AE46="E")*4+($Y46:$AE46="P")*6+($Y46:$AE46="R")*6)</f>
        <v/>
      </c>
      <c r="BI46" s="110">
        <f>SUMPRODUCT(($AF46:$AL46="M")*6+($AF46:$AL46="T")*6+($AF46:$AL46="D")*12+($AF46:$AL46="N")*12+($AF46:$AL46="NT")*6+($AF46:$AL46="C")*10+($AF46:$AL46="A")*8+($AF46:$AL46="J")*5+($AF46:$AL46="E")*4+($AF46:$AL46="P")*6+($AF46:$AL46="R")*6)</f>
        <v/>
      </c>
      <c r="BJ46" s="110">
        <f>SUMPRODUCT(($AM46:$AM46="M")*6+($AM46:$AM46="T")*6+($AM46:$AM46="D")*12+($AM46:$AM46="N")*12+($AM46:$AM46="NT")*6+($AM46:$AM46="C")*10+($AM46:$AM46="A")*8+($AM46:$AM46="J")*5+($AM46:$AM46="E")*4+($AM46:$AM46="P")*6+($AM46:$AM46="R")*6)+SUMPRODUCT(($AN46:$AS46="M")*6+($AN46:$AS46="T")*6+($AN46:$AS46="D")*12+($AN46:$AS46="N")*12+($AN46:$AS46="NT")*6+($AN46:$AS46="C")*10+($AN46:$AS46="A")*8+($AN46:$AS46="J")*5+($AN46:$AS46="E")*4+($AN46:$AS46="P")*6+($AN46:$AS46="R")*6)</f>
        <v/>
      </c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123">
        <f>IFERROR(INDEX(JUL!AI$8:AI$73,MATCH($A47,JUL!$A$8:$A$73,0))&amp;"","")</f>
        <v/>
      </c>
      <c r="E47" s="123">
        <f>IFERROR(INDEX(JUL!AJ$8:AJ$73,MATCH($A47,JUL!$A$8:$A$73,0))&amp;"","")</f>
        <v/>
      </c>
      <c r="F47" s="123">
        <f>IFERROR(INDEX(JUL!AK$8:AK$73,MATCH($A47,JUL!$A$8:$A$73,0))&amp;"","")</f>
        <v/>
      </c>
      <c r="G47" s="123">
        <f>IFERROR(INDEX(JUL!AL$8:AL$73,MATCH($A47,JUL!$A$8:$A$73,0))&amp;"","")</f>
        <v/>
      </c>
      <c r="H47" s="123">
        <f>IFERROR(INDEX(JUL!AM$8:AM$73,MATCH($A47,JUL!$A$8:$A$73,0))&amp;"","")</f>
        <v/>
      </c>
      <c r="I47" s="115" t="inlineStr">
        <is>
          <t>D</t>
        </is>
      </c>
      <c r="J47" s="107" t="n"/>
      <c r="K47" s="107" t="n"/>
      <c r="L47" s="116" t="inlineStr">
        <is>
          <t>N</t>
        </is>
      </c>
      <c r="M47" s="107" t="n"/>
      <c r="N47" s="115" t="inlineStr">
        <is>
          <t>D</t>
        </is>
      </c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15" t="inlineStr">
        <is>
          <t>D</t>
        </is>
      </c>
      <c r="X47" s="115" t="inlineStr">
        <is>
          <t>D</t>
        </is>
      </c>
      <c r="Y47" s="107" t="n"/>
      <c r="Z47" s="116" t="inlineStr">
        <is>
          <t>N</t>
        </is>
      </c>
      <c r="AA47" s="107" t="n"/>
      <c r="AB47" s="116" t="inlineStr">
        <is>
          <t>N</t>
        </is>
      </c>
      <c r="AC47" s="107" t="n"/>
      <c r="AD47" s="107" t="n"/>
      <c r="AE47" s="107" t="n"/>
      <c r="AF47" s="116" t="inlineStr">
        <is>
          <t>N</t>
        </is>
      </c>
      <c r="AG47" s="107" t="n"/>
      <c r="AH47" s="107" t="n"/>
      <c r="AI47" s="107" t="n"/>
      <c r="AJ47" s="117" t="inlineStr">
        <is>
          <t>T</t>
        </is>
      </c>
      <c r="AK47" s="107" t="n"/>
      <c r="AL47" s="117" t="inlineStr">
        <is>
          <t>T</t>
        </is>
      </c>
      <c r="AM47" s="116" t="inlineStr">
        <is>
          <t>N</t>
        </is>
      </c>
      <c r="AN47" s="123">
        <f>IFERROR(INDEX(SET!I$8:I$73,MATCH($A47,SET!$A$8:$A$73,0))&amp;"","")</f>
        <v/>
      </c>
      <c r="AO47" s="123">
        <f>IFERROR(INDEX(SET!J$8:J$73,MATCH($A47,SET!$A$8:$A$73,0))&amp;"","")</f>
        <v/>
      </c>
      <c r="AP47" s="123">
        <f>IFERROR(INDEX(SET!K$8:K$73,MATCH($A47,SET!$A$8:$A$73,0))&amp;"","")</f>
        <v/>
      </c>
      <c r="AQ47" s="123">
        <f>IFERROR(INDEX(SET!L$8:L$73,MATCH($A47,SET!$A$8:$A$73,0))&amp;"","")</f>
        <v/>
      </c>
      <c r="AR47" s="109">
        <f>IFERROR(INDEX(SET!M$8:M$73,MATCH($A47,SET!$A$8:$A$73,0))&amp;"","")</f>
        <v/>
      </c>
      <c r="AS47" s="109">
        <f>IFERROR(INDEX(SET!N$8:N$73,MATCH($A47,SET!$A$8:$A$73,0))&amp;"","")</f>
        <v/>
      </c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SUMPRODUCT(($D47:$J47="M")*6+($D47:$J47="T")*6+($D47:$J47="D")*12+($D47:$J47="N")*12+($D47:$J47="NT")*6+($D47:$J47="C")*10+($D47:$J47="A")*8+($D47:$J47="J")*5+($D47:$J47="E")*4+($D47:$J47="P")*6+($D47:$J47="R")*6)</f>
        <v/>
      </c>
      <c r="BF47" s="110">
        <f>SUMPRODUCT(($K47:$Q47="M")*6+($K47:$Q47="T")*6+($K47:$Q47="D")*12+($K47:$Q47="N")*12+($K47:$Q47="NT")*6+($K47:$Q47="C")*10+($K47:$Q47="A")*8+($K47:$Q47="J")*5+($K47:$Q47="E")*4+($K47:$Q47="P")*6+($K47:$Q47="R")*6)</f>
        <v/>
      </c>
      <c r="BG47" s="110">
        <f>SUMPRODUCT(($R47:$X47="M")*6+($R47:$X47="T")*6+($R47:$X47="D")*12+($R47:$X47="N")*12+($R47:$X47="NT")*6+($R47:$X47="C")*10+($R47:$X47="A")*8+($R47:$X47="J")*5+($R47:$X47="E")*4+($R47:$X47="P")*6+($R47:$X47="R")*6)</f>
        <v/>
      </c>
      <c r="BH47" s="110">
        <f>SUMPRODUCT(($Y47:$AE47="M")*6+($Y47:$AE47="T")*6+($Y47:$AE47="D")*12+($Y47:$AE47="N")*12+($Y47:$AE47="NT")*6+($Y47:$AE47="C")*10+($Y47:$AE47="A")*8+($Y47:$AE47="J")*5+($Y47:$AE47="E")*4+($Y47:$AE47="P")*6+($Y47:$AE47="R")*6)</f>
        <v/>
      </c>
      <c r="BI47" s="110">
        <f>SUMPRODUCT(($AF47:$AL47="M")*6+($AF47:$AL47="T")*6+($AF47:$AL47="D")*12+($AF47:$AL47="N")*12+($AF47:$AL47="NT")*6+($AF47:$AL47="C")*10+($AF47:$AL47="A")*8+($AF47:$AL47="J")*5+($AF47:$AL47="E")*4+($AF47:$AL47="P")*6+($AF47:$AL47="R")*6)</f>
        <v/>
      </c>
      <c r="BJ47" s="110">
        <f>SUMPRODUCT(($AM47:$AM47="M")*6+($AM47:$AM47="T")*6+($AM47:$AM47="D")*12+($AM47:$AM47="N")*12+($AM47:$AM47="NT")*6+($AM47:$AM47="C")*10+($AM47:$AM47="A")*8+($AM47:$AM47="J")*5+($AM47:$AM47="E")*4+($AM47:$AM47="P")*6+($AM47:$AM47="R")*6)+SUMPRODUCT(($AN47:$AS47="M")*6+($AN47:$AS47="T")*6+($AN47:$AS47="D")*12+($AN47:$AS47="N")*12+($AN47:$AS47="NT")*6+($AN47:$AS47="C")*10+($AN47:$AS47="A")*8+($AN47:$AS47="J")*5+($AN47:$AS47="E")*4+($AN47:$AS47="P")*6+($AN47:$AS47="R")*6)</f>
        <v/>
      </c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123">
        <f>IFERROR(INDEX(JUL!AI$8:AI$73,MATCH($A48,JUL!$A$8:$A$73,0))&amp;"","")</f>
        <v/>
      </c>
      <c r="E48" s="123">
        <f>IFERROR(INDEX(JUL!AJ$8:AJ$73,MATCH($A48,JUL!$A$8:$A$73,0))&amp;"","")</f>
        <v/>
      </c>
      <c r="F48" s="123">
        <f>IFERROR(INDEX(JUL!AK$8:AK$73,MATCH($A48,JUL!$A$8:$A$73,0))&amp;"","")</f>
        <v/>
      </c>
      <c r="G48" s="123">
        <f>IFERROR(INDEX(JUL!AL$8:AL$73,MATCH($A48,JUL!$A$8:$A$73,0))&amp;"","")</f>
        <v/>
      </c>
      <c r="H48" s="123">
        <f>IFERROR(INDEX(JUL!AM$8:AM$73,MATCH($A48,JUL!$A$8:$A$73,0))&amp;"","")</f>
        <v/>
      </c>
      <c r="I48" s="108" t="inlineStr">
        <is>
          <t>M</t>
        </is>
      </c>
      <c r="J48" s="127" t="inlineStr">
        <is>
          <t>LM</t>
        </is>
      </c>
      <c r="K48" s="107" t="n"/>
      <c r="L48" s="117" t="inlineStr">
        <is>
          <t>T</t>
        </is>
      </c>
      <c r="M48" s="107" t="n"/>
      <c r="N48" s="117" t="inlineStr">
        <is>
          <t>T</t>
        </is>
      </c>
      <c r="O48" s="117" t="inlineStr">
        <is>
          <t>T</t>
        </is>
      </c>
      <c r="P48" s="108" t="inlineStr">
        <is>
          <t>M</t>
        </is>
      </c>
      <c r="Q48" s="107" t="n"/>
      <c r="R48" s="107" t="n"/>
      <c r="S48" s="117" t="inlineStr">
        <is>
          <t>T</t>
        </is>
      </c>
      <c r="T48" s="107" t="n"/>
      <c r="U48" s="108" t="inlineStr">
        <is>
          <t>M</t>
        </is>
      </c>
      <c r="V48" s="117" t="inlineStr">
        <is>
          <t>T</t>
        </is>
      </c>
      <c r="W48" s="108" t="inlineStr">
        <is>
          <t>M</t>
        </is>
      </c>
      <c r="X48" s="107" t="n"/>
      <c r="Y48" s="107" t="n"/>
      <c r="Z48" s="117" t="inlineStr">
        <is>
          <t>T</t>
        </is>
      </c>
      <c r="AA48" s="107" t="n"/>
      <c r="AB48" s="117" t="inlineStr">
        <is>
          <t>T</t>
        </is>
      </c>
      <c r="AC48" s="117" t="inlineStr">
        <is>
          <t>T</t>
        </is>
      </c>
      <c r="AD48" s="108" t="inlineStr">
        <is>
          <t>M</t>
        </is>
      </c>
      <c r="AE48" s="107" t="n"/>
      <c r="AF48" s="107" t="n"/>
      <c r="AG48" s="107" t="n"/>
      <c r="AH48" s="107" t="n"/>
      <c r="AI48" s="108" t="inlineStr">
        <is>
          <t>M</t>
        </is>
      </c>
      <c r="AJ48" s="116" t="inlineStr">
        <is>
          <t>N</t>
        </is>
      </c>
      <c r="AK48" s="107" t="n"/>
      <c r="AL48" s="108" t="inlineStr">
        <is>
          <t>M</t>
        </is>
      </c>
      <c r="AM48" s="128" t="inlineStr">
        <is>
          <t>FE</t>
        </is>
      </c>
      <c r="AN48" s="123">
        <f>IFERROR(INDEX(SET!I$8:I$73,MATCH($A48,SET!$A$8:$A$73,0))&amp;"","")</f>
        <v/>
      </c>
      <c r="AO48" s="123">
        <f>IFERROR(INDEX(SET!J$8:J$73,MATCH($A48,SET!$A$8:$A$73,0))&amp;"","")</f>
        <v/>
      </c>
      <c r="AP48" s="123">
        <f>IFERROR(INDEX(SET!K$8:K$73,MATCH($A48,SET!$A$8:$A$73,0))&amp;"","")</f>
        <v/>
      </c>
      <c r="AQ48" s="123">
        <f>IFERROR(INDEX(SET!L$8:L$73,MATCH($A48,SET!$A$8:$A$73,0))&amp;"","")</f>
        <v/>
      </c>
      <c r="AR48" s="109">
        <f>IFERROR(INDEX(SET!M$8:M$73,MATCH($A48,SET!$A$8:$A$73,0))&amp;"","")</f>
        <v/>
      </c>
      <c r="AS48" s="109">
        <f>IFERROR(INDEX(SET!N$8:N$73,MATCH($A48,SET!$A$8:$A$73,0))&amp;"","")</f>
        <v/>
      </c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SUMPRODUCT(($D48:$J48="M")*6+($D48:$J48="T")*6+($D48:$J48="D")*12+($D48:$J48="N")*12+($D48:$J48="NT")*6+($D48:$J48="C")*10+($D48:$J48="A")*8+($D48:$J48="J")*5+($D48:$J48="E")*4+($D48:$J48="P")*6+($D48:$J48="R")*6)</f>
        <v/>
      </c>
      <c r="BF48" s="110">
        <f>SUMPRODUCT(($K48:$Q48="M")*6+($K48:$Q48="T")*6+($K48:$Q48="D")*12+($K48:$Q48="N")*12+($K48:$Q48="NT")*6+($K48:$Q48="C")*10+($K48:$Q48="A")*8+($K48:$Q48="J")*5+($K48:$Q48="E")*4+($K48:$Q48="P")*6+($K48:$Q48="R")*6)</f>
        <v/>
      </c>
      <c r="BG48" s="110">
        <f>SUMPRODUCT(($R48:$X48="M")*6+($R48:$X48="T")*6+($R48:$X48="D")*12+($R48:$X48="N")*12+($R48:$X48="NT")*6+($R48:$X48="C")*10+($R48:$X48="A")*8+($R48:$X48="J")*5+($R48:$X48="E")*4+($R48:$X48="P")*6+($R48:$X48="R")*6)</f>
        <v/>
      </c>
      <c r="BH48" s="110">
        <f>SUMPRODUCT(($Y48:$AE48="M")*6+($Y48:$AE48="T")*6+($Y48:$AE48="D")*12+($Y48:$AE48="N")*12+($Y48:$AE48="NT")*6+($Y48:$AE48="C")*10+($Y48:$AE48="A")*8+($Y48:$AE48="J")*5+($Y48:$AE48="E")*4+($Y48:$AE48="P")*6+($Y48:$AE48="R")*6)</f>
        <v/>
      </c>
      <c r="BI48" s="110">
        <f>SUMPRODUCT(($AF48:$AL48="M")*6+($AF48:$AL48="T")*6+($AF48:$AL48="D")*12+($AF48:$AL48="N")*12+($AF48:$AL48="NT")*6+($AF48:$AL48="C")*10+($AF48:$AL48="A")*8+($AF48:$AL48="J")*5+($AF48:$AL48="E")*4+($AF48:$AL48="P")*6+($AF48:$AL48="R")*6)</f>
        <v/>
      </c>
      <c r="BJ48" s="110">
        <f>SUMPRODUCT(($AM48:$AM48="M")*6+($AM48:$AM48="T")*6+($AM48:$AM48="D")*12+($AM48:$AM48="N")*12+($AM48:$AM48="NT")*6+($AM48:$AM48="C")*10+($AM48:$AM48="A")*8+($AM48:$AM48="J")*5+($AM48:$AM48="E")*4+($AM48:$AM48="P")*6+($AM48:$AM48="R")*6)+SUMPRODUCT(($AN48:$AS48="M")*6+($AN48:$AS48="T")*6+($AN48:$AS48="D")*12+($AN48:$AS48="N")*12+($AN48:$AS48="NT")*6+($AN48:$AS48="C")*10+($AN48:$AS48="A")*8+($AN48:$AS48="J")*5+($AN48:$AS48="E")*4+($AN48:$AS48="P")*6+($AN48:$AS48="R")*6)</f>
        <v/>
      </c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123">
        <f>IFERROR(INDEX(JUL!AI$8:AI$73,MATCH($A49,JUL!$A$8:$A$73,0))&amp;"","")</f>
        <v/>
      </c>
      <c r="E49" s="123">
        <f>IFERROR(INDEX(JUL!AJ$8:AJ$73,MATCH($A49,JUL!$A$8:$A$73,0))&amp;"","")</f>
        <v/>
      </c>
      <c r="F49" s="123">
        <f>IFERROR(INDEX(JUL!AK$8:AK$73,MATCH($A49,JUL!$A$8:$A$73,0))&amp;"","")</f>
        <v/>
      </c>
      <c r="G49" s="123">
        <f>IFERROR(INDEX(JUL!AL$8:AL$73,MATCH($A49,JUL!$A$8:$A$73,0))&amp;"","")</f>
        <v/>
      </c>
      <c r="H49" s="123">
        <f>IFERROR(INDEX(JUL!AM$8:AM$73,MATCH($A49,JUL!$A$8:$A$73,0))&amp;"","")</f>
        <v/>
      </c>
      <c r="I49" s="107" t="n"/>
      <c r="J49" s="107" t="n"/>
      <c r="K49" s="107" t="n"/>
      <c r="L49" s="107" t="n"/>
      <c r="M49" s="115" t="inlineStr">
        <is>
          <t>D</t>
        </is>
      </c>
      <c r="N49" s="107" t="n"/>
      <c r="O49" s="107" t="n"/>
      <c r="P49" s="107" t="n"/>
      <c r="Q49" s="115" t="inlineStr">
        <is>
          <t>D</t>
        </is>
      </c>
      <c r="R49" s="107" t="n"/>
      <c r="S49" s="107" t="n"/>
      <c r="T49" s="107" t="n"/>
      <c r="U49" s="117" t="inlineStr">
        <is>
          <t>T</t>
        </is>
      </c>
      <c r="V49" s="107" t="n"/>
      <c r="W49" s="115" t="inlineStr">
        <is>
          <t>D</t>
        </is>
      </c>
      <c r="X49" s="117" t="inlineStr">
        <is>
          <t>T</t>
        </is>
      </c>
      <c r="Y49" s="107" t="n"/>
      <c r="Z49" s="107" t="n"/>
      <c r="AA49" s="115" t="inlineStr">
        <is>
          <t>D</t>
        </is>
      </c>
      <c r="AB49" s="107" t="n"/>
      <c r="AC49" s="116" t="inlineStr">
        <is>
          <t>N</t>
        </is>
      </c>
      <c r="AD49" s="107" t="n"/>
      <c r="AE49" s="107" t="n"/>
      <c r="AF49" s="115" t="inlineStr">
        <is>
          <t>D</t>
        </is>
      </c>
      <c r="AG49" s="107" t="n"/>
      <c r="AH49" s="115" t="inlineStr">
        <is>
          <t>D</t>
        </is>
      </c>
      <c r="AI49" s="107" t="n"/>
      <c r="AJ49" s="107" t="n"/>
      <c r="AK49" s="107" t="n"/>
      <c r="AL49" s="107" t="n"/>
      <c r="AM49" s="107" t="n"/>
      <c r="AN49" s="123">
        <f>IFERROR(INDEX(SET!I$8:I$73,MATCH($A49,SET!$A$8:$A$73,0))&amp;"","")</f>
        <v/>
      </c>
      <c r="AO49" s="123">
        <f>IFERROR(INDEX(SET!J$8:J$73,MATCH($A49,SET!$A$8:$A$73,0))&amp;"","")</f>
        <v/>
      </c>
      <c r="AP49" s="123">
        <f>IFERROR(INDEX(SET!K$8:K$73,MATCH($A49,SET!$A$8:$A$73,0))&amp;"","")</f>
        <v/>
      </c>
      <c r="AQ49" s="123">
        <f>IFERROR(INDEX(SET!L$8:L$73,MATCH($A49,SET!$A$8:$A$73,0))&amp;"","")</f>
        <v/>
      </c>
      <c r="AR49" s="109">
        <f>IFERROR(INDEX(SET!M$8:M$73,MATCH($A49,SET!$A$8:$A$73,0))&amp;"","")</f>
        <v/>
      </c>
      <c r="AS49" s="109">
        <f>IFERROR(INDEX(SET!N$8:N$73,MATCH($A49,SET!$A$8:$A$73,0))&amp;"","")</f>
        <v/>
      </c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SUMPRODUCT(($D49:$J49="M")*6+($D49:$J49="T")*6+($D49:$J49="D")*12+($D49:$J49="N")*12+($D49:$J49="NT")*6+($D49:$J49="C")*10+($D49:$J49="A")*8+($D49:$J49="J")*5+($D49:$J49="E")*4+($D49:$J49="P")*6+($D49:$J49="R")*6)</f>
        <v/>
      </c>
      <c r="BF49" s="110">
        <f>SUMPRODUCT(($K49:$Q49="M")*6+($K49:$Q49="T")*6+($K49:$Q49="D")*12+($K49:$Q49="N")*12+($K49:$Q49="NT")*6+($K49:$Q49="C")*10+($K49:$Q49="A")*8+($K49:$Q49="J")*5+($K49:$Q49="E")*4+($K49:$Q49="P")*6+($K49:$Q49="R")*6)</f>
        <v/>
      </c>
      <c r="BG49" s="110">
        <f>SUMPRODUCT(($R49:$X49="M")*6+($R49:$X49="T")*6+($R49:$X49="D")*12+($R49:$X49="N")*12+($R49:$X49="NT")*6+($R49:$X49="C")*10+($R49:$X49="A")*8+($R49:$X49="J")*5+($R49:$X49="E")*4+($R49:$X49="P")*6+($R49:$X49="R")*6)</f>
        <v/>
      </c>
      <c r="BH49" s="110">
        <f>SUMPRODUCT(($Y49:$AE49="M")*6+($Y49:$AE49="T")*6+($Y49:$AE49="D")*12+($Y49:$AE49="N")*12+($Y49:$AE49="NT")*6+($Y49:$AE49="C")*10+($Y49:$AE49="A")*8+($Y49:$AE49="J")*5+($Y49:$AE49="E")*4+($Y49:$AE49="P")*6+($Y49:$AE49="R")*6)</f>
        <v/>
      </c>
      <c r="BI49" s="110">
        <f>SUMPRODUCT(($AF49:$AL49="M")*6+($AF49:$AL49="T")*6+($AF49:$AL49="D")*12+($AF49:$AL49="N")*12+($AF49:$AL49="NT")*6+($AF49:$AL49="C")*10+($AF49:$AL49="A")*8+($AF49:$AL49="J")*5+($AF49:$AL49="E")*4+($AF49:$AL49="P")*6+($AF49:$AL49="R")*6)</f>
        <v/>
      </c>
      <c r="BJ49" s="110">
        <f>SUMPRODUCT(($AM49:$AM49="M")*6+($AM49:$AM49="T")*6+($AM49:$AM49="D")*12+($AM49:$AM49="N")*12+($AM49:$AM49="NT")*6+($AM49:$AM49="C")*10+($AM49:$AM49="A")*8+($AM49:$AM49="J")*5+($AM49:$AM49="E")*4+($AM49:$AM49="P")*6+($AM49:$AM49="R")*6)+SUMPRODUCT(($AN49:$AS49="M")*6+($AN49:$AS49="T")*6+($AN49:$AS49="D")*12+($AN49:$AS49="N")*12+($AN49:$AS49="NT")*6+($AN49:$AS49="C")*10+($AN49:$AS49="A")*8+($AN49:$AS49="J")*5+($AN49:$AS49="E")*4+($AN49:$AS49="P")*6+($AN49:$AS49="R")*6)</f>
        <v/>
      </c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123">
        <f>IFERROR(INDEX(JUL!AI$8:AI$73,MATCH($A50,JUL!$A$8:$A$73,0))&amp;"","")</f>
        <v/>
      </c>
      <c r="E50" s="123">
        <f>IFERROR(INDEX(JUL!AJ$8:AJ$73,MATCH($A50,JUL!$A$8:$A$73,0))&amp;"","")</f>
        <v/>
      </c>
      <c r="F50" s="123">
        <f>IFERROR(INDEX(JUL!AK$8:AK$73,MATCH($A50,JUL!$A$8:$A$73,0))&amp;"","")</f>
        <v/>
      </c>
      <c r="G50" s="123">
        <f>IFERROR(INDEX(JUL!AL$8:AL$73,MATCH($A50,JUL!$A$8:$A$73,0))&amp;"","")</f>
        <v/>
      </c>
      <c r="H50" s="123">
        <f>IFERROR(INDEX(JUL!AM$8:AM$73,MATCH($A50,JUL!$A$8:$A$73,0))&amp;"","")</f>
        <v/>
      </c>
      <c r="I50" s="107" t="n"/>
      <c r="J50" s="107" t="n"/>
      <c r="K50" s="128" t="inlineStr">
        <is>
          <t>FE</t>
        </is>
      </c>
      <c r="L50" s="128" t="inlineStr">
        <is>
          <t>FE</t>
        </is>
      </c>
      <c r="M50" s="128" t="inlineStr">
        <is>
          <t>FE</t>
        </is>
      </c>
      <c r="N50" s="128" t="inlineStr">
        <is>
          <t>FE</t>
        </is>
      </c>
      <c r="O50" s="128" t="inlineStr">
        <is>
          <t>FE</t>
        </is>
      </c>
      <c r="P50" s="128" t="inlineStr">
        <is>
          <t>FE</t>
        </is>
      </c>
      <c r="Q50" s="128" t="inlineStr">
        <is>
          <t>FE</t>
        </is>
      </c>
      <c r="R50" s="128" t="inlineStr">
        <is>
          <t>FE</t>
        </is>
      </c>
      <c r="S50" s="128" t="inlineStr">
        <is>
          <t>FE</t>
        </is>
      </c>
      <c r="T50" s="128" t="inlineStr">
        <is>
          <t>FE</t>
        </is>
      </c>
      <c r="U50" s="128" t="inlineStr">
        <is>
          <t>FE</t>
        </is>
      </c>
      <c r="V50" s="128" t="inlineStr">
        <is>
          <t>FE</t>
        </is>
      </c>
      <c r="W50" s="128" t="inlineStr">
        <is>
          <t>FE</t>
        </is>
      </c>
      <c r="X50" s="128" t="inlineStr">
        <is>
          <t>FE</t>
        </is>
      </c>
      <c r="Y50" s="128" t="inlineStr">
        <is>
          <t>FE</t>
        </is>
      </c>
      <c r="Z50" s="115" t="inlineStr">
        <is>
          <t>D</t>
        </is>
      </c>
      <c r="AA50" s="116" t="inlineStr">
        <is>
          <t>N</t>
        </is>
      </c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15" t="inlineStr">
        <is>
          <t>D</t>
        </is>
      </c>
      <c r="AL50" s="116" t="inlineStr">
        <is>
          <t>N</t>
        </is>
      </c>
      <c r="AM50" s="107" t="n"/>
      <c r="AN50" s="123">
        <f>IFERROR(INDEX(SET!I$8:I$73,MATCH($A50,SET!$A$8:$A$73,0))&amp;"","")</f>
        <v/>
      </c>
      <c r="AO50" s="123">
        <f>IFERROR(INDEX(SET!J$8:J$73,MATCH($A50,SET!$A$8:$A$73,0))&amp;"","")</f>
        <v/>
      </c>
      <c r="AP50" s="123">
        <f>IFERROR(INDEX(SET!K$8:K$73,MATCH($A50,SET!$A$8:$A$73,0))&amp;"","")</f>
        <v/>
      </c>
      <c r="AQ50" s="123">
        <f>IFERROR(INDEX(SET!L$8:L$73,MATCH($A50,SET!$A$8:$A$73,0))&amp;"","")</f>
        <v/>
      </c>
      <c r="AR50" s="109">
        <f>IFERROR(INDEX(SET!M$8:M$73,MATCH($A50,SET!$A$8:$A$73,0))&amp;"","")</f>
        <v/>
      </c>
      <c r="AS50" s="109">
        <f>IFERROR(INDEX(SET!N$8:N$73,MATCH($A50,SET!$A$8:$A$73,0))&amp;"","")</f>
        <v/>
      </c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SUMPRODUCT(($D50:$J50="M")*6+($D50:$J50="T")*6+($D50:$J50="D")*12+($D50:$J50="N")*12+($D50:$J50="NT")*6+($D50:$J50="C")*10+($D50:$J50="A")*8+($D50:$J50="J")*5+($D50:$J50="E")*4+($D50:$J50="P")*6+($D50:$J50="R")*6)</f>
        <v/>
      </c>
      <c r="BF50" s="110">
        <f>SUMPRODUCT(($K50:$Q50="M")*6+($K50:$Q50="T")*6+($K50:$Q50="D")*12+($K50:$Q50="N")*12+($K50:$Q50="NT")*6+($K50:$Q50="C")*10+($K50:$Q50="A")*8+($K50:$Q50="J")*5+($K50:$Q50="E")*4+($K50:$Q50="P")*6+($K50:$Q50="R")*6)</f>
        <v/>
      </c>
      <c r="BG50" s="110">
        <f>SUMPRODUCT(($R50:$X50="M")*6+($R50:$X50="T")*6+($R50:$X50="D")*12+($R50:$X50="N")*12+($R50:$X50="NT")*6+($R50:$X50="C")*10+($R50:$X50="A")*8+($R50:$X50="J")*5+($R50:$X50="E")*4+($R50:$X50="P")*6+($R50:$X50="R")*6)</f>
        <v/>
      </c>
      <c r="BH50" s="110">
        <f>SUMPRODUCT(($Y50:$AE50="M")*6+($Y50:$AE50="T")*6+($Y50:$AE50="D")*12+($Y50:$AE50="N")*12+($Y50:$AE50="NT")*6+($Y50:$AE50="C")*10+($Y50:$AE50="A")*8+($Y50:$AE50="J")*5+($Y50:$AE50="E")*4+($Y50:$AE50="P")*6+($Y50:$AE50="R")*6)</f>
        <v/>
      </c>
      <c r="BI50" s="110">
        <f>SUMPRODUCT(($AF50:$AL50="M")*6+($AF50:$AL50="T")*6+($AF50:$AL50="D")*12+($AF50:$AL50="N")*12+($AF50:$AL50="NT")*6+($AF50:$AL50="C")*10+($AF50:$AL50="A")*8+($AF50:$AL50="J")*5+($AF50:$AL50="E")*4+($AF50:$AL50="P")*6+($AF50:$AL50="R")*6)</f>
        <v/>
      </c>
      <c r="BJ50" s="110">
        <f>SUMPRODUCT(($AM50:$AM50="M")*6+($AM50:$AM50="T")*6+($AM50:$AM50="D")*12+($AM50:$AM50="N")*12+($AM50:$AM50="NT")*6+($AM50:$AM50="C")*10+($AM50:$AM50="A")*8+($AM50:$AM50="J")*5+($AM50:$AM50="E")*4+($AM50:$AM50="P")*6+($AM50:$AM50="R")*6)+SUMPRODUCT(($AN50:$AS50="M")*6+($AN50:$AS50="T")*6+($AN50:$AS50="D")*12+($AN50:$AS50="N")*12+($AN50:$AS50="NT")*6+($AN50:$AS50="C")*10+($AN50:$AS50="A")*8+($AN50:$AS50="J")*5+($AN50:$AS50="E")*4+($AN50:$AS50="P")*6+($AN50:$AS50="R")*6)</f>
        <v/>
      </c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123">
        <f>IFERROR(INDEX(JUL!AI$8:AI$73,MATCH($A51,JUL!$A$8:$A$73,0))&amp;"","")</f>
        <v/>
      </c>
      <c r="E51" s="123">
        <f>IFERROR(INDEX(JUL!AJ$8:AJ$73,MATCH($A51,JUL!$A$8:$A$73,0))&amp;"","")</f>
        <v/>
      </c>
      <c r="F51" s="123">
        <f>IFERROR(INDEX(JUL!AK$8:AK$73,MATCH($A51,JUL!$A$8:$A$73,0))&amp;"","")</f>
        <v/>
      </c>
      <c r="G51" s="123">
        <f>IFERROR(INDEX(JUL!AL$8:AL$73,MATCH($A51,JUL!$A$8:$A$73,0))&amp;"","")</f>
        <v/>
      </c>
      <c r="H51" s="123">
        <f>IFERROR(INDEX(JUL!AM$8:AM$73,MATCH($A51,JUL!$A$8:$A$73,0))&amp;"","")</f>
        <v/>
      </c>
      <c r="I51" s="127" t="inlineStr">
        <is>
          <t>LM</t>
        </is>
      </c>
      <c r="J51" s="127" t="inlineStr">
        <is>
          <t>LM</t>
        </is>
      </c>
      <c r="K51" s="127" t="inlineStr">
        <is>
          <t>LM</t>
        </is>
      </c>
      <c r="L51" s="127" t="inlineStr">
        <is>
          <t>LM</t>
        </is>
      </c>
      <c r="M51" s="127" t="inlineStr">
        <is>
          <t>LM</t>
        </is>
      </c>
      <c r="N51" s="127" t="inlineStr">
        <is>
          <t>LM</t>
        </is>
      </c>
      <c r="O51" s="127" t="inlineStr">
        <is>
          <t>LM</t>
        </is>
      </c>
      <c r="P51" s="127" t="inlineStr">
        <is>
          <t>LM</t>
        </is>
      </c>
      <c r="Q51" s="127" t="inlineStr">
        <is>
          <t>LM</t>
        </is>
      </c>
      <c r="R51" s="127" t="inlineStr">
        <is>
          <t>LM</t>
        </is>
      </c>
      <c r="S51" s="127" t="inlineStr">
        <is>
          <t>LM</t>
        </is>
      </c>
      <c r="T51" s="127" t="inlineStr">
        <is>
          <t>LM</t>
        </is>
      </c>
      <c r="U51" s="127" t="inlineStr">
        <is>
          <t>LM</t>
        </is>
      </c>
      <c r="V51" s="127" t="inlineStr">
        <is>
          <t>LM</t>
        </is>
      </c>
      <c r="W51" s="127" t="inlineStr">
        <is>
          <t>LM</t>
        </is>
      </c>
      <c r="X51" s="127" t="inlineStr">
        <is>
          <t>LM</t>
        </is>
      </c>
      <c r="Y51" s="127" t="inlineStr">
        <is>
          <t>LM</t>
        </is>
      </c>
      <c r="Z51" s="127" t="inlineStr">
        <is>
          <t>LM</t>
        </is>
      </c>
      <c r="AA51" s="127" t="inlineStr">
        <is>
          <t>LM</t>
        </is>
      </c>
      <c r="AB51" s="127" t="inlineStr">
        <is>
          <t>LM</t>
        </is>
      </c>
      <c r="AC51" s="127" t="inlineStr">
        <is>
          <t>LM</t>
        </is>
      </c>
      <c r="AD51" s="127" t="inlineStr">
        <is>
          <t>LM</t>
        </is>
      </c>
      <c r="AE51" s="127" t="inlineStr">
        <is>
          <t>LM</t>
        </is>
      </c>
      <c r="AF51" s="127" t="inlineStr">
        <is>
          <t>LM</t>
        </is>
      </c>
      <c r="AG51" s="127" t="inlineStr">
        <is>
          <t>LM</t>
        </is>
      </c>
      <c r="AH51" s="127" t="inlineStr">
        <is>
          <t>LM</t>
        </is>
      </c>
      <c r="AI51" s="127" t="inlineStr">
        <is>
          <t>LM</t>
        </is>
      </c>
      <c r="AJ51" s="127" t="inlineStr">
        <is>
          <t>LM</t>
        </is>
      </c>
      <c r="AK51" s="127" t="inlineStr">
        <is>
          <t>LM</t>
        </is>
      </c>
      <c r="AL51" s="127" t="inlineStr">
        <is>
          <t>LM</t>
        </is>
      </c>
      <c r="AM51" s="127" t="inlineStr">
        <is>
          <t>LM</t>
        </is>
      </c>
      <c r="AN51" s="123">
        <f>IFERROR(INDEX(SET!I$8:I$73,MATCH($A51,SET!$A$8:$A$73,0))&amp;"","")</f>
        <v/>
      </c>
      <c r="AO51" s="123">
        <f>IFERROR(INDEX(SET!J$8:J$73,MATCH($A51,SET!$A$8:$A$73,0))&amp;"","")</f>
        <v/>
      </c>
      <c r="AP51" s="123">
        <f>IFERROR(INDEX(SET!K$8:K$73,MATCH($A51,SET!$A$8:$A$73,0))&amp;"","")</f>
        <v/>
      </c>
      <c r="AQ51" s="123">
        <f>IFERROR(INDEX(SET!L$8:L$73,MATCH($A51,SET!$A$8:$A$73,0))&amp;"","")</f>
        <v/>
      </c>
      <c r="AR51" s="109">
        <f>IFERROR(INDEX(SET!M$8:M$73,MATCH($A51,SET!$A$8:$A$73,0))&amp;"","")</f>
        <v/>
      </c>
      <c r="AS51" s="109">
        <f>IFERROR(INDEX(SET!N$8:N$73,MATCH($A51,SET!$A$8:$A$73,0))&amp;"","")</f>
        <v/>
      </c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SUMPRODUCT(($D51:$J51="M")*6+($D51:$J51="T")*6+($D51:$J51="D")*12+($D51:$J51="N")*12+($D51:$J51="NT")*6+($D51:$J51="C")*10+($D51:$J51="A")*8+($D51:$J51="J")*5+($D51:$J51="E")*4+($D51:$J51="P")*6+($D51:$J51="R")*6)</f>
        <v/>
      </c>
      <c r="BF51" s="110">
        <f>SUMPRODUCT(($K51:$Q51="M")*6+($K51:$Q51="T")*6+($K51:$Q51="D")*12+($K51:$Q51="N")*12+($K51:$Q51="NT")*6+($K51:$Q51="C")*10+($K51:$Q51="A")*8+($K51:$Q51="J")*5+($K51:$Q51="E")*4+($K51:$Q51="P")*6+($K51:$Q51="R")*6)</f>
        <v/>
      </c>
      <c r="BG51" s="110">
        <f>SUMPRODUCT(($R51:$X51="M")*6+($R51:$X51="T")*6+($R51:$X51="D")*12+($R51:$X51="N")*12+($R51:$X51="NT")*6+($R51:$X51="C")*10+($R51:$X51="A")*8+($R51:$X51="J")*5+($R51:$X51="E")*4+($R51:$X51="P")*6+($R51:$X51="R")*6)</f>
        <v/>
      </c>
      <c r="BH51" s="110">
        <f>SUMPRODUCT(($Y51:$AE51="M")*6+($Y51:$AE51="T")*6+($Y51:$AE51="D")*12+($Y51:$AE51="N")*12+($Y51:$AE51="NT")*6+($Y51:$AE51="C")*10+($Y51:$AE51="A")*8+($Y51:$AE51="J")*5+($Y51:$AE51="E")*4+($Y51:$AE51="P")*6+($Y51:$AE51="R")*6)</f>
        <v/>
      </c>
      <c r="BI51" s="110">
        <f>SUMPRODUCT(($AF51:$AL51="M")*6+($AF51:$AL51="T")*6+($AF51:$AL51="D")*12+($AF51:$AL51="N")*12+($AF51:$AL51="NT")*6+($AF51:$AL51="C")*10+($AF51:$AL51="A")*8+($AF51:$AL51="J")*5+($AF51:$AL51="E")*4+($AF51:$AL51="P")*6+($AF51:$AL51="R")*6)</f>
        <v/>
      </c>
      <c r="BJ51" s="110">
        <f>SUMPRODUCT(($AM51:$AM51="M")*6+($AM51:$AM51="T")*6+($AM51:$AM51="D")*12+($AM51:$AM51="N")*12+($AM51:$AM51="NT")*6+($AM51:$AM51="C")*10+($AM51:$AM51="A")*8+($AM51:$AM51="J")*5+($AM51:$AM51="E")*4+($AM51:$AM51="P")*6+($AM51:$AM51="R")*6)+SUMPRODUCT(($AN51:$AS51="M")*6+($AN51:$AS51="T")*6+($AN51:$AS51="D")*12+($AN51:$AS51="N")*12+($AN51:$AS51="NT")*6+($AN51:$AS51="C")*10+($AN51:$AS51="A")*8+($AN51:$AS51="J")*5+($AN51:$AS51="E")*4+($AN51:$AS51="P")*6+($AN51:$AS51="R")*6)</f>
        <v/>
      </c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123">
        <f>IFERROR(INDEX(JUL!AI$8:AI$73,MATCH($A52,JUL!$A$8:$A$73,0))&amp;"","")</f>
        <v/>
      </c>
      <c r="E52" s="123">
        <f>IFERROR(INDEX(JUL!AJ$8:AJ$73,MATCH($A52,JUL!$A$8:$A$73,0))&amp;"","")</f>
        <v/>
      </c>
      <c r="F52" s="123">
        <f>IFERROR(INDEX(JUL!AK$8:AK$73,MATCH($A52,JUL!$A$8:$A$73,0))&amp;"","")</f>
        <v/>
      </c>
      <c r="G52" s="123">
        <f>IFERROR(INDEX(JUL!AL$8:AL$73,MATCH($A52,JUL!$A$8:$A$73,0))&amp;"","")</f>
        <v/>
      </c>
      <c r="H52" s="123">
        <f>IFERROR(INDEX(JUL!AM$8:AM$73,MATCH($A52,JUL!$A$8:$A$73,0))&amp;"","")</f>
        <v/>
      </c>
      <c r="I52" s="116" t="inlineStr">
        <is>
          <t>N</t>
        </is>
      </c>
      <c r="J52" s="107" t="n"/>
      <c r="K52" s="116" t="inlineStr">
        <is>
          <t>N</t>
        </is>
      </c>
      <c r="L52" s="107" t="n"/>
      <c r="M52" s="107" t="n"/>
      <c r="N52" s="107" t="n"/>
      <c r="O52" s="107" t="n"/>
      <c r="P52" s="116" t="inlineStr">
        <is>
          <t>N</t>
        </is>
      </c>
      <c r="Q52" s="107" t="n"/>
      <c r="R52" s="116" t="inlineStr">
        <is>
          <t>N</t>
        </is>
      </c>
      <c r="S52" s="107" t="n"/>
      <c r="T52" s="107" t="n"/>
      <c r="U52" s="107" t="n"/>
      <c r="V52" s="116" t="inlineStr">
        <is>
          <t>N</t>
        </is>
      </c>
      <c r="W52" s="107" t="n"/>
      <c r="X52" s="107" t="n"/>
      <c r="Y52" s="128" t="inlineStr">
        <is>
          <t>FE</t>
        </is>
      </c>
      <c r="Z52" s="128" t="inlineStr">
        <is>
          <t>FE</t>
        </is>
      </c>
      <c r="AA52" s="128" t="inlineStr">
        <is>
          <t>FE</t>
        </is>
      </c>
      <c r="AB52" s="128" t="inlineStr">
        <is>
          <t>FE</t>
        </is>
      </c>
      <c r="AC52" s="128" t="inlineStr">
        <is>
          <t>FE</t>
        </is>
      </c>
      <c r="AD52" s="128" t="inlineStr">
        <is>
          <t>FE</t>
        </is>
      </c>
      <c r="AE52" s="128" t="inlineStr">
        <is>
          <t>FE</t>
        </is>
      </c>
      <c r="AF52" s="128" t="inlineStr">
        <is>
          <t>FE</t>
        </is>
      </c>
      <c r="AG52" s="128" t="inlineStr">
        <is>
          <t>FE</t>
        </is>
      </c>
      <c r="AH52" s="128" t="inlineStr">
        <is>
          <t>FE</t>
        </is>
      </c>
      <c r="AI52" s="128" t="inlineStr">
        <is>
          <t>FE</t>
        </is>
      </c>
      <c r="AJ52" s="128" t="inlineStr">
        <is>
          <t>FE</t>
        </is>
      </c>
      <c r="AK52" s="128" t="inlineStr">
        <is>
          <t>FE</t>
        </is>
      </c>
      <c r="AL52" s="128" t="inlineStr">
        <is>
          <t>FE</t>
        </is>
      </c>
      <c r="AM52" s="128" t="inlineStr">
        <is>
          <t>FE</t>
        </is>
      </c>
      <c r="AN52" s="123">
        <f>IFERROR(INDEX(SET!I$8:I$73,MATCH($A52,SET!$A$8:$A$73,0))&amp;"","")</f>
        <v/>
      </c>
      <c r="AO52" s="123">
        <f>IFERROR(INDEX(SET!J$8:J$73,MATCH($A52,SET!$A$8:$A$73,0))&amp;"","")</f>
        <v/>
      </c>
      <c r="AP52" s="123">
        <f>IFERROR(INDEX(SET!K$8:K$73,MATCH($A52,SET!$A$8:$A$73,0))&amp;"","")</f>
        <v/>
      </c>
      <c r="AQ52" s="123">
        <f>IFERROR(INDEX(SET!L$8:L$73,MATCH($A52,SET!$A$8:$A$73,0))&amp;"","")</f>
        <v/>
      </c>
      <c r="AR52" s="109">
        <f>IFERROR(INDEX(SET!M$8:M$73,MATCH($A52,SET!$A$8:$A$73,0))&amp;"","")</f>
        <v/>
      </c>
      <c r="AS52" s="109">
        <f>IFERROR(INDEX(SET!N$8:N$73,MATCH($A52,SET!$A$8:$A$73,0))&amp;"","")</f>
        <v/>
      </c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SUMPRODUCT(($D52:$J52="M")*6+($D52:$J52="T")*6+($D52:$J52="D")*12+($D52:$J52="N")*12+($D52:$J52="NT")*6+($D52:$J52="C")*10+($D52:$J52="A")*8+($D52:$J52="J")*5+($D52:$J52="E")*4+($D52:$J52="P")*6+($D52:$J52="R")*6)</f>
        <v/>
      </c>
      <c r="BF52" s="110">
        <f>SUMPRODUCT(($K52:$Q52="M")*6+($K52:$Q52="T")*6+($K52:$Q52="D")*12+($K52:$Q52="N")*12+($K52:$Q52="NT")*6+($K52:$Q52="C")*10+($K52:$Q52="A")*8+($K52:$Q52="J")*5+($K52:$Q52="E")*4+($K52:$Q52="P")*6+($K52:$Q52="R")*6)</f>
        <v/>
      </c>
      <c r="BG52" s="110">
        <f>SUMPRODUCT(($R52:$X52="M")*6+($R52:$X52="T")*6+($R52:$X52="D")*12+($R52:$X52="N")*12+($R52:$X52="NT")*6+($R52:$X52="C")*10+($R52:$X52="A")*8+($R52:$X52="J")*5+($R52:$X52="E")*4+($R52:$X52="P")*6+($R52:$X52="R")*6)</f>
        <v/>
      </c>
      <c r="BH52" s="110">
        <f>SUMPRODUCT(($Y52:$AE52="M")*6+($Y52:$AE52="T")*6+($Y52:$AE52="D")*12+($Y52:$AE52="N")*12+($Y52:$AE52="NT")*6+($Y52:$AE52="C")*10+($Y52:$AE52="A")*8+($Y52:$AE52="J")*5+($Y52:$AE52="E")*4+($Y52:$AE52="P")*6+($Y52:$AE52="R")*6)</f>
        <v/>
      </c>
      <c r="BI52" s="110">
        <f>SUMPRODUCT(($AF52:$AL52="M")*6+($AF52:$AL52="T")*6+($AF52:$AL52="D")*12+($AF52:$AL52="N")*12+($AF52:$AL52="NT")*6+($AF52:$AL52="C")*10+($AF52:$AL52="A")*8+($AF52:$AL52="J")*5+($AF52:$AL52="E")*4+($AF52:$AL52="P")*6+($AF52:$AL52="R")*6)</f>
        <v/>
      </c>
      <c r="BJ52" s="110">
        <f>SUMPRODUCT(($AM52:$AM52="M")*6+($AM52:$AM52="T")*6+($AM52:$AM52="D")*12+($AM52:$AM52="N")*12+($AM52:$AM52="NT")*6+($AM52:$AM52="C")*10+($AM52:$AM52="A")*8+($AM52:$AM52="J")*5+($AM52:$AM52="E")*4+($AM52:$AM52="P")*6+($AM52:$AM52="R")*6)+SUMPRODUCT(($AN52:$AS52="M")*6+($AN52:$AS52="T")*6+($AN52:$AS52="D")*12+($AN52:$AS52="N")*12+($AN52:$AS52="NT")*6+($AN52:$AS52="C")*10+($AN52:$AS52="A")*8+($AN52:$AS52="J")*5+($AN52:$AS52="E")*4+($AN52:$AS52="P")*6+($AN52:$AS52="R")*6)</f>
        <v/>
      </c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123">
        <f>IFERROR(INDEX(JUL!AI$8:AI$73,MATCH($A53,JUL!$A$8:$A$73,0))&amp;"","")</f>
        <v/>
      </c>
      <c r="E53" s="123">
        <f>IFERROR(INDEX(JUL!AJ$8:AJ$73,MATCH($A53,JUL!$A$8:$A$73,0))&amp;"","")</f>
        <v/>
      </c>
      <c r="F53" s="123">
        <f>IFERROR(INDEX(JUL!AK$8:AK$73,MATCH($A53,JUL!$A$8:$A$73,0))&amp;"","")</f>
        <v/>
      </c>
      <c r="G53" s="123">
        <f>IFERROR(INDEX(JUL!AL$8:AL$73,MATCH($A53,JUL!$A$8:$A$73,0))&amp;"","")</f>
        <v/>
      </c>
      <c r="H53" s="123">
        <f>IFERROR(INDEX(JUL!AM$8:AM$73,MATCH($A53,JUL!$A$8:$A$73,0))&amp;"","")</f>
        <v/>
      </c>
      <c r="I53" s="107" t="n"/>
      <c r="J53" s="116" t="inlineStr">
        <is>
          <t>N</t>
        </is>
      </c>
      <c r="K53" s="107" t="n"/>
      <c r="L53" s="116" t="inlineStr">
        <is>
          <t>N</t>
        </is>
      </c>
      <c r="M53" s="107" t="n"/>
      <c r="N53" s="107" t="n"/>
      <c r="O53" s="107" t="n"/>
      <c r="P53" s="116" t="inlineStr">
        <is>
          <t>N</t>
        </is>
      </c>
      <c r="Q53" s="107" t="n"/>
      <c r="R53" s="116" t="inlineStr">
        <is>
          <t>N</t>
        </is>
      </c>
      <c r="S53" s="116" t="inlineStr">
        <is>
          <t>N</t>
        </is>
      </c>
      <c r="T53" s="107" t="n"/>
      <c r="U53" s="107" t="n"/>
      <c r="V53" s="107" t="n"/>
      <c r="W53" s="107" t="n"/>
      <c r="X53" s="107" t="n"/>
      <c r="Y53" s="116" t="inlineStr">
        <is>
          <t>N</t>
        </is>
      </c>
      <c r="Z53" s="107" t="n"/>
      <c r="AA53" s="107" t="n"/>
      <c r="AB53" s="107" t="n"/>
      <c r="AC53" s="116" t="inlineStr">
        <is>
          <t>N</t>
        </is>
      </c>
      <c r="AD53" s="107" t="n"/>
      <c r="AE53" s="107" t="n"/>
      <c r="AF53" s="108" t="inlineStr">
        <is>
          <t>M</t>
        </is>
      </c>
      <c r="AG53" s="116" t="inlineStr">
        <is>
          <t>N</t>
        </is>
      </c>
      <c r="AH53" s="107" t="n"/>
      <c r="AI53" s="107" t="n"/>
      <c r="AJ53" s="107" t="n"/>
      <c r="AK53" s="108" t="inlineStr">
        <is>
          <t>M</t>
        </is>
      </c>
      <c r="AL53" s="107" t="n"/>
      <c r="AM53" s="107" t="n"/>
      <c r="AN53" s="123">
        <f>IFERROR(INDEX(SET!I$8:I$73,MATCH($A53,SET!$A$8:$A$73,0))&amp;"","")</f>
        <v/>
      </c>
      <c r="AO53" s="123">
        <f>IFERROR(INDEX(SET!J$8:J$73,MATCH($A53,SET!$A$8:$A$73,0))&amp;"","")</f>
        <v/>
      </c>
      <c r="AP53" s="123">
        <f>IFERROR(INDEX(SET!K$8:K$73,MATCH($A53,SET!$A$8:$A$73,0))&amp;"","")</f>
        <v/>
      </c>
      <c r="AQ53" s="123">
        <f>IFERROR(INDEX(SET!L$8:L$73,MATCH($A53,SET!$A$8:$A$73,0))&amp;"","")</f>
        <v/>
      </c>
      <c r="AR53" s="109">
        <f>IFERROR(INDEX(SET!M$8:M$73,MATCH($A53,SET!$A$8:$A$73,0))&amp;"","")</f>
        <v/>
      </c>
      <c r="AS53" s="109">
        <f>IFERROR(INDEX(SET!N$8:N$73,MATCH($A53,SET!$A$8:$A$73,0))&amp;"","")</f>
        <v/>
      </c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SUMPRODUCT(($D53:$J53="M")*6+($D53:$J53="T")*6+($D53:$J53="D")*12+($D53:$J53="N")*12+($D53:$J53="NT")*6+($D53:$J53="C")*10+($D53:$J53="A")*8+($D53:$J53="J")*5+($D53:$J53="E")*4+($D53:$J53="P")*6+($D53:$J53="R")*6)</f>
        <v/>
      </c>
      <c r="BF53" s="110">
        <f>SUMPRODUCT(($K53:$Q53="M")*6+($K53:$Q53="T")*6+($K53:$Q53="D")*12+($K53:$Q53="N")*12+($K53:$Q53="NT")*6+($K53:$Q53="C")*10+($K53:$Q53="A")*8+($K53:$Q53="J")*5+($K53:$Q53="E")*4+($K53:$Q53="P")*6+($K53:$Q53="R")*6)</f>
        <v/>
      </c>
      <c r="BG53" s="110">
        <f>SUMPRODUCT(($R53:$X53="M")*6+($R53:$X53="T")*6+($R53:$X53="D")*12+($R53:$X53="N")*12+($R53:$X53="NT")*6+($R53:$X53="C")*10+($R53:$X53="A")*8+($R53:$X53="J")*5+($R53:$X53="E")*4+($R53:$X53="P")*6+($R53:$X53="R")*6)</f>
        <v/>
      </c>
      <c r="BH53" s="110">
        <f>SUMPRODUCT(($Y53:$AE53="M")*6+($Y53:$AE53="T")*6+($Y53:$AE53="D")*12+($Y53:$AE53="N")*12+($Y53:$AE53="NT")*6+($Y53:$AE53="C")*10+($Y53:$AE53="A")*8+($Y53:$AE53="J")*5+($Y53:$AE53="E")*4+($Y53:$AE53="P")*6+($Y53:$AE53="R")*6)</f>
        <v/>
      </c>
      <c r="BI53" s="110">
        <f>SUMPRODUCT(($AF53:$AL53="M")*6+($AF53:$AL53="T")*6+($AF53:$AL53="D")*12+($AF53:$AL53="N")*12+($AF53:$AL53="NT")*6+($AF53:$AL53="C")*10+($AF53:$AL53="A")*8+($AF53:$AL53="J")*5+($AF53:$AL53="E")*4+($AF53:$AL53="P")*6+($AF53:$AL53="R")*6)</f>
        <v/>
      </c>
      <c r="BJ53" s="110">
        <f>SUMPRODUCT(($AM53:$AM53="M")*6+($AM53:$AM53="T")*6+($AM53:$AM53="D")*12+($AM53:$AM53="N")*12+($AM53:$AM53="NT")*6+($AM53:$AM53="C")*10+($AM53:$AM53="A")*8+($AM53:$AM53="J")*5+($AM53:$AM53="E")*4+($AM53:$AM53="P")*6+($AM53:$AM53="R")*6)+SUMPRODUCT(($AN53:$AS53="M")*6+($AN53:$AS53="T")*6+($AN53:$AS53="D")*12+($AN53:$AS53="N")*12+($AN53:$AS53="NT")*6+($AN53:$AS53="C")*10+($AN53:$AS53="A")*8+($AN53:$AS53="J")*5+($AN53:$AS53="E")*4+($AN53:$AS53="P")*6+($AN53:$AS53="R")*6)</f>
        <v/>
      </c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123">
        <f>IFERROR(INDEX(JUL!AI$8:AI$73,MATCH($A54,JUL!$A$8:$A$73,0))&amp;"","")</f>
        <v/>
      </c>
      <c r="E54" s="123">
        <f>IFERROR(INDEX(JUL!AJ$8:AJ$73,MATCH($A54,JUL!$A$8:$A$73,0))&amp;"","")</f>
        <v/>
      </c>
      <c r="F54" s="123">
        <f>IFERROR(INDEX(JUL!AK$8:AK$73,MATCH($A54,JUL!$A$8:$A$73,0))&amp;"","")</f>
        <v/>
      </c>
      <c r="G54" s="123">
        <f>IFERROR(INDEX(JUL!AL$8:AL$73,MATCH($A54,JUL!$A$8:$A$73,0))&amp;"","")</f>
        <v/>
      </c>
      <c r="H54" s="123">
        <f>IFERROR(INDEX(JUL!AM$8:AM$73,MATCH($A54,JUL!$A$8:$A$73,0))&amp;"","")</f>
        <v/>
      </c>
      <c r="I54" s="116" t="inlineStr">
        <is>
          <t>N</t>
        </is>
      </c>
      <c r="J54" s="107" t="n"/>
      <c r="K54" s="107" t="n"/>
      <c r="L54" s="107" t="n"/>
      <c r="M54" s="107" t="n"/>
      <c r="N54" s="116" t="inlineStr">
        <is>
          <t>N</t>
        </is>
      </c>
      <c r="O54" s="107" t="n"/>
      <c r="P54" s="116" t="inlineStr">
        <is>
          <t>N</t>
        </is>
      </c>
      <c r="Q54" s="107" t="n"/>
      <c r="R54" s="107" t="n"/>
      <c r="S54" s="107" t="n"/>
      <c r="T54" s="107" t="n"/>
      <c r="U54" s="116" t="inlineStr">
        <is>
          <t>N</t>
        </is>
      </c>
      <c r="V54" s="107" t="n"/>
      <c r="W54" s="116" t="inlineStr">
        <is>
          <t>N</t>
        </is>
      </c>
      <c r="X54" s="107" t="n"/>
      <c r="Y54" s="107" t="n"/>
      <c r="Z54" s="107" t="n"/>
      <c r="AA54" s="107" t="n"/>
      <c r="AB54" s="116" t="inlineStr">
        <is>
          <t>N</t>
        </is>
      </c>
      <c r="AC54" s="107" t="n"/>
      <c r="AD54" s="116" t="inlineStr">
        <is>
          <t>N</t>
        </is>
      </c>
      <c r="AE54" s="107" t="n"/>
      <c r="AF54" s="107" t="n"/>
      <c r="AG54" s="107" t="n"/>
      <c r="AH54" s="107" t="n"/>
      <c r="AI54" s="116" t="inlineStr">
        <is>
          <t>N</t>
        </is>
      </c>
      <c r="AJ54" s="107" t="n"/>
      <c r="AK54" s="116" t="inlineStr">
        <is>
          <t>N</t>
        </is>
      </c>
      <c r="AL54" s="107" t="n"/>
      <c r="AM54" s="107" t="n"/>
      <c r="AN54" s="123">
        <f>IFERROR(INDEX(SET!I$8:I$73,MATCH($A54,SET!$A$8:$A$73,0))&amp;"","")</f>
        <v/>
      </c>
      <c r="AO54" s="123">
        <f>IFERROR(INDEX(SET!J$8:J$73,MATCH($A54,SET!$A$8:$A$73,0))&amp;"","")</f>
        <v/>
      </c>
      <c r="AP54" s="123">
        <f>IFERROR(INDEX(SET!K$8:K$73,MATCH($A54,SET!$A$8:$A$73,0))&amp;"","")</f>
        <v/>
      </c>
      <c r="AQ54" s="123">
        <f>IFERROR(INDEX(SET!L$8:L$73,MATCH($A54,SET!$A$8:$A$73,0))&amp;"","")</f>
        <v/>
      </c>
      <c r="AR54" s="109">
        <f>IFERROR(INDEX(SET!M$8:M$73,MATCH($A54,SET!$A$8:$A$73,0))&amp;"","")</f>
        <v/>
      </c>
      <c r="AS54" s="109">
        <f>IFERROR(INDEX(SET!N$8:N$73,MATCH($A54,SET!$A$8:$A$73,0))&amp;"","")</f>
        <v/>
      </c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SUMPRODUCT(($D54:$J54="M")*6+($D54:$J54="T")*6+($D54:$J54="D")*12+($D54:$J54="N")*12+($D54:$J54="NT")*6+($D54:$J54="C")*10+($D54:$J54="A")*8+($D54:$J54="J")*5+($D54:$J54="E")*4+($D54:$J54="P")*6+($D54:$J54="R")*6)</f>
        <v/>
      </c>
      <c r="BF54" s="110">
        <f>SUMPRODUCT(($K54:$Q54="M")*6+($K54:$Q54="T")*6+($K54:$Q54="D")*12+($K54:$Q54="N")*12+($K54:$Q54="NT")*6+($K54:$Q54="C")*10+($K54:$Q54="A")*8+($K54:$Q54="J")*5+($K54:$Q54="E")*4+($K54:$Q54="P")*6+($K54:$Q54="R")*6)</f>
        <v/>
      </c>
      <c r="BG54" s="110">
        <f>SUMPRODUCT(($R54:$X54="M")*6+($R54:$X54="T")*6+($R54:$X54="D")*12+($R54:$X54="N")*12+($R54:$X54="NT")*6+($R54:$X54="C")*10+($R54:$X54="A")*8+($R54:$X54="J")*5+($R54:$X54="E")*4+($R54:$X54="P")*6+($R54:$X54="R")*6)</f>
        <v/>
      </c>
      <c r="BH54" s="110">
        <f>SUMPRODUCT(($Y54:$AE54="M")*6+($Y54:$AE54="T")*6+($Y54:$AE54="D")*12+($Y54:$AE54="N")*12+($Y54:$AE54="NT")*6+($Y54:$AE54="C")*10+($Y54:$AE54="A")*8+($Y54:$AE54="J")*5+($Y54:$AE54="E")*4+($Y54:$AE54="P")*6+($Y54:$AE54="R")*6)</f>
        <v/>
      </c>
      <c r="BI54" s="110">
        <f>SUMPRODUCT(($AF54:$AL54="M")*6+($AF54:$AL54="T")*6+($AF54:$AL54="D")*12+($AF54:$AL54="N")*12+($AF54:$AL54="NT")*6+($AF54:$AL54="C")*10+($AF54:$AL54="A")*8+($AF54:$AL54="J")*5+($AF54:$AL54="E")*4+($AF54:$AL54="P")*6+($AF54:$AL54="R")*6)</f>
        <v/>
      </c>
      <c r="BJ54" s="110">
        <f>SUMPRODUCT(($AM54:$AM54="M")*6+($AM54:$AM54="T")*6+($AM54:$AM54="D")*12+($AM54:$AM54="N")*12+($AM54:$AM54="NT")*6+($AM54:$AM54="C")*10+($AM54:$AM54="A")*8+($AM54:$AM54="J")*5+($AM54:$AM54="E")*4+($AM54:$AM54="P")*6+($AM54:$AM54="R")*6)+SUMPRODUCT(($AN54:$AS54="M")*6+($AN54:$AS54="T")*6+($AN54:$AS54="D")*12+($AN54:$AS54="N")*12+($AN54:$AS54="NT")*6+($AN54:$AS54="C")*10+($AN54:$AS54="A")*8+($AN54:$AS54="J")*5+($AN54:$AS54="E")*4+($AN54:$AS54="P")*6+($AN54:$AS54="R")*6)</f>
        <v/>
      </c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123">
        <f>IFERROR(INDEX(JUL!AI$8:AI$73,MATCH($A55,JUL!$A$8:$A$73,0))&amp;"","")</f>
        <v/>
      </c>
      <c r="E55" s="123">
        <f>IFERROR(INDEX(JUL!AJ$8:AJ$73,MATCH($A55,JUL!$A$8:$A$73,0))&amp;"","")</f>
        <v/>
      </c>
      <c r="F55" s="123">
        <f>IFERROR(INDEX(JUL!AK$8:AK$73,MATCH($A55,JUL!$A$8:$A$73,0))&amp;"","")</f>
        <v/>
      </c>
      <c r="G55" s="123">
        <f>IFERROR(INDEX(JUL!AL$8:AL$73,MATCH($A55,JUL!$A$8:$A$73,0))&amp;"","")</f>
        <v/>
      </c>
      <c r="H55" s="123">
        <f>IFERROR(INDEX(JUL!AM$8:AM$73,MATCH($A55,JUL!$A$8:$A$73,0))&amp;"","")</f>
        <v/>
      </c>
      <c r="I55" s="108" t="inlineStr">
        <is>
          <t>M</t>
        </is>
      </c>
      <c r="J55" s="108" t="inlineStr">
        <is>
          <t>M</t>
        </is>
      </c>
      <c r="K55" s="108" t="inlineStr">
        <is>
          <t>M</t>
        </is>
      </c>
      <c r="L55" s="107" t="n"/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7" t="n"/>
      <c r="AF55" s="108" t="inlineStr">
        <is>
          <t>M</t>
        </is>
      </c>
      <c r="AG55" s="107" t="n"/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23">
        <f>IFERROR(INDEX(SET!I$8:I$73,MATCH($A55,SET!$A$8:$A$73,0))&amp;"","")</f>
        <v/>
      </c>
      <c r="AO55" s="123">
        <f>IFERROR(INDEX(SET!J$8:J$73,MATCH($A55,SET!$A$8:$A$73,0))&amp;"","")</f>
        <v/>
      </c>
      <c r="AP55" s="123">
        <f>IFERROR(INDEX(SET!K$8:K$73,MATCH($A55,SET!$A$8:$A$73,0))&amp;"","")</f>
        <v/>
      </c>
      <c r="AQ55" s="123">
        <f>IFERROR(INDEX(SET!L$8:L$73,MATCH($A55,SET!$A$8:$A$73,0))&amp;"","")</f>
        <v/>
      </c>
      <c r="AR55" s="109">
        <f>IFERROR(INDEX(SET!M$8:M$73,MATCH($A55,SET!$A$8:$A$73,0))&amp;"","")</f>
        <v/>
      </c>
      <c r="AS55" s="109">
        <f>IFERROR(INDEX(SET!N$8:N$73,MATCH($A55,SET!$A$8:$A$73,0))&amp;"","")</f>
        <v/>
      </c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SUMPRODUCT(($D55:$J55="M")*6+($D55:$J55="T")*6+($D55:$J55="D")*12+($D55:$J55="N")*12+($D55:$J55="NT")*6+($D55:$J55="C")*10+($D55:$J55="A")*8+($D55:$J55="J")*5+($D55:$J55="E")*4+($D55:$J55="P")*6+($D55:$J55="R")*6)</f>
        <v/>
      </c>
      <c r="BF55" s="110">
        <f>SUMPRODUCT(($K55:$Q55="M")*6+($K55:$Q55="T")*6+($K55:$Q55="D")*12+($K55:$Q55="N")*12+($K55:$Q55="NT")*6+($K55:$Q55="C")*10+($K55:$Q55="A")*8+($K55:$Q55="J")*5+($K55:$Q55="E")*4+($K55:$Q55="P")*6+($K55:$Q55="R")*6)</f>
        <v/>
      </c>
      <c r="BG55" s="110">
        <f>SUMPRODUCT(($R55:$X55="M")*6+($R55:$X55="T")*6+($R55:$X55="D")*12+($R55:$X55="N")*12+($R55:$X55="NT")*6+($R55:$X55="C")*10+($R55:$X55="A")*8+($R55:$X55="J")*5+($R55:$X55="E")*4+($R55:$X55="P")*6+($R55:$X55="R")*6)</f>
        <v/>
      </c>
      <c r="BH55" s="110">
        <f>SUMPRODUCT(($Y55:$AE55="M")*6+($Y55:$AE55="T")*6+($Y55:$AE55="D")*12+($Y55:$AE55="N")*12+($Y55:$AE55="NT")*6+($Y55:$AE55="C")*10+($Y55:$AE55="A")*8+($Y55:$AE55="J")*5+($Y55:$AE55="E")*4+($Y55:$AE55="P")*6+($Y55:$AE55="R")*6)</f>
        <v/>
      </c>
      <c r="BI55" s="110">
        <f>SUMPRODUCT(($AF55:$AL55="M")*6+($AF55:$AL55="T")*6+($AF55:$AL55="D")*12+($AF55:$AL55="N")*12+($AF55:$AL55="NT")*6+($AF55:$AL55="C")*10+($AF55:$AL55="A")*8+($AF55:$AL55="J")*5+($AF55:$AL55="E")*4+($AF55:$AL55="P")*6+($AF55:$AL55="R")*6)</f>
        <v/>
      </c>
      <c r="BJ55" s="110">
        <f>SUMPRODUCT(($AM55:$AM55="M")*6+($AM55:$AM55="T")*6+($AM55:$AM55="D")*12+($AM55:$AM55="N")*12+($AM55:$AM55="NT")*6+($AM55:$AM55="C")*10+($AM55:$AM55="A")*8+($AM55:$AM55="J")*5+($AM55:$AM55="E")*4+($AM55:$AM55="P")*6+($AM55:$AM55="R")*6)+SUMPRODUCT(($AN55:$AS55="M")*6+($AN55:$AS55="T")*6+($AN55:$AS55="D")*12+($AN55:$AS55="N")*12+($AN55:$AS55="NT")*6+($AN55:$AS55="C")*10+($AN55:$AS55="A")*8+($AN55:$AS55="J")*5+($AN55:$AS55="E")*4+($AN55:$AS55="P")*6+($AN55:$AS55="R")*6)</f>
        <v/>
      </c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123">
        <f>IFERROR(INDEX(JUL!AI$8:AI$73,MATCH($A56,JUL!$A$8:$A$73,0))&amp;"","")</f>
        <v/>
      </c>
      <c r="E56" s="123">
        <f>IFERROR(INDEX(JUL!AJ$8:AJ$73,MATCH($A56,JUL!$A$8:$A$73,0))&amp;"","")</f>
        <v/>
      </c>
      <c r="F56" s="123">
        <f>IFERROR(INDEX(JUL!AK$8:AK$73,MATCH($A56,JUL!$A$8:$A$73,0))&amp;"","")</f>
        <v/>
      </c>
      <c r="G56" s="123">
        <f>IFERROR(INDEX(JUL!AL$8:AL$73,MATCH($A56,JUL!$A$8:$A$73,0))&amp;"","")</f>
        <v/>
      </c>
      <c r="H56" s="123">
        <f>IFERROR(INDEX(JUL!AM$8:AM$73,MATCH($A56,JUL!$A$8:$A$73,0))&amp;"","")</f>
        <v/>
      </c>
      <c r="I56" s="115" t="inlineStr">
        <is>
          <t>D</t>
        </is>
      </c>
      <c r="J56" s="107" t="n"/>
      <c r="K56" s="107" t="n"/>
      <c r="L56" s="115" t="inlineStr">
        <is>
          <t>D</t>
        </is>
      </c>
      <c r="M56" s="107" t="n"/>
      <c r="N56" s="115" t="inlineStr">
        <is>
          <t>D</t>
        </is>
      </c>
      <c r="O56" s="107" t="n"/>
      <c r="P56" s="107" t="n"/>
      <c r="Q56" s="107" t="n"/>
      <c r="R56" s="107" t="n"/>
      <c r="S56" s="115" t="inlineStr">
        <is>
          <t>D</t>
        </is>
      </c>
      <c r="T56" s="107" t="n"/>
      <c r="U56" s="107" t="n"/>
      <c r="V56" s="107" t="n"/>
      <c r="W56" s="115" t="inlineStr">
        <is>
          <t>D</t>
        </is>
      </c>
      <c r="X56" s="107" t="n"/>
      <c r="Y56" s="107" t="n"/>
      <c r="Z56" s="115" t="inlineStr">
        <is>
          <t>D</t>
        </is>
      </c>
      <c r="AA56" s="107" t="n"/>
      <c r="AB56" s="115" t="inlineStr">
        <is>
          <t>D</t>
        </is>
      </c>
      <c r="AC56" s="107" t="n"/>
      <c r="AD56" s="107" t="n"/>
      <c r="AE56" s="107" t="n"/>
      <c r="AF56" s="107" t="n"/>
      <c r="AG56" s="117" t="inlineStr">
        <is>
          <t>T</t>
        </is>
      </c>
      <c r="AH56" s="107" t="n"/>
      <c r="AI56" s="107" t="n"/>
      <c r="AJ56" s="116" t="inlineStr">
        <is>
          <t>N</t>
        </is>
      </c>
      <c r="AK56" s="107" t="n"/>
      <c r="AL56" s="108" t="inlineStr">
        <is>
          <t>M</t>
        </is>
      </c>
      <c r="AM56" s="107" t="n"/>
      <c r="AN56" s="123">
        <f>IFERROR(INDEX(SET!I$8:I$73,MATCH($A56,SET!$A$8:$A$73,0))&amp;"","")</f>
        <v/>
      </c>
      <c r="AO56" s="123">
        <f>IFERROR(INDEX(SET!J$8:J$73,MATCH($A56,SET!$A$8:$A$73,0))&amp;"","")</f>
        <v/>
      </c>
      <c r="AP56" s="123">
        <f>IFERROR(INDEX(SET!K$8:K$73,MATCH($A56,SET!$A$8:$A$73,0))&amp;"","")</f>
        <v/>
      </c>
      <c r="AQ56" s="123">
        <f>IFERROR(INDEX(SET!L$8:L$73,MATCH($A56,SET!$A$8:$A$73,0))&amp;"","")</f>
        <v/>
      </c>
      <c r="AR56" s="109">
        <f>IFERROR(INDEX(SET!M$8:M$73,MATCH($A56,SET!$A$8:$A$73,0))&amp;"","")</f>
        <v/>
      </c>
      <c r="AS56" s="109">
        <f>IFERROR(INDEX(SET!N$8:N$73,MATCH($A56,SET!$A$8:$A$73,0))&amp;"","")</f>
        <v/>
      </c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SUMPRODUCT(($D56:$J56="M")*6+($D56:$J56="T")*6+($D56:$J56="D")*12+($D56:$J56="N")*12+($D56:$J56="NT")*6+($D56:$J56="C")*10+($D56:$J56="A")*8+($D56:$J56="J")*5+($D56:$J56="E")*4+($D56:$J56="P")*6+($D56:$J56="R")*6)</f>
        <v/>
      </c>
      <c r="BF56" s="110">
        <f>SUMPRODUCT(($K56:$Q56="M")*6+($K56:$Q56="T")*6+($K56:$Q56="D")*12+($K56:$Q56="N")*12+($K56:$Q56="NT")*6+($K56:$Q56="C")*10+($K56:$Q56="A")*8+($K56:$Q56="J")*5+($K56:$Q56="E")*4+($K56:$Q56="P")*6+($K56:$Q56="R")*6)</f>
        <v/>
      </c>
      <c r="BG56" s="110">
        <f>SUMPRODUCT(($R56:$X56="M")*6+($R56:$X56="T")*6+($R56:$X56="D")*12+($R56:$X56="N")*12+($R56:$X56="NT")*6+($R56:$X56="C")*10+($R56:$X56="A")*8+($R56:$X56="J")*5+($R56:$X56="E")*4+($R56:$X56="P")*6+($R56:$X56="R")*6)</f>
        <v/>
      </c>
      <c r="BH56" s="110">
        <f>SUMPRODUCT(($Y56:$AE56="M")*6+($Y56:$AE56="T")*6+($Y56:$AE56="D")*12+($Y56:$AE56="N")*12+($Y56:$AE56="NT")*6+($Y56:$AE56="C")*10+($Y56:$AE56="A")*8+($Y56:$AE56="J")*5+($Y56:$AE56="E")*4+($Y56:$AE56="P")*6+($Y56:$AE56="R")*6)</f>
        <v/>
      </c>
      <c r="BI56" s="110">
        <f>SUMPRODUCT(($AF56:$AL56="M")*6+($AF56:$AL56="T")*6+($AF56:$AL56="D")*12+($AF56:$AL56="N")*12+($AF56:$AL56="NT")*6+($AF56:$AL56="C")*10+($AF56:$AL56="A")*8+($AF56:$AL56="J")*5+($AF56:$AL56="E")*4+($AF56:$AL56="P")*6+($AF56:$AL56="R")*6)</f>
        <v/>
      </c>
      <c r="BJ56" s="110">
        <f>SUMPRODUCT(($AM56:$AM56="M")*6+($AM56:$AM56="T")*6+($AM56:$AM56="D")*12+($AM56:$AM56="N")*12+($AM56:$AM56="NT")*6+($AM56:$AM56="C")*10+($AM56:$AM56="A")*8+($AM56:$AM56="J")*5+($AM56:$AM56="E")*4+($AM56:$AM56="P")*6+($AM56:$AM56="R")*6)+SUMPRODUCT(($AN56:$AS56="M")*6+($AN56:$AS56="T")*6+($AN56:$AS56="D")*12+($AN56:$AS56="N")*12+($AN56:$AS56="NT")*6+($AN56:$AS56="C")*10+($AN56:$AS56="A")*8+($AN56:$AS56="J")*5+($AN56:$AS56="E")*4+($AN56:$AS56="P")*6+($AN56:$AS56="R")*6)</f>
        <v/>
      </c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123">
        <f>IFERROR(INDEX(JUL!AI$8:AI$73,MATCH($A57,JUL!$A$8:$A$73,0))&amp;"","")</f>
        <v/>
      </c>
      <c r="E57" s="123">
        <f>IFERROR(INDEX(JUL!AJ$8:AJ$73,MATCH($A57,JUL!$A$8:$A$73,0))&amp;"","")</f>
        <v/>
      </c>
      <c r="F57" s="123">
        <f>IFERROR(INDEX(JUL!AK$8:AK$73,MATCH($A57,JUL!$A$8:$A$73,0))&amp;"","")</f>
        <v/>
      </c>
      <c r="G57" s="123">
        <f>IFERROR(INDEX(JUL!AL$8:AL$73,MATCH($A57,JUL!$A$8:$A$73,0))&amp;"","")</f>
        <v/>
      </c>
      <c r="H57" s="123">
        <f>IFERROR(INDEX(JUL!AM$8:AM$73,MATCH($A57,JUL!$A$8:$A$73,0))&amp;"","")</f>
        <v/>
      </c>
      <c r="I57" s="107" t="n"/>
      <c r="J57" s="107" t="n"/>
      <c r="K57" s="116" t="inlineStr">
        <is>
          <t>N</t>
        </is>
      </c>
      <c r="L57" s="107" t="n"/>
      <c r="M57" s="116" t="inlineStr">
        <is>
          <t>N</t>
        </is>
      </c>
      <c r="N57" s="107" t="n"/>
      <c r="O57" s="107" t="n"/>
      <c r="P57" s="107" t="n"/>
      <c r="Q57" s="107" t="n"/>
      <c r="R57" s="116" t="inlineStr">
        <is>
          <t>N</t>
        </is>
      </c>
      <c r="S57" s="107" t="n"/>
      <c r="T57" s="116" t="inlineStr">
        <is>
          <t>N</t>
        </is>
      </c>
      <c r="U57" s="107" t="n"/>
      <c r="V57" s="107" t="n"/>
      <c r="W57" s="107" t="n"/>
      <c r="X57" s="107" t="n"/>
      <c r="Y57" s="116" t="inlineStr">
        <is>
          <t>N</t>
        </is>
      </c>
      <c r="Z57" s="107" t="n"/>
      <c r="AA57" s="107" t="n"/>
      <c r="AB57" s="107" t="n"/>
      <c r="AC57" s="107" t="n"/>
      <c r="AD57" s="116" t="inlineStr">
        <is>
          <t>N</t>
        </is>
      </c>
      <c r="AE57" s="107" t="n"/>
      <c r="AF57" s="107" t="n"/>
      <c r="AG57" s="107" t="n"/>
      <c r="AH57" s="116" t="inlineStr">
        <is>
          <t>N</t>
        </is>
      </c>
      <c r="AI57" s="107" t="n"/>
      <c r="AJ57" s="107" t="n"/>
      <c r="AK57" s="116" t="inlineStr">
        <is>
          <t>N</t>
        </is>
      </c>
      <c r="AL57" s="107" t="n"/>
      <c r="AM57" s="116" t="inlineStr">
        <is>
          <t>N</t>
        </is>
      </c>
      <c r="AN57" s="123">
        <f>IFERROR(INDEX(SET!I$8:I$73,MATCH($A57,SET!$A$8:$A$73,0))&amp;"","")</f>
        <v/>
      </c>
      <c r="AO57" s="123">
        <f>IFERROR(INDEX(SET!J$8:J$73,MATCH($A57,SET!$A$8:$A$73,0))&amp;"","")</f>
        <v/>
      </c>
      <c r="AP57" s="123">
        <f>IFERROR(INDEX(SET!K$8:K$73,MATCH($A57,SET!$A$8:$A$73,0))&amp;"","")</f>
        <v/>
      </c>
      <c r="AQ57" s="123">
        <f>IFERROR(INDEX(SET!L$8:L$73,MATCH($A57,SET!$A$8:$A$73,0))&amp;"","")</f>
        <v/>
      </c>
      <c r="AR57" s="109">
        <f>IFERROR(INDEX(SET!M$8:M$73,MATCH($A57,SET!$A$8:$A$73,0))&amp;"","")</f>
        <v/>
      </c>
      <c r="AS57" s="109">
        <f>IFERROR(INDEX(SET!N$8:N$73,MATCH($A57,SET!$A$8:$A$73,0))&amp;"","")</f>
        <v/>
      </c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SUMPRODUCT(($D57:$J57="M")*6+($D57:$J57="T")*6+($D57:$J57="D")*12+($D57:$J57="N")*12+($D57:$J57="NT")*6+($D57:$J57="C")*10+($D57:$J57="A")*8+($D57:$J57="J")*5+($D57:$J57="E")*4+($D57:$J57="P")*6+($D57:$J57="R")*6)</f>
        <v/>
      </c>
      <c r="BF57" s="110">
        <f>SUMPRODUCT(($K57:$Q57="M")*6+($K57:$Q57="T")*6+($K57:$Q57="D")*12+($K57:$Q57="N")*12+($K57:$Q57="NT")*6+($K57:$Q57="C")*10+($K57:$Q57="A")*8+($K57:$Q57="J")*5+($K57:$Q57="E")*4+($K57:$Q57="P")*6+($K57:$Q57="R")*6)</f>
        <v/>
      </c>
      <c r="BG57" s="110">
        <f>SUMPRODUCT(($R57:$X57="M")*6+($R57:$X57="T")*6+($R57:$X57="D")*12+($R57:$X57="N")*12+($R57:$X57="NT")*6+($R57:$X57="C")*10+($R57:$X57="A")*8+($R57:$X57="J")*5+($R57:$X57="E")*4+($R57:$X57="P")*6+($R57:$X57="R")*6)</f>
        <v/>
      </c>
      <c r="BH57" s="110">
        <f>SUMPRODUCT(($Y57:$AE57="M")*6+($Y57:$AE57="T")*6+($Y57:$AE57="D")*12+($Y57:$AE57="N")*12+($Y57:$AE57="NT")*6+($Y57:$AE57="C")*10+($Y57:$AE57="A")*8+($Y57:$AE57="J")*5+($Y57:$AE57="E")*4+($Y57:$AE57="P")*6+($Y57:$AE57="R")*6)</f>
        <v/>
      </c>
      <c r="BI57" s="110">
        <f>SUMPRODUCT(($AF57:$AL57="M")*6+($AF57:$AL57="T")*6+($AF57:$AL57="D")*12+($AF57:$AL57="N")*12+($AF57:$AL57="NT")*6+($AF57:$AL57="C")*10+($AF57:$AL57="A")*8+($AF57:$AL57="J")*5+($AF57:$AL57="E")*4+($AF57:$AL57="P")*6+($AF57:$AL57="R")*6)</f>
        <v/>
      </c>
      <c r="BJ57" s="110">
        <f>SUMPRODUCT(($AM57:$AM57="M")*6+($AM57:$AM57="T")*6+($AM57:$AM57="D")*12+($AM57:$AM57="N")*12+($AM57:$AM57="NT")*6+($AM57:$AM57="C")*10+($AM57:$AM57="A")*8+($AM57:$AM57="J")*5+($AM57:$AM57="E")*4+($AM57:$AM57="P")*6+($AM57:$AM57="R")*6)+SUMPRODUCT(($AN57:$AS57="M")*6+($AN57:$AS57="T")*6+($AN57:$AS57="D")*12+($AN57:$AS57="N")*12+($AN57:$AS57="NT")*6+($AN57:$AS57="C")*10+($AN57:$AS57="A")*8+($AN57:$AS57="J")*5+($AN57:$AS57="E")*4+($AN57:$AS57="P")*6+($AN57:$AS57="R")*6)</f>
        <v/>
      </c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123">
        <f>IFERROR(INDEX(JUL!AI$8:AI$73,MATCH($A58,JUL!$A$8:$A$73,0))&amp;"","")</f>
        <v/>
      </c>
      <c r="E58" s="123">
        <f>IFERROR(INDEX(JUL!AJ$8:AJ$73,MATCH($A58,JUL!$A$8:$A$73,0))&amp;"","")</f>
        <v/>
      </c>
      <c r="F58" s="123">
        <f>IFERROR(INDEX(JUL!AK$8:AK$73,MATCH($A58,JUL!$A$8:$A$73,0))&amp;"","")</f>
        <v/>
      </c>
      <c r="G58" s="123">
        <f>IFERROR(INDEX(JUL!AL$8:AL$73,MATCH($A58,JUL!$A$8:$A$73,0))&amp;"","")</f>
        <v/>
      </c>
      <c r="H58" s="123">
        <f>IFERROR(INDEX(JUL!AM$8:AM$73,MATCH($A58,JUL!$A$8:$A$73,0))&amp;"","")</f>
        <v/>
      </c>
      <c r="I58" s="107" t="n"/>
      <c r="J58" s="107" t="n"/>
      <c r="K58" s="128" t="inlineStr">
        <is>
          <t>FE</t>
        </is>
      </c>
      <c r="L58" s="128" t="inlineStr">
        <is>
          <t>FE</t>
        </is>
      </c>
      <c r="M58" s="128" t="inlineStr">
        <is>
          <t>FE</t>
        </is>
      </c>
      <c r="N58" s="128" t="inlineStr">
        <is>
          <t>FE</t>
        </is>
      </c>
      <c r="O58" s="128" t="inlineStr">
        <is>
          <t>FE</t>
        </is>
      </c>
      <c r="P58" s="128" t="inlineStr">
        <is>
          <t>FE</t>
        </is>
      </c>
      <c r="Q58" s="128" t="inlineStr">
        <is>
          <t>FE</t>
        </is>
      </c>
      <c r="R58" s="128" t="inlineStr">
        <is>
          <t>FE</t>
        </is>
      </c>
      <c r="S58" s="128" t="inlineStr">
        <is>
          <t>FE</t>
        </is>
      </c>
      <c r="T58" s="128" t="inlineStr">
        <is>
          <t>FE</t>
        </is>
      </c>
      <c r="U58" s="128" t="inlineStr">
        <is>
          <t>FE</t>
        </is>
      </c>
      <c r="V58" s="128" t="inlineStr">
        <is>
          <t>FE</t>
        </is>
      </c>
      <c r="W58" s="128" t="inlineStr">
        <is>
          <t>FE</t>
        </is>
      </c>
      <c r="X58" s="128" t="inlineStr">
        <is>
          <t>FE</t>
        </is>
      </c>
      <c r="Y58" s="128" t="inlineStr">
        <is>
          <t>FE</t>
        </is>
      </c>
      <c r="Z58" s="107" t="n"/>
      <c r="AA58" s="116" t="inlineStr">
        <is>
          <t>N</t>
        </is>
      </c>
      <c r="AB58" s="107" t="n"/>
      <c r="AC58" s="107" t="n"/>
      <c r="AD58" s="107" t="n"/>
      <c r="AE58" s="117" t="inlineStr">
        <is>
          <t>T</t>
        </is>
      </c>
      <c r="AF58" s="117" t="inlineStr">
        <is>
          <t>T</t>
        </is>
      </c>
      <c r="AG58" s="107" t="n"/>
      <c r="AH58" s="116" t="inlineStr">
        <is>
          <t>N</t>
        </is>
      </c>
      <c r="AI58" s="107" t="n"/>
      <c r="AJ58" s="107" t="n"/>
      <c r="AK58" s="107" t="n"/>
      <c r="AL58" s="117" t="inlineStr">
        <is>
          <t>T</t>
        </is>
      </c>
      <c r="AM58" s="107" t="n"/>
      <c r="AN58" s="123">
        <f>IFERROR(INDEX(SET!I$8:I$73,MATCH($A58,SET!$A$8:$A$73,0))&amp;"","")</f>
        <v/>
      </c>
      <c r="AO58" s="123">
        <f>IFERROR(INDEX(SET!J$8:J$73,MATCH($A58,SET!$A$8:$A$73,0))&amp;"","")</f>
        <v/>
      </c>
      <c r="AP58" s="123">
        <f>IFERROR(INDEX(SET!K$8:K$73,MATCH($A58,SET!$A$8:$A$73,0))&amp;"","")</f>
        <v/>
      </c>
      <c r="AQ58" s="123">
        <f>IFERROR(INDEX(SET!L$8:L$73,MATCH($A58,SET!$A$8:$A$73,0))&amp;"","")</f>
        <v/>
      </c>
      <c r="AR58" s="109">
        <f>IFERROR(INDEX(SET!M$8:M$73,MATCH($A58,SET!$A$8:$A$73,0))&amp;"","")</f>
        <v/>
      </c>
      <c r="AS58" s="109">
        <f>IFERROR(INDEX(SET!N$8:N$73,MATCH($A58,SET!$A$8:$A$73,0))&amp;"","")</f>
        <v/>
      </c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SUMPRODUCT(($D58:$J58="M")*6+($D58:$J58="T")*6+($D58:$J58="D")*12+($D58:$J58="N")*12+($D58:$J58="NT")*6+($D58:$J58="C")*10+($D58:$J58="A")*8+($D58:$J58="J")*5+($D58:$J58="E")*4+($D58:$J58="P")*6+($D58:$J58="R")*6)</f>
        <v/>
      </c>
      <c r="BF58" s="110">
        <f>SUMPRODUCT(($K58:$Q58="M")*6+($K58:$Q58="T")*6+($K58:$Q58="D")*12+($K58:$Q58="N")*12+($K58:$Q58="NT")*6+($K58:$Q58="C")*10+($K58:$Q58="A")*8+($K58:$Q58="J")*5+($K58:$Q58="E")*4+($K58:$Q58="P")*6+($K58:$Q58="R")*6)</f>
        <v/>
      </c>
      <c r="BG58" s="110">
        <f>SUMPRODUCT(($R58:$X58="M")*6+($R58:$X58="T")*6+($R58:$X58="D")*12+($R58:$X58="N")*12+($R58:$X58="NT")*6+($R58:$X58="C")*10+($R58:$X58="A")*8+($R58:$X58="J")*5+($R58:$X58="E")*4+($R58:$X58="P")*6+($R58:$X58="R")*6)</f>
        <v/>
      </c>
      <c r="BH58" s="110">
        <f>SUMPRODUCT(($Y58:$AE58="M")*6+($Y58:$AE58="T")*6+($Y58:$AE58="D")*12+($Y58:$AE58="N")*12+($Y58:$AE58="NT")*6+($Y58:$AE58="C")*10+($Y58:$AE58="A")*8+($Y58:$AE58="J")*5+($Y58:$AE58="E")*4+($Y58:$AE58="P")*6+($Y58:$AE58="R")*6)</f>
        <v/>
      </c>
      <c r="BI58" s="110">
        <f>SUMPRODUCT(($AF58:$AL58="M")*6+($AF58:$AL58="T")*6+($AF58:$AL58="D")*12+($AF58:$AL58="N")*12+($AF58:$AL58="NT")*6+($AF58:$AL58="C")*10+($AF58:$AL58="A")*8+($AF58:$AL58="J")*5+($AF58:$AL58="E")*4+($AF58:$AL58="P")*6+($AF58:$AL58="R")*6)</f>
        <v/>
      </c>
      <c r="BJ58" s="110">
        <f>SUMPRODUCT(($AM58:$AM58="M")*6+($AM58:$AM58="T")*6+($AM58:$AM58="D")*12+($AM58:$AM58="N")*12+($AM58:$AM58="NT")*6+($AM58:$AM58="C")*10+($AM58:$AM58="A")*8+($AM58:$AM58="J")*5+($AM58:$AM58="E")*4+($AM58:$AM58="P")*6+($AM58:$AM58="R")*6)+SUMPRODUCT(($AN58:$AS58="M")*6+($AN58:$AS58="T")*6+($AN58:$AS58="D")*12+($AN58:$AS58="N")*12+($AN58:$AS58="NT")*6+($AN58:$AS58="C")*10+($AN58:$AS58="A")*8+($AN58:$AS58="J")*5+($AN58:$AS58="E")*4+($AN58:$AS58="P")*6+($AN58:$AS58="R")*6)</f>
        <v/>
      </c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123">
        <f>IFERROR(INDEX(JUL!AI$8:AI$73,MATCH($A59,JUL!$A$8:$A$73,0))&amp;"","")</f>
        <v/>
      </c>
      <c r="E59" s="123">
        <f>IFERROR(INDEX(JUL!AJ$8:AJ$73,MATCH($A59,JUL!$A$8:$A$73,0))&amp;"","")</f>
        <v/>
      </c>
      <c r="F59" s="123">
        <f>IFERROR(INDEX(JUL!AK$8:AK$73,MATCH($A59,JUL!$A$8:$A$73,0))&amp;"","")</f>
        <v/>
      </c>
      <c r="G59" s="123">
        <f>IFERROR(INDEX(JUL!AL$8:AL$73,MATCH($A59,JUL!$A$8:$A$73,0))&amp;"","")</f>
        <v/>
      </c>
      <c r="H59" s="123">
        <f>IFERROR(INDEX(JUL!AM$8:AM$73,MATCH($A59,JUL!$A$8:$A$73,0))&amp;"","")</f>
        <v/>
      </c>
      <c r="I59" s="116" t="inlineStr">
        <is>
          <t>N</t>
        </is>
      </c>
      <c r="J59" s="116" t="inlineStr">
        <is>
          <t>N</t>
        </is>
      </c>
      <c r="K59" s="107" t="n"/>
      <c r="L59" s="107" t="n"/>
      <c r="M59" s="116" t="inlineStr">
        <is>
          <t>N</t>
        </is>
      </c>
      <c r="N59" s="107" t="n"/>
      <c r="O59" s="116" t="inlineStr">
        <is>
          <t>N</t>
        </is>
      </c>
      <c r="P59" s="107" t="n"/>
      <c r="Q59" s="107" t="n"/>
      <c r="R59" s="107" t="n"/>
      <c r="S59" s="107" t="n"/>
      <c r="T59" s="116" t="inlineStr">
        <is>
          <t>N</t>
        </is>
      </c>
      <c r="U59" s="107" t="n"/>
      <c r="V59" s="107" t="n"/>
      <c r="W59" s="116" t="inlineStr">
        <is>
          <t>N</t>
        </is>
      </c>
      <c r="X59" s="107" t="n"/>
      <c r="Y59" s="107" t="n"/>
      <c r="Z59" s="107" t="n"/>
      <c r="AA59" s="116" t="inlineStr">
        <is>
          <t>N</t>
        </is>
      </c>
      <c r="AB59" s="107" t="n"/>
      <c r="AC59" s="107" t="n"/>
      <c r="AD59" s="107" t="n"/>
      <c r="AE59" s="116" t="inlineStr">
        <is>
          <t>N</t>
        </is>
      </c>
      <c r="AF59" s="107" t="n"/>
      <c r="AG59" s="107" t="n"/>
      <c r="AH59" s="116" t="inlineStr">
        <is>
          <t>N</t>
        </is>
      </c>
      <c r="AI59" s="107" t="n"/>
      <c r="AJ59" s="107" t="n"/>
      <c r="AK59" s="116" t="inlineStr">
        <is>
          <t>N</t>
        </is>
      </c>
      <c r="AL59" s="107" t="n"/>
      <c r="AM59" s="107" t="n"/>
      <c r="AN59" s="123">
        <f>IFERROR(INDEX(SET!I$8:I$73,MATCH($A59,SET!$A$8:$A$73,0))&amp;"","")</f>
        <v/>
      </c>
      <c r="AO59" s="123">
        <f>IFERROR(INDEX(SET!J$8:J$73,MATCH($A59,SET!$A$8:$A$73,0))&amp;"","")</f>
        <v/>
      </c>
      <c r="AP59" s="123">
        <f>IFERROR(INDEX(SET!K$8:K$73,MATCH($A59,SET!$A$8:$A$73,0))&amp;"","")</f>
        <v/>
      </c>
      <c r="AQ59" s="123">
        <f>IFERROR(INDEX(SET!L$8:L$73,MATCH($A59,SET!$A$8:$A$73,0))&amp;"","")</f>
        <v/>
      </c>
      <c r="AR59" s="109">
        <f>IFERROR(INDEX(SET!M$8:M$73,MATCH($A59,SET!$A$8:$A$73,0))&amp;"","")</f>
        <v/>
      </c>
      <c r="AS59" s="109">
        <f>IFERROR(INDEX(SET!N$8:N$73,MATCH($A59,SET!$A$8:$A$73,0))&amp;"","")</f>
        <v/>
      </c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SUMPRODUCT(($D59:$J59="M")*6+($D59:$J59="T")*6+($D59:$J59="D")*12+($D59:$J59="N")*12+($D59:$J59="NT")*6+($D59:$J59="C")*10+($D59:$J59="A")*8+($D59:$J59="J")*5+($D59:$J59="E")*4+($D59:$J59="P")*6+($D59:$J59="R")*6)</f>
        <v/>
      </c>
      <c r="BF59" s="110">
        <f>SUMPRODUCT(($K59:$Q59="M")*6+($K59:$Q59="T")*6+($K59:$Q59="D")*12+($K59:$Q59="N")*12+($K59:$Q59="NT")*6+($K59:$Q59="C")*10+($K59:$Q59="A")*8+($K59:$Q59="J")*5+($K59:$Q59="E")*4+($K59:$Q59="P")*6+($K59:$Q59="R")*6)</f>
        <v/>
      </c>
      <c r="BG59" s="110">
        <f>SUMPRODUCT(($R59:$X59="M")*6+($R59:$X59="T")*6+($R59:$X59="D")*12+($R59:$X59="N")*12+($R59:$X59="NT")*6+($R59:$X59="C")*10+($R59:$X59="A")*8+($R59:$X59="J")*5+($R59:$X59="E")*4+($R59:$X59="P")*6+($R59:$X59="R")*6)</f>
        <v/>
      </c>
      <c r="BH59" s="110">
        <f>SUMPRODUCT(($Y59:$AE59="M")*6+($Y59:$AE59="T")*6+($Y59:$AE59="D")*12+($Y59:$AE59="N")*12+($Y59:$AE59="NT")*6+($Y59:$AE59="C")*10+($Y59:$AE59="A")*8+($Y59:$AE59="J")*5+($Y59:$AE59="E")*4+($Y59:$AE59="P")*6+($Y59:$AE59="R")*6)</f>
        <v/>
      </c>
      <c r="BI59" s="110">
        <f>SUMPRODUCT(($AF59:$AL59="M")*6+($AF59:$AL59="T")*6+($AF59:$AL59="D")*12+($AF59:$AL59="N")*12+($AF59:$AL59="NT")*6+($AF59:$AL59="C")*10+($AF59:$AL59="A")*8+($AF59:$AL59="J")*5+($AF59:$AL59="E")*4+($AF59:$AL59="P")*6+($AF59:$AL59="R")*6)</f>
        <v/>
      </c>
      <c r="BJ59" s="110">
        <f>SUMPRODUCT(($AM59:$AM59="M")*6+($AM59:$AM59="T")*6+($AM59:$AM59="D")*12+($AM59:$AM59="N")*12+($AM59:$AM59="NT")*6+($AM59:$AM59="C")*10+($AM59:$AM59="A")*8+($AM59:$AM59="J")*5+($AM59:$AM59="E")*4+($AM59:$AM59="P")*6+($AM59:$AM59="R")*6)+SUMPRODUCT(($AN59:$AS59="M")*6+($AN59:$AS59="T")*6+($AN59:$AS59="D")*12+($AN59:$AS59="N")*12+($AN59:$AS59="NT")*6+($AN59:$AS59="C")*10+($AN59:$AS59="A")*8+($AN59:$AS59="J")*5+($AN59:$AS59="E")*4+($AN59:$AS59="P")*6+($AN59:$AS59="R")*6)</f>
        <v/>
      </c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123">
        <f>IFERROR(INDEX(JUL!AI$8:AI$73,MATCH($A60,JUL!$A$8:$A$73,0))&amp;"","")</f>
        <v/>
      </c>
      <c r="E60" s="123">
        <f>IFERROR(INDEX(JUL!AJ$8:AJ$73,MATCH($A60,JUL!$A$8:$A$73,0))&amp;"","")</f>
        <v/>
      </c>
      <c r="F60" s="123">
        <f>IFERROR(INDEX(JUL!AK$8:AK$73,MATCH($A60,JUL!$A$8:$A$73,0))&amp;"","")</f>
        <v/>
      </c>
      <c r="G60" s="123">
        <f>IFERROR(INDEX(JUL!AL$8:AL$73,MATCH($A60,JUL!$A$8:$A$73,0))&amp;"","")</f>
        <v/>
      </c>
      <c r="H60" s="123">
        <f>IFERROR(INDEX(JUL!AM$8:AM$73,MATCH($A60,JUL!$A$8:$A$73,0))&amp;"","")</f>
        <v/>
      </c>
      <c r="I60" s="107" t="n"/>
      <c r="J60" s="116" t="inlineStr">
        <is>
          <t>N</t>
        </is>
      </c>
      <c r="K60" s="107" t="n"/>
      <c r="L60" s="116" t="inlineStr">
        <is>
          <t>N</t>
        </is>
      </c>
      <c r="M60" s="107" t="n"/>
      <c r="N60" s="107" t="n"/>
      <c r="O60" s="116" t="inlineStr">
        <is>
          <t>N</t>
        </is>
      </c>
      <c r="P60" s="107" t="n"/>
      <c r="Q60" s="107" t="n"/>
      <c r="R60" s="107" t="n"/>
      <c r="S60" s="107" t="n"/>
      <c r="T60" s="107" t="n"/>
      <c r="U60" s="107" t="n"/>
      <c r="V60" s="116" t="inlineStr">
        <is>
          <t>N</t>
        </is>
      </c>
      <c r="W60" s="107" t="n"/>
      <c r="X60" s="115" t="inlineStr">
        <is>
          <t>D</t>
        </is>
      </c>
      <c r="Y60" s="107" t="n"/>
      <c r="Z60" s="117" t="inlineStr">
        <is>
          <t>T</t>
        </is>
      </c>
      <c r="AA60" s="107" t="n"/>
      <c r="AB60" s="117" t="inlineStr">
        <is>
          <t>T</t>
        </is>
      </c>
      <c r="AC60" s="107" t="n"/>
      <c r="AD60" s="107" t="n"/>
      <c r="AE60" s="115" t="inlineStr">
        <is>
          <t>D</t>
        </is>
      </c>
      <c r="AF60" s="107" t="n"/>
      <c r="AG60" s="117" t="inlineStr">
        <is>
          <t>T</t>
        </is>
      </c>
      <c r="AH60" s="107" t="n"/>
      <c r="AI60" s="117" t="inlineStr">
        <is>
          <t>T</t>
        </is>
      </c>
      <c r="AJ60" s="107" t="n"/>
      <c r="AK60" s="107" t="n"/>
      <c r="AL60" s="115" t="inlineStr">
        <is>
          <t>D</t>
        </is>
      </c>
      <c r="AM60" s="107" t="n"/>
      <c r="AN60" s="123">
        <f>IFERROR(INDEX(SET!I$8:I$73,MATCH($A60,SET!$A$8:$A$73,0))&amp;"","")</f>
        <v/>
      </c>
      <c r="AO60" s="123">
        <f>IFERROR(INDEX(SET!J$8:J$73,MATCH($A60,SET!$A$8:$A$73,0))&amp;"","")</f>
        <v/>
      </c>
      <c r="AP60" s="123">
        <f>IFERROR(INDEX(SET!K$8:K$73,MATCH($A60,SET!$A$8:$A$73,0))&amp;"","")</f>
        <v/>
      </c>
      <c r="AQ60" s="123">
        <f>IFERROR(INDEX(SET!L$8:L$73,MATCH($A60,SET!$A$8:$A$73,0))&amp;"","")</f>
        <v/>
      </c>
      <c r="AR60" s="109">
        <f>IFERROR(INDEX(SET!M$8:M$73,MATCH($A60,SET!$A$8:$A$73,0))&amp;"","")</f>
        <v/>
      </c>
      <c r="AS60" s="109">
        <f>IFERROR(INDEX(SET!N$8:N$73,MATCH($A60,SET!$A$8:$A$73,0))&amp;"","")</f>
        <v/>
      </c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SUMPRODUCT(($D60:$J60="M")*6+($D60:$J60="T")*6+($D60:$J60="D")*12+($D60:$J60="N")*12+($D60:$J60="NT")*6+($D60:$J60="C")*10+($D60:$J60="A")*8+($D60:$J60="J")*5+($D60:$J60="E")*4+($D60:$J60="P")*6+($D60:$J60="R")*6)</f>
        <v/>
      </c>
      <c r="BF60" s="110">
        <f>SUMPRODUCT(($K60:$Q60="M")*6+($K60:$Q60="T")*6+($K60:$Q60="D")*12+($K60:$Q60="N")*12+($K60:$Q60="NT")*6+($K60:$Q60="C")*10+($K60:$Q60="A")*8+($K60:$Q60="J")*5+($K60:$Q60="E")*4+($K60:$Q60="P")*6+($K60:$Q60="R")*6)</f>
        <v/>
      </c>
      <c r="BG60" s="110">
        <f>SUMPRODUCT(($R60:$X60="M")*6+($R60:$X60="T")*6+($R60:$X60="D")*12+($R60:$X60="N")*12+($R60:$X60="NT")*6+($R60:$X60="C")*10+($R60:$X60="A")*8+($R60:$X60="J")*5+($R60:$X60="E")*4+($R60:$X60="P")*6+($R60:$X60="R")*6)</f>
        <v/>
      </c>
      <c r="BH60" s="110">
        <f>SUMPRODUCT(($Y60:$AE60="M")*6+($Y60:$AE60="T")*6+($Y60:$AE60="D")*12+($Y60:$AE60="N")*12+($Y60:$AE60="NT")*6+($Y60:$AE60="C")*10+($Y60:$AE60="A")*8+($Y60:$AE60="J")*5+($Y60:$AE60="E")*4+($Y60:$AE60="P")*6+($Y60:$AE60="R")*6)</f>
        <v/>
      </c>
      <c r="BI60" s="110">
        <f>SUMPRODUCT(($AF60:$AL60="M")*6+($AF60:$AL60="T")*6+($AF60:$AL60="D")*12+($AF60:$AL60="N")*12+($AF60:$AL60="NT")*6+($AF60:$AL60="C")*10+($AF60:$AL60="A")*8+($AF60:$AL60="J")*5+($AF60:$AL60="E")*4+($AF60:$AL60="P")*6+($AF60:$AL60="R")*6)</f>
        <v/>
      </c>
      <c r="BJ60" s="110">
        <f>SUMPRODUCT(($AM60:$AM60="M")*6+($AM60:$AM60="T")*6+($AM60:$AM60="D")*12+($AM60:$AM60="N")*12+($AM60:$AM60="NT")*6+($AM60:$AM60="C")*10+($AM60:$AM60="A")*8+($AM60:$AM60="J")*5+($AM60:$AM60="E")*4+($AM60:$AM60="P")*6+($AM60:$AM60="R")*6)+SUMPRODUCT(($AN60:$AS60="M")*6+($AN60:$AS60="T")*6+($AN60:$AS60="D")*12+($AN60:$AS60="N")*12+($AN60:$AS60="NT")*6+($AN60:$AS60="C")*10+($AN60:$AS60="A")*8+($AN60:$AS60="J")*5+($AN60:$AS60="E")*4+($AN60:$AS60="P")*6+($AN60:$AS60="R")*6)</f>
        <v/>
      </c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123">
        <f>IFERROR(INDEX(JUL!AI$8:AI$73,MATCH($A61,JUL!$A$8:$A$73,0))&amp;"","")</f>
        <v/>
      </c>
      <c r="E61" s="123">
        <f>IFERROR(INDEX(JUL!AJ$8:AJ$73,MATCH($A61,JUL!$A$8:$A$73,0))&amp;"","")</f>
        <v/>
      </c>
      <c r="F61" s="123">
        <f>IFERROR(INDEX(JUL!AK$8:AK$73,MATCH($A61,JUL!$A$8:$A$73,0))&amp;"","")</f>
        <v/>
      </c>
      <c r="G61" s="123">
        <f>IFERROR(INDEX(JUL!AL$8:AL$73,MATCH($A61,JUL!$A$8:$A$73,0))&amp;"","")</f>
        <v/>
      </c>
      <c r="H61" s="123">
        <f>IFERROR(INDEX(JUL!AM$8:AM$73,MATCH($A61,JUL!$A$8:$A$73,0))&amp;"","")</f>
        <v/>
      </c>
      <c r="I61" s="107" t="n"/>
      <c r="J61" s="116" t="inlineStr">
        <is>
          <t>N</t>
        </is>
      </c>
      <c r="K61" s="116" t="inlineStr">
        <is>
          <t>N</t>
        </is>
      </c>
      <c r="L61" s="107" t="n"/>
      <c r="M61" s="107" t="n"/>
      <c r="N61" s="115" t="inlineStr">
        <is>
          <t>D</t>
        </is>
      </c>
      <c r="O61" s="107" t="n"/>
      <c r="P61" s="107" t="n"/>
      <c r="Q61" s="107" t="n"/>
      <c r="R61" s="115" t="inlineStr">
        <is>
          <t>D</t>
        </is>
      </c>
      <c r="S61" s="107" t="n"/>
      <c r="T61" s="107" t="n"/>
      <c r="U61" s="115" t="inlineStr">
        <is>
          <t>D</t>
        </is>
      </c>
      <c r="V61" s="107" t="n"/>
      <c r="W61" s="107" t="n"/>
      <c r="X61" s="107" t="n"/>
      <c r="Y61" s="115" t="inlineStr">
        <is>
          <t>D</t>
        </is>
      </c>
      <c r="Z61" s="107" t="n"/>
      <c r="AA61" s="107" t="n"/>
      <c r="AB61" s="115" t="inlineStr">
        <is>
          <t>D</t>
        </is>
      </c>
      <c r="AC61" s="107" t="n"/>
      <c r="AD61" s="107" t="n"/>
      <c r="AE61" s="107" t="n"/>
      <c r="AF61" s="115" t="inlineStr">
        <is>
          <t>D</t>
        </is>
      </c>
      <c r="AG61" s="107" t="n"/>
      <c r="AH61" s="107" t="n"/>
      <c r="AI61" s="107" t="n"/>
      <c r="AJ61" s="107" t="n"/>
      <c r="AK61" s="116" t="inlineStr">
        <is>
          <t>N</t>
        </is>
      </c>
      <c r="AL61" s="107" t="n"/>
      <c r="AM61" s="115" t="inlineStr">
        <is>
          <t>D</t>
        </is>
      </c>
      <c r="AN61" s="123">
        <f>IFERROR(INDEX(SET!I$8:I$73,MATCH($A61,SET!$A$8:$A$73,0))&amp;"","")</f>
        <v/>
      </c>
      <c r="AO61" s="123">
        <f>IFERROR(INDEX(SET!J$8:J$73,MATCH($A61,SET!$A$8:$A$73,0))&amp;"","")</f>
        <v/>
      </c>
      <c r="AP61" s="123">
        <f>IFERROR(INDEX(SET!K$8:K$73,MATCH($A61,SET!$A$8:$A$73,0))&amp;"","")</f>
        <v/>
      </c>
      <c r="AQ61" s="123">
        <f>IFERROR(INDEX(SET!L$8:L$73,MATCH($A61,SET!$A$8:$A$73,0))&amp;"","")</f>
        <v/>
      </c>
      <c r="AR61" s="109">
        <f>IFERROR(INDEX(SET!M$8:M$73,MATCH($A61,SET!$A$8:$A$73,0))&amp;"","")</f>
        <v/>
      </c>
      <c r="AS61" s="109">
        <f>IFERROR(INDEX(SET!N$8:N$73,MATCH($A61,SET!$A$8:$A$73,0))&amp;"","")</f>
        <v/>
      </c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SUMPRODUCT(($D61:$J61="M")*6+($D61:$J61="T")*6+($D61:$J61="D")*12+($D61:$J61="N")*12+($D61:$J61="NT")*6+($D61:$J61="C")*10+($D61:$J61="A")*8+($D61:$J61="J")*5+($D61:$J61="E")*4+($D61:$J61="P")*6+($D61:$J61="R")*6)</f>
        <v/>
      </c>
      <c r="BF61" s="110">
        <f>SUMPRODUCT(($K61:$Q61="M")*6+($K61:$Q61="T")*6+($K61:$Q61="D")*12+($K61:$Q61="N")*12+($K61:$Q61="NT")*6+($K61:$Q61="C")*10+($K61:$Q61="A")*8+($K61:$Q61="J")*5+($K61:$Q61="E")*4+($K61:$Q61="P")*6+($K61:$Q61="R")*6)</f>
        <v/>
      </c>
      <c r="BG61" s="110">
        <f>SUMPRODUCT(($R61:$X61="M")*6+($R61:$X61="T")*6+($R61:$X61="D")*12+($R61:$X61="N")*12+($R61:$X61="NT")*6+($R61:$X61="C")*10+($R61:$X61="A")*8+($R61:$X61="J")*5+($R61:$X61="E")*4+($R61:$X61="P")*6+($R61:$X61="R")*6)</f>
        <v/>
      </c>
      <c r="BH61" s="110">
        <f>SUMPRODUCT(($Y61:$AE61="M")*6+($Y61:$AE61="T")*6+($Y61:$AE61="D")*12+($Y61:$AE61="N")*12+($Y61:$AE61="NT")*6+($Y61:$AE61="C")*10+($Y61:$AE61="A")*8+($Y61:$AE61="J")*5+($Y61:$AE61="E")*4+($Y61:$AE61="P")*6+($Y61:$AE61="R")*6)</f>
        <v/>
      </c>
      <c r="BI61" s="110">
        <f>SUMPRODUCT(($AF61:$AL61="M")*6+($AF61:$AL61="T")*6+($AF61:$AL61="D")*12+($AF61:$AL61="N")*12+($AF61:$AL61="NT")*6+($AF61:$AL61="C")*10+($AF61:$AL61="A")*8+($AF61:$AL61="J")*5+($AF61:$AL61="E")*4+($AF61:$AL61="P")*6+($AF61:$AL61="R")*6)</f>
        <v/>
      </c>
      <c r="BJ61" s="110">
        <f>SUMPRODUCT(($AM61:$AM61="M")*6+($AM61:$AM61="T")*6+($AM61:$AM61="D")*12+($AM61:$AM61="N")*12+($AM61:$AM61="NT")*6+($AM61:$AM61="C")*10+($AM61:$AM61="A")*8+($AM61:$AM61="J")*5+($AM61:$AM61="E")*4+($AM61:$AM61="P")*6+($AM61:$AM61="R")*6)+SUMPRODUCT(($AN61:$AS61="M")*6+($AN61:$AS61="T")*6+($AN61:$AS61="D")*12+($AN61:$AS61="N")*12+($AN61:$AS61="NT")*6+($AN61:$AS61="C")*10+($AN61:$AS61="A")*8+($AN61:$AS61="J")*5+($AN61:$AS61="E")*4+($AN61:$AS61="P")*6+($AN61:$AS61="R")*6)</f>
        <v/>
      </c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123">
        <f>IFERROR(INDEX(JUL!AI$8:AI$73,MATCH($A62,JUL!$A$8:$A$73,0))&amp;"","")</f>
        <v/>
      </c>
      <c r="E62" s="123">
        <f>IFERROR(INDEX(JUL!AJ$8:AJ$73,MATCH($A62,JUL!$A$8:$A$73,0))&amp;"","")</f>
        <v/>
      </c>
      <c r="F62" s="123">
        <f>IFERROR(INDEX(JUL!AK$8:AK$73,MATCH($A62,JUL!$A$8:$A$73,0))&amp;"","")</f>
        <v/>
      </c>
      <c r="G62" s="123">
        <f>IFERROR(INDEX(JUL!AL$8:AL$73,MATCH($A62,JUL!$A$8:$A$73,0))&amp;"","")</f>
        <v/>
      </c>
      <c r="H62" s="123">
        <f>IFERROR(INDEX(JUL!AM$8:AM$73,MATCH($A62,JUL!$A$8:$A$73,0))&amp;"","")</f>
        <v/>
      </c>
      <c r="I62" s="115" t="inlineStr">
        <is>
          <t>D</t>
        </is>
      </c>
      <c r="J62" s="107" t="n"/>
      <c r="K62" s="107" t="n"/>
      <c r="L62" s="116" t="inlineStr">
        <is>
          <t>N</t>
        </is>
      </c>
      <c r="M62" s="107" t="n"/>
      <c r="N62" s="107" t="n"/>
      <c r="O62" s="107" t="n"/>
      <c r="P62" s="115" t="inlineStr">
        <is>
          <t>D</t>
        </is>
      </c>
      <c r="Q62" s="107" t="n"/>
      <c r="R62" s="107" t="n"/>
      <c r="S62" s="116" t="inlineStr">
        <is>
          <t>N</t>
        </is>
      </c>
      <c r="T62" s="107" t="n"/>
      <c r="U62" s="117" t="inlineStr">
        <is>
          <t>T</t>
        </is>
      </c>
      <c r="V62" s="117" t="inlineStr">
        <is>
          <t>T</t>
        </is>
      </c>
      <c r="W62" s="107" t="n"/>
      <c r="X62" s="107" t="n"/>
      <c r="Y62" s="107" t="n"/>
      <c r="Z62" s="116" t="inlineStr">
        <is>
          <t>N</t>
        </is>
      </c>
      <c r="AA62" s="107" t="n"/>
      <c r="AB62" s="107" t="n"/>
      <c r="AC62" s="107" t="n"/>
      <c r="AD62" s="107" t="n"/>
      <c r="AE62" s="115" t="inlineStr">
        <is>
          <t>D</t>
        </is>
      </c>
      <c r="AF62" s="107" t="n"/>
      <c r="AG62" s="116" t="inlineStr">
        <is>
          <t>N</t>
        </is>
      </c>
      <c r="AH62" s="107" t="n"/>
      <c r="AI62" s="107" t="n"/>
      <c r="AJ62" s="116" t="inlineStr">
        <is>
          <t>N</t>
        </is>
      </c>
      <c r="AK62" s="107" t="n"/>
      <c r="AL62" s="107" t="n"/>
      <c r="AM62" s="128" t="inlineStr">
        <is>
          <t>FE</t>
        </is>
      </c>
      <c r="AN62" s="123">
        <f>IFERROR(INDEX(SET!I$8:I$73,MATCH($A62,SET!$A$8:$A$73,0))&amp;"","")</f>
        <v/>
      </c>
      <c r="AO62" s="123">
        <f>IFERROR(INDEX(SET!J$8:J$73,MATCH($A62,SET!$A$8:$A$73,0))&amp;"","")</f>
        <v/>
      </c>
      <c r="AP62" s="123">
        <f>IFERROR(INDEX(SET!K$8:K$73,MATCH($A62,SET!$A$8:$A$73,0))&amp;"","")</f>
        <v/>
      </c>
      <c r="AQ62" s="123">
        <f>IFERROR(INDEX(SET!L$8:L$73,MATCH($A62,SET!$A$8:$A$73,0))&amp;"","")</f>
        <v/>
      </c>
      <c r="AR62" s="109">
        <f>IFERROR(INDEX(SET!M$8:M$73,MATCH($A62,SET!$A$8:$A$73,0))&amp;"","")</f>
        <v/>
      </c>
      <c r="AS62" s="109">
        <f>IFERROR(INDEX(SET!N$8:N$73,MATCH($A62,SET!$A$8:$A$73,0))&amp;"","")</f>
        <v/>
      </c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SUMPRODUCT(($D62:$J62="M")*6+($D62:$J62="T")*6+($D62:$J62="D")*12+($D62:$J62="N")*12+($D62:$J62="NT")*6+($D62:$J62="C")*10+($D62:$J62="A")*8+($D62:$J62="J")*5+($D62:$J62="E")*4+($D62:$J62="P")*6+($D62:$J62="R")*6)</f>
        <v/>
      </c>
      <c r="BF62" s="110">
        <f>SUMPRODUCT(($K62:$Q62="M")*6+($K62:$Q62="T")*6+($K62:$Q62="D")*12+($K62:$Q62="N")*12+($K62:$Q62="NT")*6+($K62:$Q62="C")*10+($K62:$Q62="A")*8+($K62:$Q62="J")*5+($K62:$Q62="E")*4+($K62:$Q62="P")*6+($K62:$Q62="R")*6)</f>
        <v/>
      </c>
      <c r="BG62" s="110">
        <f>SUMPRODUCT(($R62:$X62="M")*6+($R62:$X62="T")*6+($R62:$X62="D")*12+($R62:$X62="N")*12+($R62:$X62="NT")*6+($R62:$X62="C")*10+($R62:$X62="A")*8+($R62:$X62="J")*5+($R62:$X62="E")*4+($R62:$X62="P")*6+($R62:$X62="R")*6)</f>
        <v/>
      </c>
      <c r="BH62" s="110">
        <f>SUMPRODUCT(($Y62:$AE62="M")*6+($Y62:$AE62="T")*6+($Y62:$AE62="D")*12+($Y62:$AE62="N")*12+($Y62:$AE62="NT")*6+($Y62:$AE62="C")*10+($Y62:$AE62="A")*8+($Y62:$AE62="J")*5+($Y62:$AE62="E")*4+($Y62:$AE62="P")*6+($Y62:$AE62="R")*6)</f>
        <v/>
      </c>
      <c r="BI62" s="110">
        <f>SUMPRODUCT(($AF62:$AL62="M")*6+($AF62:$AL62="T")*6+($AF62:$AL62="D")*12+($AF62:$AL62="N")*12+($AF62:$AL62="NT")*6+($AF62:$AL62="C")*10+($AF62:$AL62="A")*8+($AF62:$AL62="J")*5+($AF62:$AL62="E")*4+($AF62:$AL62="P")*6+($AF62:$AL62="R")*6)</f>
        <v/>
      </c>
      <c r="BJ62" s="110">
        <f>SUMPRODUCT(($AM62:$AM62="M")*6+($AM62:$AM62="T")*6+($AM62:$AM62="D")*12+($AM62:$AM62="N")*12+($AM62:$AM62="NT")*6+($AM62:$AM62="C")*10+($AM62:$AM62="A")*8+($AM62:$AM62="J")*5+($AM62:$AM62="E")*4+($AM62:$AM62="P")*6+($AM62:$AM62="R")*6)+SUMPRODUCT(($AN62:$AS62="M")*6+($AN62:$AS62="T")*6+($AN62:$AS62="D")*12+($AN62:$AS62="N")*12+($AN62:$AS62="NT")*6+($AN62:$AS62="C")*10+($AN62:$AS62="A")*8+($AN62:$AS62="J")*5+($AN62:$AS62="E")*4+($AN62:$AS62="P")*6+($AN62:$AS62="R")*6)</f>
        <v/>
      </c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123">
        <f>IFERROR(INDEX(JUL!AI$8:AI$73,MATCH($A63,JUL!$A$8:$A$73,0))&amp;"","")</f>
        <v/>
      </c>
      <c r="E63" s="123">
        <f>IFERROR(INDEX(JUL!AJ$8:AJ$73,MATCH($A63,JUL!$A$8:$A$73,0))&amp;"","")</f>
        <v/>
      </c>
      <c r="F63" s="123">
        <f>IFERROR(INDEX(JUL!AK$8:AK$73,MATCH($A63,JUL!$A$8:$A$73,0))&amp;"","")</f>
        <v/>
      </c>
      <c r="G63" s="123">
        <f>IFERROR(INDEX(JUL!AL$8:AL$73,MATCH($A63,JUL!$A$8:$A$73,0))&amp;"","")</f>
        <v/>
      </c>
      <c r="H63" s="123">
        <f>IFERROR(INDEX(JUL!AM$8:AM$73,MATCH($A63,JUL!$A$8:$A$73,0))&amp;"","")</f>
        <v/>
      </c>
      <c r="I63" s="115" t="inlineStr">
        <is>
          <t>D</t>
        </is>
      </c>
      <c r="J63" s="107" t="n"/>
      <c r="K63" s="107" t="n"/>
      <c r="L63" s="107" t="n"/>
      <c r="M63" s="107" t="n"/>
      <c r="N63" s="115" t="inlineStr">
        <is>
          <t>D</t>
        </is>
      </c>
      <c r="O63" s="116" t="inlineStr">
        <is>
          <t>N</t>
        </is>
      </c>
      <c r="P63" s="107" t="n"/>
      <c r="Q63" s="107" t="n"/>
      <c r="R63" s="107" t="n"/>
      <c r="S63" s="107" t="n"/>
      <c r="T63" s="107" t="n"/>
      <c r="U63" s="115" t="inlineStr">
        <is>
          <t>D</t>
        </is>
      </c>
      <c r="V63" s="107" t="n"/>
      <c r="W63" s="107" t="n"/>
      <c r="X63" s="115" t="inlineStr">
        <is>
          <t>D</t>
        </is>
      </c>
      <c r="Y63" s="107" t="n"/>
      <c r="Z63" s="107" t="n"/>
      <c r="AA63" s="115" t="inlineStr">
        <is>
          <t>D</t>
        </is>
      </c>
      <c r="AB63" s="115" t="inlineStr">
        <is>
          <t>D</t>
        </is>
      </c>
      <c r="AC63" s="107" t="n"/>
      <c r="AD63" s="107" t="n"/>
      <c r="AE63" s="107" t="n"/>
      <c r="AF63" s="107" t="n"/>
      <c r="AG63" s="107" t="n"/>
      <c r="AH63" s="115" t="inlineStr">
        <is>
          <t>D</t>
        </is>
      </c>
      <c r="AI63" s="115" t="inlineStr">
        <is>
          <t>D</t>
        </is>
      </c>
      <c r="AJ63" s="107" t="n"/>
      <c r="AK63" s="107" t="n"/>
      <c r="AL63" s="107" t="n"/>
      <c r="AM63" s="117" t="inlineStr">
        <is>
          <t>T</t>
        </is>
      </c>
      <c r="AN63" s="123">
        <f>IFERROR(INDEX(SET!I$8:I$73,MATCH($A63,SET!$A$8:$A$73,0))&amp;"","")</f>
        <v/>
      </c>
      <c r="AO63" s="123">
        <f>IFERROR(INDEX(SET!J$8:J$73,MATCH($A63,SET!$A$8:$A$73,0))&amp;"","")</f>
        <v/>
      </c>
      <c r="AP63" s="123">
        <f>IFERROR(INDEX(SET!K$8:K$73,MATCH($A63,SET!$A$8:$A$73,0))&amp;"","")</f>
        <v/>
      </c>
      <c r="AQ63" s="123">
        <f>IFERROR(INDEX(SET!L$8:L$73,MATCH($A63,SET!$A$8:$A$73,0))&amp;"","")</f>
        <v/>
      </c>
      <c r="AR63" s="109">
        <f>IFERROR(INDEX(SET!M$8:M$73,MATCH($A63,SET!$A$8:$A$73,0))&amp;"","")</f>
        <v/>
      </c>
      <c r="AS63" s="109">
        <f>IFERROR(INDEX(SET!N$8:N$73,MATCH($A63,SET!$A$8:$A$73,0))&amp;"","")</f>
        <v/>
      </c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SUMPRODUCT(($D63:$J63="M")*6+($D63:$J63="T")*6+($D63:$J63="D")*12+($D63:$J63="N")*12+($D63:$J63="NT")*6+($D63:$J63="C")*10+($D63:$J63="A")*8+($D63:$J63="J")*5+($D63:$J63="E")*4+($D63:$J63="P")*6+($D63:$J63="R")*6)</f>
        <v/>
      </c>
      <c r="BF63" s="110">
        <f>SUMPRODUCT(($K63:$Q63="M")*6+($K63:$Q63="T")*6+($K63:$Q63="D")*12+($K63:$Q63="N")*12+($K63:$Q63="NT")*6+($K63:$Q63="C")*10+($K63:$Q63="A")*8+($K63:$Q63="J")*5+($K63:$Q63="E")*4+($K63:$Q63="P")*6+($K63:$Q63="R")*6)</f>
        <v/>
      </c>
      <c r="BG63" s="110">
        <f>SUMPRODUCT(($R63:$X63="M")*6+($R63:$X63="T")*6+($R63:$X63="D")*12+($R63:$X63="N")*12+($R63:$X63="NT")*6+($R63:$X63="C")*10+($R63:$X63="A")*8+($R63:$X63="J")*5+($R63:$X63="E")*4+($R63:$X63="P")*6+($R63:$X63="R")*6)</f>
        <v/>
      </c>
      <c r="BH63" s="110">
        <f>SUMPRODUCT(($Y63:$AE63="M")*6+($Y63:$AE63="T")*6+($Y63:$AE63="D")*12+($Y63:$AE63="N")*12+($Y63:$AE63="NT")*6+($Y63:$AE63="C")*10+($Y63:$AE63="A")*8+($Y63:$AE63="J")*5+($Y63:$AE63="E")*4+($Y63:$AE63="P")*6+($Y63:$AE63="R")*6)</f>
        <v/>
      </c>
      <c r="BI63" s="110">
        <f>SUMPRODUCT(($AF63:$AL63="M")*6+($AF63:$AL63="T")*6+($AF63:$AL63="D")*12+($AF63:$AL63="N")*12+($AF63:$AL63="NT")*6+($AF63:$AL63="C")*10+($AF63:$AL63="A")*8+($AF63:$AL63="J")*5+($AF63:$AL63="E")*4+($AF63:$AL63="P")*6+($AF63:$AL63="R")*6)</f>
        <v/>
      </c>
      <c r="BJ63" s="110">
        <f>SUMPRODUCT(($AM63:$AM63="M")*6+($AM63:$AM63="T")*6+($AM63:$AM63="D")*12+($AM63:$AM63="N")*12+($AM63:$AM63="NT")*6+($AM63:$AM63="C")*10+($AM63:$AM63="A")*8+($AM63:$AM63="J")*5+($AM63:$AM63="E")*4+($AM63:$AM63="P")*6+($AM63:$AM63="R")*6)+SUMPRODUCT(($AN63:$AS63="M")*6+($AN63:$AS63="T")*6+($AN63:$AS63="D")*12+($AN63:$AS63="N")*12+($AN63:$AS63="NT")*6+($AN63:$AS63="C")*10+($AN63:$AS63="A")*8+($AN63:$AS63="J")*5+($AN63:$AS63="E")*4+($AN63:$AS63="P")*6+($AN63:$AS63="R")*6)</f>
        <v/>
      </c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123">
        <f>IFERROR(INDEX(JUL!AI$8:AI$73,MATCH($A64,JUL!$A$8:$A$73,0))&amp;"","")</f>
        <v/>
      </c>
      <c r="E64" s="123">
        <f>IFERROR(INDEX(JUL!AJ$8:AJ$73,MATCH($A64,JUL!$A$8:$A$73,0))&amp;"","")</f>
        <v/>
      </c>
      <c r="F64" s="123">
        <f>IFERROR(INDEX(JUL!AK$8:AK$73,MATCH($A64,JUL!$A$8:$A$73,0))&amp;"","")</f>
        <v/>
      </c>
      <c r="G64" s="123">
        <f>IFERROR(INDEX(JUL!AL$8:AL$73,MATCH($A64,JUL!$A$8:$A$73,0))&amp;"","")</f>
        <v/>
      </c>
      <c r="H64" s="123">
        <f>IFERROR(INDEX(JUL!AM$8:AM$73,MATCH($A64,JUL!$A$8:$A$73,0))&amp;"","")</f>
        <v/>
      </c>
      <c r="I64" s="107" t="n"/>
      <c r="J64" s="107" t="n"/>
      <c r="K64" s="117" t="inlineStr">
        <is>
          <t>T</t>
        </is>
      </c>
      <c r="L64" s="107" t="n"/>
      <c r="M64" s="116" t="inlineStr">
        <is>
          <t>N</t>
        </is>
      </c>
      <c r="N64" s="107" t="n"/>
      <c r="O64" s="117" t="inlineStr">
        <is>
          <t>T</t>
        </is>
      </c>
      <c r="P64" s="107" t="n"/>
      <c r="Q64" s="107" t="n"/>
      <c r="R64" s="116" t="inlineStr">
        <is>
          <t>N</t>
        </is>
      </c>
      <c r="S64" s="107" t="n"/>
      <c r="T64" s="116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16" t="inlineStr">
        <is>
          <t>N</t>
        </is>
      </c>
      <c r="AE64" s="116" t="inlineStr">
        <is>
          <t>N</t>
        </is>
      </c>
      <c r="AF64" s="107" t="n"/>
      <c r="AG64" s="107" t="n"/>
      <c r="AH64" s="107" t="n"/>
      <c r="AI64" s="116" t="inlineStr">
        <is>
          <t>N</t>
        </is>
      </c>
      <c r="AJ64" s="117" t="inlineStr">
        <is>
          <t>T</t>
        </is>
      </c>
      <c r="AK64" s="117" t="inlineStr">
        <is>
          <t>T</t>
        </is>
      </c>
      <c r="AL64" s="107" t="n"/>
      <c r="AM64" s="116" t="inlineStr">
        <is>
          <t>N</t>
        </is>
      </c>
      <c r="AN64" s="123">
        <f>IFERROR(INDEX(SET!I$8:I$73,MATCH($A64,SET!$A$8:$A$73,0))&amp;"","")</f>
        <v/>
      </c>
      <c r="AO64" s="123">
        <f>IFERROR(INDEX(SET!J$8:J$73,MATCH($A64,SET!$A$8:$A$73,0))&amp;"","")</f>
        <v/>
      </c>
      <c r="AP64" s="123">
        <f>IFERROR(INDEX(SET!K$8:K$73,MATCH($A64,SET!$A$8:$A$73,0))&amp;"","")</f>
        <v/>
      </c>
      <c r="AQ64" s="123">
        <f>IFERROR(INDEX(SET!L$8:L$73,MATCH($A64,SET!$A$8:$A$73,0))&amp;"","")</f>
        <v/>
      </c>
      <c r="AR64" s="109">
        <f>IFERROR(INDEX(SET!M$8:M$73,MATCH($A64,SET!$A$8:$A$73,0))&amp;"","")</f>
        <v/>
      </c>
      <c r="AS64" s="109">
        <f>IFERROR(INDEX(SET!N$8:N$73,MATCH($A64,SET!$A$8:$A$73,0))&amp;"","")</f>
        <v/>
      </c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SUMPRODUCT(($D64:$J64="M")*6+($D64:$J64="T")*6+($D64:$J64="D")*12+($D64:$J64="N")*12+($D64:$J64="NT")*6+($D64:$J64="C")*10+($D64:$J64="A")*8+($D64:$J64="J")*5+($D64:$J64="E")*4+($D64:$J64="P")*6+($D64:$J64="R")*6)</f>
        <v/>
      </c>
      <c r="BF64" s="110">
        <f>SUMPRODUCT(($K64:$Q64="M")*6+($K64:$Q64="T")*6+($K64:$Q64="D")*12+($K64:$Q64="N")*12+($K64:$Q64="NT")*6+($K64:$Q64="C")*10+($K64:$Q64="A")*8+($K64:$Q64="J")*5+($K64:$Q64="E")*4+($K64:$Q64="P")*6+($K64:$Q64="R")*6)</f>
        <v/>
      </c>
      <c r="BG64" s="110">
        <f>SUMPRODUCT(($R64:$X64="M")*6+($R64:$X64="T")*6+($R64:$X64="D")*12+($R64:$X64="N")*12+($R64:$X64="NT")*6+($R64:$X64="C")*10+($R64:$X64="A")*8+($R64:$X64="J")*5+($R64:$X64="E")*4+($R64:$X64="P")*6+($R64:$X64="R")*6)</f>
        <v/>
      </c>
      <c r="BH64" s="110">
        <f>SUMPRODUCT(($Y64:$AE64="M")*6+($Y64:$AE64="T")*6+($Y64:$AE64="D")*12+($Y64:$AE64="N")*12+($Y64:$AE64="NT")*6+($Y64:$AE64="C")*10+($Y64:$AE64="A")*8+($Y64:$AE64="J")*5+($Y64:$AE64="E")*4+($Y64:$AE64="P")*6+($Y64:$AE64="R")*6)</f>
        <v/>
      </c>
      <c r="BI64" s="110">
        <f>SUMPRODUCT(($AF64:$AL64="M")*6+($AF64:$AL64="T")*6+($AF64:$AL64="D")*12+($AF64:$AL64="N")*12+($AF64:$AL64="NT")*6+($AF64:$AL64="C")*10+($AF64:$AL64="A")*8+($AF64:$AL64="J")*5+($AF64:$AL64="E")*4+($AF64:$AL64="P")*6+($AF64:$AL64="R")*6)</f>
        <v/>
      </c>
      <c r="BJ64" s="110">
        <f>SUMPRODUCT(($AM64:$AM64="M")*6+($AM64:$AM64="T")*6+($AM64:$AM64="D")*12+($AM64:$AM64="N")*12+($AM64:$AM64="NT")*6+($AM64:$AM64="C")*10+($AM64:$AM64="A")*8+($AM64:$AM64="J")*5+($AM64:$AM64="E")*4+($AM64:$AM64="P")*6+($AM64:$AM64="R")*6)+SUMPRODUCT(($AN64:$AS64="M")*6+($AN64:$AS64="T")*6+($AN64:$AS64="D")*12+($AN64:$AS64="N")*12+($AN64:$AS64="NT")*6+($AN64:$AS64="C")*10+($AN64:$AS64="A")*8+($AN64:$AS64="J")*5+($AN64:$AS64="E")*4+($AN64:$AS64="P")*6+($AN64:$AS64="R")*6)</f>
        <v/>
      </c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123">
        <f>IFERROR(INDEX(JUL!AI$8:AI$73,MATCH($A65,JUL!$A$8:$A$73,0))&amp;"","")</f>
        <v/>
      </c>
      <c r="E65" s="123">
        <f>IFERROR(INDEX(JUL!AJ$8:AJ$73,MATCH($A65,JUL!$A$8:$A$73,0))&amp;"","")</f>
        <v/>
      </c>
      <c r="F65" s="123">
        <f>IFERROR(INDEX(JUL!AK$8:AK$73,MATCH($A65,JUL!$A$8:$A$73,0))&amp;"","")</f>
        <v/>
      </c>
      <c r="G65" s="123">
        <f>IFERROR(INDEX(JUL!AL$8:AL$73,MATCH($A65,JUL!$A$8:$A$73,0))&amp;"","")</f>
        <v/>
      </c>
      <c r="H65" s="123">
        <f>IFERROR(INDEX(JUL!AM$8:AM$73,MATCH($A65,JUL!$A$8:$A$73,0))&amp;"","")</f>
        <v/>
      </c>
      <c r="I65" s="107" t="n"/>
      <c r="J65" s="107" t="n"/>
      <c r="K65" s="107" t="n"/>
      <c r="L65" s="107" t="n"/>
      <c r="M65" s="107" t="n"/>
      <c r="N65" s="107" t="n"/>
      <c r="O65" s="117" t="inlineStr">
        <is>
          <t>T</t>
        </is>
      </c>
      <c r="P65" s="117" t="inlineStr">
        <is>
          <t>T</t>
        </is>
      </c>
      <c r="Q65" s="115" t="inlineStr">
        <is>
          <t>D</t>
        </is>
      </c>
      <c r="R65" s="107" t="n"/>
      <c r="S65" s="108" t="inlineStr">
        <is>
          <t>M</t>
        </is>
      </c>
      <c r="T65" s="107" t="n"/>
      <c r="U65" s="108" t="inlineStr">
        <is>
          <t>M</t>
        </is>
      </c>
      <c r="V65" s="115" t="inlineStr">
        <is>
          <t>D</t>
        </is>
      </c>
      <c r="W65" s="107" t="n"/>
      <c r="X65" s="107" t="n"/>
      <c r="Y65" s="107" t="n"/>
      <c r="Z65" s="107" t="n"/>
      <c r="AA65" s="107" t="n"/>
      <c r="AB65" s="107" t="n"/>
      <c r="AC65" s="115" t="inlineStr">
        <is>
          <t>D</t>
        </is>
      </c>
      <c r="AD65" s="115" t="inlineStr">
        <is>
          <t>D</t>
        </is>
      </c>
      <c r="AE65" s="107" t="n"/>
      <c r="AF65" s="107" t="n"/>
      <c r="AG65" s="108" t="inlineStr">
        <is>
          <t>M</t>
        </is>
      </c>
      <c r="AH65" s="107" t="n"/>
      <c r="AI65" s="117" t="inlineStr">
        <is>
          <t>T</t>
        </is>
      </c>
      <c r="AJ65" s="115" t="inlineStr">
        <is>
          <t>D</t>
        </is>
      </c>
      <c r="AK65" s="107" t="n"/>
      <c r="AL65" s="107" t="n"/>
      <c r="AM65" s="107" t="n"/>
      <c r="AN65" s="123">
        <f>IFERROR(INDEX(SET!I$8:I$73,MATCH($A65,SET!$A$8:$A$73,0))&amp;"","")</f>
        <v/>
      </c>
      <c r="AO65" s="123">
        <f>IFERROR(INDEX(SET!J$8:J$73,MATCH($A65,SET!$A$8:$A$73,0))&amp;"","")</f>
        <v/>
      </c>
      <c r="AP65" s="123">
        <f>IFERROR(INDEX(SET!K$8:K$73,MATCH($A65,SET!$A$8:$A$73,0))&amp;"","")</f>
        <v/>
      </c>
      <c r="AQ65" s="123">
        <f>IFERROR(INDEX(SET!L$8:L$73,MATCH($A65,SET!$A$8:$A$73,0))&amp;"","")</f>
        <v/>
      </c>
      <c r="AR65" s="109">
        <f>IFERROR(INDEX(SET!M$8:M$73,MATCH($A65,SET!$A$8:$A$73,0))&amp;"","")</f>
        <v/>
      </c>
      <c r="AS65" s="109">
        <f>IFERROR(INDEX(SET!N$8:N$73,MATCH($A65,SET!$A$8:$A$73,0))&amp;"","")</f>
        <v/>
      </c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SUMPRODUCT(($D65:$J65="M")*6+($D65:$J65="T")*6+($D65:$J65="D")*12+($D65:$J65="N")*12+($D65:$J65="NT")*6+($D65:$J65="C")*10+($D65:$J65="A")*8+($D65:$J65="J")*5+($D65:$J65="E")*4+($D65:$J65="P")*6+($D65:$J65="R")*6)</f>
        <v/>
      </c>
      <c r="BF65" s="110">
        <f>SUMPRODUCT(($K65:$Q65="M")*6+($K65:$Q65="T")*6+($K65:$Q65="D")*12+($K65:$Q65="N")*12+($K65:$Q65="NT")*6+($K65:$Q65="C")*10+($K65:$Q65="A")*8+($K65:$Q65="J")*5+($K65:$Q65="E")*4+($K65:$Q65="P")*6+($K65:$Q65="R")*6)</f>
        <v/>
      </c>
      <c r="BG65" s="110">
        <f>SUMPRODUCT(($R65:$X65="M")*6+($R65:$X65="T")*6+($R65:$X65="D")*12+($R65:$X65="N")*12+($R65:$X65="NT")*6+($R65:$X65="C")*10+($R65:$X65="A")*8+($R65:$X65="J")*5+($R65:$X65="E")*4+($R65:$X65="P")*6+($R65:$X65="R")*6)</f>
        <v/>
      </c>
      <c r="BH65" s="110">
        <f>SUMPRODUCT(($Y65:$AE65="M")*6+($Y65:$AE65="T")*6+($Y65:$AE65="D")*12+($Y65:$AE65="N")*12+($Y65:$AE65="NT")*6+($Y65:$AE65="C")*10+($Y65:$AE65="A")*8+($Y65:$AE65="J")*5+($Y65:$AE65="E")*4+($Y65:$AE65="P")*6+($Y65:$AE65="R")*6)</f>
        <v/>
      </c>
      <c r="BI65" s="110">
        <f>SUMPRODUCT(($AF65:$AL65="M")*6+($AF65:$AL65="T")*6+($AF65:$AL65="D")*12+($AF65:$AL65="N")*12+($AF65:$AL65="NT")*6+($AF65:$AL65="C")*10+($AF65:$AL65="A")*8+($AF65:$AL65="J")*5+($AF65:$AL65="E")*4+($AF65:$AL65="P")*6+($AF65:$AL65="R")*6)</f>
        <v/>
      </c>
      <c r="BJ65" s="110">
        <f>SUMPRODUCT(($AM65:$AM65="M")*6+($AM65:$AM65="T")*6+($AM65:$AM65="D")*12+($AM65:$AM65="N")*12+($AM65:$AM65="NT")*6+($AM65:$AM65="C")*10+($AM65:$AM65="A")*8+($AM65:$AM65="J")*5+($AM65:$AM65="E")*4+($AM65:$AM65="P")*6+($AM65:$AM65="R")*6)+SUMPRODUCT(($AN65:$AS65="M")*6+($AN65:$AS65="T")*6+($AN65:$AS65="D")*12+($AN65:$AS65="N")*12+($AN65:$AS65="NT")*6+($AN65:$AS65="C")*10+($AN65:$AS65="A")*8+($AN65:$AS65="J")*5+($AN65:$AS65="E")*4+($AN65:$AS65="P")*6+($AN65:$AS65="R")*6)</f>
        <v/>
      </c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123">
        <f>IFERROR(INDEX(JUL!AI$8:AI$73,MATCH($A66,JUL!$A$8:$A$73,0))&amp;"","")</f>
        <v/>
      </c>
      <c r="E66" s="123">
        <f>IFERROR(INDEX(JUL!AJ$8:AJ$73,MATCH($A66,JUL!$A$8:$A$73,0))&amp;"","")</f>
        <v/>
      </c>
      <c r="F66" s="123">
        <f>IFERROR(INDEX(JUL!AK$8:AK$73,MATCH($A66,JUL!$A$8:$A$73,0))&amp;"","")</f>
        <v/>
      </c>
      <c r="G66" s="123">
        <f>IFERROR(INDEX(JUL!AL$8:AL$73,MATCH($A66,JUL!$A$8:$A$73,0))&amp;"","")</f>
        <v/>
      </c>
      <c r="H66" s="123">
        <f>IFERROR(INDEX(JUL!AM$8:AM$73,MATCH($A66,JUL!$A$8:$A$73,0))&amp;"","")</f>
        <v/>
      </c>
      <c r="I66" s="116" t="inlineStr">
        <is>
          <t>N</t>
        </is>
      </c>
      <c r="J66" s="107" t="n"/>
      <c r="K66" s="108" t="inlineStr">
        <is>
          <t>M</t>
        </is>
      </c>
      <c r="L66" s="107" t="n"/>
      <c r="M66" s="107" t="n"/>
      <c r="N66" s="107" t="n"/>
      <c r="O66" s="107" t="n"/>
      <c r="P66" s="117" t="inlineStr">
        <is>
          <t>T</t>
        </is>
      </c>
      <c r="Q66" s="115" t="inlineStr">
        <is>
          <t>D</t>
        </is>
      </c>
      <c r="R66" s="116" t="inlineStr">
        <is>
          <t>N</t>
        </is>
      </c>
      <c r="S66" s="107" t="n"/>
      <c r="T66" s="107" t="n"/>
      <c r="U66" s="107" t="n"/>
      <c r="V66" s="116" t="inlineStr">
        <is>
          <t>N</t>
        </is>
      </c>
      <c r="W66" s="107" t="n"/>
      <c r="X66" s="107" t="n"/>
      <c r="Y66" s="116" t="inlineStr">
        <is>
          <t>N</t>
        </is>
      </c>
      <c r="Z66" s="107" t="n"/>
      <c r="AA66" s="107" t="n"/>
      <c r="AB66" s="116" t="inlineStr">
        <is>
          <t>N</t>
        </is>
      </c>
      <c r="AC66" s="107" t="n"/>
      <c r="AD66" s="107" t="n"/>
      <c r="AE66" s="107" t="n"/>
      <c r="AF66" s="116" t="inlineStr">
        <is>
          <t>N</t>
        </is>
      </c>
      <c r="AG66" s="107" t="n"/>
      <c r="AH66" s="107" t="n"/>
      <c r="AI66" s="116" t="inlineStr">
        <is>
          <t>N</t>
        </is>
      </c>
      <c r="AJ66" s="107" t="n"/>
      <c r="AK66" s="107" t="n"/>
      <c r="AL66" s="107" t="n"/>
      <c r="AM66" s="116" t="inlineStr">
        <is>
          <t>N</t>
        </is>
      </c>
      <c r="AN66" s="123">
        <f>IFERROR(INDEX(SET!I$8:I$73,MATCH($A66,SET!$A$8:$A$73,0))&amp;"","")</f>
        <v/>
      </c>
      <c r="AO66" s="123">
        <f>IFERROR(INDEX(SET!J$8:J$73,MATCH($A66,SET!$A$8:$A$73,0))&amp;"","")</f>
        <v/>
      </c>
      <c r="AP66" s="123">
        <f>IFERROR(INDEX(SET!K$8:K$73,MATCH($A66,SET!$A$8:$A$73,0))&amp;"","")</f>
        <v/>
      </c>
      <c r="AQ66" s="123">
        <f>IFERROR(INDEX(SET!L$8:L$73,MATCH($A66,SET!$A$8:$A$73,0))&amp;"","")</f>
        <v/>
      </c>
      <c r="AR66" s="109">
        <f>IFERROR(INDEX(SET!M$8:M$73,MATCH($A66,SET!$A$8:$A$73,0))&amp;"","")</f>
        <v/>
      </c>
      <c r="AS66" s="109">
        <f>IFERROR(INDEX(SET!N$8:N$73,MATCH($A66,SET!$A$8:$A$73,0))&amp;"","")</f>
        <v/>
      </c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SUMPRODUCT(($D66:$J66="M")*6+($D66:$J66="T")*6+($D66:$J66="D")*12+($D66:$J66="N")*12+($D66:$J66="NT")*6+($D66:$J66="C")*10+($D66:$J66="A")*8+($D66:$J66="J")*5+($D66:$J66="E")*4+($D66:$J66="P")*6+($D66:$J66="R")*6)</f>
        <v/>
      </c>
      <c r="BF66" s="110">
        <f>SUMPRODUCT(($K66:$Q66="M")*6+($K66:$Q66="T")*6+($K66:$Q66="D")*12+($K66:$Q66="N")*12+($K66:$Q66="NT")*6+($K66:$Q66="C")*10+($K66:$Q66="A")*8+($K66:$Q66="J")*5+($K66:$Q66="E")*4+($K66:$Q66="P")*6+($K66:$Q66="R")*6)</f>
        <v/>
      </c>
      <c r="BG66" s="110">
        <f>SUMPRODUCT(($R66:$X66="M")*6+($R66:$X66="T")*6+($R66:$X66="D")*12+($R66:$X66="N")*12+($R66:$X66="NT")*6+($R66:$X66="C")*10+($R66:$X66="A")*8+($R66:$X66="J")*5+($R66:$X66="E")*4+($R66:$X66="P")*6+($R66:$X66="R")*6)</f>
        <v/>
      </c>
      <c r="BH66" s="110">
        <f>SUMPRODUCT(($Y66:$AE66="M")*6+($Y66:$AE66="T")*6+($Y66:$AE66="D")*12+($Y66:$AE66="N")*12+($Y66:$AE66="NT")*6+($Y66:$AE66="C")*10+($Y66:$AE66="A")*8+($Y66:$AE66="J")*5+($Y66:$AE66="E")*4+($Y66:$AE66="P")*6+($Y66:$AE66="R")*6)</f>
        <v/>
      </c>
      <c r="BI66" s="110">
        <f>SUMPRODUCT(($AF66:$AL66="M")*6+($AF66:$AL66="T")*6+($AF66:$AL66="D")*12+($AF66:$AL66="N")*12+($AF66:$AL66="NT")*6+($AF66:$AL66="C")*10+($AF66:$AL66="A")*8+($AF66:$AL66="J")*5+($AF66:$AL66="E")*4+($AF66:$AL66="P")*6+($AF66:$AL66="R")*6)</f>
        <v/>
      </c>
      <c r="BJ66" s="110">
        <f>SUMPRODUCT(($AM66:$AM66="M")*6+($AM66:$AM66="T")*6+($AM66:$AM66="D")*12+($AM66:$AM66="N")*12+($AM66:$AM66="NT")*6+($AM66:$AM66="C")*10+($AM66:$AM66="A")*8+($AM66:$AM66="J")*5+($AM66:$AM66="E")*4+($AM66:$AM66="P")*6+($AM66:$AM66="R")*6)+SUMPRODUCT(($AN66:$AS66="M")*6+($AN66:$AS66="T")*6+($AN66:$AS66="D")*12+($AN66:$AS66="N")*12+($AN66:$AS66="NT")*6+($AN66:$AS66="C")*10+($AN66:$AS66="A")*8+($AN66:$AS66="J")*5+($AN66:$AS66="E")*4+($AN66:$AS66="P")*6+($AN66:$AS66="R")*6)</f>
        <v/>
      </c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123">
        <f>IFERROR(INDEX(JUL!AI$8:AI$73,MATCH($A67,JUL!$A$8:$A$73,0))&amp;"","")</f>
        <v/>
      </c>
      <c r="E67" s="123">
        <f>IFERROR(INDEX(JUL!AJ$8:AJ$73,MATCH($A67,JUL!$A$8:$A$73,0))&amp;"","")</f>
        <v/>
      </c>
      <c r="F67" s="123">
        <f>IFERROR(INDEX(JUL!AK$8:AK$73,MATCH($A67,JUL!$A$8:$A$73,0))&amp;"","")</f>
        <v/>
      </c>
      <c r="G67" s="123">
        <f>IFERROR(INDEX(JUL!AL$8:AL$73,MATCH($A67,JUL!$A$8:$A$73,0))&amp;"","")</f>
        <v/>
      </c>
      <c r="H67" s="123">
        <f>IFERROR(INDEX(JUL!AM$8:AM$73,MATCH($A67,JUL!$A$8:$A$73,0))&amp;"","")</f>
        <v/>
      </c>
      <c r="I67" s="116" t="inlineStr">
        <is>
          <t>N</t>
        </is>
      </c>
      <c r="J67" s="107" t="n"/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17" t="inlineStr">
        <is>
          <t>T</t>
        </is>
      </c>
      <c r="P67" s="108" t="inlineStr">
        <is>
          <t>M</t>
        </is>
      </c>
      <c r="Q67" s="107" t="n"/>
      <c r="R67" s="107" t="n"/>
      <c r="S67" s="108" t="inlineStr">
        <is>
          <t>M</t>
        </is>
      </c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8" t="inlineStr">
        <is>
          <t>M</t>
        </is>
      </c>
      <c r="Z67" s="107" t="n"/>
      <c r="AA67" s="108" t="inlineStr">
        <is>
          <t>M</t>
        </is>
      </c>
      <c r="AB67" s="107" t="n"/>
      <c r="AC67" s="117" t="inlineStr">
        <is>
          <t>T</t>
        </is>
      </c>
      <c r="AD67" s="107" t="n"/>
      <c r="AE67" s="108" t="inlineStr">
        <is>
          <t>M</t>
        </is>
      </c>
      <c r="AF67" s="108" t="inlineStr">
        <is>
          <t>M</t>
        </is>
      </c>
      <c r="AG67" s="108" t="inlineStr">
        <is>
          <t>M</t>
        </is>
      </c>
      <c r="AH67" s="116" t="inlineStr">
        <is>
          <t>N</t>
        </is>
      </c>
      <c r="AI67" s="107" t="n"/>
      <c r="AJ67" s="107" t="n"/>
      <c r="AK67" s="107" t="n"/>
      <c r="AL67" s="107" t="n"/>
      <c r="AM67" s="108" t="inlineStr">
        <is>
          <t>M</t>
        </is>
      </c>
      <c r="AN67" s="123">
        <f>IFERROR(INDEX(SET!I$8:I$73,MATCH($A67,SET!$A$8:$A$73,0))&amp;"","")</f>
        <v/>
      </c>
      <c r="AO67" s="123">
        <f>IFERROR(INDEX(SET!J$8:J$73,MATCH($A67,SET!$A$8:$A$73,0))&amp;"","")</f>
        <v/>
      </c>
      <c r="AP67" s="123">
        <f>IFERROR(INDEX(SET!K$8:K$73,MATCH($A67,SET!$A$8:$A$73,0))&amp;"","")</f>
        <v/>
      </c>
      <c r="AQ67" s="123">
        <f>IFERROR(INDEX(SET!L$8:L$73,MATCH($A67,SET!$A$8:$A$73,0))&amp;"","")</f>
        <v/>
      </c>
      <c r="AR67" s="109">
        <f>IFERROR(INDEX(SET!M$8:M$73,MATCH($A67,SET!$A$8:$A$73,0))&amp;"","")</f>
        <v/>
      </c>
      <c r="AS67" s="109">
        <f>IFERROR(INDEX(SET!N$8:N$73,MATCH($A67,SET!$A$8:$A$73,0))&amp;"","")</f>
        <v/>
      </c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SUMPRODUCT(($D67:$J67="M")*6+($D67:$J67="T")*6+($D67:$J67="D")*12+($D67:$J67="N")*12+($D67:$J67="NT")*6+($D67:$J67="C")*10+($D67:$J67="A")*8+($D67:$J67="J")*5+($D67:$J67="E")*4+($D67:$J67="P")*6+($D67:$J67="R")*6)</f>
        <v/>
      </c>
      <c r="BF67" s="110">
        <f>SUMPRODUCT(($K67:$Q67="M")*6+($K67:$Q67="T")*6+($K67:$Q67="D")*12+($K67:$Q67="N")*12+($K67:$Q67="NT")*6+($K67:$Q67="C")*10+($K67:$Q67="A")*8+($K67:$Q67="J")*5+($K67:$Q67="E")*4+($K67:$Q67="P")*6+($K67:$Q67="R")*6)</f>
        <v/>
      </c>
      <c r="BG67" s="110">
        <f>SUMPRODUCT(($R67:$X67="M")*6+($R67:$X67="T")*6+($R67:$X67="D")*12+($R67:$X67="N")*12+($R67:$X67="NT")*6+($R67:$X67="C")*10+($R67:$X67="A")*8+($R67:$X67="J")*5+($R67:$X67="E")*4+($R67:$X67="P")*6+($R67:$X67="R")*6)</f>
        <v/>
      </c>
      <c r="BH67" s="110">
        <f>SUMPRODUCT(($Y67:$AE67="M")*6+($Y67:$AE67="T")*6+($Y67:$AE67="D")*12+($Y67:$AE67="N")*12+($Y67:$AE67="NT")*6+($Y67:$AE67="C")*10+($Y67:$AE67="A")*8+($Y67:$AE67="J")*5+($Y67:$AE67="E")*4+($Y67:$AE67="P")*6+($Y67:$AE67="R")*6)</f>
        <v/>
      </c>
      <c r="BI67" s="110">
        <f>SUMPRODUCT(($AF67:$AL67="M")*6+($AF67:$AL67="T")*6+($AF67:$AL67="D")*12+($AF67:$AL67="N")*12+($AF67:$AL67="NT")*6+($AF67:$AL67="C")*10+($AF67:$AL67="A")*8+($AF67:$AL67="J")*5+($AF67:$AL67="E")*4+($AF67:$AL67="P")*6+($AF67:$AL67="R")*6)</f>
        <v/>
      </c>
      <c r="BJ67" s="110">
        <f>SUMPRODUCT(($AM67:$AM67="M")*6+($AM67:$AM67="T")*6+($AM67:$AM67="D")*12+($AM67:$AM67="N")*12+($AM67:$AM67="NT")*6+($AM67:$AM67="C")*10+($AM67:$AM67="A")*8+($AM67:$AM67="J")*5+($AM67:$AM67="E")*4+($AM67:$AM67="P")*6+($AM67:$AM67="R")*6)+SUMPRODUCT(($AN67:$AS67="M")*6+($AN67:$AS67="T")*6+($AN67:$AS67="D")*12+($AN67:$AS67="N")*12+($AN67:$AS67="NT")*6+($AN67:$AS67="C")*10+($AN67:$AS67="A")*8+($AN67:$AS67="J")*5+($AN67:$AS67="E")*4+($AN67:$AS67="P")*6+($AN67:$AS67="R")*6)</f>
        <v/>
      </c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123">
        <f>IFERROR(INDEX(JUL!AI$8:AI$73,MATCH($A68,JUL!$A$8:$A$73,0))&amp;"","")</f>
        <v/>
      </c>
      <c r="E68" s="123">
        <f>IFERROR(INDEX(JUL!AJ$8:AJ$73,MATCH($A68,JUL!$A$8:$A$73,0))&amp;"","")</f>
        <v/>
      </c>
      <c r="F68" s="123">
        <f>IFERROR(INDEX(JUL!AK$8:AK$73,MATCH($A68,JUL!$A$8:$A$73,0))&amp;"","")</f>
        <v/>
      </c>
      <c r="G68" s="123">
        <f>IFERROR(INDEX(JUL!AL$8:AL$73,MATCH($A68,JUL!$A$8:$A$73,0))&amp;"","")</f>
        <v/>
      </c>
      <c r="H68" s="123">
        <f>IFERROR(INDEX(JUL!AM$8:AM$73,MATCH($A68,JUL!$A$8:$A$73,0))&amp;"","")</f>
        <v/>
      </c>
      <c r="I68" s="107" t="n"/>
      <c r="J68" s="115" t="inlineStr">
        <is>
          <t>D</t>
        </is>
      </c>
      <c r="K68" s="107" t="n"/>
      <c r="L68" s="107" t="n"/>
      <c r="M68" s="117" t="inlineStr">
        <is>
          <t>T</t>
        </is>
      </c>
      <c r="N68" s="107" t="n"/>
      <c r="O68" s="115" t="inlineStr">
        <is>
          <t>D</t>
        </is>
      </c>
      <c r="P68" s="107" t="n"/>
      <c r="Q68" s="117" t="inlineStr">
        <is>
          <t>T</t>
        </is>
      </c>
      <c r="R68" s="107" t="n"/>
      <c r="S68" s="107" t="n"/>
      <c r="T68" s="116" t="inlineStr">
        <is>
          <t>N</t>
        </is>
      </c>
      <c r="U68" s="107" t="n"/>
      <c r="V68" s="107" t="n"/>
      <c r="W68" s="115" t="inlineStr">
        <is>
          <t>D</t>
        </is>
      </c>
      <c r="X68" s="107" t="n"/>
      <c r="Y68" s="107" t="n"/>
      <c r="Z68" s="107" t="n"/>
      <c r="AA68" s="115" t="inlineStr">
        <is>
          <t>D</t>
        </is>
      </c>
      <c r="AB68" s="107" t="n"/>
      <c r="AC68" s="115" t="inlineStr">
        <is>
          <t>D</t>
        </is>
      </c>
      <c r="AD68" s="107" t="n"/>
      <c r="AE68" s="107" t="n"/>
      <c r="AF68" s="107" t="n"/>
      <c r="AG68" s="107" t="n"/>
      <c r="AH68" s="115" t="inlineStr">
        <is>
          <t>D</t>
        </is>
      </c>
      <c r="AI68" s="107" t="n"/>
      <c r="AJ68" s="115" t="inlineStr">
        <is>
          <t>D</t>
        </is>
      </c>
      <c r="AK68" s="107" t="n"/>
      <c r="AL68" s="107" t="n"/>
      <c r="AM68" s="107" t="n"/>
      <c r="AN68" s="123">
        <f>IFERROR(INDEX(SET!I$8:I$73,MATCH($A68,SET!$A$8:$A$73,0))&amp;"","")</f>
        <v/>
      </c>
      <c r="AO68" s="123">
        <f>IFERROR(INDEX(SET!J$8:J$73,MATCH($A68,SET!$A$8:$A$73,0))&amp;"","")</f>
        <v/>
      </c>
      <c r="AP68" s="123">
        <f>IFERROR(INDEX(SET!K$8:K$73,MATCH($A68,SET!$A$8:$A$73,0))&amp;"","")</f>
        <v/>
      </c>
      <c r="AQ68" s="123">
        <f>IFERROR(INDEX(SET!L$8:L$73,MATCH($A68,SET!$A$8:$A$73,0))&amp;"","")</f>
        <v/>
      </c>
      <c r="AR68" s="109">
        <f>IFERROR(INDEX(SET!M$8:M$73,MATCH($A68,SET!$A$8:$A$73,0))&amp;"","")</f>
        <v/>
      </c>
      <c r="AS68" s="109">
        <f>IFERROR(INDEX(SET!N$8:N$73,MATCH($A68,SET!$A$8:$A$73,0))&amp;"","")</f>
        <v/>
      </c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SUMPRODUCT(($D68:$J68="M")*6+($D68:$J68="T")*6+($D68:$J68="D")*12+($D68:$J68="N")*12+($D68:$J68="NT")*6+($D68:$J68="C")*10+($D68:$J68="A")*8+($D68:$J68="J")*5+($D68:$J68="E")*4+($D68:$J68="P")*6+($D68:$J68="R")*6)</f>
        <v/>
      </c>
      <c r="BF68" s="110">
        <f>SUMPRODUCT(($K68:$Q68="M")*6+($K68:$Q68="T")*6+($K68:$Q68="D")*12+($K68:$Q68="N")*12+($K68:$Q68="NT")*6+($K68:$Q68="C")*10+($K68:$Q68="A")*8+($K68:$Q68="J")*5+($K68:$Q68="E")*4+($K68:$Q68="P")*6+($K68:$Q68="R")*6)</f>
        <v/>
      </c>
      <c r="BG68" s="110">
        <f>SUMPRODUCT(($R68:$X68="M")*6+($R68:$X68="T")*6+($R68:$X68="D")*12+($R68:$X68="N")*12+($R68:$X68="NT")*6+($R68:$X68="C")*10+($R68:$X68="A")*8+($R68:$X68="J")*5+($R68:$X68="E")*4+($R68:$X68="P")*6+($R68:$X68="R")*6)</f>
        <v/>
      </c>
      <c r="BH68" s="110">
        <f>SUMPRODUCT(($Y68:$AE68="M")*6+($Y68:$AE68="T")*6+($Y68:$AE68="D")*12+($Y68:$AE68="N")*12+($Y68:$AE68="NT")*6+($Y68:$AE68="C")*10+($Y68:$AE68="A")*8+($Y68:$AE68="J")*5+($Y68:$AE68="E")*4+($Y68:$AE68="P")*6+($Y68:$AE68="R")*6)</f>
        <v/>
      </c>
      <c r="BI68" s="110">
        <f>SUMPRODUCT(($AF68:$AL68="M")*6+($AF68:$AL68="T")*6+($AF68:$AL68="D")*12+($AF68:$AL68="N")*12+($AF68:$AL68="NT")*6+($AF68:$AL68="C")*10+($AF68:$AL68="A")*8+($AF68:$AL68="J")*5+($AF68:$AL68="E")*4+($AF68:$AL68="P")*6+($AF68:$AL68="R")*6)</f>
        <v/>
      </c>
      <c r="BJ68" s="110">
        <f>SUMPRODUCT(($AM68:$AM68="M")*6+($AM68:$AM68="T")*6+($AM68:$AM68="D")*12+($AM68:$AM68="N")*12+($AM68:$AM68="NT")*6+($AM68:$AM68="C")*10+($AM68:$AM68="A")*8+($AM68:$AM68="J")*5+($AM68:$AM68="E")*4+($AM68:$AM68="P")*6+($AM68:$AM68="R")*6)+SUMPRODUCT(($AN68:$AS68="M")*6+($AN68:$AS68="T")*6+($AN68:$AS68="D")*12+($AN68:$AS68="N")*12+($AN68:$AS68="NT")*6+($AN68:$AS68="C")*10+($AN68:$AS68="A")*8+($AN68:$AS68="J")*5+($AN68:$AS68="E")*4+($AN68:$AS68="P")*6+($AN68:$AS68="R")*6)</f>
        <v/>
      </c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123">
        <f>IFERROR(INDEX(JUL!AI$8:AI$73,MATCH($A69,JUL!$A$8:$A$73,0))&amp;"","")</f>
        <v/>
      </c>
      <c r="E69" s="123">
        <f>IFERROR(INDEX(JUL!AJ$8:AJ$73,MATCH($A69,JUL!$A$8:$A$73,0))&amp;"","")</f>
        <v/>
      </c>
      <c r="F69" s="123">
        <f>IFERROR(INDEX(JUL!AK$8:AK$73,MATCH($A69,JUL!$A$8:$A$73,0))&amp;"","")</f>
        <v/>
      </c>
      <c r="G69" s="123">
        <f>IFERROR(INDEX(JUL!AL$8:AL$73,MATCH($A69,JUL!$A$8:$A$73,0))&amp;"","")</f>
        <v/>
      </c>
      <c r="H69" s="123">
        <f>IFERROR(INDEX(JUL!AM$8:AM$73,MATCH($A69,JUL!$A$8:$A$73,0))&amp;"","")</f>
        <v/>
      </c>
      <c r="I69" s="115" t="inlineStr">
        <is>
          <t>D</t>
        </is>
      </c>
      <c r="J69" s="107" t="n"/>
      <c r="K69" s="107" t="n"/>
      <c r="L69" s="107" t="n"/>
      <c r="M69" s="115" t="inlineStr">
        <is>
          <t>D</t>
        </is>
      </c>
      <c r="N69" s="107" t="n"/>
      <c r="O69" s="107" t="n"/>
      <c r="P69" s="115" t="inlineStr">
        <is>
          <t>D</t>
        </is>
      </c>
      <c r="Q69" s="107" t="n"/>
      <c r="R69" s="107" t="n"/>
      <c r="S69" s="107" t="n"/>
      <c r="T69" s="115" t="inlineStr">
        <is>
          <t>D</t>
        </is>
      </c>
      <c r="U69" s="107" t="n"/>
      <c r="V69" s="115" t="inlineStr">
        <is>
          <t>D</t>
        </is>
      </c>
      <c r="W69" s="107" t="n"/>
      <c r="X69" s="107" t="n"/>
      <c r="Y69" s="116" t="inlineStr">
        <is>
          <t>N</t>
        </is>
      </c>
      <c r="Z69" s="107" t="n"/>
      <c r="AA69" s="116" t="inlineStr">
        <is>
          <t>N</t>
        </is>
      </c>
      <c r="AB69" s="107" t="n"/>
      <c r="AC69" s="107" t="n"/>
      <c r="AD69" s="107" t="n"/>
      <c r="AE69" s="107" t="n"/>
      <c r="AF69" s="107" t="n"/>
      <c r="AG69" s="107" t="n"/>
      <c r="AH69" s="115" t="inlineStr">
        <is>
          <t>D</t>
        </is>
      </c>
      <c r="AI69" s="107" t="n"/>
      <c r="AJ69" s="107" t="n"/>
      <c r="AK69" s="115" t="inlineStr">
        <is>
          <t>D</t>
        </is>
      </c>
      <c r="AL69" s="107" t="n"/>
      <c r="AM69" s="115" t="inlineStr">
        <is>
          <t>D</t>
        </is>
      </c>
      <c r="AN69" s="123">
        <f>IFERROR(INDEX(SET!I$8:I$73,MATCH($A69,SET!$A$8:$A$73,0))&amp;"","")</f>
        <v/>
      </c>
      <c r="AO69" s="123">
        <f>IFERROR(INDEX(SET!J$8:J$73,MATCH($A69,SET!$A$8:$A$73,0))&amp;"","")</f>
        <v/>
      </c>
      <c r="AP69" s="123">
        <f>IFERROR(INDEX(SET!K$8:K$73,MATCH($A69,SET!$A$8:$A$73,0))&amp;"","")</f>
        <v/>
      </c>
      <c r="AQ69" s="123">
        <f>IFERROR(INDEX(SET!L$8:L$73,MATCH($A69,SET!$A$8:$A$73,0))&amp;"","")</f>
        <v/>
      </c>
      <c r="AR69" s="109">
        <f>IFERROR(INDEX(SET!M$8:M$73,MATCH($A69,SET!$A$8:$A$73,0))&amp;"","")</f>
        <v/>
      </c>
      <c r="AS69" s="109">
        <f>IFERROR(INDEX(SET!N$8:N$73,MATCH($A69,SET!$A$8:$A$73,0))&amp;"","")</f>
        <v/>
      </c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SUMPRODUCT(($D69:$J69="M")*6+($D69:$J69="T")*6+($D69:$J69="D")*12+($D69:$J69="N")*12+($D69:$J69="NT")*6+($D69:$J69="C")*10+($D69:$J69="A")*8+($D69:$J69="J")*5+($D69:$J69="E")*4+($D69:$J69="P")*6+($D69:$J69="R")*6)</f>
        <v/>
      </c>
      <c r="BF69" s="110">
        <f>SUMPRODUCT(($K69:$Q69="M")*6+($K69:$Q69="T")*6+($K69:$Q69="D")*12+($K69:$Q69="N")*12+($K69:$Q69="NT")*6+($K69:$Q69="C")*10+($K69:$Q69="A")*8+($K69:$Q69="J")*5+($K69:$Q69="E")*4+($K69:$Q69="P")*6+($K69:$Q69="R")*6)</f>
        <v/>
      </c>
      <c r="BG69" s="110">
        <f>SUMPRODUCT(($R69:$X69="M")*6+($R69:$X69="T")*6+($R69:$X69="D")*12+($R69:$X69="N")*12+($R69:$X69="NT")*6+($R69:$X69="C")*10+($R69:$X69="A")*8+($R69:$X69="J")*5+($R69:$X69="E")*4+($R69:$X69="P")*6+($R69:$X69="R")*6)</f>
        <v/>
      </c>
      <c r="BH69" s="110">
        <f>SUMPRODUCT(($Y69:$AE69="M")*6+($Y69:$AE69="T")*6+($Y69:$AE69="D")*12+($Y69:$AE69="N")*12+($Y69:$AE69="NT")*6+($Y69:$AE69="C")*10+($Y69:$AE69="A")*8+($Y69:$AE69="J")*5+($Y69:$AE69="E")*4+($Y69:$AE69="P")*6+($Y69:$AE69="R")*6)</f>
        <v/>
      </c>
      <c r="BI69" s="110">
        <f>SUMPRODUCT(($AF69:$AL69="M")*6+($AF69:$AL69="T")*6+($AF69:$AL69="D")*12+($AF69:$AL69="N")*12+($AF69:$AL69="NT")*6+($AF69:$AL69="C")*10+($AF69:$AL69="A")*8+($AF69:$AL69="J")*5+($AF69:$AL69="E")*4+($AF69:$AL69="P")*6+($AF69:$AL69="R")*6)</f>
        <v/>
      </c>
      <c r="BJ69" s="110">
        <f>SUMPRODUCT(($AM69:$AM69="M")*6+($AM69:$AM69="T")*6+($AM69:$AM69="D")*12+($AM69:$AM69="N")*12+($AM69:$AM69="NT")*6+($AM69:$AM69="C")*10+($AM69:$AM69="A")*8+($AM69:$AM69="J")*5+($AM69:$AM69="E")*4+($AM69:$AM69="P")*6+($AM69:$AM69="R")*6)+SUMPRODUCT(($AN69:$AS69="M")*6+($AN69:$AS69="T")*6+($AN69:$AS69="D")*12+($AN69:$AS69="N")*12+($AN69:$AS69="NT")*6+($AN69:$AS69="C")*10+($AN69:$AS69="A")*8+($AN69:$AS69="J")*5+($AN69:$AS69="E")*4+($AN69:$AS69="P")*6+($AN69:$AS69="R")*6)</f>
        <v/>
      </c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123">
        <f>IFERROR(INDEX(JUL!AI$8:AI$73,MATCH($A70,JUL!$A$8:$A$73,0))&amp;"","")</f>
        <v/>
      </c>
      <c r="E70" s="123">
        <f>IFERROR(INDEX(JUL!AJ$8:AJ$73,MATCH($A70,JUL!$A$8:$A$73,0))&amp;"","")</f>
        <v/>
      </c>
      <c r="F70" s="123">
        <f>IFERROR(INDEX(JUL!AK$8:AK$73,MATCH($A70,JUL!$A$8:$A$73,0))&amp;"","")</f>
        <v/>
      </c>
      <c r="G70" s="123">
        <f>IFERROR(INDEX(JUL!AL$8:AL$73,MATCH($A70,JUL!$A$8:$A$73,0))&amp;"","")</f>
        <v/>
      </c>
      <c r="H70" s="123">
        <f>IFERROR(INDEX(JUL!AM$8:AM$73,MATCH($A70,JUL!$A$8:$A$73,0))&amp;"","")</f>
        <v/>
      </c>
      <c r="I70" s="107" t="n"/>
      <c r="J70" s="115" t="inlineStr">
        <is>
          <t>D</t>
        </is>
      </c>
      <c r="K70" s="107" t="n"/>
      <c r="L70" s="115" t="inlineStr">
        <is>
          <t>D</t>
        </is>
      </c>
      <c r="M70" s="115" t="inlineStr">
        <is>
          <t>D</t>
        </is>
      </c>
      <c r="N70" s="107" t="n"/>
      <c r="O70" s="107" t="n"/>
      <c r="P70" s="107" t="n"/>
      <c r="Q70" s="107" t="n"/>
      <c r="R70" s="107" t="n"/>
      <c r="S70" s="115" t="inlineStr">
        <is>
          <t>D</t>
        </is>
      </c>
      <c r="T70" s="107" t="n"/>
      <c r="U70" s="115" t="inlineStr">
        <is>
          <t>D</t>
        </is>
      </c>
      <c r="V70" s="107" t="n"/>
      <c r="W70" s="107" t="n"/>
      <c r="X70" s="107" t="n"/>
      <c r="Y70" s="107" t="n"/>
      <c r="Z70" s="116" t="inlineStr">
        <is>
          <t>N</t>
        </is>
      </c>
      <c r="AA70" s="107" t="n"/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7" t="inlineStr">
        <is>
          <t>T</t>
        </is>
      </c>
      <c r="AH70" s="107" t="n"/>
      <c r="AI70" s="108" t="inlineStr">
        <is>
          <t>M</t>
        </is>
      </c>
      <c r="AJ70" s="107" t="n"/>
      <c r="AK70" s="116" t="inlineStr">
        <is>
          <t>N</t>
        </is>
      </c>
      <c r="AL70" s="107" t="n"/>
      <c r="AM70" s="107" t="n"/>
      <c r="AN70" s="123">
        <f>IFERROR(INDEX(SET!I$8:I$73,MATCH($A70,SET!$A$8:$A$73,0))&amp;"","")</f>
        <v/>
      </c>
      <c r="AO70" s="123">
        <f>IFERROR(INDEX(SET!J$8:J$73,MATCH($A70,SET!$A$8:$A$73,0))&amp;"","")</f>
        <v/>
      </c>
      <c r="AP70" s="123">
        <f>IFERROR(INDEX(SET!K$8:K$73,MATCH($A70,SET!$A$8:$A$73,0))&amp;"","")</f>
        <v/>
      </c>
      <c r="AQ70" s="123">
        <f>IFERROR(INDEX(SET!L$8:L$73,MATCH($A70,SET!$A$8:$A$73,0))&amp;"","")</f>
        <v/>
      </c>
      <c r="AR70" s="109">
        <f>IFERROR(INDEX(SET!M$8:M$73,MATCH($A70,SET!$A$8:$A$73,0))&amp;"","")</f>
        <v/>
      </c>
      <c r="AS70" s="109">
        <f>IFERROR(INDEX(SET!N$8:N$73,MATCH($A70,SET!$A$8:$A$73,0))&amp;"","")</f>
        <v/>
      </c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SUMPRODUCT(($D70:$J70="M")*6+($D70:$J70="T")*6+($D70:$J70="D")*12+($D70:$J70="N")*12+($D70:$J70="NT")*6+($D70:$J70="C")*10+($D70:$J70="A")*8+($D70:$J70="J")*5+($D70:$J70="E")*4+($D70:$J70="P")*6+($D70:$J70="R")*6)</f>
        <v/>
      </c>
      <c r="BF70" s="110">
        <f>SUMPRODUCT(($K70:$Q70="M")*6+($K70:$Q70="T")*6+($K70:$Q70="D")*12+($K70:$Q70="N")*12+($K70:$Q70="NT")*6+($K70:$Q70="C")*10+($K70:$Q70="A")*8+($K70:$Q70="J")*5+($K70:$Q70="E")*4+($K70:$Q70="P")*6+($K70:$Q70="R")*6)</f>
        <v/>
      </c>
      <c r="BG70" s="110">
        <f>SUMPRODUCT(($R70:$X70="M")*6+($R70:$X70="T")*6+($R70:$X70="D")*12+($R70:$X70="N")*12+($R70:$X70="NT")*6+($R70:$X70="C")*10+($R70:$X70="A")*8+($R70:$X70="J")*5+($R70:$X70="E")*4+($R70:$X70="P")*6+($R70:$X70="R")*6)</f>
        <v/>
      </c>
      <c r="BH70" s="110">
        <f>SUMPRODUCT(($Y70:$AE70="M")*6+($Y70:$AE70="T")*6+($Y70:$AE70="D")*12+($Y70:$AE70="N")*12+($Y70:$AE70="NT")*6+($Y70:$AE70="C")*10+($Y70:$AE70="A")*8+($Y70:$AE70="J")*5+($Y70:$AE70="E")*4+($Y70:$AE70="P")*6+($Y70:$AE70="R")*6)</f>
        <v/>
      </c>
      <c r="BI70" s="110">
        <f>SUMPRODUCT(($AF70:$AL70="M")*6+($AF70:$AL70="T")*6+($AF70:$AL70="D")*12+($AF70:$AL70="N")*12+($AF70:$AL70="NT")*6+($AF70:$AL70="C")*10+($AF70:$AL70="A")*8+($AF70:$AL70="J")*5+($AF70:$AL70="E")*4+($AF70:$AL70="P")*6+($AF70:$AL70="R")*6)</f>
        <v/>
      </c>
      <c r="BJ70" s="110">
        <f>SUMPRODUCT(($AM70:$AM70="M")*6+($AM70:$AM70="T")*6+($AM70:$AM70="D")*12+($AM70:$AM70="N")*12+($AM70:$AM70="NT")*6+($AM70:$AM70="C")*10+($AM70:$AM70="A")*8+($AM70:$AM70="J")*5+($AM70:$AM70="E")*4+($AM70:$AM70="P")*6+($AM70:$AM70="R")*6)+SUMPRODUCT(($AN70:$AS70="M")*6+($AN70:$AS70="T")*6+($AN70:$AS70="D")*12+($AN70:$AS70="N")*12+($AN70:$AS70="NT")*6+($AN70:$AS70="C")*10+($AN70:$AS70="A")*8+($AN70:$AS70="J")*5+($AN70:$AS70="E")*4+($AN70:$AS70="P")*6+($AN70:$AS70="R")*6)</f>
        <v/>
      </c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123">
        <f>IFERROR(INDEX(JUL!AI$8:AI$73,MATCH($A71,JUL!$A$8:$A$73,0))&amp;"","")</f>
        <v/>
      </c>
      <c r="E71" s="123">
        <f>IFERROR(INDEX(JUL!AJ$8:AJ$73,MATCH($A71,JUL!$A$8:$A$73,0))&amp;"","")</f>
        <v/>
      </c>
      <c r="F71" s="123">
        <f>IFERROR(INDEX(JUL!AK$8:AK$73,MATCH($A71,JUL!$A$8:$A$73,0))&amp;"","")</f>
        <v/>
      </c>
      <c r="G71" s="123">
        <f>IFERROR(INDEX(JUL!AL$8:AL$73,MATCH($A71,JUL!$A$8:$A$73,0))&amp;"","")</f>
        <v/>
      </c>
      <c r="H71" s="123">
        <f>IFERROR(INDEX(JUL!AM$8:AM$73,MATCH($A71,JUL!$A$8:$A$73,0))&amp;"","")</f>
        <v/>
      </c>
      <c r="I71" s="107" t="n"/>
      <c r="J71" s="108" t="inlineStr">
        <is>
          <t>M</t>
        </is>
      </c>
      <c r="K71" s="130" t="inlineStr">
        <is>
          <t>A</t>
        </is>
      </c>
      <c r="L71" s="130" t="inlineStr">
        <is>
          <t>A</t>
        </is>
      </c>
      <c r="M71" s="107" t="n"/>
      <c r="N71" s="130" t="inlineStr">
        <is>
          <t>A</t>
        </is>
      </c>
      <c r="O71" s="107" t="n"/>
      <c r="P71" s="107" t="n"/>
      <c r="Q71" s="107" t="n"/>
      <c r="R71" s="130" t="inlineStr">
        <is>
          <t>A</t>
        </is>
      </c>
      <c r="S71" s="130" t="inlineStr">
        <is>
          <t>A</t>
        </is>
      </c>
      <c r="T71" s="107" t="n"/>
      <c r="U71" s="107" t="n"/>
      <c r="V71" s="107" t="n"/>
      <c r="W71" s="107" t="n"/>
      <c r="X71" s="130" t="inlineStr">
        <is>
          <t>A</t>
        </is>
      </c>
      <c r="Y71" s="130" t="inlineStr">
        <is>
          <t>A</t>
        </is>
      </c>
      <c r="Z71" s="130" t="inlineStr">
        <is>
          <t>A</t>
        </is>
      </c>
      <c r="AA71" s="107" t="n"/>
      <c r="AB71" s="130" t="inlineStr">
        <is>
          <t>A</t>
        </is>
      </c>
      <c r="AC71" s="107" t="n"/>
      <c r="AD71" s="107" t="n"/>
      <c r="AE71" s="107" t="n"/>
      <c r="AF71" s="130" t="inlineStr">
        <is>
          <t>A</t>
        </is>
      </c>
      <c r="AG71" s="130" t="inlineStr">
        <is>
          <t>A</t>
        </is>
      </c>
      <c r="AH71" s="107" t="n"/>
      <c r="AI71" s="107" t="n"/>
      <c r="AJ71" s="107" t="n"/>
      <c r="AK71" s="107" t="n"/>
      <c r="AL71" s="130" t="inlineStr">
        <is>
          <t>A</t>
        </is>
      </c>
      <c r="AM71" s="130" t="inlineStr">
        <is>
          <t>A</t>
        </is>
      </c>
      <c r="AN71" s="123">
        <f>IFERROR(INDEX(SET!I$8:I$73,MATCH($A71,SET!$A$8:$A$73,0))&amp;"","")</f>
        <v/>
      </c>
      <c r="AO71" s="123">
        <f>IFERROR(INDEX(SET!J$8:J$73,MATCH($A71,SET!$A$8:$A$73,0))&amp;"","")</f>
        <v/>
      </c>
      <c r="AP71" s="123">
        <f>IFERROR(INDEX(SET!K$8:K$73,MATCH($A71,SET!$A$8:$A$73,0))&amp;"","")</f>
        <v/>
      </c>
      <c r="AQ71" s="123">
        <f>IFERROR(INDEX(SET!L$8:L$73,MATCH($A71,SET!$A$8:$A$73,0))&amp;"","")</f>
        <v/>
      </c>
      <c r="AR71" s="109">
        <f>IFERROR(INDEX(SET!M$8:M$73,MATCH($A71,SET!$A$8:$A$73,0))&amp;"","")</f>
        <v/>
      </c>
      <c r="AS71" s="109">
        <f>IFERROR(INDEX(SET!N$8:N$73,MATCH($A71,SET!$A$8:$A$73,0))&amp;"","")</f>
        <v/>
      </c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SUMPRODUCT(($D71:$J71="M")*6+($D71:$J71="T")*6+($D71:$J71="D")*12+($D71:$J71="N")*12+($D71:$J71="NT")*6+($D71:$J71="C")*10+($D71:$J71="A")*8+($D71:$J71="J")*5+($D71:$J71="E")*4+($D71:$J71="P")*6+($D71:$J71="R")*6)</f>
        <v/>
      </c>
      <c r="BF71" s="110">
        <f>SUMPRODUCT(($K71:$Q71="M")*6+($K71:$Q71="T")*6+($K71:$Q71="D")*12+($K71:$Q71="N")*12+($K71:$Q71="NT")*6+($K71:$Q71="C")*10+($K71:$Q71="A")*8+($K71:$Q71="J")*5+($K71:$Q71="E")*4+($K71:$Q71="P")*6+($K71:$Q71="R")*6)</f>
        <v/>
      </c>
      <c r="BG71" s="110">
        <f>SUMPRODUCT(($R71:$X71="M")*6+($R71:$X71="T")*6+($R71:$X71="D")*12+($R71:$X71="N")*12+($R71:$X71="NT")*6+($R71:$X71="C")*10+($R71:$X71="A")*8+($R71:$X71="J")*5+($R71:$X71="E")*4+($R71:$X71="P")*6+($R71:$X71="R")*6)</f>
        <v/>
      </c>
      <c r="BH71" s="110">
        <f>SUMPRODUCT(($Y71:$AE71="M")*6+($Y71:$AE71="T")*6+($Y71:$AE71="D")*12+($Y71:$AE71="N")*12+($Y71:$AE71="NT")*6+($Y71:$AE71="C")*10+($Y71:$AE71="A")*8+($Y71:$AE71="J")*5+($Y71:$AE71="E")*4+($Y71:$AE71="P")*6+($Y71:$AE71="R")*6)</f>
        <v/>
      </c>
      <c r="BI71" s="110">
        <f>SUMPRODUCT(($AF71:$AL71="M")*6+($AF71:$AL71="T")*6+($AF71:$AL71="D")*12+($AF71:$AL71="N")*12+($AF71:$AL71="NT")*6+($AF71:$AL71="C")*10+($AF71:$AL71="A")*8+($AF71:$AL71="J")*5+($AF71:$AL71="E")*4+($AF71:$AL71="P")*6+($AF71:$AL71="R")*6)</f>
        <v/>
      </c>
      <c r="BJ71" s="110">
        <f>SUMPRODUCT(($AM71:$AM71="M")*6+($AM71:$AM71="T")*6+($AM71:$AM71="D")*12+($AM71:$AM71="N")*12+($AM71:$AM71="NT")*6+($AM71:$AM71="C")*10+($AM71:$AM71="A")*8+($AM71:$AM71="J")*5+($AM71:$AM71="E")*4+($AM71:$AM71="P")*6+($AM71:$AM71="R")*6)+SUMPRODUCT(($AN71:$AS71="M")*6+($AN71:$AS71="T")*6+($AN71:$AS71="D")*12+($AN71:$AS71="N")*12+($AN71:$AS71="NT")*6+($AN71:$AS71="C")*10+($AN71:$AS71="A")*8+($AN71:$AS71="J")*5+($AN71:$AS71="E")*4+($AN71:$AS71="P")*6+($AN71:$AS71="R")*6)</f>
        <v/>
      </c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123">
        <f>IFERROR(INDEX(JUL!AI$8:AI$73,MATCH($A72,JUL!$A$8:$A$73,0))&amp;"","")</f>
        <v/>
      </c>
      <c r="E72" s="123">
        <f>IFERROR(INDEX(JUL!AJ$8:AJ$73,MATCH($A72,JUL!$A$8:$A$73,0))&amp;"","")</f>
        <v/>
      </c>
      <c r="F72" s="123">
        <f>IFERROR(INDEX(JUL!AK$8:AK$73,MATCH($A72,JUL!$A$8:$A$73,0))&amp;"","")</f>
        <v/>
      </c>
      <c r="G72" s="123">
        <f>IFERROR(INDEX(JUL!AL$8:AL$73,MATCH($A72,JUL!$A$8:$A$73,0))&amp;"","")</f>
        <v/>
      </c>
      <c r="H72" s="123">
        <f>IFERROR(INDEX(JUL!AM$8:AM$73,MATCH($A72,JUL!$A$8:$A$73,0))&amp;"","")</f>
        <v/>
      </c>
      <c r="I72" s="108" t="inlineStr">
        <is>
          <t>M</t>
        </is>
      </c>
      <c r="J72" s="107" t="n"/>
      <c r="K72" s="107" t="n"/>
      <c r="L72" s="117" t="inlineStr">
        <is>
          <t>T</t>
        </is>
      </c>
      <c r="M72" s="130" t="inlineStr">
        <is>
          <t>A</t>
        </is>
      </c>
      <c r="N72" s="107" t="n"/>
      <c r="O72" s="130" t="inlineStr">
        <is>
          <t>A</t>
        </is>
      </c>
      <c r="P72" s="107" t="n"/>
      <c r="Q72" s="130" t="inlineStr">
        <is>
          <t>A</t>
        </is>
      </c>
      <c r="R72" s="130" t="inlineStr">
        <is>
          <t>A</t>
        </is>
      </c>
      <c r="S72" s="117" t="inlineStr">
        <is>
          <t>T</t>
        </is>
      </c>
      <c r="T72" s="130" t="inlineStr">
        <is>
          <t>A</t>
        </is>
      </c>
      <c r="U72" s="107" t="n"/>
      <c r="V72" s="130" t="inlineStr">
        <is>
          <t>A</t>
        </is>
      </c>
      <c r="W72" s="107" t="n"/>
      <c r="X72" s="107" t="n"/>
      <c r="Y72" s="130" t="inlineStr">
        <is>
          <t>A</t>
        </is>
      </c>
      <c r="Z72" s="117" t="inlineStr">
        <is>
          <t>T</t>
        </is>
      </c>
      <c r="AA72" s="130" t="inlineStr">
        <is>
          <t>A</t>
        </is>
      </c>
      <c r="AB72" s="107" t="n"/>
      <c r="AC72" s="107" t="n"/>
      <c r="AD72" s="107" t="n"/>
      <c r="AE72" s="130" t="inlineStr">
        <is>
          <t>A</t>
        </is>
      </c>
      <c r="AF72" s="130" t="inlineStr">
        <is>
          <t>A</t>
        </is>
      </c>
      <c r="AG72" s="117" t="inlineStr">
        <is>
          <t>T</t>
        </is>
      </c>
      <c r="AH72" s="130" t="inlineStr">
        <is>
          <t>A</t>
        </is>
      </c>
      <c r="AI72" s="107" t="n"/>
      <c r="AJ72" s="130" t="inlineStr">
        <is>
          <t>A</t>
        </is>
      </c>
      <c r="AK72" s="107" t="n"/>
      <c r="AL72" s="107" t="n"/>
      <c r="AM72" s="107" t="n"/>
      <c r="AN72" s="123">
        <f>IFERROR(INDEX(SET!I$8:I$73,MATCH($A72,SET!$A$8:$A$73,0))&amp;"","")</f>
        <v/>
      </c>
      <c r="AO72" s="123">
        <f>IFERROR(INDEX(SET!J$8:J$73,MATCH($A72,SET!$A$8:$A$73,0))&amp;"","")</f>
        <v/>
      </c>
      <c r="AP72" s="123">
        <f>IFERROR(INDEX(SET!K$8:K$73,MATCH($A72,SET!$A$8:$A$73,0))&amp;"","")</f>
        <v/>
      </c>
      <c r="AQ72" s="123">
        <f>IFERROR(INDEX(SET!L$8:L$73,MATCH($A72,SET!$A$8:$A$73,0))&amp;"","")</f>
        <v/>
      </c>
      <c r="AR72" s="109">
        <f>IFERROR(INDEX(SET!M$8:M$73,MATCH($A72,SET!$A$8:$A$73,0))&amp;"","")</f>
        <v/>
      </c>
      <c r="AS72" s="109">
        <f>IFERROR(INDEX(SET!N$8:N$73,MATCH($A72,SET!$A$8:$A$73,0))&amp;"","")</f>
        <v/>
      </c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SUMPRODUCT(($D72:$J72="M")*6+($D72:$J72="T")*6+($D72:$J72="D")*12+($D72:$J72="N")*12+($D72:$J72="NT")*6+($D72:$J72="C")*10+($D72:$J72="A")*8+($D72:$J72="J")*5+($D72:$J72="E")*4+($D72:$J72="P")*6+($D72:$J72="R")*6)</f>
        <v/>
      </c>
      <c r="BF72" s="110">
        <f>SUMPRODUCT(($K72:$Q72="M")*6+($K72:$Q72="T")*6+($K72:$Q72="D")*12+($K72:$Q72="N")*12+($K72:$Q72="NT")*6+($K72:$Q72="C")*10+($K72:$Q72="A")*8+($K72:$Q72="J")*5+($K72:$Q72="E")*4+($K72:$Q72="P")*6+($K72:$Q72="R")*6)</f>
        <v/>
      </c>
      <c r="BG72" s="110">
        <f>SUMPRODUCT(($R72:$X72="M")*6+($R72:$X72="T")*6+($R72:$X72="D")*12+($R72:$X72="N")*12+($R72:$X72="NT")*6+($R72:$X72="C")*10+($R72:$X72="A")*8+($R72:$X72="J")*5+($R72:$X72="E")*4+($R72:$X72="P")*6+($R72:$X72="R")*6)</f>
        <v/>
      </c>
      <c r="BH72" s="110">
        <f>SUMPRODUCT(($Y72:$AE72="M")*6+($Y72:$AE72="T")*6+($Y72:$AE72="D")*12+($Y72:$AE72="N")*12+($Y72:$AE72="NT")*6+($Y72:$AE72="C")*10+($Y72:$AE72="A")*8+($Y72:$AE72="J")*5+($Y72:$AE72="E")*4+($Y72:$AE72="P")*6+($Y72:$AE72="R")*6)</f>
        <v/>
      </c>
      <c r="BI72" s="110">
        <f>SUMPRODUCT(($AF72:$AL72="M")*6+($AF72:$AL72="T")*6+($AF72:$AL72="D")*12+($AF72:$AL72="N")*12+($AF72:$AL72="NT")*6+($AF72:$AL72="C")*10+($AF72:$AL72="A")*8+($AF72:$AL72="J")*5+($AF72:$AL72="E")*4+($AF72:$AL72="P")*6+($AF72:$AL72="R")*6)</f>
        <v/>
      </c>
      <c r="BJ72" s="110">
        <f>SUMPRODUCT(($AM72:$AM72="M")*6+($AM72:$AM72="T")*6+($AM72:$AM72="D")*12+($AM72:$AM72="N")*12+($AM72:$AM72="NT")*6+($AM72:$AM72="C")*10+($AM72:$AM72="A")*8+($AM72:$AM72="J")*5+($AM72:$AM72="E")*4+($AM72:$AM72="P")*6+($AM72:$AM72="R")*6)+SUMPRODUCT(($AN72:$AS72="M")*6+($AN72:$AS72="T")*6+($AN72:$AS72="D")*12+($AN72:$AS72="N")*12+($AN72:$AS72="NT")*6+($AN72:$AS72="C")*10+($AN72:$AS72="A")*8+($AN72:$AS72="J")*5+($AN72:$AS72="E")*4+($AN72:$AS72="P")*6+($AN72:$AS72="R")*6)</f>
        <v/>
      </c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123">
        <f>IFERROR(INDEX(JUL!AI$8:AI$73,MATCH($A73,JUL!$A$8:$A$73,0))&amp;"","")</f>
        <v/>
      </c>
      <c r="E73" s="123">
        <f>IFERROR(INDEX(JUL!AJ$8:AJ$73,MATCH($A73,JUL!$A$8:$A$73,0))&amp;"","")</f>
        <v/>
      </c>
      <c r="F73" s="123">
        <f>IFERROR(INDEX(JUL!AK$8:AK$73,MATCH($A73,JUL!$A$8:$A$73,0))&amp;"","")</f>
        <v/>
      </c>
      <c r="G73" s="123">
        <f>IFERROR(INDEX(JUL!AL$8:AL$73,MATCH($A73,JUL!$A$8:$A$73,0))&amp;"","")</f>
        <v/>
      </c>
      <c r="H73" s="123">
        <f>IFERROR(INDEX(JUL!AM$8:AM$73,MATCH($A73,JUL!$A$8:$A$73,0))&amp;"","")</f>
        <v/>
      </c>
      <c r="I73" s="107" t="n"/>
      <c r="J73" s="107" t="n"/>
      <c r="K73" s="107" t="n"/>
      <c r="L73" s="117" t="inlineStr">
        <is>
          <t>T</t>
        </is>
      </c>
      <c r="M73" s="115" t="inlineStr">
        <is>
          <t>D</t>
        </is>
      </c>
      <c r="N73" s="107" t="n"/>
      <c r="O73" s="107" t="n"/>
      <c r="P73" s="117" t="inlineStr">
        <is>
          <t>T</t>
        </is>
      </c>
      <c r="Q73" s="116" t="inlineStr">
        <is>
          <t>N</t>
        </is>
      </c>
      <c r="R73" s="117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7" t="inlineStr">
        <is>
          <t>T</t>
        </is>
      </c>
      <c r="X73" s="116" t="inlineStr">
        <is>
          <t>N</t>
        </is>
      </c>
      <c r="Y73" s="107" t="n"/>
      <c r="Z73" s="107" t="n"/>
      <c r="AA73" s="116" t="inlineStr">
        <is>
          <t>N</t>
        </is>
      </c>
      <c r="AB73" s="107" t="n"/>
      <c r="AC73" s="116" t="inlineStr">
        <is>
          <t>N</t>
        </is>
      </c>
      <c r="AD73" s="107" t="n"/>
      <c r="AE73" s="117" t="inlineStr">
        <is>
          <t>T</t>
        </is>
      </c>
      <c r="AF73" s="115" t="inlineStr">
        <is>
          <t>D</t>
        </is>
      </c>
      <c r="AG73" s="107" t="n"/>
      <c r="AH73" s="107" t="n"/>
      <c r="AI73" s="107" t="n"/>
      <c r="AJ73" s="116" t="inlineStr">
        <is>
          <t>N</t>
        </is>
      </c>
      <c r="AK73" s="107" t="n"/>
      <c r="AL73" s="116" t="inlineStr">
        <is>
          <t>N</t>
        </is>
      </c>
      <c r="AM73" s="117" t="inlineStr">
        <is>
          <t>T</t>
        </is>
      </c>
      <c r="AN73" s="123">
        <f>IFERROR(INDEX(SET!I$8:I$73,MATCH($A73,SET!$A$8:$A$73,0))&amp;"","")</f>
        <v/>
      </c>
      <c r="AO73" s="123">
        <f>IFERROR(INDEX(SET!J$8:J$73,MATCH($A73,SET!$A$8:$A$73,0))&amp;"","")</f>
        <v/>
      </c>
      <c r="AP73" s="123">
        <f>IFERROR(INDEX(SET!K$8:K$73,MATCH($A73,SET!$A$8:$A$73,0))&amp;"","")</f>
        <v/>
      </c>
      <c r="AQ73" s="123">
        <f>IFERROR(INDEX(SET!L$8:L$73,MATCH($A73,SET!$A$8:$A$73,0))&amp;"","")</f>
        <v/>
      </c>
      <c r="AR73" s="109">
        <f>IFERROR(INDEX(SET!M$8:M$73,MATCH($A73,SET!$A$8:$A$73,0))&amp;"","")</f>
        <v/>
      </c>
      <c r="AS73" s="109">
        <f>IFERROR(INDEX(SET!N$8:N$73,MATCH($A73,SET!$A$8:$A$73,0))&amp;"","")</f>
        <v/>
      </c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SUMPRODUCT(($D73:$J73="M")*6+($D73:$J73="T")*6+($D73:$J73="D")*12+($D73:$J73="N")*12+($D73:$J73="NT")*6+($D73:$J73="C")*10+($D73:$J73="A")*8+($D73:$J73="J")*5+($D73:$J73="E")*4+($D73:$J73="P")*6+($D73:$J73="R")*6)</f>
        <v/>
      </c>
      <c r="BF73" s="110">
        <f>SUMPRODUCT(($K73:$Q73="M")*6+($K73:$Q73="T")*6+($K73:$Q73="D")*12+($K73:$Q73="N")*12+($K73:$Q73="NT")*6+($K73:$Q73="C")*10+($K73:$Q73="A")*8+($K73:$Q73="J")*5+($K73:$Q73="E")*4+($K73:$Q73="P")*6+($K73:$Q73="R")*6)</f>
        <v/>
      </c>
      <c r="BG73" s="110">
        <f>SUMPRODUCT(($R73:$X73="M")*6+($R73:$X73="T")*6+($R73:$X73="D")*12+($R73:$X73="N")*12+($R73:$X73="NT")*6+($R73:$X73="C")*10+($R73:$X73="A")*8+($R73:$X73="J")*5+($R73:$X73="E")*4+($R73:$X73="P")*6+($R73:$X73="R")*6)</f>
        <v/>
      </c>
      <c r="BH73" s="110">
        <f>SUMPRODUCT(($Y73:$AE73="M")*6+($Y73:$AE73="T")*6+($Y73:$AE73="D")*12+($Y73:$AE73="N")*12+($Y73:$AE73="NT")*6+($Y73:$AE73="C")*10+($Y73:$AE73="A")*8+($Y73:$AE73="J")*5+($Y73:$AE73="E")*4+($Y73:$AE73="P")*6+($Y73:$AE73="R")*6)</f>
        <v/>
      </c>
      <c r="BI73" s="110">
        <f>SUMPRODUCT(($AF73:$AL73="M")*6+($AF73:$AL73="T")*6+($AF73:$AL73="D")*12+($AF73:$AL73="N")*12+($AF73:$AL73="NT")*6+($AF73:$AL73="C")*10+($AF73:$AL73="A")*8+($AF73:$AL73="J")*5+($AF73:$AL73="E")*4+($AF73:$AL73="P")*6+($AF73:$AL73="R")*6)</f>
        <v/>
      </c>
      <c r="BJ73" s="110">
        <f>SUMPRODUCT(($AM73:$AM73="M")*6+($AM73:$AM73="T")*6+($AM73:$AM73="D")*12+($AM73:$AM73="N")*12+($AM73:$AM73="NT")*6+($AM73:$AM73="C")*10+($AM73:$AM73="A")*8+($AM73:$AM73="J")*5+($AM73:$AM73="E")*4+($AM73:$AM73="P")*6+($AM73:$AM73="R")*6)+SUMPRODUCT(($AN73:$AS73="M")*6+($AN73:$AS73="T")*6+($AN73:$AS73="D")*12+($AN73:$AS73="N")*12+($AN73:$AS73="NT")*6+($AN73:$AS73="C")*10+($AN73:$AS73="A")*8+($AN73:$AS73="J")*5+($AN73:$AS73="E")*4+($AN73:$AS73="P")*6+($AN73:$AS73="R")*6)</f>
        <v/>
      </c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120">
        <f>COUNTIF(D8:D73,"M")+COUNTIF(D8:D73,"D")+COUNTIF(D8:D73,"C")+COUNTIF(D8:D73,"J")+COUNTIF(D8:D73,"E")</f>
        <v/>
      </c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120">
        <f>COUNTIF(AR8:AR73,"M")+COUNTIF(AR8:AR73,"D")+COUNTIF(AR8:AR73,"C")+COUNTIF(AR8:AR73,"J")+COUNTIF(AR8:AR73,"E")</f>
        <v/>
      </c>
      <c r="AS75" s="120">
        <f>COUNTIF(AS8:AS73,"M")+COUNTIF(AS8:AS73,"D")+COUNTIF(AS8:AS73,"C")+COUNTIF(AS8:AS73,"J")+COUNTIF(AS8:AS73,"E")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120">
        <f>COUNTIF(D8:D73,"T")+COUNTIF(D8:D73,"D")+COUNTIF(D8:D73,"C")</f>
        <v/>
      </c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120">
        <f>COUNTIF(AR8:AR73,"T")+COUNTIF(AR8:AR73,"D")+COUNTIF(AR8:AR73,"C")</f>
        <v/>
      </c>
      <c r="AS76" s="120">
        <f>COUNTIF(AS8:AS73,"T")+COUNTIF(AS8:AS73,"D")+COUNTIF(AS8:AS73,"C")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120">
        <f>COUNTIF(D8:D73,"N")+COUNTIF(D8:D73,"NT")</f>
        <v/>
      </c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120">
        <f>COUNTIF(AR8:AR73,"N")+COUNTIF(AR8:AR73,"NT")</f>
        <v/>
      </c>
      <c r="AS77" s="120">
        <f>COUNTIF(AS8:AS73,"N")+COUNTIF(AS8:AS73,"NT")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122">
        <f>MAX(0,CONFIG!$B$9-D75)</f>
        <v/>
      </c>
      <c r="E78" s="122">
        <f>MAX(0,CONFIG!$B$9-E75)</f>
        <v/>
      </c>
      <c r="F78" s="122">
        <f>MAX(0,CONFIG!$B$9-F75)</f>
        <v/>
      </c>
      <c r="G78" s="122">
        <f>MAX(0,CONFIG!$B$9-G75)</f>
        <v/>
      </c>
      <c r="H78" s="122">
        <f>MAX(0,CONFIG!$B$9-H75)</f>
        <v/>
      </c>
      <c r="I78" s="122">
        <f>MAX(0,CONFIG!$B$10-I75)</f>
        <v/>
      </c>
      <c r="J78" s="122">
        <f>MAX(0,CONFIG!$B$11-J75)</f>
        <v/>
      </c>
      <c r="K78" s="122">
        <f>MAX(0,CONFIG!$B$9-K75)</f>
        <v/>
      </c>
      <c r="L78" s="122">
        <f>MAX(0,CONFIG!$B$9-L75)</f>
        <v/>
      </c>
      <c r="M78" s="122">
        <f>MAX(0,CONFIG!$B$9-M75)</f>
        <v/>
      </c>
      <c r="N78" s="122">
        <f>MAX(0,CONFIG!$B$9-N75)</f>
        <v/>
      </c>
      <c r="O78" s="122">
        <f>MAX(0,CONFIG!$B$9-O75)</f>
        <v/>
      </c>
      <c r="P78" s="122">
        <f>MAX(0,CONFIG!$B$10-P75)</f>
        <v/>
      </c>
      <c r="Q78" s="122">
        <f>MAX(0,CONFIG!$B$11-Q75)</f>
        <v/>
      </c>
      <c r="R78" s="122">
        <f>MAX(0,CONFIG!$B$9-R75)</f>
        <v/>
      </c>
      <c r="S78" s="122">
        <f>MAX(0,CONFIG!$B$9-S75)</f>
        <v/>
      </c>
      <c r="T78" s="122">
        <f>MAX(0,CONFIG!$B$9-T75)</f>
        <v/>
      </c>
      <c r="U78" s="122">
        <f>MAX(0,CONFIG!$B$9-U75)</f>
        <v/>
      </c>
      <c r="V78" s="122">
        <f>MAX(0,CONFIG!$B$9-V75)</f>
        <v/>
      </c>
      <c r="W78" s="122">
        <f>MAX(0,CONFIG!$B$10-W75)</f>
        <v/>
      </c>
      <c r="X78" s="122">
        <f>MAX(0,CONFIG!$B$11-X75)</f>
        <v/>
      </c>
      <c r="Y78" s="122">
        <f>MAX(0,CONFIG!$B$9-Y75)</f>
        <v/>
      </c>
      <c r="Z78" s="122">
        <f>MAX(0,CONFIG!$B$9-Z75)</f>
        <v/>
      </c>
      <c r="AA78" s="122">
        <f>MAX(0,CONFIG!$B$9-AA75)</f>
        <v/>
      </c>
      <c r="AB78" s="122">
        <f>MAX(0,CONFIG!$B$9-AB75)</f>
        <v/>
      </c>
      <c r="AC78" s="122">
        <f>MAX(0,CONFIG!$B$9-AC75)</f>
        <v/>
      </c>
      <c r="AD78" s="122">
        <f>MAX(0,CONFIG!$B$10-AD75)</f>
        <v/>
      </c>
      <c r="AE78" s="122">
        <f>MAX(0,CONFIG!$B$11-AE75)</f>
        <v/>
      </c>
      <c r="AF78" s="122">
        <f>MAX(0,CONFIG!$B$9-AF75)</f>
        <v/>
      </c>
      <c r="AG78" s="122">
        <f>MAX(0,CONFIG!$B$9-AG75)</f>
        <v/>
      </c>
      <c r="AH78" s="122">
        <f>MAX(0,CONFIG!$B$9-AH75)</f>
        <v/>
      </c>
      <c r="AI78" s="122">
        <f>MAX(0,CONFIG!$B$9-AI75)</f>
        <v/>
      </c>
      <c r="AJ78" s="122">
        <f>MAX(0,CONFIG!$B$9-AJ75)</f>
        <v/>
      </c>
      <c r="AK78" s="122">
        <f>MAX(0,CONFIG!$B$10-AK75)</f>
        <v/>
      </c>
      <c r="AL78" s="122">
        <f>MAX(0,CONFIG!$B$11-AL75)</f>
        <v/>
      </c>
      <c r="AM78" s="122">
        <f>MAX(0,CONFIG!$B$9-AM75)</f>
        <v/>
      </c>
      <c r="AN78" s="122">
        <f>MAX(0,CONFIG!$B$9-AN75)</f>
        <v/>
      </c>
      <c r="AO78" s="122">
        <f>MAX(0,CONFIG!$B$9-AO75)</f>
        <v/>
      </c>
      <c r="AP78" s="122">
        <f>MAX(0,CONFIG!$B$9-AP75)</f>
        <v/>
      </c>
      <c r="AQ78" s="122">
        <f>MAX(0,CONFIG!$B$9-AQ75)</f>
        <v/>
      </c>
      <c r="AR78" s="122">
        <f>MAX(0,CONFIG!$B$10-AR75)</f>
        <v/>
      </c>
      <c r="AS78" s="122">
        <f>MAX(0,CONFIG!$B$11-AS75)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122">
        <f>MAX(0,CONFIG!$C$9-D76)</f>
        <v/>
      </c>
      <c r="E79" s="122">
        <f>MAX(0,CONFIG!$C$9-E76)</f>
        <v/>
      </c>
      <c r="F79" s="122">
        <f>MAX(0,CONFIG!$C$9-F76)</f>
        <v/>
      </c>
      <c r="G79" s="122">
        <f>MAX(0,CONFIG!$C$9-G76)</f>
        <v/>
      </c>
      <c r="H79" s="122">
        <f>MAX(0,CONFIG!$C$9-H76)</f>
        <v/>
      </c>
      <c r="I79" s="122">
        <f>MAX(0,CONFIG!$C$10-I76)</f>
        <v/>
      </c>
      <c r="J79" s="122">
        <f>MAX(0,CONFIG!$C$11-J76)</f>
        <v/>
      </c>
      <c r="K79" s="122">
        <f>MAX(0,CONFIG!$C$9-K76)</f>
        <v/>
      </c>
      <c r="L79" s="122">
        <f>MAX(0,CONFIG!$C$9-L76)</f>
        <v/>
      </c>
      <c r="M79" s="122">
        <f>MAX(0,CONFIG!$C$9-M76)</f>
        <v/>
      </c>
      <c r="N79" s="122">
        <f>MAX(0,CONFIG!$C$9-N76)</f>
        <v/>
      </c>
      <c r="O79" s="122">
        <f>MAX(0,CONFIG!$C$9-O76)</f>
        <v/>
      </c>
      <c r="P79" s="122">
        <f>MAX(0,CONFIG!$C$10-P76)</f>
        <v/>
      </c>
      <c r="Q79" s="122">
        <f>MAX(0,CONFIG!$C$11-Q76)</f>
        <v/>
      </c>
      <c r="R79" s="122">
        <f>MAX(0,CONFIG!$C$9-R76)</f>
        <v/>
      </c>
      <c r="S79" s="122">
        <f>MAX(0,CONFIG!$C$9-S76)</f>
        <v/>
      </c>
      <c r="T79" s="122">
        <f>MAX(0,CONFIG!$C$9-T76)</f>
        <v/>
      </c>
      <c r="U79" s="122">
        <f>MAX(0,CONFIG!$C$9-U76)</f>
        <v/>
      </c>
      <c r="V79" s="122">
        <f>MAX(0,CONFIG!$C$9-V76)</f>
        <v/>
      </c>
      <c r="W79" s="122">
        <f>MAX(0,CONFIG!$C$10-W76)</f>
        <v/>
      </c>
      <c r="X79" s="122">
        <f>MAX(0,CONFIG!$C$11-X76)</f>
        <v/>
      </c>
      <c r="Y79" s="122">
        <f>MAX(0,CONFIG!$C$9-Y76)</f>
        <v/>
      </c>
      <c r="Z79" s="122">
        <f>MAX(0,CONFIG!$C$9-Z76)</f>
        <v/>
      </c>
      <c r="AA79" s="122">
        <f>MAX(0,CONFIG!$C$9-AA76)</f>
        <v/>
      </c>
      <c r="AB79" s="122">
        <f>MAX(0,CONFIG!$C$9-AB76)</f>
        <v/>
      </c>
      <c r="AC79" s="122">
        <f>MAX(0,CONFIG!$C$9-AC76)</f>
        <v/>
      </c>
      <c r="AD79" s="122">
        <f>MAX(0,CONFIG!$C$10-AD76)</f>
        <v/>
      </c>
      <c r="AE79" s="122">
        <f>MAX(0,CONFIG!$C$11-AE76)</f>
        <v/>
      </c>
      <c r="AF79" s="122">
        <f>MAX(0,CONFIG!$C$9-AF76)</f>
        <v/>
      </c>
      <c r="AG79" s="122">
        <f>MAX(0,CONFIG!$C$9-AG76)</f>
        <v/>
      </c>
      <c r="AH79" s="122">
        <f>MAX(0,CONFIG!$C$9-AH76)</f>
        <v/>
      </c>
      <c r="AI79" s="122">
        <f>MAX(0,CONFIG!$C$9-AI76)</f>
        <v/>
      </c>
      <c r="AJ79" s="122">
        <f>MAX(0,CONFIG!$C$9-AJ76)</f>
        <v/>
      </c>
      <c r="AK79" s="122">
        <f>MAX(0,CONFIG!$C$10-AK76)</f>
        <v/>
      </c>
      <c r="AL79" s="122">
        <f>MAX(0,CONFIG!$C$11-AL76)</f>
        <v/>
      </c>
      <c r="AM79" s="122">
        <f>MAX(0,CONFIG!$C$9-AM76)</f>
        <v/>
      </c>
      <c r="AN79" s="122">
        <f>MAX(0,CONFIG!$C$9-AN76)</f>
        <v/>
      </c>
      <c r="AO79" s="122">
        <f>MAX(0,CONFIG!$C$9-AO76)</f>
        <v/>
      </c>
      <c r="AP79" s="122">
        <f>MAX(0,CONFIG!$C$9-AP76)</f>
        <v/>
      </c>
      <c r="AQ79" s="122">
        <f>MAX(0,CONFIG!$C$9-AQ76)</f>
        <v/>
      </c>
      <c r="AR79" s="122">
        <f>MAX(0,CONFIG!$C$10-AR76)</f>
        <v/>
      </c>
      <c r="AS79" s="122">
        <f>MAX(0,CONFIG!$C$11-AS76)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122">
        <f>MAX(0,CONFIG!$D$9-D77)</f>
        <v/>
      </c>
      <c r="E80" s="122">
        <f>MAX(0,CONFIG!$D$9-E77)</f>
        <v/>
      </c>
      <c r="F80" s="122">
        <f>MAX(0,CONFIG!$D$9-F77)</f>
        <v/>
      </c>
      <c r="G80" s="122">
        <f>MAX(0,CONFIG!$D$9-G77)</f>
        <v/>
      </c>
      <c r="H80" s="122">
        <f>MAX(0,CONFIG!$D$9-H77)</f>
        <v/>
      </c>
      <c r="I80" s="122">
        <f>MAX(0,CONFIG!$D$10-I77)</f>
        <v/>
      </c>
      <c r="J80" s="122">
        <f>MAX(0,CONFIG!$D$11-J77)</f>
        <v/>
      </c>
      <c r="K80" s="122">
        <f>MAX(0,CONFIG!$D$9-K77)</f>
        <v/>
      </c>
      <c r="L80" s="122">
        <f>MAX(0,CONFIG!$D$9-L77)</f>
        <v/>
      </c>
      <c r="M80" s="122">
        <f>MAX(0,CONFIG!$D$9-M77)</f>
        <v/>
      </c>
      <c r="N80" s="122">
        <f>MAX(0,CONFIG!$D$9-N77)</f>
        <v/>
      </c>
      <c r="O80" s="122">
        <f>MAX(0,CONFIG!$D$9-O77)</f>
        <v/>
      </c>
      <c r="P80" s="122">
        <f>MAX(0,CONFIG!$D$10-P77)</f>
        <v/>
      </c>
      <c r="Q80" s="122">
        <f>MAX(0,CONFIG!$D$11-Q77)</f>
        <v/>
      </c>
      <c r="R80" s="122">
        <f>MAX(0,CONFIG!$D$9-R77)</f>
        <v/>
      </c>
      <c r="S80" s="122">
        <f>MAX(0,CONFIG!$D$9-S77)</f>
        <v/>
      </c>
      <c r="T80" s="122">
        <f>MAX(0,CONFIG!$D$9-T77)</f>
        <v/>
      </c>
      <c r="U80" s="122">
        <f>MAX(0,CONFIG!$D$9-U77)</f>
        <v/>
      </c>
      <c r="V80" s="122">
        <f>MAX(0,CONFIG!$D$9-V77)</f>
        <v/>
      </c>
      <c r="W80" s="122">
        <f>MAX(0,CONFIG!$D$10-W77)</f>
        <v/>
      </c>
      <c r="X80" s="122">
        <f>MAX(0,CONFIG!$D$11-X77)</f>
        <v/>
      </c>
      <c r="Y80" s="122">
        <f>MAX(0,CONFIG!$D$9-Y77)</f>
        <v/>
      </c>
      <c r="Z80" s="122">
        <f>MAX(0,CONFIG!$D$9-Z77)</f>
        <v/>
      </c>
      <c r="AA80" s="122">
        <f>MAX(0,CONFIG!$D$9-AA77)</f>
        <v/>
      </c>
      <c r="AB80" s="122">
        <f>MAX(0,CONFIG!$D$9-AB77)</f>
        <v/>
      </c>
      <c r="AC80" s="122">
        <f>MAX(0,CONFIG!$D$9-AC77)</f>
        <v/>
      </c>
      <c r="AD80" s="122">
        <f>MAX(0,CONFIG!$D$10-AD77)</f>
        <v/>
      </c>
      <c r="AE80" s="122">
        <f>MAX(0,CONFIG!$D$11-AE77)</f>
        <v/>
      </c>
      <c r="AF80" s="122">
        <f>MAX(0,CONFIG!$D$9-AF77)</f>
        <v/>
      </c>
      <c r="AG80" s="122">
        <f>MAX(0,CONFIG!$D$9-AG77)</f>
        <v/>
      </c>
      <c r="AH80" s="122">
        <f>MAX(0,CONFIG!$D$9-AH77)</f>
        <v/>
      </c>
      <c r="AI80" s="122">
        <f>MAX(0,CONFIG!$D$9-AI77)</f>
        <v/>
      </c>
      <c r="AJ80" s="122">
        <f>MAX(0,CONFIG!$D$9-AJ77)</f>
        <v/>
      </c>
      <c r="AK80" s="122">
        <f>MAX(0,CONFIG!$D$10-AK77)</f>
        <v/>
      </c>
      <c r="AL80" s="122">
        <f>MAX(0,CONFIG!$D$11-AL77)</f>
        <v/>
      </c>
      <c r="AM80" s="122">
        <f>MAX(0,CONFIG!$D$9-AM77)</f>
        <v/>
      </c>
      <c r="AN80" s="122">
        <f>MAX(0,CONFIG!$D$9-AN77)</f>
        <v/>
      </c>
      <c r="AO80" s="122">
        <f>MAX(0,CONFIG!$D$9-AO77)</f>
        <v/>
      </c>
      <c r="AP80" s="122">
        <f>MAX(0,CONFIG!$D$9-AP77)</f>
        <v/>
      </c>
      <c r="AQ80" s="122">
        <f>MAX(0,CONFIG!$D$9-AQ77)</f>
        <v/>
      </c>
      <c r="AR80" s="122">
        <f>MAX(0,CONFIG!$D$10-AR77)</f>
        <v/>
      </c>
      <c r="AS80" s="122">
        <f>MAX(0,CONFIG!$D$11-AS77)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31/08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8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01/10</t>
        </is>
      </c>
      <c r="AO2" s="97" t="inlineStr">
        <is>
          <t>02/10</t>
        </is>
      </c>
      <c r="AP2" s="101" t="inlineStr">
        <is>
          <t>03/10</t>
        </is>
      </c>
      <c r="AQ2" s="101" t="inlineStr">
        <is>
          <t>04/10</t>
        </is>
      </c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3" t="inlineStr">
        <is>
          <t>indep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2" t="inlineStr">
        <is>
          <t>sex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96" t="n"/>
      <c r="AN3" s="102" t="inlineStr">
        <is>
          <t>qui</t>
        </is>
      </c>
      <c r="AO3" s="102" t="inlineStr">
        <is>
          <t>sex</t>
        </is>
      </c>
      <c r="AP3" s="104" t="inlineStr">
        <is>
          <t>sáb</t>
        </is>
      </c>
      <c r="AQ3" s="104" t="inlineStr">
        <is>
          <t>dom</t>
        </is>
      </c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1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3">
        <f>IFERROR(INDEX(AGO!AM$8:AM$73,MATCH($A8,AGO!$A$8:$A$73,0))&amp;"","")</f>
        <v/>
      </c>
      <c r="I8" s="124" t="inlineStr">
        <is>
          <t>C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7" t="n"/>
      <c r="N8" s="107" t="n"/>
      <c r="O8" s="124" t="inlineStr">
        <is>
          <t>C</t>
        </is>
      </c>
      <c r="P8" s="124" t="inlineStr">
        <is>
          <t>C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7" t="n"/>
      <c r="U8" s="107" t="n"/>
      <c r="V8" s="124" t="inlineStr">
        <is>
          <t>C</t>
        </is>
      </c>
      <c r="W8" s="124" t="inlineStr">
        <is>
          <t>C</t>
        </is>
      </c>
      <c r="X8" s="108" t="inlineStr">
        <is>
          <t>M</t>
        </is>
      </c>
      <c r="Y8" s="108" t="inlineStr">
        <is>
          <t>M</t>
        </is>
      </c>
      <c r="Z8" s="124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4" t="inlineStr">
        <is>
          <t>C</t>
        </is>
      </c>
      <c r="AD8" s="124" t="inlineStr">
        <is>
          <t>C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7" t="n"/>
      <c r="AI8" s="107" t="n"/>
      <c r="AJ8" s="124" t="inlineStr">
        <is>
          <t>C</t>
        </is>
      </c>
      <c r="AK8" s="107" t="n"/>
      <c r="AL8" s="107" t="n"/>
      <c r="AM8" s="96" t="n"/>
      <c r="AN8" s="123">
        <f>IFERROR(INDEX(OUT!I$8:I$73,MATCH($A8,OUT!$A$8:$A$73,0))&amp;"","")</f>
        <v/>
      </c>
      <c r="AO8" s="123">
        <f>IFERROR(INDEX(OUT!J$8:J$73,MATCH($A8,OUT!$A$8:$A$73,0))&amp;"","")</f>
        <v/>
      </c>
      <c r="AP8" s="109">
        <f>IFERROR(INDEX(OUT!K$8:K$73,MATCH($A8,OUT!$A$8:$A$73,0))&amp;"","")</f>
        <v/>
      </c>
      <c r="AQ8" s="109">
        <f>IFERROR(INDEX(OUT!L$8:L$73,MATCH($A8,OUT!$A$8:$A$73,0))&amp;"","")</f>
        <v/>
      </c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SUMPRODUCT(($H8:$N8="M")*6+($H8:$N8="T")*6+($H8:$N8="D")*12+($H8:$N8="N")*12+($H8:$N8="NT")*6+($H8:$N8="C")*10+($H8:$N8="A")*8+($H8:$N8="J")*5+($H8:$N8="E")*4+($H8:$N8="P")*6+($H8:$N8="R")*6)</f>
        <v/>
      </c>
      <c r="BF8" s="110">
        <f>SUMPRODUCT(($O8:$U8="M")*6+($O8:$U8="T")*6+($O8:$U8="D")*12+($O8:$U8="N")*12+($O8:$U8="NT")*6+($O8:$U8="C")*10+($O8:$U8="A")*8+($O8:$U8="J")*5+($O8:$U8="E")*4+($O8:$U8="P")*6+($O8:$U8="R")*6)</f>
        <v/>
      </c>
      <c r="BG8" s="110">
        <f>SUMPRODUCT(($V8:$AB8="M")*6+($V8:$AB8="T")*6+($V8:$AB8="D")*12+($V8:$AB8="N")*12+($V8:$AB8="NT")*6+($V8:$AB8="C")*10+($V8:$AB8="A")*8+($V8:$AB8="J")*5+($V8:$AB8="E")*4+($V8:$AB8="P")*6+($V8:$AB8="R")*6)</f>
        <v/>
      </c>
      <c r="BH8" s="110">
        <f>SUMPRODUCT(($AC8:$AI8="M")*6+($AC8:$AI8="T")*6+($AC8:$AI8="D")*12+($AC8:$AI8="N")*12+($AC8:$AI8="NT")*6+($AC8:$AI8="C")*10+($AC8:$AI8="A")*8+($AC8:$AI8="J")*5+($AC8:$AI8="E")*4+($AC8:$AI8="P")*6+($AC8:$AI8="R")*6)</f>
        <v/>
      </c>
      <c r="BI8" s="110">
        <f>SUMPRODUCT(($AJ8:$AL8="M")*6+($AJ8:$AL8="T")*6+($AJ8:$AL8="D")*12+($AJ8:$AL8="N")*12+($AJ8:$AL8="NT")*6+($AJ8:$AL8="C")*10+($AJ8:$AL8="A")*8+($AJ8:$AL8="J")*5+($AJ8:$AL8="E")*4+($AJ8:$AL8="P")*6+($AJ8:$AL8="R")*6)+SUMPRODUCT(($AN8:$AQ8="M")*6+($AN8:$AQ8="T")*6+($AN8:$AQ8="D")*12+($AN8:$AQ8="N")*12+($AN8:$AQ8="NT")*6+($AN8:$AQ8="C")*10+($AN8:$AQ8="A")*8+($AN8:$AQ8="J")*5+($AN8:$AQ8="E")*4+($AN8:$AQ8="P")*6+($AN8:$AQ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3">
        <f>IFERROR(INDEX(AGO!AM$8:AM$73,MATCH($A9,AGO!$A$8:$A$73,0))&amp;"","")</f>
        <v/>
      </c>
      <c r="I9" s="108" t="inlineStr">
        <is>
          <t>M</t>
        </is>
      </c>
      <c r="J9" s="108" t="inlineStr">
        <is>
          <t>M</t>
        </is>
      </c>
      <c r="K9" s="124" t="inlineStr">
        <is>
          <t>C</t>
        </is>
      </c>
      <c r="L9" s="108" t="inlineStr">
        <is>
          <t>M</t>
        </is>
      </c>
      <c r="M9" s="107" t="n"/>
      <c r="N9" s="107" t="n"/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24" t="inlineStr">
        <is>
          <t>C</t>
        </is>
      </c>
      <c r="S9" s="124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24" t="inlineStr">
        <is>
          <t>C</t>
        </is>
      </c>
      <c r="Z9" s="108" t="inlineStr">
        <is>
          <t>M</t>
        </is>
      </c>
      <c r="AA9" s="107" t="n"/>
      <c r="AB9" s="107" t="n"/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24" t="inlineStr">
        <is>
          <t>C</t>
        </is>
      </c>
      <c r="AG9" s="108" t="inlineStr">
        <is>
          <t>M</t>
        </is>
      </c>
      <c r="AH9" s="107" t="n"/>
      <c r="AI9" s="107" t="n"/>
      <c r="AJ9" s="108" t="inlineStr">
        <is>
          <t>M</t>
        </is>
      </c>
      <c r="AK9" s="107" t="n"/>
      <c r="AL9" s="107" t="n"/>
      <c r="AM9" s="96" t="n"/>
      <c r="AN9" s="123">
        <f>IFERROR(INDEX(OUT!I$8:I$73,MATCH($A9,OUT!$A$8:$A$73,0))&amp;"","")</f>
        <v/>
      </c>
      <c r="AO9" s="123">
        <f>IFERROR(INDEX(OUT!J$8:J$73,MATCH($A9,OUT!$A$8:$A$73,0))&amp;"","")</f>
        <v/>
      </c>
      <c r="AP9" s="109">
        <f>IFERROR(INDEX(OUT!K$8:K$73,MATCH($A9,OUT!$A$8:$A$73,0))&amp;"","")</f>
        <v/>
      </c>
      <c r="AQ9" s="109">
        <f>IFERROR(INDEX(OUT!L$8:L$73,MATCH($A9,OUT!$A$8:$A$73,0))&amp;"","")</f>
        <v/>
      </c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SUMPRODUCT(($H9:$N9="M")*6+($H9:$N9="T")*6+($H9:$N9="D")*12+($H9:$N9="N")*12+($H9:$N9="NT")*6+($H9:$N9="C")*10+($H9:$N9="A")*8+($H9:$N9="J")*5+($H9:$N9="E")*4+($H9:$N9="P")*6+($H9:$N9="R")*6)</f>
        <v/>
      </c>
      <c r="BF9" s="110">
        <f>SUMPRODUCT(($O9:$U9="M")*6+($O9:$U9="T")*6+($O9:$U9="D")*12+($O9:$U9="N")*12+($O9:$U9="NT")*6+($O9:$U9="C")*10+($O9:$U9="A")*8+($O9:$U9="J")*5+($O9:$U9="E")*4+($O9:$U9="P")*6+($O9:$U9="R")*6)</f>
        <v/>
      </c>
      <c r="BG9" s="110">
        <f>SUMPRODUCT(($V9:$AB9="M")*6+($V9:$AB9="T")*6+($V9:$AB9="D")*12+($V9:$AB9="N")*12+($V9:$AB9="NT")*6+($V9:$AB9="C")*10+($V9:$AB9="A")*8+($V9:$AB9="J")*5+($V9:$AB9="E")*4+($V9:$AB9="P")*6+($V9:$AB9="R")*6)</f>
        <v/>
      </c>
      <c r="BH9" s="110">
        <f>SUMPRODUCT(($AC9:$AI9="M")*6+($AC9:$AI9="T")*6+($AC9:$AI9="D")*12+($AC9:$AI9="N")*12+($AC9:$AI9="NT")*6+($AC9:$AI9="C")*10+($AC9:$AI9="A")*8+($AC9:$AI9="J")*5+($AC9:$AI9="E")*4+($AC9:$AI9="P")*6+($AC9:$AI9="R")*6)</f>
        <v/>
      </c>
      <c r="BI9" s="110">
        <f>SUMPRODUCT(($AJ9:$AL9="M")*6+($AJ9:$AL9="T")*6+($AJ9:$AL9="D")*12+($AJ9:$AL9="N")*12+($AJ9:$AL9="NT")*6+($AJ9:$AL9="C")*10+($AJ9:$AL9="A")*8+($AJ9:$AL9="J")*5+($AJ9:$AL9="E")*4+($AJ9:$AL9="P")*6+($AJ9:$AL9="R")*6)+SUMPRODUCT(($AN9:$AQ9="M")*6+($AN9:$AQ9="T")*6+($AN9:$AQ9="D")*12+($AN9:$AQ9="N")*12+($AN9:$AQ9="NT")*6+($AN9:$AQ9="C")*10+($AN9:$AQ9="A")*8+($AN9:$AQ9="J")*5+($AN9:$AQ9="E")*4+($AN9:$AQ9="P")*6+($AN9:$AQ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3">
        <f>IFERROR(INDEX(AGO!AM$8:AM$73,MATCH($A10,AGO!$A$8:$A$73,0))&amp;"","")</f>
        <v/>
      </c>
      <c r="I10" s="124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24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24" t="inlineStr">
        <is>
          <t>C</t>
        </is>
      </c>
      <c r="Q10" s="108" t="inlineStr">
        <is>
          <t>M</t>
        </is>
      </c>
      <c r="R10" s="108" t="inlineStr">
        <is>
          <t>M</t>
        </is>
      </c>
      <c r="S10" s="108" t="inlineStr">
        <is>
          <t>M</t>
        </is>
      </c>
      <c r="T10" s="107" t="n"/>
      <c r="U10" s="107" t="n"/>
      <c r="V10" s="108" t="inlineStr">
        <is>
          <t>M</t>
        </is>
      </c>
      <c r="W10" s="124" t="inlineStr">
        <is>
          <t>C</t>
        </is>
      </c>
      <c r="X10" s="108" t="inlineStr">
        <is>
          <t>M</t>
        </is>
      </c>
      <c r="Y10" s="108" t="inlineStr">
        <is>
          <t>M</t>
        </is>
      </c>
      <c r="Z10" s="108" t="inlineStr">
        <is>
          <t>M</t>
        </is>
      </c>
      <c r="AA10" s="107" t="n"/>
      <c r="AB10" s="107" t="n"/>
      <c r="AC10" s="108" t="inlineStr">
        <is>
          <t>M</t>
        </is>
      </c>
      <c r="AD10" s="124" t="inlineStr">
        <is>
          <t>C</t>
        </is>
      </c>
      <c r="AE10" s="108" t="inlineStr">
        <is>
          <t>M</t>
        </is>
      </c>
      <c r="AF10" s="108" t="inlineStr">
        <is>
          <t>M</t>
        </is>
      </c>
      <c r="AG10" s="124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7" t="n"/>
      <c r="AL10" s="107" t="n"/>
      <c r="AM10" s="96" t="n"/>
      <c r="AN10" s="123">
        <f>IFERROR(INDEX(OUT!I$8:I$73,MATCH($A10,OUT!$A$8:$A$73,0))&amp;"","")</f>
        <v/>
      </c>
      <c r="AO10" s="123">
        <f>IFERROR(INDEX(OUT!J$8:J$73,MATCH($A10,OUT!$A$8:$A$73,0))&amp;"","")</f>
        <v/>
      </c>
      <c r="AP10" s="109">
        <f>IFERROR(INDEX(OUT!K$8:K$73,MATCH($A10,OUT!$A$8:$A$73,0))&amp;"","")</f>
        <v/>
      </c>
      <c r="AQ10" s="109">
        <f>IFERROR(INDEX(OUT!L$8:L$73,MATCH($A10,OUT!$A$8:$A$73,0))&amp;"","")</f>
        <v/>
      </c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SUMPRODUCT(($H10:$N10="M")*6+($H10:$N10="T")*6+($H10:$N10="D")*12+($H10:$N10="N")*12+($H10:$N10="NT")*6+($H10:$N10="C")*10+($H10:$N10="A")*8+($H10:$N10="J")*5+($H10:$N10="E")*4+($H10:$N10="P")*6+($H10:$N10="R")*6)</f>
        <v/>
      </c>
      <c r="BF10" s="110">
        <f>SUMPRODUCT(($O10:$U10="M")*6+($O10:$U10="T")*6+($O10:$U10="D")*12+($O10:$U10="N")*12+($O10:$U10="NT")*6+($O10:$U10="C")*10+($O10:$U10="A")*8+($O10:$U10="J")*5+($O10:$U10="E")*4+($O10:$U10="P")*6+($O10:$U10="R")*6)</f>
        <v/>
      </c>
      <c r="BG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H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I10" s="110">
        <f>SUMPRODUCT(($AJ10:$AL10="M")*6+($AJ10:$AL10="T")*6+($AJ10:$AL10="D")*12+($AJ10:$AL10="N")*12+($AJ10:$AL10="NT")*6+($AJ10:$AL10="C")*10+($AJ10:$AL10="A")*8+($AJ10:$AL10="J")*5+($AJ10:$AL10="E")*4+($AJ10:$AL10="P")*6+($AJ10:$AL10="R")*6)+SUMPRODUCT(($AN10:$AQ10="M")*6+($AN10:$AQ10="T")*6+($AN10:$AQ10="D")*12+($AN10:$AQ10="N")*12+($AN10:$AQ10="NT")*6+($AN10:$AQ10="C")*10+($AN10:$AQ10="A")*8+($AN10:$AQ10="J")*5+($AN10:$AQ10="E")*4+($AN10:$AQ10="P")*6+($AN10:$AQ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3">
        <f>IFERROR(INDEX(AGO!AM$8:AM$73,MATCH($A11,AGO!$A$8:$A$73,0))&amp;"","")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7" t="inlineStr">
        <is>
          <t>T</t>
        </is>
      </c>
      <c r="M11" s="107" t="n"/>
      <c r="N11" s="107" t="n"/>
      <c r="O11" s="107" t="n"/>
      <c r="P11" s="115" t="inlineStr">
        <is>
          <t>D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7" t="n"/>
      <c r="U11" s="116" t="inlineStr">
        <is>
          <t>N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15" t="inlineStr">
        <is>
          <t>D</t>
        </is>
      </c>
      <c r="Z11" s="108" t="inlineStr">
        <is>
          <t>M</t>
        </is>
      </c>
      <c r="AA11" s="107" t="n"/>
      <c r="AB11" s="107" t="n"/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6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23">
        <f>IFERROR(INDEX(OUT!I$8:I$73,MATCH($A11,OUT!$A$8:$A$73,0))&amp;"","")</f>
        <v/>
      </c>
      <c r="AO11" s="123">
        <f>IFERROR(INDEX(OUT!J$8:J$73,MATCH($A11,OUT!$A$8:$A$73,0))&amp;"","")</f>
        <v/>
      </c>
      <c r="AP11" s="109">
        <f>IFERROR(INDEX(OUT!K$8:K$73,MATCH($A11,OUT!$A$8:$A$73,0))&amp;"","")</f>
        <v/>
      </c>
      <c r="AQ11" s="109">
        <f>IFERROR(INDEX(OUT!L$8:L$73,MATCH($A11,OUT!$A$8:$A$73,0))&amp;"","")</f>
        <v/>
      </c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SUMPRODUCT(($H11:$N11="M")*6+($H11:$N11="T")*6+($H11:$N11="D")*12+($H11:$N11="N")*12+($H11:$N11="NT")*6+($H11:$N11="C")*10+($H11:$N11="A")*8+($H11:$N11="J")*5+($H11:$N11="E")*4+($H11:$N11="P")*6+($H11:$N11="R")*6)</f>
        <v/>
      </c>
      <c r="BF11" s="110">
        <f>SUMPRODUCT(($O11:$U11="M")*6+($O11:$U11="T")*6+($O11:$U11="D")*12+($O11:$U11="N")*12+($O11:$U11="NT")*6+($O11:$U11="C")*10+($O11:$U11="A")*8+($O11:$U11="J")*5+($O11:$U11="E")*4+($O11:$U11="P")*6+($O11:$U11="R")*6)</f>
        <v/>
      </c>
      <c r="BG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H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I11" s="110">
        <f>SUMPRODUCT(($AJ11:$AL11="M")*6+($AJ11:$AL11="T")*6+($AJ11:$AL11="D")*12+($AJ11:$AL11="N")*12+($AJ11:$AL11="NT")*6+($AJ11:$AL11="C")*10+($AJ11:$AL11="A")*8+($AJ11:$AL11="J")*5+($AJ11:$AL11="E")*4+($AJ11:$AL11="P")*6+($AJ11:$AL11="R")*6)+SUMPRODUCT(($AN11:$AQ11="M")*6+($AN11:$AQ11="T")*6+($AN11:$AQ11="D")*12+($AN11:$AQ11="N")*12+($AN11:$AQ11="NT")*6+($AN11:$AQ11="C")*10+($AN11:$AQ11="A")*8+($AN11:$AQ11="J")*5+($AN11:$AQ11="E")*4+($AN11:$AQ11="P")*6+($AN11:$AQ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3">
        <f>IFERROR(INDEX(AGO!AM$8:AM$73,MATCH($A12,AGO!$A$8:$A$73,0))&amp;"","")</f>
        <v/>
      </c>
      <c r="I12" s="108" t="inlineStr">
        <is>
          <t>M</t>
        </is>
      </c>
      <c r="J12" s="108" t="inlineStr">
        <is>
          <t>M</t>
        </is>
      </c>
      <c r="K12" s="108" t="inlineStr">
        <is>
          <t>M</t>
        </is>
      </c>
      <c r="L12" s="108" t="inlineStr">
        <is>
          <t>M</t>
        </is>
      </c>
      <c r="M12" s="107" t="n"/>
      <c r="N12" s="107" t="n"/>
      <c r="O12" s="108" t="inlineStr">
        <is>
          <t>M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15" t="inlineStr">
        <is>
          <t>D</t>
        </is>
      </c>
      <c r="T12" s="117" t="inlineStr">
        <is>
          <t>T</t>
        </is>
      </c>
      <c r="U12" s="107" t="n"/>
      <c r="V12" s="108" t="inlineStr">
        <is>
          <t>M</t>
        </is>
      </c>
      <c r="W12" s="115" t="inlineStr">
        <is>
          <t>D</t>
        </is>
      </c>
      <c r="X12" s="108" t="inlineStr">
        <is>
          <t>M</t>
        </is>
      </c>
      <c r="Y12" s="115" t="inlineStr">
        <is>
          <t>D</t>
        </is>
      </c>
      <c r="Z12" s="108" t="inlineStr">
        <is>
          <t>M</t>
        </is>
      </c>
      <c r="AA12" s="107" t="n"/>
      <c r="AB12" s="107" t="n"/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7" t="n"/>
      <c r="AI12" s="117" t="inlineStr">
        <is>
          <t>T</t>
        </is>
      </c>
      <c r="AJ12" s="108" t="inlineStr">
        <is>
          <t>M</t>
        </is>
      </c>
      <c r="AK12" s="115" t="inlineStr">
        <is>
          <t>D</t>
        </is>
      </c>
      <c r="AL12" s="108" t="inlineStr">
        <is>
          <t>M</t>
        </is>
      </c>
      <c r="AM12" s="96" t="n"/>
      <c r="AN12" s="123">
        <f>IFERROR(INDEX(OUT!I$8:I$73,MATCH($A12,OUT!$A$8:$A$73,0))&amp;"","")</f>
        <v/>
      </c>
      <c r="AO12" s="123">
        <f>IFERROR(INDEX(OUT!J$8:J$73,MATCH($A12,OUT!$A$8:$A$73,0))&amp;"","")</f>
        <v/>
      </c>
      <c r="AP12" s="109">
        <f>IFERROR(INDEX(OUT!K$8:K$73,MATCH($A12,OUT!$A$8:$A$73,0))&amp;"","")</f>
        <v/>
      </c>
      <c r="AQ12" s="109">
        <f>IFERROR(INDEX(OUT!L$8:L$73,MATCH($A12,OUT!$A$8:$A$73,0))&amp;"","")</f>
        <v/>
      </c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SUMPRODUCT(($H12:$N12="M")*6+($H12:$N12="T")*6+($H12:$N12="D")*12+($H12:$N12="N")*12+($H12:$N12="NT")*6+($H12:$N12="C")*10+($H12:$N12="A")*8+($H12:$N12="J")*5+($H12:$N12="E")*4+($H12:$N12="P")*6+($H12:$N12="R")*6)</f>
        <v/>
      </c>
      <c r="BF12" s="110">
        <f>SUMPRODUCT(($O12:$U12="M")*6+($O12:$U12="T")*6+($O12:$U12="D")*12+($O12:$U12="N")*12+($O12:$U12="NT")*6+($O12:$U12="C")*10+($O12:$U12="A")*8+($O12:$U12="J")*5+($O12:$U12="E")*4+($O12:$U12="P")*6+($O12:$U12="R")*6)</f>
        <v/>
      </c>
      <c r="BG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H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I12" s="110">
        <f>SUMPRODUCT(($AJ12:$AL12="M")*6+($AJ12:$AL12="T")*6+($AJ12:$AL12="D")*12+($AJ12:$AL12="N")*12+($AJ12:$AL12="NT")*6+($AJ12:$AL12="C")*10+($AJ12:$AL12="A")*8+($AJ12:$AL12="J")*5+($AJ12:$AL12="E")*4+($AJ12:$AL12="P")*6+($AJ12:$AL12="R")*6)+SUMPRODUCT(($AN12:$AQ12="M")*6+($AN12:$AQ12="T")*6+($AN12:$AQ12="D")*12+($AN12:$AQ12="N")*12+($AN12:$AQ12="NT")*6+($AN12:$AQ12="C")*10+($AN12:$AQ12="A")*8+($AN12:$AQ12="J")*5+($AN12:$AQ12="E")*4+($AN12:$AQ12="P")*6+($AN12:$AQ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3">
        <f>IFERROR(INDEX(AGO!AM$8:AM$73,MATCH($A13,AGO!$A$8:$A$73,0))&amp;"","")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7" t="n"/>
      <c r="U13" s="107" t="n"/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16" t="inlineStr">
        <is>
          <t>N</t>
        </is>
      </c>
      <c r="AB13" s="107" t="n"/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7" t="n"/>
      <c r="AI13" s="107" t="n"/>
      <c r="AJ13" s="108" t="inlineStr">
        <is>
          <t>M</t>
        </is>
      </c>
      <c r="AK13" s="107" t="n"/>
      <c r="AL13" s="107" t="n"/>
      <c r="AM13" s="96" t="n"/>
      <c r="AN13" s="123">
        <f>IFERROR(INDEX(OUT!I$8:I$73,MATCH($A13,OUT!$A$8:$A$73,0))&amp;"","")</f>
        <v/>
      </c>
      <c r="AO13" s="123">
        <f>IFERROR(INDEX(OUT!J$8:J$73,MATCH($A13,OUT!$A$8:$A$73,0))&amp;"","")</f>
        <v/>
      </c>
      <c r="AP13" s="109">
        <f>IFERROR(INDEX(OUT!K$8:K$73,MATCH($A13,OUT!$A$8:$A$73,0))&amp;"","")</f>
        <v/>
      </c>
      <c r="AQ13" s="109">
        <f>IFERROR(INDEX(OUT!L$8:L$73,MATCH($A13,OUT!$A$8:$A$73,0))&amp;"","")</f>
        <v/>
      </c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SUMPRODUCT(($H13:$N13="M")*6+($H13:$N13="T")*6+($H13:$N13="D")*12+($H13:$N13="N")*12+($H13:$N13="NT")*6+($H13:$N13="C")*10+($H13:$N13="A")*8+($H13:$N13="J")*5+($H13:$N13="E")*4+($H13:$N13="P")*6+($H13:$N13="R")*6)</f>
        <v/>
      </c>
      <c r="BF13" s="110">
        <f>SUMPRODUCT(($O13:$U13="M")*6+($O13:$U13="T")*6+($O13:$U13="D")*12+($O13:$U13="N")*12+($O13:$U13="NT")*6+($O13:$U13="C")*10+($O13:$U13="A")*8+($O13:$U13="J")*5+($O13:$U13="E")*4+($O13:$U13="P")*6+($O13:$U13="R")*6)</f>
        <v/>
      </c>
      <c r="BG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H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I13" s="110">
        <f>SUMPRODUCT(($AJ13:$AL13="M")*6+($AJ13:$AL13="T")*6+($AJ13:$AL13="D")*12+($AJ13:$AL13="N")*12+($AJ13:$AL13="NT")*6+($AJ13:$AL13="C")*10+($AJ13:$AL13="A")*8+($AJ13:$AL13="J")*5+($AJ13:$AL13="E")*4+($AJ13:$AL13="P")*6+($AJ13:$AL13="R")*6)+SUMPRODUCT(($AN13:$AQ13="M")*6+($AN13:$AQ13="T")*6+($AN13:$AQ13="D")*12+($AN13:$AQ13="N")*12+($AN13:$AQ13="NT")*6+($AN13:$AQ13="C")*10+($AN13:$AQ13="A")*8+($AN13:$AQ13="J")*5+($AN13:$AQ13="E")*4+($AN13:$AQ13="P")*6+($AN13:$AQ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3">
        <f>IFERROR(INDEX(AGO!AM$8:AM$73,MATCH($A14,AGO!$A$8:$A$73,0))&amp;"","")</f>
        <v/>
      </c>
      <c r="I14" s="115" t="inlineStr">
        <is>
          <t>D</t>
        </is>
      </c>
      <c r="J14" s="116" t="inlineStr">
        <is>
          <t>N</t>
        </is>
      </c>
      <c r="K14" s="107" t="n"/>
      <c r="L14" s="107" t="n"/>
      <c r="M14" s="115" t="inlineStr">
        <is>
          <t>D</t>
        </is>
      </c>
      <c r="N14" s="115" t="inlineStr">
        <is>
          <t>D</t>
        </is>
      </c>
      <c r="O14" s="115" t="inlineStr">
        <is>
          <t>D</t>
        </is>
      </c>
      <c r="P14" s="115" t="inlineStr">
        <is>
          <t>D</t>
        </is>
      </c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15" t="inlineStr">
        <is>
          <t>D</t>
        </is>
      </c>
      <c r="Z14" s="116" t="inlineStr">
        <is>
          <t>N</t>
        </is>
      </c>
      <c r="AA14" s="107" t="n"/>
      <c r="AB14" s="115" t="inlineStr">
        <is>
          <t>D</t>
        </is>
      </c>
      <c r="AC14" s="108" t="inlineStr">
        <is>
          <t>M</t>
        </is>
      </c>
      <c r="AD14" s="115" t="inlineStr">
        <is>
          <t>D</t>
        </is>
      </c>
      <c r="AE14" s="108" t="inlineStr">
        <is>
          <t>M</t>
        </is>
      </c>
      <c r="AF14" s="115" t="inlineStr">
        <is>
          <t>D</t>
        </is>
      </c>
      <c r="AG14" s="107" t="n"/>
      <c r="AH14" s="107" t="n"/>
      <c r="AI14" s="107" t="n"/>
      <c r="AJ14" s="108" t="inlineStr">
        <is>
          <t>M</t>
        </is>
      </c>
      <c r="AK14" s="115" t="inlineStr">
        <is>
          <t>D</t>
        </is>
      </c>
      <c r="AL14" s="107" t="n"/>
      <c r="AM14" s="96" t="n"/>
      <c r="AN14" s="123">
        <f>IFERROR(INDEX(OUT!I$8:I$73,MATCH($A14,OUT!$A$8:$A$73,0))&amp;"","")</f>
        <v/>
      </c>
      <c r="AO14" s="123">
        <f>IFERROR(INDEX(OUT!J$8:J$73,MATCH($A14,OUT!$A$8:$A$73,0))&amp;"","")</f>
        <v/>
      </c>
      <c r="AP14" s="109">
        <f>IFERROR(INDEX(OUT!K$8:K$73,MATCH($A14,OUT!$A$8:$A$73,0))&amp;"","")</f>
        <v/>
      </c>
      <c r="AQ14" s="109">
        <f>IFERROR(INDEX(OUT!L$8:L$73,MATCH($A14,OUT!$A$8:$A$73,0))&amp;"","")</f>
        <v/>
      </c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SUMPRODUCT(($H14:$N14="M")*6+($H14:$N14="T")*6+($H14:$N14="D")*12+($H14:$N14="N")*12+($H14:$N14="NT")*6+($H14:$N14="C")*10+($H14:$N14="A")*8+($H14:$N14="J")*5+($H14:$N14="E")*4+($H14:$N14="P")*6+($H14:$N14="R")*6)</f>
        <v/>
      </c>
      <c r="BF14" s="110">
        <f>SUMPRODUCT(($O14:$U14="M")*6+($O14:$U14="T")*6+($O14:$U14="D")*12+($O14:$U14="N")*12+($O14:$U14="NT")*6+($O14:$U14="C")*10+($O14:$U14="A")*8+($O14:$U14="J")*5+($O14:$U14="E")*4+($O14:$U14="P")*6+($O14:$U14="R")*6)</f>
        <v/>
      </c>
      <c r="BG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H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I14" s="110">
        <f>SUMPRODUCT(($AJ14:$AL14="M")*6+($AJ14:$AL14="T")*6+($AJ14:$AL14="D")*12+($AJ14:$AL14="N")*12+($AJ14:$AL14="NT")*6+($AJ14:$AL14="C")*10+($AJ14:$AL14="A")*8+($AJ14:$AL14="J")*5+($AJ14:$AL14="E")*4+($AJ14:$AL14="P")*6+($AJ14:$AL14="R")*6)+SUMPRODUCT(($AN14:$AQ14="M")*6+($AN14:$AQ14="T")*6+($AN14:$AQ14="D")*12+($AN14:$AQ14="N")*12+($AN14:$AQ14="NT")*6+($AN14:$AQ14="C")*10+($AN14:$AQ14="A")*8+($AN14:$AQ14="J")*5+($AN14:$AQ14="E")*4+($AN14:$AQ14="P")*6+($AN14:$AQ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3">
        <f>IFERROR(INDEX(AGO!AM$8:AM$73,MATCH($A15,AGO!$A$8:$A$73,0))&amp;"","")</f>
        <v/>
      </c>
      <c r="I15" s="127" t="inlineStr">
        <is>
          <t>LM</t>
        </is>
      </c>
      <c r="J15" s="127" t="inlineStr">
        <is>
          <t>LM</t>
        </is>
      </c>
      <c r="K15" s="127" t="inlineStr">
        <is>
          <t>LM</t>
        </is>
      </c>
      <c r="L15" s="127" t="inlineStr">
        <is>
          <t>LM</t>
        </is>
      </c>
      <c r="M15" s="127" t="inlineStr">
        <is>
          <t>LM</t>
        </is>
      </c>
      <c r="N15" s="127" t="inlineStr">
        <is>
          <t>LM</t>
        </is>
      </c>
      <c r="O15" s="127" t="inlineStr">
        <is>
          <t>LM</t>
        </is>
      </c>
      <c r="P15" s="127" t="inlineStr">
        <is>
          <t>LM</t>
        </is>
      </c>
      <c r="Q15" s="127" t="inlineStr">
        <is>
          <t>LM</t>
        </is>
      </c>
      <c r="R15" s="127" t="inlineStr">
        <is>
          <t>LM</t>
        </is>
      </c>
      <c r="S15" s="127" t="inlineStr">
        <is>
          <t>LM</t>
        </is>
      </c>
      <c r="T15" s="127" t="inlineStr">
        <is>
          <t>LM</t>
        </is>
      </c>
      <c r="U15" s="127" t="inlineStr">
        <is>
          <t>LM</t>
        </is>
      </c>
      <c r="V15" s="127" t="inlineStr">
        <is>
          <t>LM</t>
        </is>
      </c>
      <c r="W15" s="127" t="inlineStr">
        <is>
          <t>LM</t>
        </is>
      </c>
      <c r="X15" s="127" t="inlineStr">
        <is>
          <t>LM</t>
        </is>
      </c>
      <c r="Y15" s="127" t="inlineStr">
        <is>
          <t>LM</t>
        </is>
      </c>
      <c r="Z15" s="127" t="inlineStr">
        <is>
          <t>LM</t>
        </is>
      </c>
      <c r="AA15" s="127" t="inlineStr">
        <is>
          <t>LM</t>
        </is>
      </c>
      <c r="AB15" s="127" t="inlineStr">
        <is>
          <t>LM</t>
        </is>
      </c>
      <c r="AC15" s="127" t="inlineStr">
        <is>
          <t>LM</t>
        </is>
      </c>
      <c r="AD15" s="127" t="inlineStr">
        <is>
          <t>LM</t>
        </is>
      </c>
      <c r="AE15" s="127" t="inlineStr">
        <is>
          <t>LM</t>
        </is>
      </c>
      <c r="AF15" s="127" t="inlineStr">
        <is>
          <t>LM</t>
        </is>
      </c>
      <c r="AG15" s="127" t="inlineStr">
        <is>
          <t>LM</t>
        </is>
      </c>
      <c r="AH15" s="127" t="inlineStr">
        <is>
          <t>LM</t>
        </is>
      </c>
      <c r="AI15" s="127" t="inlineStr">
        <is>
          <t>LM</t>
        </is>
      </c>
      <c r="AJ15" s="127" t="inlineStr">
        <is>
          <t>LM</t>
        </is>
      </c>
      <c r="AK15" s="127" t="inlineStr">
        <is>
          <t>LM</t>
        </is>
      </c>
      <c r="AL15" s="127" t="inlineStr">
        <is>
          <t>LM</t>
        </is>
      </c>
      <c r="AM15" s="96" t="n"/>
      <c r="AN15" s="123">
        <f>IFERROR(INDEX(OUT!I$8:I$73,MATCH($A15,OUT!$A$8:$A$73,0))&amp;"","")</f>
        <v/>
      </c>
      <c r="AO15" s="123">
        <f>IFERROR(INDEX(OUT!J$8:J$73,MATCH($A15,OUT!$A$8:$A$73,0))&amp;"","")</f>
        <v/>
      </c>
      <c r="AP15" s="109">
        <f>IFERROR(INDEX(OUT!K$8:K$73,MATCH($A15,OUT!$A$8:$A$73,0))&amp;"","")</f>
        <v/>
      </c>
      <c r="AQ15" s="109">
        <f>IFERROR(INDEX(OUT!L$8:L$73,MATCH($A15,OUT!$A$8:$A$73,0))&amp;"","")</f>
        <v/>
      </c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SUMPRODUCT(($H15:$N15="M")*6+($H15:$N15="T")*6+($H15:$N15="D")*12+($H15:$N15="N")*12+($H15:$N15="NT")*6+($H15:$N15="C")*10+($H15:$N15="A")*8+($H15:$N15="J")*5+($H15:$N15="E")*4+($H15:$N15="P")*6+($H15:$N15="R")*6)</f>
        <v/>
      </c>
      <c r="BF15" s="110">
        <f>SUMPRODUCT(($O15:$U15="M")*6+($O15:$U15="T")*6+($O15:$U15="D")*12+($O15:$U15="N")*12+($O15:$U15="NT")*6+($O15:$U15="C")*10+($O15:$U15="A")*8+($O15:$U15="J")*5+($O15:$U15="E")*4+($O15:$U15="P")*6+($O15:$U15="R")*6)</f>
        <v/>
      </c>
      <c r="BG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H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I15" s="110">
        <f>SUMPRODUCT(($AJ15:$AL15="M")*6+($AJ15:$AL15="T")*6+($AJ15:$AL15="D")*12+($AJ15:$AL15="N")*12+($AJ15:$AL15="NT")*6+($AJ15:$AL15="C")*10+($AJ15:$AL15="A")*8+($AJ15:$AL15="J")*5+($AJ15:$AL15="E")*4+($AJ15:$AL15="P")*6+($AJ15:$AL15="R")*6)+SUMPRODUCT(($AN15:$AQ15="M")*6+($AN15:$AQ15="T")*6+($AN15:$AQ15="D")*12+($AN15:$AQ15="N")*12+($AN15:$AQ15="NT")*6+($AN15:$AQ15="C")*10+($AN15:$AQ15="A")*8+($AN15:$AQ15="J")*5+($AN15:$AQ15="E")*4+($AN15:$AQ15="P")*6+($AN15:$AQ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3">
        <f>IFERROR(INDEX(AGO!AM$8:AM$73,MATCH($A16,AGO!$A$8:$A$73,0))&amp;"","")</f>
        <v/>
      </c>
      <c r="I16" s="129" t="inlineStr">
        <is>
          <t>J</t>
        </is>
      </c>
      <c r="J16" s="129" t="inlineStr">
        <is>
          <t>J</t>
        </is>
      </c>
      <c r="K16" s="129" t="inlineStr">
        <is>
          <t>J</t>
        </is>
      </c>
      <c r="L16" s="129" t="inlineStr">
        <is>
          <t>J</t>
        </is>
      </c>
      <c r="M16" s="129" t="inlineStr">
        <is>
          <t>J</t>
        </is>
      </c>
      <c r="N16" s="129" t="inlineStr">
        <is>
          <t>J</t>
        </is>
      </c>
      <c r="O16" s="107" t="n"/>
      <c r="P16" s="129" t="inlineStr">
        <is>
          <t>J</t>
        </is>
      </c>
      <c r="Q16" s="129" t="inlineStr">
        <is>
          <t>J</t>
        </is>
      </c>
      <c r="R16" s="129" t="inlineStr">
        <is>
          <t>J</t>
        </is>
      </c>
      <c r="S16" s="129" t="inlineStr">
        <is>
          <t>J</t>
        </is>
      </c>
      <c r="T16" s="107" t="n"/>
      <c r="U16" s="129" t="inlineStr">
        <is>
          <t>J</t>
        </is>
      </c>
      <c r="V16" s="129" t="inlineStr">
        <is>
          <t>J</t>
        </is>
      </c>
      <c r="W16" s="129" t="inlineStr">
        <is>
          <t>J</t>
        </is>
      </c>
      <c r="X16" s="129" t="inlineStr">
        <is>
          <t>J</t>
        </is>
      </c>
      <c r="Y16" s="129" t="inlineStr">
        <is>
          <t>J</t>
        </is>
      </c>
      <c r="Z16" s="129" t="inlineStr">
        <is>
          <t>J</t>
        </is>
      </c>
      <c r="AA16" s="107" t="n"/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29" t="inlineStr">
        <is>
          <t>J</t>
        </is>
      </c>
      <c r="AF16" s="129" t="inlineStr">
        <is>
          <t>J</t>
        </is>
      </c>
      <c r="AG16" s="129" t="inlineStr">
        <is>
          <t>J</t>
        </is>
      </c>
      <c r="AH16" s="107" t="n"/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29" t="inlineStr">
        <is>
          <t>J</t>
        </is>
      </c>
      <c r="AM16" s="96" t="n"/>
      <c r="AN16" s="123">
        <f>IFERROR(INDEX(OUT!I$8:I$73,MATCH($A16,OUT!$A$8:$A$73,0))&amp;"","")</f>
        <v/>
      </c>
      <c r="AO16" s="123">
        <f>IFERROR(INDEX(OUT!J$8:J$73,MATCH($A16,OUT!$A$8:$A$73,0))&amp;"","")</f>
        <v/>
      </c>
      <c r="AP16" s="109">
        <f>IFERROR(INDEX(OUT!K$8:K$73,MATCH($A16,OUT!$A$8:$A$73,0))&amp;"","")</f>
        <v/>
      </c>
      <c r="AQ16" s="109">
        <f>IFERROR(INDEX(OUT!L$8:L$73,MATCH($A16,OUT!$A$8:$A$73,0))&amp;"","")</f>
        <v/>
      </c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SUMPRODUCT(($H16:$N16="M")*6+($H16:$N16="T")*6+($H16:$N16="D")*12+($H16:$N16="N")*12+($H16:$N16="NT")*6+($H16:$N16="C")*10+($H16:$N16="A")*8+($H16:$N16="J")*5+($H16:$N16="E")*4+($H16:$N16="P")*6+($H16:$N16="R")*6)</f>
        <v/>
      </c>
      <c r="BF16" s="110">
        <f>SUMPRODUCT(($O16:$U16="M")*6+($O16:$U16="T")*6+($O16:$U16="D")*12+($O16:$U16="N")*12+($O16:$U16="NT")*6+($O16:$U16="C")*10+($O16:$U16="A")*8+($O16:$U16="J")*5+($O16:$U16="E")*4+($O16:$U16="P")*6+($O16:$U16="R")*6)</f>
        <v/>
      </c>
      <c r="BG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H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I16" s="110">
        <f>SUMPRODUCT(($AJ16:$AL16="M")*6+($AJ16:$AL16="T")*6+($AJ16:$AL16="D")*12+($AJ16:$AL16="N")*12+($AJ16:$AL16="NT")*6+($AJ16:$AL16="C")*10+($AJ16:$AL16="A")*8+($AJ16:$AL16="J")*5+($AJ16:$AL16="E")*4+($AJ16:$AL16="P")*6+($AJ16:$AL16="R")*6)+SUMPRODUCT(($AN16:$AQ16="M")*6+($AN16:$AQ16="T")*6+($AN16:$AQ16="D")*12+($AN16:$AQ16="N")*12+($AN16:$AQ16="NT")*6+($AN16:$AQ16="C")*10+($AN16:$AQ16="A")*8+($AN16:$AQ16="J")*5+($AN16:$AQ16="E")*4+($AN16:$AQ16="P")*6+($AN16:$AQ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3">
        <f>IFERROR(INDEX(AGO!AM$8:AM$73,MATCH($A17,AGO!$A$8:$A$73,0))&amp;"","")</f>
        <v/>
      </c>
      <c r="I17" s="124" t="inlineStr">
        <is>
          <t>C</t>
        </is>
      </c>
      <c r="J17" s="117" t="inlineStr">
        <is>
          <t>T</t>
        </is>
      </c>
      <c r="K17" s="117" t="inlineStr">
        <is>
          <t>T</t>
        </is>
      </c>
      <c r="L17" s="115" t="inlineStr">
        <is>
          <t>D</t>
        </is>
      </c>
      <c r="M17" s="107" t="n"/>
      <c r="N17" s="107" t="n"/>
      <c r="O17" s="107" t="n"/>
      <c r="P17" s="116" t="inlineStr">
        <is>
          <t>N</t>
        </is>
      </c>
      <c r="Q17" s="117" t="inlineStr">
        <is>
          <t>T</t>
        </is>
      </c>
      <c r="R17" s="117" t="inlineStr">
        <is>
          <t>T</t>
        </is>
      </c>
      <c r="S17" s="125" t="inlineStr">
        <is>
          <t>E</t>
        </is>
      </c>
      <c r="T17" s="116" t="inlineStr">
        <is>
          <t>N</t>
        </is>
      </c>
      <c r="U17" s="107" t="n"/>
      <c r="V17" s="125" t="inlineStr">
        <is>
          <t>E</t>
        </is>
      </c>
      <c r="W17" s="107" t="n"/>
      <c r="X17" s="117" t="inlineStr">
        <is>
          <t>T</t>
        </is>
      </c>
      <c r="Y17" s="107" t="n"/>
      <c r="Z17" s="117" t="inlineStr">
        <is>
          <t>T</t>
        </is>
      </c>
      <c r="AA17" s="116" t="inlineStr">
        <is>
          <t>N</t>
        </is>
      </c>
      <c r="AB17" s="107" t="n"/>
      <c r="AC17" s="116" t="inlineStr">
        <is>
          <t>N</t>
        </is>
      </c>
      <c r="AD17" s="117" t="inlineStr">
        <is>
          <t>T</t>
        </is>
      </c>
      <c r="AE17" s="117" t="inlineStr">
        <is>
          <t>T</t>
        </is>
      </c>
      <c r="AF17" s="107" t="n"/>
      <c r="AG17" s="125" t="inlineStr">
        <is>
          <t>E</t>
        </is>
      </c>
      <c r="AH17" s="116" t="inlineStr">
        <is>
          <t>N</t>
        </is>
      </c>
      <c r="AI17" s="107" t="n"/>
      <c r="AJ17" s="125" t="inlineStr">
        <is>
          <t>E</t>
        </is>
      </c>
      <c r="AK17" s="107" t="n"/>
      <c r="AL17" s="117" t="inlineStr">
        <is>
          <t>T</t>
        </is>
      </c>
      <c r="AM17" s="96" t="n"/>
      <c r="AN17" s="123">
        <f>IFERROR(INDEX(OUT!I$8:I$73,MATCH($A17,OUT!$A$8:$A$73,0))&amp;"","")</f>
        <v/>
      </c>
      <c r="AO17" s="123">
        <f>IFERROR(INDEX(OUT!J$8:J$73,MATCH($A17,OUT!$A$8:$A$73,0))&amp;"","")</f>
        <v/>
      </c>
      <c r="AP17" s="109">
        <f>IFERROR(INDEX(OUT!K$8:K$73,MATCH($A17,OUT!$A$8:$A$73,0))&amp;"","")</f>
        <v/>
      </c>
      <c r="AQ17" s="109">
        <f>IFERROR(INDEX(OUT!L$8:L$73,MATCH($A17,OUT!$A$8:$A$73,0))&amp;"","")</f>
        <v/>
      </c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SUMPRODUCT(($H17:$N17="M")*6+($H17:$N17="T")*6+($H17:$N17="D")*12+($H17:$N17="N")*12+($H17:$N17="NT")*6+($H17:$N17="C")*10+($H17:$N17="A")*8+($H17:$N17="J")*5+($H17:$N17="E")*4+($H17:$N17="P")*6+($H17:$N17="R")*6)</f>
        <v/>
      </c>
      <c r="BF17" s="110">
        <f>SUMPRODUCT(($O17:$U17="M")*6+($O17:$U17="T")*6+($O17:$U17="D")*12+($O17:$U17="N")*12+($O17:$U17="NT")*6+($O17:$U17="C")*10+($O17:$U17="A")*8+($O17:$U17="J")*5+($O17:$U17="E")*4+($O17:$U17="P")*6+($O17:$U17="R")*6)</f>
        <v/>
      </c>
      <c r="BG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H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I17" s="110">
        <f>SUMPRODUCT(($AJ17:$AL17="M")*6+($AJ17:$AL17="T")*6+($AJ17:$AL17="D")*12+($AJ17:$AL17="N")*12+($AJ17:$AL17="NT")*6+($AJ17:$AL17="C")*10+($AJ17:$AL17="A")*8+($AJ17:$AL17="J")*5+($AJ17:$AL17="E")*4+($AJ17:$AL17="P")*6+($AJ17:$AL17="R")*6)+SUMPRODUCT(($AN17:$AQ17="M")*6+($AN17:$AQ17="T")*6+($AN17:$AQ17="D")*12+($AN17:$AQ17="N")*12+($AN17:$AQ17="NT")*6+($AN17:$AQ17="C")*10+($AN17:$AQ17="A")*8+($AN17:$AQ17="J")*5+($AN17:$AQ17="E")*4+($AN17:$AQ17="P")*6+($AN17:$AQ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3">
        <f>IFERROR(INDEX(AGO!AM$8:AM$73,MATCH($A18,AGO!$A$8:$A$73,0))&amp;"","")</f>
        <v/>
      </c>
      <c r="I18" s="117" t="inlineStr">
        <is>
          <t>T</t>
        </is>
      </c>
      <c r="J18" s="117" t="inlineStr">
        <is>
          <t>T</t>
        </is>
      </c>
      <c r="K18" s="117" t="inlineStr">
        <is>
          <t>T</t>
        </is>
      </c>
      <c r="L18" s="116" t="inlineStr">
        <is>
          <t>N</t>
        </is>
      </c>
      <c r="M18" s="107" t="n"/>
      <c r="N18" s="107" t="n"/>
      <c r="O18" s="115" t="inlineStr">
        <is>
          <t>D</t>
        </is>
      </c>
      <c r="P18" s="117" t="inlineStr">
        <is>
          <t>T</t>
        </is>
      </c>
      <c r="Q18" s="117" t="inlineStr">
        <is>
          <t>T</t>
        </is>
      </c>
      <c r="R18" s="117" t="inlineStr">
        <is>
          <t>T</t>
        </is>
      </c>
      <c r="S18" s="107" t="n"/>
      <c r="T18" s="107" t="n"/>
      <c r="U18" s="107" t="n"/>
      <c r="V18" s="107" t="n"/>
      <c r="W18" s="107" t="n"/>
      <c r="X18" s="107" t="n"/>
      <c r="Y18" s="117" t="inlineStr">
        <is>
          <t>T</t>
        </is>
      </c>
      <c r="Z18" s="117" t="inlineStr">
        <is>
          <t>T</t>
        </is>
      </c>
      <c r="AA18" s="115" t="inlineStr">
        <is>
          <t>D</t>
        </is>
      </c>
      <c r="AB18" s="116" t="inlineStr">
        <is>
          <t>N</t>
        </is>
      </c>
      <c r="AC18" s="117" t="inlineStr">
        <is>
          <t>T</t>
        </is>
      </c>
      <c r="AD18" s="117" t="inlineStr">
        <is>
          <t>T</t>
        </is>
      </c>
      <c r="AE18" s="117" t="inlineStr">
        <is>
          <t>T</t>
        </is>
      </c>
      <c r="AF18" s="117" t="inlineStr">
        <is>
          <t>T</t>
        </is>
      </c>
      <c r="AG18" s="107" t="n"/>
      <c r="AH18" s="115" t="inlineStr">
        <is>
          <t>D</t>
        </is>
      </c>
      <c r="AI18" s="107" t="n"/>
      <c r="AJ18" s="117" t="inlineStr">
        <is>
          <t>T</t>
        </is>
      </c>
      <c r="AK18" s="115" t="inlineStr">
        <is>
          <t>D</t>
        </is>
      </c>
      <c r="AL18" s="117" t="inlineStr">
        <is>
          <t>T</t>
        </is>
      </c>
      <c r="AM18" s="96" t="n"/>
      <c r="AN18" s="123">
        <f>IFERROR(INDEX(OUT!I$8:I$73,MATCH($A18,OUT!$A$8:$A$73,0))&amp;"","")</f>
        <v/>
      </c>
      <c r="AO18" s="123">
        <f>IFERROR(INDEX(OUT!J$8:J$73,MATCH($A18,OUT!$A$8:$A$73,0))&amp;"","")</f>
        <v/>
      </c>
      <c r="AP18" s="109">
        <f>IFERROR(INDEX(OUT!K$8:K$73,MATCH($A18,OUT!$A$8:$A$73,0))&amp;"","")</f>
        <v/>
      </c>
      <c r="AQ18" s="109">
        <f>IFERROR(INDEX(OUT!L$8:L$73,MATCH($A18,OUT!$A$8:$A$73,0))&amp;"","")</f>
        <v/>
      </c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SUMPRODUCT(($H18:$N18="M")*6+($H18:$N18="T")*6+($H18:$N18="D")*12+($H18:$N18="N")*12+($H18:$N18="NT")*6+($H18:$N18="C")*10+($H18:$N18="A")*8+($H18:$N18="J")*5+($H18:$N18="E")*4+($H18:$N18="P")*6+($H18:$N18="R")*6)</f>
        <v/>
      </c>
      <c r="BF18" s="110">
        <f>SUMPRODUCT(($O18:$U18="M")*6+($O18:$U18="T")*6+($O18:$U18="D")*12+($O18:$U18="N")*12+($O18:$U18="NT")*6+($O18:$U18="C")*10+($O18:$U18="A")*8+($O18:$U18="J")*5+($O18:$U18="E")*4+($O18:$U18="P")*6+($O18:$U18="R")*6)</f>
        <v/>
      </c>
      <c r="BG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H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I18" s="110">
        <f>SUMPRODUCT(($AJ18:$AL18="M")*6+($AJ18:$AL18="T")*6+($AJ18:$AL18="D")*12+($AJ18:$AL18="N")*12+($AJ18:$AL18="NT")*6+($AJ18:$AL18="C")*10+($AJ18:$AL18="A")*8+($AJ18:$AL18="J")*5+($AJ18:$AL18="E")*4+($AJ18:$AL18="P")*6+($AJ18:$AL18="R")*6)+SUMPRODUCT(($AN18:$AQ18="M")*6+($AN18:$AQ18="T")*6+($AN18:$AQ18="D")*12+($AN18:$AQ18="N")*12+($AN18:$AQ18="NT")*6+($AN18:$AQ18="C")*10+($AN18:$AQ18="A")*8+($AN18:$AQ18="J")*5+($AN18:$AQ18="E")*4+($AN18:$AQ18="P")*6+($AN18:$AQ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3">
        <f>IFERROR(INDEX(AGO!AM$8:AM$73,MATCH($A19,AGO!$A$8:$A$73,0))&amp;"","")</f>
        <v/>
      </c>
      <c r="I19" s="107" t="n"/>
      <c r="J19" s="116" t="inlineStr">
        <is>
          <t>N</t>
        </is>
      </c>
      <c r="K19" s="107" t="n"/>
      <c r="L19" s="116" t="inlineStr">
        <is>
          <t>N</t>
        </is>
      </c>
      <c r="M19" s="107" t="n"/>
      <c r="N19" s="116" t="inlineStr">
        <is>
          <t>N</t>
        </is>
      </c>
      <c r="O19" s="107" t="n"/>
      <c r="P19" s="107" t="n"/>
      <c r="Q19" s="116" t="inlineStr">
        <is>
          <t>N</t>
        </is>
      </c>
      <c r="R19" s="107" t="n"/>
      <c r="S19" s="116" t="inlineStr">
        <is>
          <t>N</t>
        </is>
      </c>
      <c r="T19" s="107" t="n"/>
      <c r="U19" s="116" t="inlineStr">
        <is>
          <t>N</t>
        </is>
      </c>
      <c r="V19" s="116" t="inlineStr">
        <is>
          <t>N</t>
        </is>
      </c>
      <c r="W19" s="107" t="n"/>
      <c r="X19" s="116" t="inlineStr">
        <is>
          <t>N</t>
        </is>
      </c>
      <c r="Y19" s="116" t="inlineStr">
        <is>
          <t>N</t>
        </is>
      </c>
      <c r="Z19" s="107" t="n"/>
      <c r="AA19" s="107" t="n"/>
      <c r="AB19" s="107" t="n"/>
      <c r="AC19" s="107" t="n"/>
      <c r="AD19" s="107" t="n"/>
      <c r="AE19" s="116" t="inlineStr">
        <is>
          <t>N</t>
        </is>
      </c>
      <c r="AF19" s="116" t="inlineStr">
        <is>
          <t>N</t>
        </is>
      </c>
      <c r="AG19" s="107" t="n"/>
      <c r="AH19" s="107" t="n"/>
      <c r="AI19" s="116" t="inlineStr">
        <is>
          <t>N</t>
        </is>
      </c>
      <c r="AJ19" s="107" t="n"/>
      <c r="AK19" s="107" t="n"/>
      <c r="AL19" s="116" t="inlineStr">
        <is>
          <t>N</t>
        </is>
      </c>
      <c r="AM19" s="96" t="n"/>
      <c r="AN19" s="123">
        <f>IFERROR(INDEX(OUT!I$8:I$73,MATCH($A19,OUT!$A$8:$A$73,0))&amp;"","")</f>
        <v/>
      </c>
      <c r="AO19" s="123">
        <f>IFERROR(INDEX(OUT!J$8:J$73,MATCH($A19,OUT!$A$8:$A$73,0))&amp;"","")</f>
        <v/>
      </c>
      <c r="AP19" s="109">
        <f>IFERROR(INDEX(OUT!K$8:K$73,MATCH($A19,OUT!$A$8:$A$73,0))&amp;"","")</f>
        <v/>
      </c>
      <c r="AQ19" s="109">
        <f>IFERROR(INDEX(OUT!L$8:L$73,MATCH($A19,OUT!$A$8:$A$73,0))&amp;"","")</f>
        <v/>
      </c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SUMPRODUCT(($H19:$N19="M")*6+($H19:$N19="T")*6+($H19:$N19="D")*12+($H19:$N19="N")*12+($H19:$N19="NT")*6+($H19:$N19="C")*10+($H19:$N19="A")*8+($H19:$N19="J")*5+($H19:$N19="E")*4+($H19:$N19="P")*6+($H19:$N19="R")*6)</f>
        <v/>
      </c>
      <c r="BF19" s="110">
        <f>SUMPRODUCT(($O19:$U19="M")*6+($O19:$U19="T")*6+($O19:$U19="D")*12+($O19:$U19="N")*12+($O19:$U19="NT")*6+($O19:$U19="C")*10+($O19:$U19="A")*8+($O19:$U19="J")*5+($O19:$U19="E")*4+($O19:$U19="P")*6+($O19:$U19="R")*6)</f>
        <v/>
      </c>
      <c r="BG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H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I19" s="110">
        <f>SUMPRODUCT(($AJ19:$AL19="M")*6+($AJ19:$AL19="T")*6+($AJ19:$AL19="D")*12+($AJ19:$AL19="N")*12+($AJ19:$AL19="NT")*6+($AJ19:$AL19="C")*10+($AJ19:$AL19="A")*8+($AJ19:$AL19="J")*5+($AJ19:$AL19="E")*4+($AJ19:$AL19="P")*6+($AJ19:$AL19="R")*6)+SUMPRODUCT(($AN19:$AQ19="M")*6+($AN19:$AQ19="T")*6+($AN19:$AQ19="D")*12+($AN19:$AQ19="N")*12+($AN19:$AQ19="NT")*6+($AN19:$AQ19="C")*10+($AN19:$AQ19="A")*8+($AN19:$AQ19="J")*5+($AN19:$AQ19="E")*4+($AN19:$AQ19="P")*6+($AN19:$AQ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3">
        <f>IFERROR(INDEX(AGO!AM$8:AM$73,MATCH($A20,AGO!$A$8:$A$73,0))&amp;"","")</f>
        <v/>
      </c>
      <c r="I20" s="116" t="inlineStr">
        <is>
          <t>N</t>
        </is>
      </c>
      <c r="J20" s="107" t="n"/>
      <c r="K20" s="116" t="inlineStr">
        <is>
          <t>N</t>
        </is>
      </c>
      <c r="L20" s="107" t="n"/>
      <c r="M20" s="116" t="inlineStr">
        <is>
          <t>N</t>
        </is>
      </c>
      <c r="N20" s="107" t="n"/>
      <c r="O20" s="107" t="n"/>
      <c r="P20" s="116" t="inlineStr">
        <is>
          <t>N</t>
        </is>
      </c>
      <c r="Q20" s="116" t="inlineStr">
        <is>
          <t>N</t>
        </is>
      </c>
      <c r="R20" s="116" t="inlineStr">
        <is>
          <t>N</t>
        </is>
      </c>
      <c r="S20" s="107" t="n"/>
      <c r="T20" s="107" t="n"/>
      <c r="U20" s="107" t="n"/>
      <c r="V20" s="107" t="n"/>
      <c r="W20" s="107" t="n"/>
      <c r="X20" s="116" t="inlineStr">
        <is>
          <t>N</t>
        </is>
      </c>
      <c r="Y20" s="116" t="inlineStr">
        <is>
          <t>N</t>
        </is>
      </c>
      <c r="Z20" s="107" t="n"/>
      <c r="AA20" s="107" t="n"/>
      <c r="AB20" s="116" t="inlineStr">
        <is>
          <t>N</t>
        </is>
      </c>
      <c r="AC20" s="107" t="n"/>
      <c r="AD20" s="116" t="inlineStr">
        <is>
          <t>N</t>
        </is>
      </c>
      <c r="AE20" s="107" t="n"/>
      <c r="AF20" s="116" t="inlineStr">
        <is>
          <t>N</t>
        </is>
      </c>
      <c r="AG20" s="107" t="n"/>
      <c r="AH20" s="107" t="n"/>
      <c r="AI20" s="116" t="inlineStr">
        <is>
          <t>N</t>
        </is>
      </c>
      <c r="AJ20" s="107" t="n"/>
      <c r="AK20" s="116" t="inlineStr">
        <is>
          <t>N</t>
        </is>
      </c>
      <c r="AL20" s="116" t="inlineStr">
        <is>
          <t>N</t>
        </is>
      </c>
      <c r="AM20" s="96" t="n"/>
      <c r="AN20" s="123">
        <f>IFERROR(INDEX(OUT!I$8:I$73,MATCH($A20,OUT!$A$8:$A$73,0))&amp;"","")</f>
        <v/>
      </c>
      <c r="AO20" s="123">
        <f>IFERROR(INDEX(OUT!J$8:J$73,MATCH($A20,OUT!$A$8:$A$73,0))&amp;"","")</f>
        <v/>
      </c>
      <c r="AP20" s="109">
        <f>IFERROR(INDEX(OUT!K$8:K$73,MATCH($A20,OUT!$A$8:$A$73,0))&amp;"","")</f>
        <v/>
      </c>
      <c r="AQ20" s="109">
        <f>IFERROR(INDEX(OUT!L$8:L$73,MATCH($A20,OUT!$A$8:$A$73,0))&amp;"","")</f>
        <v/>
      </c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SUMPRODUCT(($H20:$N20="M")*6+($H20:$N20="T")*6+($H20:$N20="D")*12+($H20:$N20="N")*12+($H20:$N20="NT")*6+($H20:$N20="C")*10+($H20:$N20="A")*8+($H20:$N20="J")*5+($H20:$N20="E")*4+($H20:$N20="P")*6+($H20:$N20="R")*6)</f>
        <v/>
      </c>
      <c r="BF20" s="110">
        <f>SUMPRODUCT(($O20:$U20="M")*6+($O20:$U20="T")*6+($O20:$U20="D")*12+($O20:$U20="N")*12+($O20:$U20="NT")*6+($O20:$U20="C")*10+($O20:$U20="A")*8+($O20:$U20="J")*5+($O20:$U20="E")*4+($O20:$U20="P")*6+($O20:$U20="R")*6)</f>
        <v/>
      </c>
      <c r="BG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H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I20" s="110">
        <f>SUMPRODUCT(($AJ20:$AL20="M")*6+($AJ20:$AL20="T")*6+($AJ20:$AL20="D")*12+($AJ20:$AL20="N")*12+($AJ20:$AL20="NT")*6+($AJ20:$AL20="C")*10+($AJ20:$AL20="A")*8+($AJ20:$AL20="J")*5+($AJ20:$AL20="E")*4+($AJ20:$AL20="P")*6+($AJ20:$AL20="R")*6)+SUMPRODUCT(($AN20:$AQ20="M")*6+($AN20:$AQ20="T")*6+($AN20:$AQ20="D")*12+($AN20:$AQ20="N")*12+($AN20:$AQ20="NT")*6+($AN20:$AQ20="C")*10+($AN20:$AQ20="A")*8+($AN20:$AQ20="J")*5+($AN20:$AQ20="E")*4+($AN20:$AQ20="P")*6+($AN20:$AQ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3">
        <f>IFERROR(INDEX(AGO!AM$8:AM$73,MATCH($A21,AGO!$A$8:$A$73,0))&amp;"","")</f>
        <v/>
      </c>
      <c r="I21" s="108" t="inlineStr">
        <is>
          <t>M</t>
        </is>
      </c>
      <c r="J21" s="107" t="n"/>
      <c r="K21" s="117" t="inlineStr">
        <is>
          <t>T</t>
        </is>
      </c>
      <c r="L21" s="107" t="n"/>
      <c r="M21" s="115" t="inlineStr">
        <is>
          <t>D</t>
        </is>
      </c>
      <c r="N21" s="116" t="inlineStr">
        <is>
          <t>N</t>
        </is>
      </c>
      <c r="O21" s="117" t="inlineStr">
        <is>
          <t>T</t>
        </is>
      </c>
      <c r="P21" s="115" t="inlineStr">
        <is>
          <t>D</t>
        </is>
      </c>
      <c r="Q21" s="115" t="inlineStr">
        <is>
          <t>D</t>
        </is>
      </c>
      <c r="R21" s="107" t="n"/>
      <c r="S21" s="107" t="n"/>
      <c r="T21" s="107" t="n"/>
      <c r="U21" s="107" t="n"/>
      <c r="V21" s="128" t="inlineStr">
        <is>
          <t>FE</t>
        </is>
      </c>
      <c r="W21" s="128" t="inlineStr">
        <is>
          <t>FE</t>
        </is>
      </c>
      <c r="X21" s="128" t="inlineStr">
        <is>
          <t>FE</t>
        </is>
      </c>
      <c r="Y21" s="128" t="inlineStr">
        <is>
          <t>FE</t>
        </is>
      </c>
      <c r="Z21" s="128" t="inlineStr">
        <is>
          <t>FE</t>
        </is>
      </c>
      <c r="AA21" s="128" t="inlineStr">
        <is>
          <t>FE</t>
        </is>
      </c>
      <c r="AB21" s="128" t="inlineStr">
        <is>
          <t>FE</t>
        </is>
      </c>
      <c r="AC21" s="128" t="inlineStr">
        <is>
          <t>FE</t>
        </is>
      </c>
      <c r="AD21" s="128" t="inlineStr">
        <is>
          <t>FE</t>
        </is>
      </c>
      <c r="AE21" s="128" t="inlineStr">
        <is>
          <t>FE</t>
        </is>
      </c>
      <c r="AF21" s="128" t="inlineStr">
        <is>
          <t>FE</t>
        </is>
      </c>
      <c r="AG21" s="128" t="inlineStr">
        <is>
          <t>FE</t>
        </is>
      </c>
      <c r="AH21" s="128" t="inlineStr">
        <is>
          <t>FE</t>
        </is>
      </c>
      <c r="AI21" s="128" t="inlineStr">
        <is>
          <t>FE</t>
        </is>
      </c>
      <c r="AJ21" s="128" t="inlineStr">
        <is>
          <t>FE</t>
        </is>
      </c>
      <c r="AK21" s="107" t="n"/>
      <c r="AL21" s="107" t="n"/>
      <c r="AM21" s="96" t="n"/>
      <c r="AN21" s="123">
        <f>IFERROR(INDEX(OUT!I$8:I$73,MATCH($A21,OUT!$A$8:$A$73,0))&amp;"","")</f>
        <v/>
      </c>
      <c r="AO21" s="123">
        <f>IFERROR(INDEX(OUT!J$8:J$73,MATCH($A21,OUT!$A$8:$A$73,0))&amp;"","")</f>
        <v/>
      </c>
      <c r="AP21" s="109">
        <f>IFERROR(INDEX(OUT!K$8:K$73,MATCH($A21,OUT!$A$8:$A$73,0))&amp;"","")</f>
        <v/>
      </c>
      <c r="AQ21" s="109">
        <f>IFERROR(INDEX(OUT!L$8:L$73,MATCH($A21,OUT!$A$8:$A$73,0))&amp;"","")</f>
        <v/>
      </c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SUMPRODUCT(($H21:$N21="M")*6+($H21:$N21="T")*6+($H21:$N21="D")*12+($H21:$N21="N")*12+($H21:$N21="NT")*6+($H21:$N21="C")*10+($H21:$N21="A")*8+($H21:$N21="J")*5+($H21:$N21="E")*4+($H21:$N21="P")*6+($H21:$N21="R")*6)</f>
        <v/>
      </c>
      <c r="BF21" s="110">
        <f>SUMPRODUCT(($O21:$U21="M")*6+($O21:$U21="T")*6+($O21:$U21="D")*12+($O21:$U21="N")*12+($O21:$U21="NT")*6+($O21:$U21="C")*10+($O21:$U21="A")*8+($O21:$U21="J")*5+($O21:$U21="E")*4+($O21:$U21="P")*6+($O21:$U21="R")*6)</f>
        <v/>
      </c>
      <c r="BG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H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I21" s="110">
        <f>SUMPRODUCT(($AJ21:$AL21="M")*6+($AJ21:$AL21="T")*6+($AJ21:$AL21="D")*12+($AJ21:$AL21="N")*12+($AJ21:$AL21="NT")*6+($AJ21:$AL21="C")*10+($AJ21:$AL21="A")*8+($AJ21:$AL21="J")*5+($AJ21:$AL21="E")*4+($AJ21:$AL21="P")*6+($AJ21:$AL21="R")*6)+SUMPRODUCT(($AN21:$AQ21="M")*6+($AN21:$AQ21="T")*6+($AN21:$AQ21="D")*12+($AN21:$AQ21="N")*12+($AN21:$AQ21="NT")*6+($AN21:$AQ21="C")*10+($AN21:$AQ21="A")*8+($AN21:$AQ21="J")*5+($AN21:$AQ21="E")*4+($AN21:$AQ21="P")*6+($AN21:$AQ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3">
        <f>IFERROR(INDEX(AGO!AM$8:AM$73,MATCH($A22,AGO!$A$8:$A$73,0))&amp;"","")</f>
        <v/>
      </c>
      <c r="I22" s="115" t="inlineStr">
        <is>
          <t>D</t>
        </is>
      </c>
      <c r="J22" s="107" t="n"/>
      <c r="K22" s="107" t="n"/>
      <c r="L22" s="115" t="inlineStr">
        <is>
          <t>D</t>
        </is>
      </c>
      <c r="M22" s="107" t="n"/>
      <c r="N22" s="115" t="inlineStr">
        <is>
          <t>D</t>
        </is>
      </c>
      <c r="O22" s="107" t="n"/>
      <c r="P22" s="115" t="inlineStr">
        <is>
          <t>D</t>
        </is>
      </c>
      <c r="Q22" s="108" t="inlineStr">
        <is>
          <t>M</t>
        </is>
      </c>
      <c r="R22" s="107" t="n"/>
      <c r="S22" s="108" t="inlineStr">
        <is>
          <t>M</t>
        </is>
      </c>
      <c r="T22" s="107" t="n"/>
      <c r="U22" s="115" t="inlineStr">
        <is>
          <t>D</t>
        </is>
      </c>
      <c r="V22" s="107" t="n"/>
      <c r="W22" s="117" t="inlineStr">
        <is>
          <t>T</t>
        </is>
      </c>
      <c r="X22" s="107" t="n"/>
      <c r="Y22" s="116" t="inlineStr">
        <is>
          <t>N</t>
        </is>
      </c>
      <c r="Z22" s="107" t="n"/>
      <c r="AA22" s="108" t="inlineStr">
        <is>
          <t>M</t>
        </is>
      </c>
      <c r="AB22" s="115" t="inlineStr">
        <is>
          <t>D</t>
        </is>
      </c>
      <c r="AC22" s="107" t="n"/>
      <c r="AD22" s="115" t="inlineStr">
        <is>
          <t>D</t>
        </is>
      </c>
      <c r="AE22" s="115" t="inlineStr">
        <is>
          <t>D</t>
        </is>
      </c>
      <c r="AF22" s="115" t="inlineStr">
        <is>
          <t>D</t>
        </is>
      </c>
      <c r="AG22" s="107" t="n"/>
      <c r="AH22" s="107" t="n"/>
      <c r="AI22" s="107" t="n"/>
      <c r="AJ22" s="107" t="n"/>
      <c r="AK22" s="115" t="inlineStr">
        <is>
          <t>D</t>
        </is>
      </c>
      <c r="AL22" s="108" t="inlineStr">
        <is>
          <t>M</t>
        </is>
      </c>
      <c r="AM22" s="96" t="n"/>
      <c r="AN22" s="123">
        <f>IFERROR(INDEX(OUT!I$8:I$73,MATCH($A22,OUT!$A$8:$A$73,0))&amp;"","")</f>
        <v/>
      </c>
      <c r="AO22" s="123">
        <f>IFERROR(INDEX(OUT!J$8:J$73,MATCH($A22,OUT!$A$8:$A$73,0))&amp;"","")</f>
        <v/>
      </c>
      <c r="AP22" s="109">
        <f>IFERROR(INDEX(OUT!K$8:K$73,MATCH($A22,OUT!$A$8:$A$73,0))&amp;"","")</f>
        <v/>
      </c>
      <c r="AQ22" s="109">
        <f>IFERROR(INDEX(OUT!L$8:L$73,MATCH($A22,OUT!$A$8:$A$73,0))&amp;"","")</f>
        <v/>
      </c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SUMPRODUCT(($H22:$N22="M")*6+($H22:$N22="T")*6+($H22:$N22="D")*12+($H22:$N22="N")*12+($H22:$N22="NT")*6+($H22:$N22="C")*10+($H22:$N22="A")*8+($H22:$N22="J")*5+($H22:$N22="E")*4+($H22:$N22="P")*6+($H22:$N22="R")*6)</f>
        <v/>
      </c>
      <c r="BF22" s="110">
        <f>SUMPRODUCT(($O22:$U22="M")*6+($O22:$U22="T")*6+($O22:$U22="D")*12+($O22:$U22="N")*12+($O22:$U22="NT")*6+($O22:$U22="C")*10+($O22:$U22="A")*8+($O22:$U22="J")*5+($O22:$U22="E")*4+($O22:$U22="P")*6+($O22:$U22="R")*6)</f>
        <v/>
      </c>
      <c r="BG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H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I22" s="110">
        <f>SUMPRODUCT(($AJ22:$AL22="M")*6+($AJ22:$AL22="T")*6+($AJ22:$AL22="D")*12+($AJ22:$AL22="N")*12+($AJ22:$AL22="NT")*6+($AJ22:$AL22="C")*10+($AJ22:$AL22="A")*8+($AJ22:$AL22="J")*5+($AJ22:$AL22="E")*4+($AJ22:$AL22="P")*6+($AJ22:$AL22="R")*6)+SUMPRODUCT(($AN22:$AQ22="M")*6+($AN22:$AQ22="T")*6+($AN22:$AQ22="D")*12+($AN22:$AQ22="N")*12+($AN22:$AQ22="NT")*6+($AN22:$AQ22="C")*10+($AN22:$AQ22="A")*8+($AN22:$AQ22="J")*5+($AN22:$AQ22="E")*4+($AN22:$AQ22="P")*6+($AN22:$AQ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3">
        <f>IFERROR(INDEX(AGO!AM$8:AM$73,MATCH($A23,AGO!$A$8:$A$73,0))&amp;"","")</f>
        <v/>
      </c>
      <c r="I23" s="107" t="n"/>
      <c r="J23" s="107" t="n"/>
      <c r="K23" s="115" t="inlineStr">
        <is>
          <t>D</t>
        </is>
      </c>
      <c r="L23" s="107" t="n"/>
      <c r="M23" s="115" t="inlineStr">
        <is>
          <t>D</t>
        </is>
      </c>
      <c r="N23" s="107" t="n"/>
      <c r="O23" s="107" t="n"/>
      <c r="P23" s="115" t="inlineStr">
        <is>
          <t>D</t>
        </is>
      </c>
      <c r="Q23" s="107" t="n"/>
      <c r="R23" s="115" t="inlineStr">
        <is>
          <t>D</t>
        </is>
      </c>
      <c r="S23" s="107" t="n"/>
      <c r="T23" s="115" t="inlineStr">
        <is>
          <t>D</t>
        </is>
      </c>
      <c r="U23" s="115" t="inlineStr">
        <is>
          <t>D</t>
        </is>
      </c>
      <c r="V23" s="107" t="n"/>
      <c r="W23" s="115" t="inlineStr">
        <is>
          <t>D</t>
        </is>
      </c>
      <c r="X23" s="107" t="n"/>
      <c r="Y23" s="115" t="inlineStr">
        <is>
          <t>D</t>
        </is>
      </c>
      <c r="Z23" s="107" t="n"/>
      <c r="AA23" s="107" t="n"/>
      <c r="AB23" s="107" t="n"/>
      <c r="AC23" s="115" t="inlineStr">
        <is>
          <t>D</t>
        </is>
      </c>
      <c r="AD23" s="115" t="inlineStr">
        <is>
          <t>D</t>
        </is>
      </c>
      <c r="AE23" s="107" t="n"/>
      <c r="AF23" s="115" t="inlineStr">
        <is>
          <t>D</t>
        </is>
      </c>
      <c r="AG23" s="107" t="n"/>
      <c r="AH23" s="107" t="n"/>
      <c r="AI23" s="107" t="n"/>
      <c r="AJ23" s="115" t="inlineStr">
        <is>
          <t>D</t>
        </is>
      </c>
      <c r="AK23" s="107" t="n"/>
      <c r="AL23" s="107" t="n"/>
      <c r="AM23" s="96" t="n"/>
      <c r="AN23" s="123">
        <f>IFERROR(INDEX(OUT!I$8:I$73,MATCH($A23,OUT!$A$8:$A$73,0))&amp;"","")</f>
        <v/>
      </c>
      <c r="AO23" s="123">
        <f>IFERROR(INDEX(OUT!J$8:J$73,MATCH($A23,OUT!$A$8:$A$73,0))&amp;"","")</f>
        <v/>
      </c>
      <c r="AP23" s="109">
        <f>IFERROR(INDEX(OUT!K$8:K$73,MATCH($A23,OUT!$A$8:$A$73,0))&amp;"","")</f>
        <v/>
      </c>
      <c r="AQ23" s="109">
        <f>IFERROR(INDEX(OUT!L$8:L$73,MATCH($A23,OUT!$A$8:$A$73,0))&amp;"","")</f>
        <v/>
      </c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SUMPRODUCT(($H23:$N23="M")*6+($H23:$N23="T")*6+($H23:$N23="D")*12+($H23:$N23="N")*12+($H23:$N23="NT")*6+($H23:$N23="C")*10+($H23:$N23="A")*8+($H23:$N23="J")*5+($H23:$N23="E")*4+($H23:$N23="P")*6+($H23:$N23="R")*6)</f>
        <v/>
      </c>
      <c r="BF23" s="110">
        <f>SUMPRODUCT(($O23:$U23="M")*6+($O23:$U23="T")*6+($O23:$U23="D")*12+($O23:$U23="N")*12+($O23:$U23="NT")*6+($O23:$U23="C")*10+($O23:$U23="A")*8+($O23:$U23="J")*5+($O23:$U23="E")*4+($O23:$U23="P")*6+($O23:$U23="R")*6)</f>
        <v/>
      </c>
      <c r="BG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H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I23" s="110">
        <f>SUMPRODUCT(($AJ23:$AL23="M")*6+($AJ23:$AL23="T")*6+($AJ23:$AL23="D")*12+($AJ23:$AL23="N")*12+($AJ23:$AL23="NT")*6+($AJ23:$AL23="C")*10+($AJ23:$AL23="A")*8+($AJ23:$AL23="J")*5+($AJ23:$AL23="E")*4+($AJ23:$AL23="P")*6+($AJ23:$AL23="R")*6)+SUMPRODUCT(($AN23:$AQ23="M")*6+($AN23:$AQ23="T")*6+($AN23:$AQ23="D")*12+($AN23:$AQ23="N")*12+($AN23:$AQ23="NT")*6+($AN23:$AQ23="C")*10+($AN23:$AQ23="A")*8+($AN23:$AQ23="J")*5+($AN23:$AQ23="E")*4+($AN23:$AQ23="P")*6+($AN23:$AQ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3">
        <f>IFERROR(INDEX(AGO!AM$8:AM$73,MATCH($A24,AGO!$A$8:$A$73,0))&amp;"","")</f>
        <v/>
      </c>
      <c r="I24" s="115" t="inlineStr">
        <is>
          <t>D</t>
        </is>
      </c>
      <c r="J24" s="107" t="n"/>
      <c r="K24" s="107" t="n"/>
      <c r="L24" s="107" t="n"/>
      <c r="M24" s="116" t="inlineStr">
        <is>
          <t>N</t>
        </is>
      </c>
      <c r="N24" s="107" t="n"/>
      <c r="O24" s="107" t="n"/>
      <c r="P24" s="115" t="inlineStr">
        <is>
          <t>D</t>
        </is>
      </c>
      <c r="Q24" s="115" t="inlineStr">
        <is>
          <t>D</t>
        </is>
      </c>
      <c r="R24" s="115" t="inlineStr">
        <is>
          <t>D</t>
        </is>
      </c>
      <c r="S24" s="107" t="n"/>
      <c r="T24" s="107" t="n"/>
      <c r="U24" s="107" t="n"/>
      <c r="V24" s="107" t="n"/>
      <c r="W24" s="115" t="inlineStr">
        <is>
          <t>D</t>
        </is>
      </c>
      <c r="X24" s="107" t="n"/>
      <c r="Y24" s="116" t="inlineStr">
        <is>
          <t>N</t>
        </is>
      </c>
      <c r="Z24" s="107" t="n"/>
      <c r="AA24" s="116" t="inlineStr">
        <is>
          <t>N</t>
        </is>
      </c>
      <c r="AB24" s="107" t="n"/>
      <c r="AC24" s="107" t="n"/>
      <c r="AD24" s="115" t="inlineStr">
        <is>
          <t>D</t>
        </is>
      </c>
      <c r="AE24" s="107" t="n"/>
      <c r="AF24" s="117" t="inlineStr">
        <is>
          <t>T</t>
        </is>
      </c>
      <c r="AG24" s="108" t="inlineStr">
        <is>
          <t>M</t>
        </is>
      </c>
      <c r="AH24" s="116" t="inlineStr">
        <is>
          <t>N</t>
        </is>
      </c>
      <c r="AI24" s="107" t="n"/>
      <c r="AJ24" s="115" t="inlineStr">
        <is>
          <t>D</t>
        </is>
      </c>
      <c r="AK24" s="107" t="n"/>
      <c r="AL24" s="107" t="n"/>
      <c r="AM24" s="96" t="n"/>
      <c r="AN24" s="123">
        <f>IFERROR(INDEX(OUT!I$8:I$73,MATCH($A24,OUT!$A$8:$A$73,0))&amp;"","")</f>
        <v/>
      </c>
      <c r="AO24" s="123">
        <f>IFERROR(INDEX(OUT!J$8:J$73,MATCH($A24,OUT!$A$8:$A$73,0))&amp;"","")</f>
        <v/>
      </c>
      <c r="AP24" s="109">
        <f>IFERROR(INDEX(OUT!K$8:K$73,MATCH($A24,OUT!$A$8:$A$73,0))&amp;"","")</f>
        <v/>
      </c>
      <c r="AQ24" s="109">
        <f>IFERROR(INDEX(OUT!L$8:L$73,MATCH($A24,OUT!$A$8:$A$73,0))&amp;"","")</f>
        <v/>
      </c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SUMPRODUCT(($H24:$N24="M")*6+($H24:$N24="T")*6+($H24:$N24="D")*12+($H24:$N24="N")*12+($H24:$N24="NT")*6+($H24:$N24="C")*10+($H24:$N24="A")*8+($H24:$N24="J")*5+($H24:$N24="E")*4+($H24:$N24="P")*6+($H24:$N24="R")*6)</f>
        <v/>
      </c>
      <c r="BF24" s="110">
        <f>SUMPRODUCT(($O24:$U24="M")*6+($O24:$U24="T")*6+($O24:$U24="D")*12+($O24:$U24="N")*12+($O24:$U24="NT")*6+($O24:$U24="C")*10+($O24:$U24="A")*8+($O24:$U24="J")*5+($O24:$U24="E")*4+($O24:$U24="P")*6+($O24:$U24="R")*6)</f>
        <v/>
      </c>
      <c r="BG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H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I24" s="110">
        <f>SUMPRODUCT(($AJ24:$AL24="M")*6+($AJ24:$AL24="T")*6+($AJ24:$AL24="D")*12+($AJ24:$AL24="N")*12+($AJ24:$AL24="NT")*6+($AJ24:$AL24="C")*10+($AJ24:$AL24="A")*8+($AJ24:$AL24="J")*5+($AJ24:$AL24="E")*4+($AJ24:$AL24="P")*6+($AJ24:$AL24="R")*6)+SUMPRODUCT(($AN24:$AQ24="M")*6+($AN24:$AQ24="T")*6+($AN24:$AQ24="D")*12+($AN24:$AQ24="N")*12+($AN24:$AQ24="NT")*6+($AN24:$AQ24="C")*10+($AN24:$AQ24="A")*8+($AN24:$AQ24="J")*5+($AN24:$AQ24="E")*4+($AN24:$AQ24="P")*6+($AN24:$AQ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3">
        <f>IFERROR(INDEX(AGO!AM$8:AM$73,MATCH($A25,AGO!$A$8:$A$73,0))&amp;"","")</f>
        <v/>
      </c>
      <c r="I25" s="116" t="inlineStr">
        <is>
          <t>N</t>
        </is>
      </c>
      <c r="J25" s="116" t="inlineStr">
        <is>
          <t>N</t>
        </is>
      </c>
      <c r="K25" s="107" t="n"/>
      <c r="L25" s="107" t="n"/>
      <c r="M25" s="107" t="n"/>
      <c r="N25" s="116" t="inlineStr">
        <is>
          <t>N</t>
        </is>
      </c>
      <c r="O25" s="107" t="n"/>
      <c r="P25" s="116" t="inlineStr">
        <is>
          <t>N</t>
        </is>
      </c>
      <c r="Q25" s="116" t="inlineStr">
        <is>
          <t>N</t>
        </is>
      </c>
      <c r="R25" s="107" t="n"/>
      <c r="S25" s="107" t="n"/>
      <c r="T25" s="107" t="n"/>
      <c r="U25" s="116" t="inlineStr">
        <is>
          <t>N</t>
        </is>
      </c>
      <c r="V25" s="116" t="inlineStr">
        <is>
          <t>N</t>
        </is>
      </c>
      <c r="W25" s="116" t="inlineStr">
        <is>
          <t>N</t>
        </is>
      </c>
      <c r="X25" s="116" t="inlineStr">
        <is>
          <t>N</t>
        </is>
      </c>
      <c r="Y25" s="107" t="n"/>
      <c r="Z25" s="107" t="n"/>
      <c r="AA25" s="107" t="n"/>
      <c r="AB25" s="107" t="n"/>
      <c r="AC25" s="116" t="inlineStr">
        <is>
          <t>N</t>
        </is>
      </c>
      <c r="AD25" s="107" t="n"/>
      <c r="AE25" s="116" t="inlineStr">
        <is>
          <t>N</t>
        </is>
      </c>
      <c r="AF25" s="107" t="n"/>
      <c r="AG25" s="107" t="n"/>
      <c r="AH25" s="107" t="n"/>
      <c r="AI25" s="116" t="inlineStr">
        <is>
          <t>N</t>
        </is>
      </c>
      <c r="AJ25" s="116" t="inlineStr">
        <is>
          <t>N</t>
        </is>
      </c>
      <c r="AK25" s="116" t="inlineStr">
        <is>
          <t>N</t>
        </is>
      </c>
      <c r="AL25" s="116" t="inlineStr">
        <is>
          <t>N</t>
        </is>
      </c>
      <c r="AM25" s="96" t="n"/>
      <c r="AN25" s="123">
        <f>IFERROR(INDEX(OUT!I$8:I$73,MATCH($A25,OUT!$A$8:$A$73,0))&amp;"","")</f>
        <v/>
      </c>
      <c r="AO25" s="123">
        <f>IFERROR(INDEX(OUT!J$8:J$73,MATCH($A25,OUT!$A$8:$A$73,0))&amp;"","")</f>
        <v/>
      </c>
      <c r="AP25" s="109">
        <f>IFERROR(INDEX(OUT!K$8:K$73,MATCH($A25,OUT!$A$8:$A$73,0))&amp;"","")</f>
        <v/>
      </c>
      <c r="AQ25" s="109">
        <f>IFERROR(INDEX(OUT!L$8:L$73,MATCH($A25,OUT!$A$8:$A$73,0))&amp;"","")</f>
        <v/>
      </c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SUMPRODUCT(($H25:$N25="M")*6+($H25:$N25="T")*6+($H25:$N25="D")*12+($H25:$N25="N")*12+($H25:$N25="NT")*6+($H25:$N25="C")*10+($H25:$N25="A")*8+($H25:$N25="J")*5+($H25:$N25="E")*4+($H25:$N25="P")*6+($H25:$N25="R")*6)</f>
        <v/>
      </c>
      <c r="BF25" s="110">
        <f>SUMPRODUCT(($O25:$U25="M")*6+($O25:$U25="T")*6+($O25:$U25="D")*12+($O25:$U25="N")*12+($O25:$U25="NT")*6+($O25:$U25="C")*10+($O25:$U25="A")*8+($O25:$U25="J")*5+($O25:$U25="E")*4+($O25:$U25="P")*6+($O25:$U25="R")*6)</f>
        <v/>
      </c>
      <c r="BG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H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I25" s="110">
        <f>SUMPRODUCT(($AJ25:$AL25="M")*6+($AJ25:$AL25="T")*6+($AJ25:$AL25="D")*12+($AJ25:$AL25="N")*12+($AJ25:$AL25="NT")*6+($AJ25:$AL25="C")*10+($AJ25:$AL25="A")*8+($AJ25:$AL25="J")*5+($AJ25:$AL25="E")*4+($AJ25:$AL25="P")*6+($AJ25:$AL25="R")*6)+SUMPRODUCT(($AN25:$AQ25="M")*6+($AN25:$AQ25="T")*6+($AN25:$AQ25="D")*12+($AN25:$AQ25="N")*12+($AN25:$AQ25="NT")*6+($AN25:$AQ25="C")*10+($AN25:$AQ25="A")*8+($AN25:$AQ25="J")*5+($AN25:$AQ25="E")*4+($AN25:$AQ25="P")*6+($AN25:$AQ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3">
        <f>IFERROR(INDEX(AGO!AM$8:AM$73,MATCH($A26,AGO!$A$8:$A$73,0))&amp;"","")</f>
        <v/>
      </c>
      <c r="I26" s="115" t="inlineStr">
        <is>
          <t>D</t>
        </is>
      </c>
      <c r="J26" s="116" t="inlineStr">
        <is>
          <t>N</t>
        </is>
      </c>
      <c r="K26" s="117" t="inlineStr">
        <is>
          <t>T</t>
        </is>
      </c>
      <c r="L26" s="108" t="inlineStr">
        <is>
          <t>M</t>
        </is>
      </c>
      <c r="M26" s="107" t="n"/>
      <c r="N26" s="107" t="n"/>
      <c r="O26" s="107" t="n"/>
      <c r="P26" s="116" t="inlineStr">
        <is>
          <t>N</t>
        </is>
      </c>
      <c r="Q26" s="107" t="n"/>
      <c r="R26" s="107" t="n"/>
      <c r="S26" s="115" t="inlineStr">
        <is>
          <t>D</t>
        </is>
      </c>
      <c r="T26" s="107" t="n"/>
      <c r="U26" s="116" t="inlineStr">
        <is>
          <t>N</t>
        </is>
      </c>
      <c r="V26" s="116" t="inlineStr">
        <is>
          <t>N</t>
        </is>
      </c>
      <c r="W26" s="107" t="n"/>
      <c r="X26" s="117" t="inlineStr">
        <is>
          <t>T</t>
        </is>
      </c>
      <c r="Y26" s="116" t="inlineStr">
        <is>
          <t>N</t>
        </is>
      </c>
      <c r="Z26" s="117" t="inlineStr">
        <is>
          <t>T</t>
        </is>
      </c>
      <c r="AA26" s="107" t="n"/>
      <c r="AB26" s="116" t="inlineStr">
        <is>
          <t>N</t>
        </is>
      </c>
      <c r="AC26" s="107" t="n"/>
      <c r="AD26" s="116" t="inlineStr">
        <is>
          <t>N</t>
        </is>
      </c>
      <c r="AE26" s="107" t="n"/>
      <c r="AF26" s="107" t="n"/>
      <c r="AG26" s="115" t="inlineStr">
        <is>
          <t>D</t>
        </is>
      </c>
      <c r="AH26" s="107" t="n"/>
      <c r="AI26" s="116" t="inlineStr">
        <is>
          <t>N</t>
        </is>
      </c>
      <c r="AJ26" s="107" t="n"/>
      <c r="AK26" s="116" t="inlineStr">
        <is>
          <t>N</t>
        </is>
      </c>
      <c r="AL26" s="107" t="n"/>
      <c r="AM26" s="96" t="n"/>
      <c r="AN26" s="123">
        <f>IFERROR(INDEX(OUT!I$8:I$73,MATCH($A26,OUT!$A$8:$A$73,0))&amp;"","")</f>
        <v/>
      </c>
      <c r="AO26" s="123">
        <f>IFERROR(INDEX(OUT!J$8:J$73,MATCH($A26,OUT!$A$8:$A$73,0))&amp;"","")</f>
        <v/>
      </c>
      <c r="AP26" s="109">
        <f>IFERROR(INDEX(OUT!K$8:K$73,MATCH($A26,OUT!$A$8:$A$73,0))&amp;"","")</f>
        <v/>
      </c>
      <c r="AQ26" s="109">
        <f>IFERROR(INDEX(OUT!L$8:L$73,MATCH($A26,OUT!$A$8:$A$73,0))&amp;"","")</f>
        <v/>
      </c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SUMPRODUCT(($H26:$N26="M")*6+($H26:$N26="T")*6+($H26:$N26="D")*12+($H26:$N26="N")*12+($H26:$N26="NT")*6+($H26:$N26="C")*10+($H26:$N26="A")*8+($H26:$N26="J")*5+($H26:$N26="E")*4+($H26:$N26="P")*6+($H26:$N26="R")*6)</f>
        <v/>
      </c>
      <c r="BF26" s="110">
        <f>SUMPRODUCT(($O26:$U26="M")*6+($O26:$U26="T")*6+($O26:$U26="D")*12+($O26:$U26="N")*12+($O26:$U26="NT")*6+($O26:$U26="C")*10+($O26:$U26="A")*8+($O26:$U26="J")*5+($O26:$U26="E")*4+($O26:$U26="P")*6+($O26:$U26="R")*6)</f>
        <v/>
      </c>
      <c r="BG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H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I26" s="110">
        <f>SUMPRODUCT(($AJ26:$AL26="M")*6+($AJ26:$AL26="T")*6+($AJ26:$AL26="D")*12+($AJ26:$AL26="N")*12+($AJ26:$AL26="NT")*6+($AJ26:$AL26="C")*10+($AJ26:$AL26="A")*8+($AJ26:$AL26="J")*5+($AJ26:$AL26="E")*4+($AJ26:$AL26="P")*6+($AJ26:$AL26="R")*6)+SUMPRODUCT(($AN26:$AQ26="M")*6+($AN26:$AQ26="T")*6+($AN26:$AQ26="D")*12+($AN26:$AQ26="N")*12+($AN26:$AQ26="NT")*6+($AN26:$AQ26="C")*10+($AN26:$AQ26="A")*8+($AN26:$AQ26="J")*5+($AN26:$AQ26="E")*4+($AN26:$AQ26="P")*6+($AN26:$AQ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3">
        <f>IFERROR(INDEX(AGO!AM$8:AM$73,MATCH($A27,AGO!$A$8:$A$73,0))&amp;"","")</f>
        <v/>
      </c>
      <c r="I27" s="116" t="inlineStr">
        <is>
          <t>N</t>
        </is>
      </c>
      <c r="J27" s="107" t="n"/>
      <c r="K27" s="116" t="inlineStr">
        <is>
          <t>N</t>
        </is>
      </c>
      <c r="L27" s="107" t="n"/>
      <c r="M27" s="116" t="inlineStr">
        <is>
          <t>N</t>
        </is>
      </c>
      <c r="N27" s="107" t="n"/>
      <c r="O27" s="107" t="n"/>
      <c r="P27" s="107" t="n"/>
      <c r="Q27" s="117" t="inlineStr">
        <is>
          <t>T</t>
        </is>
      </c>
      <c r="R27" s="116" t="inlineStr">
        <is>
          <t>N</t>
        </is>
      </c>
      <c r="S27" s="117" t="inlineStr">
        <is>
          <t>T</t>
        </is>
      </c>
      <c r="T27" s="116" t="inlineStr">
        <is>
          <t>N</t>
        </is>
      </c>
      <c r="U27" s="107" t="n"/>
      <c r="V27" s="107" t="n"/>
      <c r="W27" s="116" t="inlineStr">
        <is>
          <t>N</t>
        </is>
      </c>
      <c r="X27" s="107" t="n"/>
      <c r="Y27" s="116" t="inlineStr">
        <is>
          <t>N</t>
        </is>
      </c>
      <c r="Z27" s="107" t="n"/>
      <c r="AA27" s="107" t="n"/>
      <c r="AB27" s="116" t="inlineStr">
        <is>
          <t>N</t>
        </is>
      </c>
      <c r="AC27" s="107" t="n"/>
      <c r="AD27" s="116" t="inlineStr">
        <is>
          <t>N</t>
        </is>
      </c>
      <c r="AE27" s="107" t="n"/>
      <c r="AF27" s="116" t="inlineStr">
        <is>
          <t>N</t>
        </is>
      </c>
      <c r="AG27" s="107" t="n"/>
      <c r="AH27" s="116" t="inlineStr">
        <is>
          <t>N</t>
        </is>
      </c>
      <c r="AI27" s="107" t="n"/>
      <c r="AJ27" s="107" t="n"/>
      <c r="AK27" s="116" t="inlineStr">
        <is>
          <t>N</t>
        </is>
      </c>
      <c r="AL27" s="107" t="n"/>
      <c r="AM27" s="96" t="n"/>
      <c r="AN27" s="123">
        <f>IFERROR(INDEX(OUT!I$8:I$73,MATCH($A27,OUT!$A$8:$A$73,0))&amp;"","")</f>
        <v/>
      </c>
      <c r="AO27" s="123">
        <f>IFERROR(INDEX(OUT!J$8:J$73,MATCH($A27,OUT!$A$8:$A$73,0))&amp;"","")</f>
        <v/>
      </c>
      <c r="AP27" s="109">
        <f>IFERROR(INDEX(OUT!K$8:K$73,MATCH($A27,OUT!$A$8:$A$73,0))&amp;"","")</f>
        <v/>
      </c>
      <c r="AQ27" s="109">
        <f>IFERROR(INDEX(OUT!L$8:L$73,MATCH($A27,OUT!$A$8:$A$73,0))&amp;"","")</f>
        <v/>
      </c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SUMPRODUCT(($H27:$N27="M")*6+($H27:$N27="T")*6+($H27:$N27="D")*12+($H27:$N27="N")*12+($H27:$N27="NT")*6+($H27:$N27="C")*10+($H27:$N27="A")*8+($H27:$N27="J")*5+($H27:$N27="E")*4+($H27:$N27="P")*6+($H27:$N27="R")*6)</f>
        <v/>
      </c>
      <c r="BF27" s="110">
        <f>SUMPRODUCT(($O27:$U27="M")*6+($O27:$U27="T")*6+($O27:$U27="D")*12+($O27:$U27="N")*12+($O27:$U27="NT")*6+($O27:$U27="C")*10+($O27:$U27="A")*8+($O27:$U27="J")*5+($O27:$U27="E")*4+($O27:$U27="P")*6+($O27:$U27="R")*6)</f>
        <v/>
      </c>
      <c r="BG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H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I27" s="110">
        <f>SUMPRODUCT(($AJ27:$AL27="M")*6+($AJ27:$AL27="T")*6+($AJ27:$AL27="D")*12+($AJ27:$AL27="N")*12+($AJ27:$AL27="NT")*6+($AJ27:$AL27="C")*10+($AJ27:$AL27="A")*8+($AJ27:$AL27="J")*5+($AJ27:$AL27="E")*4+($AJ27:$AL27="P")*6+($AJ27:$AL27="R")*6)+SUMPRODUCT(($AN27:$AQ27="M")*6+($AN27:$AQ27="T")*6+($AN27:$AQ27="D")*12+($AN27:$AQ27="N")*12+($AN27:$AQ27="NT")*6+($AN27:$AQ27="C")*10+($AN27:$AQ27="A")*8+($AN27:$AQ27="J")*5+($AN27:$AQ27="E")*4+($AN27:$AQ27="P")*6+($AN27:$AQ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3">
        <f>IFERROR(INDEX(AGO!AM$8:AM$73,MATCH($A28,AGO!$A$8:$A$73,0))&amp;"","")</f>
        <v/>
      </c>
      <c r="I28" s="108" t="inlineStr">
        <is>
          <t>M</t>
        </is>
      </c>
      <c r="J28" s="115" t="inlineStr">
        <is>
          <t>D</t>
        </is>
      </c>
      <c r="K28" s="107" t="n"/>
      <c r="L28" s="107" t="n"/>
      <c r="M28" s="107" t="n"/>
      <c r="N28" s="115" t="inlineStr">
        <is>
          <t>D</t>
        </is>
      </c>
      <c r="O28" s="116" t="inlineStr">
        <is>
          <t>N</t>
        </is>
      </c>
      <c r="P28" s="107" t="n"/>
      <c r="Q28" s="117" t="inlineStr">
        <is>
          <t>T</t>
        </is>
      </c>
      <c r="R28" s="107" t="n"/>
      <c r="S28" s="107" t="n"/>
      <c r="T28" s="107" t="n"/>
      <c r="U28" s="115" t="inlineStr">
        <is>
          <t>D</t>
        </is>
      </c>
      <c r="V28" s="107" t="n"/>
      <c r="W28" s="115" t="inlineStr">
        <is>
          <t>D</t>
        </is>
      </c>
      <c r="X28" s="116" t="inlineStr">
        <is>
          <t>N</t>
        </is>
      </c>
      <c r="Y28" s="107" t="n"/>
      <c r="Z28" s="117" t="inlineStr">
        <is>
          <t>T</t>
        </is>
      </c>
      <c r="AA28" s="107" t="n"/>
      <c r="AB28" s="107" t="n"/>
      <c r="AC28" s="116" t="inlineStr">
        <is>
          <t>N</t>
        </is>
      </c>
      <c r="AD28" s="107" t="n"/>
      <c r="AE28" s="117" t="inlineStr">
        <is>
          <t>T</t>
        </is>
      </c>
      <c r="AF28" s="107" t="n"/>
      <c r="AG28" s="107" t="n"/>
      <c r="AH28" s="115" t="inlineStr">
        <is>
          <t>D</t>
        </is>
      </c>
      <c r="AI28" s="107" t="n"/>
      <c r="AJ28" s="107" t="n"/>
      <c r="AK28" s="115" t="inlineStr">
        <is>
          <t>D</t>
        </is>
      </c>
      <c r="AL28" s="107" t="n"/>
      <c r="AM28" s="96" t="n"/>
      <c r="AN28" s="123">
        <f>IFERROR(INDEX(OUT!I$8:I$73,MATCH($A28,OUT!$A$8:$A$73,0))&amp;"","")</f>
        <v/>
      </c>
      <c r="AO28" s="123">
        <f>IFERROR(INDEX(OUT!J$8:J$73,MATCH($A28,OUT!$A$8:$A$73,0))&amp;"","")</f>
        <v/>
      </c>
      <c r="AP28" s="109">
        <f>IFERROR(INDEX(OUT!K$8:K$73,MATCH($A28,OUT!$A$8:$A$73,0))&amp;"","")</f>
        <v/>
      </c>
      <c r="AQ28" s="109">
        <f>IFERROR(INDEX(OUT!L$8:L$73,MATCH($A28,OUT!$A$8:$A$73,0))&amp;"","")</f>
        <v/>
      </c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SUMPRODUCT(($H28:$N28="M")*6+($H28:$N28="T")*6+($H28:$N28="D")*12+($H28:$N28="N")*12+($H28:$N28="NT")*6+($H28:$N28="C")*10+($H28:$N28="A")*8+($H28:$N28="J")*5+($H28:$N28="E")*4+($H28:$N28="P")*6+($H28:$N28="R")*6)</f>
        <v/>
      </c>
      <c r="BF28" s="110">
        <f>SUMPRODUCT(($O28:$U28="M")*6+($O28:$U28="T")*6+($O28:$U28="D")*12+($O28:$U28="N")*12+($O28:$U28="NT")*6+($O28:$U28="C")*10+($O28:$U28="A")*8+($O28:$U28="J")*5+($O28:$U28="E")*4+($O28:$U28="P")*6+($O28:$U28="R")*6)</f>
        <v/>
      </c>
      <c r="BG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H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I28" s="110">
        <f>SUMPRODUCT(($AJ28:$AL28="M")*6+($AJ28:$AL28="T")*6+($AJ28:$AL28="D")*12+($AJ28:$AL28="N")*12+($AJ28:$AL28="NT")*6+($AJ28:$AL28="C")*10+($AJ28:$AL28="A")*8+($AJ28:$AL28="J")*5+($AJ28:$AL28="E")*4+($AJ28:$AL28="P")*6+($AJ28:$AL28="R")*6)+SUMPRODUCT(($AN28:$AQ28="M")*6+($AN28:$AQ28="T")*6+($AN28:$AQ28="D")*12+($AN28:$AQ28="N")*12+($AN28:$AQ28="NT")*6+($AN28:$AQ28="C")*10+($AN28:$AQ28="A")*8+($AN28:$AQ28="J")*5+($AN28:$AQ28="E")*4+($AN28:$AQ28="P")*6+($AN28:$AQ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3">
        <f>IFERROR(INDEX(AGO!AM$8:AM$73,MATCH($A29,AGO!$A$8:$A$73,0))&amp;"","")</f>
        <v/>
      </c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07" t="n"/>
      <c r="O29" s="116" t="inlineStr">
        <is>
          <t>N</t>
        </is>
      </c>
      <c r="P29" s="107" t="n"/>
      <c r="Q29" s="108" t="inlineStr">
        <is>
          <t>M</t>
        </is>
      </c>
      <c r="R29" s="108" t="inlineStr">
        <is>
          <t>M</t>
        </is>
      </c>
      <c r="S29" s="107" t="n"/>
      <c r="T29" s="108" t="inlineStr">
        <is>
          <t>M</t>
        </is>
      </c>
      <c r="U29" s="108" t="inlineStr">
        <is>
          <t>M</t>
        </is>
      </c>
      <c r="V29" s="116" t="inlineStr">
        <is>
          <t>N</t>
        </is>
      </c>
      <c r="W29" s="107" t="n"/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7" t="n"/>
      <c r="AC29" s="116" t="inlineStr">
        <is>
          <t>N</t>
        </is>
      </c>
      <c r="AD29" s="107" t="n"/>
      <c r="AE29" s="107" t="n"/>
      <c r="AF29" s="108" t="inlineStr">
        <is>
          <t>M</t>
        </is>
      </c>
      <c r="AG29" s="107" t="n"/>
      <c r="AH29" s="115" t="inlineStr">
        <is>
          <t>D</t>
        </is>
      </c>
      <c r="AI29" s="108" t="inlineStr">
        <is>
          <t>M</t>
        </is>
      </c>
      <c r="AJ29" s="108" t="inlineStr">
        <is>
          <t>M</t>
        </is>
      </c>
      <c r="AK29" s="107" t="n"/>
      <c r="AL29" s="108" t="inlineStr">
        <is>
          <t>M</t>
        </is>
      </c>
      <c r="AM29" s="96" t="n"/>
      <c r="AN29" s="123">
        <f>IFERROR(INDEX(OUT!I$8:I$73,MATCH($A29,OUT!$A$8:$A$73,0))&amp;"","")</f>
        <v/>
      </c>
      <c r="AO29" s="123">
        <f>IFERROR(INDEX(OUT!J$8:J$73,MATCH($A29,OUT!$A$8:$A$73,0))&amp;"","")</f>
        <v/>
      </c>
      <c r="AP29" s="109">
        <f>IFERROR(INDEX(OUT!K$8:K$73,MATCH($A29,OUT!$A$8:$A$73,0))&amp;"","")</f>
        <v/>
      </c>
      <c r="AQ29" s="109">
        <f>IFERROR(INDEX(OUT!L$8:L$73,MATCH($A29,OUT!$A$8:$A$73,0))&amp;"","")</f>
        <v/>
      </c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SUMPRODUCT(($H29:$N29="M")*6+($H29:$N29="T")*6+($H29:$N29="D")*12+($H29:$N29="N")*12+($H29:$N29="NT")*6+($H29:$N29="C")*10+($H29:$N29="A")*8+($H29:$N29="J")*5+($H29:$N29="E")*4+($H29:$N29="P")*6+($H29:$N29="R")*6)</f>
        <v/>
      </c>
      <c r="BF29" s="110">
        <f>SUMPRODUCT(($O29:$U29="M")*6+($O29:$U29="T")*6+($O29:$U29="D")*12+($O29:$U29="N")*12+($O29:$U29="NT")*6+($O29:$U29="C")*10+($O29:$U29="A")*8+($O29:$U29="J")*5+($O29:$U29="E")*4+($O29:$U29="P")*6+($O29:$U29="R")*6)</f>
        <v/>
      </c>
      <c r="BG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H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I29" s="110">
        <f>SUMPRODUCT(($AJ29:$AL29="M")*6+($AJ29:$AL29="T")*6+($AJ29:$AL29="D")*12+($AJ29:$AL29="N")*12+($AJ29:$AL29="NT")*6+($AJ29:$AL29="C")*10+($AJ29:$AL29="A")*8+($AJ29:$AL29="J")*5+($AJ29:$AL29="E")*4+($AJ29:$AL29="P")*6+($AJ29:$AL29="R")*6)+SUMPRODUCT(($AN29:$AQ29="M")*6+($AN29:$AQ29="T")*6+($AN29:$AQ29="D")*12+($AN29:$AQ29="N")*12+($AN29:$AQ29="NT")*6+($AN29:$AQ29="C")*10+($AN29:$AQ29="A")*8+($AN29:$AQ29="J")*5+($AN29:$AQ29="E")*4+($AN29:$AQ29="P")*6+($AN29:$AQ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3">
        <f>IFERROR(INDEX(AGO!AM$8:AM$73,MATCH($A30,AGO!$A$8:$A$73,0))&amp;"","")</f>
        <v/>
      </c>
      <c r="I30" s="117" t="inlineStr">
        <is>
          <t>T</t>
        </is>
      </c>
      <c r="J30" s="117" t="inlineStr">
        <is>
          <t>T</t>
        </is>
      </c>
      <c r="K30" s="117" t="inlineStr">
        <is>
          <t>T</t>
        </is>
      </c>
      <c r="L30" s="107" t="n"/>
      <c r="M30" s="107" t="n"/>
      <c r="N30" s="116" t="inlineStr">
        <is>
          <t>N</t>
        </is>
      </c>
      <c r="O30" s="107" t="n"/>
      <c r="P30" s="117" t="inlineStr">
        <is>
          <t>T</t>
        </is>
      </c>
      <c r="Q30" s="117" t="inlineStr">
        <is>
          <t>T</t>
        </is>
      </c>
      <c r="R30" s="107" t="n"/>
      <c r="S30" s="117" t="inlineStr">
        <is>
          <t>T</t>
        </is>
      </c>
      <c r="T30" s="107" t="n"/>
      <c r="U30" s="116" t="inlineStr">
        <is>
          <t>N</t>
        </is>
      </c>
      <c r="V30" s="117" t="inlineStr">
        <is>
          <t>T</t>
        </is>
      </c>
      <c r="W30" s="117" t="inlineStr">
        <is>
          <t>T</t>
        </is>
      </c>
      <c r="X30" s="117" t="inlineStr">
        <is>
          <t>T</t>
        </is>
      </c>
      <c r="Y30" s="115" t="inlineStr">
        <is>
          <t>D</t>
        </is>
      </c>
      <c r="Z30" s="107" t="n"/>
      <c r="AA30" s="107" t="n"/>
      <c r="AB30" s="107" t="n"/>
      <c r="AC30" s="128" t="inlineStr">
        <is>
          <t>FE</t>
        </is>
      </c>
      <c r="AD30" s="128" t="inlineStr">
        <is>
          <t>FE</t>
        </is>
      </c>
      <c r="AE30" s="128" t="inlineStr">
        <is>
          <t>FE</t>
        </is>
      </c>
      <c r="AF30" s="128" t="inlineStr">
        <is>
          <t>FE</t>
        </is>
      </c>
      <c r="AG30" s="128" t="inlineStr">
        <is>
          <t>FE</t>
        </is>
      </c>
      <c r="AH30" s="128" t="inlineStr">
        <is>
          <t>FE</t>
        </is>
      </c>
      <c r="AI30" s="128" t="inlineStr">
        <is>
          <t>FE</t>
        </is>
      </c>
      <c r="AJ30" s="128" t="inlineStr">
        <is>
          <t>FE</t>
        </is>
      </c>
      <c r="AK30" s="128" t="inlineStr">
        <is>
          <t>FE</t>
        </is>
      </c>
      <c r="AL30" s="128" t="inlineStr">
        <is>
          <t>FE</t>
        </is>
      </c>
      <c r="AM30" s="96" t="n"/>
      <c r="AN30" s="123">
        <f>IFERROR(INDEX(OUT!I$8:I$73,MATCH($A30,OUT!$A$8:$A$73,0))&amp;"","")</f>
        <v/>
      </c>
      <c r="AO30" s="123">
        <f>IFERROR(INDEX(OUT!J$8:J$73,MATCH($A30,OUT!$A$8:$A$73,0))&amp;"","")</f>
        <v/>
      </c>
      <c r="AP30" s="109">
        <f>IFERROR(INDEX(OUT!K$8:K$73,MATCH($A30,OUT!$A$8:$A$73,0))&amp;"","")</f>
        <v/>
      </c>
      <c r="AQ30" s="109">
        <f>IFERROR(INDEX(OUT!L$8:L$73,MATCH($A30,OUT!$A$8:$A$73,0))&amp;"","")</f>
        <v/>
      </c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SUMPRODUCT(($H30:$N30="M")*6+($H30:$N30="T")*6+($H30:$N30="D")*12+($H30:$N30="N")*12+($H30:$N30="NT")*6+($H30:$N30="C")*10+($H30:$N30="A")*8+($H30:$N30="J")*5+($H30:$N30="E")*4+($H30:$N30="P")*6+($H30:$N30="R")*6)</f>
        <v/>
      </c>
      <c r="BF30" s="110">
        <f>SUMPRODUCT(($O30:$U30="M")*6+($O30:$U30="T")*6+($O30:$U30="D")*12+($O30:$U30="N")*12+($O30:$U30="NT")*6+($O30:$U30="C")*10+($O30:$U30="A")*8+($O30:$U30="J")*5+($O30:$U30="E")*4+($O30:$U30="P")*6+($O30:$U30="R")*6)</f>
        <v/>
      </c>
      <c r="BG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H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I30" s="110">
        <f>SUMPRODUCT(($AJ30:$AL30="M")*6+($AJ30:$AL30="T")*6+($AJ30:$AL30="D")*12+($AJ30:$AL30="N")*12+($AJ30:$AL30="NT")*6+($AJ30:$AL30="C")*10+($AJ30:$AL30="A")*8+($AJ30:$AL30="J")*5+($AJ30:$AL30="E")*4+($AJ30:$AL30="P")*6+($AJ30:$AL30="R")*6)+SUMPRODUCT(($AN30:$AQ30="M")*6+($AN30:$AQ30="T")*6+($AN30:$AQ30="D")*12+($AN30:$AQ30="N")*12+($AN30:$AQ30="NT")*6+($AN30:$AQ30="C")*10+($AN30:$AQ30="A")*8+($AN30:$AQ30="J")*5+($AN30:$AQ30="E")*4+($AN30:$AQ30="P")*6+($AN30:$AQ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3">
        <f>IFERROR(INDEX(AGO!AM$8:AM$73,MATCH($A31,AGO!$A$8:$A$73,0))&amp;"","")</f>
        <v/>
      </c>
      <c r="I31" s="108" t="inlineStr">
        <is>
          <t>M</t>
        </is>
      </c>
      <c r="J31" s="108" t="inlineStr">
        <is>
          <t>M</t>
        </is>
      </c>
      <c r="K31" s="108" t="inlineStr">
        <is>
          <t>M</t>
        </is>
      </c>
      <c r="L31" s="115" t="inlineStr">
        <is>
          <t>D</t>
        </is>
      </c>
      <c r="M31" s="107" t="n"/>
      <c r="N31" s="107" t="n"/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08" t="inlineStr">
        <is>
          <t>M</t>
        </is>
      </c>
      <c r="T31" s="108" t="inlineStr">
        <is>
          <t>M</t>
        </is>
      </c>
      <c r="U31" s="117" t="inlineStr">
        <is>
          <t>T</t>
        </is>
      </c>
      <c r="V31" s="117" t="inlineStr">
        <is>
          <t>T</t>
        </is>
      </c>
      <c r="W31" s="107" t="n"/>
      <c r="X31" s="108" t="inlineStr">
        <is>
          <t>M</t>
        </is>
      </c>
      <c r="Y31" s="108" t="inlineStr">
        <is>
          <t>M</t>
        </is>
      </c>
      <c r="Z31" s="115" t="inlineStr">
        <is>
          <t>D</t>
        </is>
      </c>
      <c r="AA31" s="107" t="n"/>
      <c r="AB31" s="107" t="n"/>
      <c r="AC31" s="107" t="n"/>
      <c r="AD31" s="108" t="inlineStr">
        <is>
          <t>M</t>
        </is>
      </c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16" t="inlineStr">
        <is>
          <t>N</t>
        </is>
      </c>
      <c r="AJ31" s="117" t="inlineStr">
        <is>
          <t>T</t>
        </is>
      </c>
      <c r="AK31" s="107" t="n"/>
      <c r="AL31" s="115" t="inlineStr">
        <is>
          <t>D</t>
        </is>
      </c>
      <c r="AM31" s="96" t="n"/>
      <c r="AN31" s="123">
        <f>IFERROR(INDEX(OUT!I$8:I$73,MATCH($A31,OUT!$A$8:$A$73,0))&amp;"","")</f>
        <v/>
      </c>
      <c r="AO31" s="123">
        <f>IFERROR(INDEX(OUT!J$8:J$73,MATCH($A31,OUT!$A$8:$A$73,0))&amp;"","")</f>
        <v/>
      </c>
      <c r="AP31" s="109">
        <f>IFERROR(INDEX(OUT!K$8:K$73,MATCH($A31,OUT!$A$8:$A$73,0))&amp;"","")</f>
        <v/>
      </c>
      <c r="AQ31" s="109">
        <f>IFERROR(INDEX(OUT!L$8:L$73,MATCH($A31,OUT!$A$8:$A$73,0))&amp;"","")</f>
        <v/>
      </c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SUMPRODUCT(($H31:$N31="M")*6+($H31:$N31="T")*6+($H31:$N31="D")*12+($H31:$N31="N")*12+($H31:$N31="NT")*6+($H31:$N31="C")*10+($H31:$N31="A")*8+($H31:$N31="J")*5+($H31:$N31="E")*4+($H31:$N31="P")*6+($H31:$N31="R")*6)</f>
        <v/>
      </c>
      <c r="BF31" s="110">
        <f>SUMPRODUCT(($O31:$U31="M")*6+($O31:$U31="T")*6+($O31:$U31="D")*12+($O31:$U31="N")*12+($O31:$U31="NT")*6+($O31:$U31="C")*10+($O31:$U31="A")*8+($O31:$U31="J")*5+($O31:$U31="E")*4+($O31:$U31="P")*6+($O31:$U31="R")*6)</f>
        <v/>
      </c>
      <c r="BG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H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I31" s="110">
        <f>SUMPRODUCT(($AJ31:$AL31="M")*6+($AJ31:$AL31="T")*6+($AJ31:$AL31="D")*12+($AJ31:$AL31="N")*12+($AJ31:$AL31="NT")*6+($AJ31:$AL31="C")*10+($AJ31:$AL31="A")*8+($AJ31:$AL31="J")*5+($AJ31:$AL31="E")*4+($AJ31:$AL31="P")*6+($AJ31:$AL31="R")*6)+SUMPRODUCT(($AN31:$AQ31="M")*6+($AN31:$AQ31="T")*6+($AN31:$AQ31="D")*12+($AN31:$AQ31="N")*12+($AN31:$AQ31="NT")*6+($AN31:$AQ31="C")*10+($AN31:$AQ31="A")*8+($AN31:$AQ31="J")*5+($AN31:$AQ31="E")*4+($AN31:$AQ31="P")*6+($AN31:$AQ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3">
        <f>IFERROR(INDEX(AGO!AM$8:AM$73,MATCH($A32,AGO!$A$8:$A$73,0))&amp;"","")</f>
        <v/>
      </c>
      <c r="I32" s="107" t="n"/>
      <c r="J32" s="107" t="n"/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5" t="inlineStr">
        <is>
          <t>D</t>
        </is>
      </c>
      <c r="P32" s="107" t="n"/>
      <c r="Q32" s="107" t="n"/>
      <c r="R32" s="107" t="n"/>
      <c r="S32" s="115" t="inlineStr">
        <is>
          <t>D</t>
        </is>
      </c>
      <c r="T32" s="107" t="n"/>
      <c r="U32" s="108" t="inlineStr">
        <is>
          <t>M</t>
        </is>
      </c>
      <c r="V32" s="115" t="inlineStr">
        <is>
          <t>D</t>
        </is>
      </c>
      <c r="W32" s="116" t="inlineStr">
        <is>
          <t>N</t>
        </is>
      </c>
      <c r="X32" s="108" t="inlineStr">
        <is>
          <t>M</t>
        </is>
      </c>
      <c r="Y32" s="108" t="inlineStr">
        <is>
          <t>M</t>
        </is>
      </c>
      <c r="Z32" s="107" t="n"/>
      <c r="AA32" s="107" t="n"/>
      <c r="AB32" s="107" t="n"/>
      <c r="AC32" s="107" t="n"/>
      <c r="AD32" s="107" t="n"/>
      <c r="AE32" s="107" t="n"/>
      <c r="AF32" s="115" t="inlineStr">
        <is>
          <t>D</t>
        </is>
      </c>
      <c r="AG32" s="115" t="inlineStr">
        <is>
          <t>D</t>
        </is>
      </c>
      <c r="AH32" s="108" t="inlineStr">
        <is>
          <t>M</t>
        </is>
      </c>
      <c r="AI32" s="107" t="n"/>
      <c r="AJ32" s="116" t="inlineStr">
        <is>
          <t>N</t>
        </is>
      </c>
      <c r="AK32" s="107" t="n"/>
      <c r="AL32" s="107" t="n"/>
      <c r="AM32" s="96" t="n"/>
      <c r="AN32" s="123">
        <f>IFERROR(INDEX(OUT!I$8:I$73,MATCH($A32,OUT!$A$8:$A$73,0))&amp;"","")</f>
        <v/>
      </c>
      <c r="AO32" s="123">
        <f>IFERROR(INDEX(OUT!J$8:J$73,MATCH($A32,OUT!$A$8:$A$73,0))&amp;"","")</f>
        <v/>
      </c>
      <c r="AP32" s="109">
        <f>IFERROR(INDEX(OUT!K$8:K$73,MATCH($A32,OUT!$A$8:$A$73,0))&amp;"","")</f>
        <v/>
      </c>
      <c r="AQ32" s="109">
        <f>IFERROR(INDEX(OUT!L$8:L$73,MATCH($A32,OUT!$A$8:$A$73,0))&amp;"","")</f>
        <v/>
      </c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SUMPRODUCT(($H32:$N32="M")*6+($H32:$N32="T")*6+($H32:$N32="D")*12+($H32:$N32="N")*12+($H32:$N32="NT")*6+($H32:$N32="C")*10+($H32:$N32="A")*8+($H32:$N32="J")*5+($H32:$N32="E")*4+($H32:$N32="P")*6+($H32:$N32="R")*6)</f>
        <v/>
      </c>
      <c r="BF32" s="110">
        <f>SUMPRODUCT(($O32:$U32="M")*6+($O32:$U32="T")*6+($O32:$U32="D")*12+($O32:$U32="N")*12+($O32:$U32="NT")*6+($O32:$U32="C")*10+($O32:$U32="A")*8+($O32:$U32="J")*5+($O32:$U32="E")*4+($O32:$U32="P")*6+($O32:$U32="R")*6)</f>
        <v/>
      </c>
      <c r="BG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H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I32" s="110">
        <f>SUMPRODUCT(($AJ32:$AL32="M")*6+($AJ32:$AL32="T")*6+($AJ32:$AL32="D")*12+($AJ32:$AL32="N")*12+($AJ32:$AL32="NT")*6+($AJ32:$AL32="C")*10+($AJ32:$AL32="A")*8+($AJ32:$AL32="J")*5+($AJ32:$AL32="E")*4+($AJ32:$AL32="P")*6+($AJ32:$AL32="R")*6)+SUMPRODUCT(($AN32:$AQ32="M")*6+($AN32:$AQ32="T")*6+($AN32:$AQ32="D")*12+($AN32:$AQ32="N")*12+($AN32:$AQ32="NT")*6+($AN32:$AQ32="C")*10+($AN32:$AQ32="A")*8+($AN32:$AQ32="J")*5+($AN32:$AQ32="E")*4+($AN32:$AQ32="P")*6+($AN32:$AQ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3">
        <f>IFERROR(INDEX(AGO!AM$8:AM$73,MATCH($A33,AGO!$A$8:$A$73,0))&amp;"","")</f>
        <v/>
      </c>
      <c r="I33" s="107" t="n"/>
      <c r="J33" s="107" t="n"/>
      <c r="K33" s="107" t="n"/>
      <c r="L33" s="117" t="inlineStr">
        <is>
          <t>T</t>
        </is>
      </c>
      <c r="M33" s="108" t="inlineStr">
        <is>
          <t>M</t>
        </is>
      </c>
      <c r="N33" s="107" t="n"/>
      <c r="O33" s="108" t="inlineStr">
        <is>
          <t>M</t>
        </is>
      </c>
      <c r="P33" s="107" t="n"/>
      <c r="Q33" s="107" t="n"/>
      <c r="R33" s="107" t="n"/>
      <c r="S33" s="107" t="n"/>
      <c r="T33" s="115" t="inlineStr">
        <is>
          <t>D</t>
        </is>
      </c>
      <c r="U33" s="108" t="inlineStr">
        <is>
          <t>M</t>
        </is>
      </c>
      <c r="V33" s="115" t="inlineStr">
        <is>
          <t>D</t>
        </is>
      </c>
      <c r="W33" s="107" t="n"/>
      <c r="X33" s="107" t="n"/>
      <c r="Y33" s="107" t="n"/>
      <c r="Z33" s="115" t="inlineStr">
        <is>
          <t>D</t>
        </is>
      </c>
      <c r="AA33" s="107" t="n"/>
      <c r="AB33" s="107" t="n"/>
      <c r="AC33" s="115" t="inlineStr">
        <is>
          <t>D</t>
        </is>
      </c>
      <c r="AD33" s="107" t="n"/>
      <c r="AE33" s="107" t="n"/>
      <c r="AF33" s="107" t="n"/>
      <c r="AG33" s="116" t="inlineStr">
        <is>
          <t>N</t>
        </is>
      </c>
      <c r="AH33" s="107" t="n"/>
      <c r="AI33" s="107" t="n"/>
      <c r="AJ33" s="115" t="inlineStr">
        <is>
          <t>D</t>
        </is>
      </c>
      <c r="AK33" s="107" t="n"/>
      <c r="AL33" s="107" t="n"/>
      <c r="AM33" s="96" t="n"/>
      <c r="AN33" s="123">
        <f>IFERROR(INDEX(OUT!I$8:I$73,MATCH($A33,OUT!$A$8:$A$73,0))&amp;"","")</f>
        <v/>
      </c>
      <c r="AO33" s="123">
        <f>IFERROR(INDEX(OUT!J$8:J$73,MATCH($A33,OUT!$A$8:$A$73,0))&amp;"","")</f>
        <v/>
      </c>
      <c r="AP33" s="109">
        <f>IFERROR(INDEX(OUT!K$8:K$73,MATCH($A33,OUT!$A$8:$A$73,0))&amp;"","")</f>
        <v/>
      </c>
      <c r="AQ33" s="109">
        <f>IFERROR(INDEX(OUT!L$8:L$73,MATCH($A33,OUT!$A$8:$A$73,0))&amp;"","")</f>
        <v/>
      </c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SUMPRODUCT(($H33:$N33="M")*6+($H33:$N33="T")*6+($H33:$N33="D")*12+($H33:$N33="N")*12+($H33:$N33="NT")*6+($H33:$N33="C")*10+($H33:$N33="A")*8+($H33:$N33="J")*5+($H33:$N33="E")*4+($H33:$N33="P")*6+($H33:$N33="R")*6)</f>
        <v/>
      </c>
      <c r="BF33" s="110">
        <f>SUMPRODUCT(($O33:$U33="M")*6+($O33:$U33="T")*6+($O33:$U33="D")*12+($O33:$U33="N")*12+($O33:$U33="NT")*6+($O33:$U33="C")*10+($O33:$U33="A")*8+($O33:$U33="J")*5+($O33:$U33="E")*4+($O33:$U33="P")*6+($O33:$U33="R")*6)</f>
        <v/>
      </c>
      <c r="BG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H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I33" s="110">
        <f>SUMPRODUCT(($AJ33:$AL33="M")*6+($AJ33:$AL33="T")*6+($AJ33:$AL33="D")*12+($AJ33:$AL33="N")*12+($AJ33:$AL33="NT")*6+($AJ33:$AL33="C")*10+($AJ33:$AL33="A")*8+($AJ33:$AL33="J")*5+($AJ33:$AL33="E")*4+($AJ33:$AL33="P")*6+($AJ33:$AL33="R")*6)+SUMPRODUCT(($AN33:$AQ33="M")*6+($AN33:$AQ33="T")*6+($AN33:$AQ33="D")*12+($AN33:$AQ33="N")*12+($AN33:$AQ33="NT")*6+($AN33:$AQ33="C")*10+($AN33:$AQ33="A")*8+($AN33:$AQ33="J")*5+($AN33:$AQ33="E")*4+($AN33:$AQ33="P")*6+($AN33:$AQ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3">
        <f>IFERROR(INDEX(AGO!AM$8:AM$73,MATCH($A34,AGO!$A$8:$A$73,0))&amp;"","")</f>
        <v/>
      </c>
      <c r="I34" s="115" t="inlineStr">
        <is>
          <t>D</t>
        </is>
      </c>
      <c r="J34" s="117" t="inlineStr">
        <is>
          <t>T</t>
        </is>
      </c>
      <c r="K34" s="107" t="n"/>
      <c r="L34" s="107" t="n"/>
      <c r="M34" s="107" t="n"/>
      <c r="N34" s="107" t="n"/>
      <c r="O34" s="107" t="n"/>
      <c r="P34" s="107" t="n"/>
      <c r="Q34" s="116" t="inlineStr">
        <is>
          <t>N</t>
        </is>
      </c>
      <c r="R34" s="107" t="n"/>
      <c r="S34" s="107" t="n"/>
      <c r="T34" s="115" t="inlineStr">
        <is>
          <t>D</t>
        </is>
      </c>
      <c r="U34" s="108" t="inlineStr">
        <is>
          <t>M</t>
        </is>
      </c>
      <c r="V34" s="107" t="n"/>
      <c r="W34" s="115" t="inlineStr">
        <is>
          <t>D</t>
        </is>
      </c>
      <c r="X34" s="107" t="n"/>
      <c r="Y34" s="107" t="n"/>
      <c r="Z34" s="107" t="n"/>
      <c r="AA34" s="115" t="inlineStr">
        <is>
          <t>D</t>
        </is>
      </c>
      <c r="AB34" s="108" t="inlineStr">
        <is>
          <t>M</t>
        </is>
      </c>
      <c r="AC34" s="115" t="inlineStr">
        <is>
          <t>D</t>
        </is>
      </c>
      <c r="AD34" s="107" t="n"/>
      <c r="AE34" s="108" t="inlineStr">
        <is>
          <t>M</t>
        </is>
      </c>
      <c r="AF34" s="115" t="inlineStr">
        <is>
          <t>D</t>
        </is>
      </c>
      <c r="AG34" s="107" t="n"/>
      <c r="AH34" s="107" t="n"/>
      <c r="AI34" s="107" t="n"/>
      <c r="AJ34" s="107" t="n"/>
      <c r="AK34" s="107" t="n"/>
      <c r="AL34" s="107" t="n"/>
      <c r="AM34" s="96" t="n"/>
      <c r="AN34" s="123">
        <f>IFERROR(INDEX(OUT!I$8:I$73,MATCH($A34,OUT!$A$8:$A$73,0))&amp;"","")</f>
        <v/>
      </c>
      <c r="AO34" s="123">
        <f>IFERROR(INDEX(OUT!J$8:J$73,MATCH($A34,OUT!$A$8:$A$73,0))&amp;"","")</f>
        <v/>
      </c>
      <c r="AP34" s="109">
        <f>IFERROR(INDEX(OUT!K$8:K$73,MATCH($A34,OUT!$A$8:$A$73,0))&amp;"","")</f>
        <v/>
      </c>
      <c r="AQ34" s="109">
        <f>IFERROR(INDEX(OUT!L$8:L$73,MATCH($A34,OUT!$A$8:$A$73,0))&amp;"","")</f>
        <v/>
      </c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SUMPRODUCT(($H34:$N34="M")*6+($H34:$N34="T")*6+($H34:$N34="D")*12+($H34:$N34="N")*12+($H34:$N34="NT")*6+($H34:$N34="C")*10+($H34:$N34="A")*8+($H34:$N34="J")*5+($H34:$N34="E")*4+($H34:$N34="P")*6+($H34:$N34="R")*6)</f>
        <v/>
      </c>
      <c r="BF34" s="110">
        <f>SUMPRODUCT(($O34:$U34="M")*6+($O34:$U34="T")*6+($O34:$U34="D")*12+($O34:$U34="N")*12+($O34:$U34="NT")*6+($O34:$U34="C")*10+($O34:$U34="A")*8+($O34:$U34="J")*5+($O34:$U34="E")*4+($O34:$U34="P")*6+($O34:$U34="R")*6)</f>
        <v/>
      </c>
      <c r="BG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H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I34" s="110">
        <f>SUMPRODUCT(($AJ34:$AL34="M")*6+($AJ34:$AL34="T")*6+($AJ34:$AL34="D")*12+($AJ34:$AL34="N")*12+($AJ34:$AL34="NT")*6+($AJ34:$AL34="C")*10+($AJ34:$AL34="A")*8+($AJ34:$AL34="J")*5+($AJ34:$AL34="E")*4+($AJ34:$AL34="P")*6+($AJ34:$AL34="R")*6)+SUMPRODUCT(($AN34:$AQ34="M")*6+($AN34:$AQ34="T")*6+($AN34:$AQ34="D")*12+($AN34:$AQ34="N")*12+($AN34:$AQ34="NT")*6+($AN34:$AQ34="C")*10+($AN34:$AQ34="A")*8+($AN34:$AQ34="J")*5+($AN34:$AQ34="E")*4+($AN34:$AQ34="P")*6+($AN34:$AQ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3">
        <f>IFERROR(INDEX(AGO!AM$8:AM$73,MATCH($A35,AGO!$A$8:$A$73,0))&amp;"","")</f>
        <v/>
      </c>
      <c r="I35" s="107" t="n"/>
      <c r="J35" s="107" t="n"/>
      <c r="K35" s="117" t="inlineStr">
        <is>
          <t>T</t>
        </is>
      </c>
      <c r="L35" s="116" t="inlineStr">
        <is>
          <t>N</t>
        </is>
      </c>
      <c r="M35" s="107" t="n"/>
      <c r="N35" s="107" t="n"/>
      <c r="O35" s="108" t="inlineStr">
        <is>
          <t>M</t>
        </is>
      </c>
      <c r="P35" s="108" t="inlineStr">
        <is>
          <t>M</t>
        </is>
      </c>
      <c r="Q35" s="108" t="inlineStr">
        <is>
          <t>M</t>
        </is>
      </c>
      <c r="R35" s="116" t="inlineStr">
        <is>
          <t>N</t>
        </is>
      </c>
      <c r="S35" s="107" t="n"/>
      <c r="T35" s="107" t="n"/>
      <c r="U35" s="107" t="n"/>
      <c r="V35" s="108" t="inlineStr">
        <is>
          <t>M</t>
        </is>
      </c>
      <c r="W35" s="117" t="inlineStr">
        <is>
          <t>T</t>
        </is>
      </c>
      <c r="X35" s="107" t="n"/>
      <c r="Y35" s="107" t="n"/>
      <c r="Z35" s="107" t="n"/>
      <c r="AA35" s="117" t="inlineStr">
        <is>
          <t>T</t>
        </is>
      </c>
      <c r="AB35" s="115" t="inlineStr">
        <is>
          <t>D</t>
        </is>
      </c>
      <c r="AC35" s="107" t="n"/>
      <c r="AD35" s="107" t="n"/>
      <c r="AE35" s="117" t="inlineStr">
        <is>
          <t>T</t>
        </is>
      </c>
      <c r="AF35" s="116" t="inlineStr">
        <is>
          <t>N</t>
        </is>
      </c>
      <c r="AG35" s="107" t="n"/>
      <c r="AH35" s="116" t="inlineStr">
        <is>
          <t>N</t>
        </is>
      </c>
      <c r="AI35" s="107" t="n"/>
      <c r="AJ35" s="107" t="n"/>
      <c r="AK35" s="115" t="inlineStr">
        <is>
          <t>D</t>
        </is>
      </c>
      <c r="AL35" s="107" t="n"/>
      <c r="AM35" s="96" t="n"/>
      <c r="AN35" s="123">
        <f>IFERROR(INDEX(OUT!I$8:I$73,MATCH($A35,OUT!$A$8:$A$73,0))&amp;"","")</f>
        <v/>
      </c>
      <c r="AO35" s="123">
        <f>IFERROR(INDEX(OUT!J$8:J$73,MATCH($A35,OUT!$A$8:$A$73,0))&amp;"","")</f>
        <v/>
      </c>
      <c r="AP35" s="109">
        <f>IFERROR(INDEX(OUT!K$8:K$73,MATCH($A35,OUT!$A$8:$A$73,0))&amp;"","")</f>
        <v/>
      </c>
      <c r="AQ35" s="109">
        <f>IFERROR(INDEX(OUT!L$8:L$73,MATCH($A35,OUT!$A$8:$A$73,0))&amp;"","")</f>
        <v/>
      </c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SUMPRODUCT(($H35:$N35="M")*6+($H35:$N35="T")*6+($H35:$N35="D")*12+($H35:$N35="N")*12+($H35:$N35="NT")*6+($H35:$N35="C")*10+($H35:$N35="A")*8+($H35:$N35="J")*5+($H35:$N35="E")*4+($H35:$N35="P")*6+($H35:$N35="R")*6)</f>
        <v/>
      </c>
      <c r="BF35" s="110">
        <f>SUMPRODUCT(($O35:$U35="M")*6+($O35:$U35="T")*6+($O35:$U35="D")*12+($O35:$U35="N")*12+($O35:$U35="NT")*6+($O35:$U35="C")*10+($O35:$U35="A")*8+($O35:$U35="J")*5+($O35:$U35="E")*4+($O35:$U35="P")*6+($O35:$U35="R")*6)</f>
        <v/>
      </c>
      <c r="BG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H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I35" s="110">
        <f>SUMPRODUCT(($AJ35:$AL35="M")*6+($AJ35:$AL35="T")*6+($AJ35:$AL35="D")*12+($AJ35:$AL35="N")*12+($AJ35:$AL35="NT")*6+($AJ35:$AL35="C")*10+($AJ35:$AL35="A")*8+($AJ35:$AL35="J")*5+($AJ35:$AL35="E")*4+($AJ35:$AL35="P")*6+($AJ35:$AL35="R")*6)+SUMPRODUCT(($AN35:$AQ35="M")*6+($AN35:$AQ35="T")*6+($AN35:$AQ35="D")*12+($AN35:$AQ35="N")*12+($AN35:$AQ35="NT")*6+($AN35:$AQ35="C")*10+($AN35:$AQ35="A")*8+($AN35:$AQ35="J")*5+($AN35:$AQ35="E")*4+($AN35:$AQ35="P")*6+($AN35:$AQ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3">
        <f>IFERROR(INDEX(AGO!AM$8:AM$73,MATCH($A36,AGO!$A$8:$A$73,0))&amp;"","")</f>
        <v/>
      </c>
      <c r="I36" s="128" t="inlineStr">
        <is>
          <t>FE</t>
        </is>
      </c>
      <c r="J36" s="128" t="inlineStr">
        <is>
          <t>FE</t>
        </is>
      </c>
      <c r="K36" s="128" t="inlineStr">
        <is>
          <t>FE</t>
        </is>
      </c>
      <c r="L36" s="128" t="inlineStr">
        <is>
          <t>FE</t>
        </is>
      </c>
      <c r="M36" s="128" t="inlineStr">
        <is>
          <t>FE</t>
        </is>
      </c>
      <c r="N36" s="128" t="inlineStr">
        <is>
          <t>FE</t>
        </is>
      </c>
      <c r="O36" s="128" t="inlineStr">
        <is>
          <t>FE</t>
        </is>
      </c>
      <c r="P36" s="128" t="inlineStr">
        <is>
          <t>FE</t>
        </is>
      </c>
      <c r="Q36" s="128" t="inlineStr">
        <is>
          <t>FE</t>
        </is>
      </c>
      <c r="R36" s="128" t="inlineStr">
        <is>
          <t>FE</t>
        </is>
      </c>
      <c r="S36" s="128" t="inlineStr">
        <is>
          <t>FE</t>
        </is>
      </c>
      <c r="T36" s="128" t="inlineStr">
        <is>
          <t>FE</t>
        </is>
      </c>
      <c r="U36" s="128" t="inlineStr">
        <is>
          <t>FE</t>
        </is>
      </c>
      <c r="V36" s="128" t="inlineStr">
        <is>
          <t>FE</t>
        </is>
      </c>
      <c r="W36" s="116" t="inlineStr">
        <is>
          <t>N</t>
        </is>
      </c>
      <c r="X36" s="107" t="n"/>
      <c r="Y36" s="107" t="n"/>
      <c r="Z36" s="107" t="n"/>
      <c r="AA36" s="115" t="inlineStr">
        <is>
          <t>D</t>
        </is>
      </c>
      <c r="AB36" s="107" t="n"/>
      <c r="AC36" s="117" t="inlineStr">
        <is>
          <t>T</t>
        </is>
      </c>
      <c r="AD36" s="116" t="inlineStr">
        <is>
          <t>N</t>
        </is>
      </c>
      <c r="AE36" s="107" t="n"/>
      <c r="AF36" s="115" t="inlineStr">
        <is>
          <t>D</t>
        </is>
      </c>
      <c r="AG36" s="107" t="n"/>
      <c r="AH36" s="107" t="n"/>
      <c r="AI36" s="107" t="n"/>
      <c r="AJ36" s="107" t="n"/>
      <c r="AK36" s="116" t="inlineStr">
        <is>
          <t>N</t>
        </is>
      </c>
      <c r="AL36" s="107" t="n"/>
      <c r="AM36" s="96" t="n"/>
      <c r="AN36" s="123">
        <f>IFERROR(INDEX(OUT!I$8:I$73,MATCH($A36,OUT!$A$8:$A$73,0))&amp;"","")</f>
        <v/>
      </c>
      <c r="AO36" s="123">
        <f>IFERROR(INDEX(OUT!J$8:J$73,MATCH($A36,OUT!$A$8:$A$73,0))&amp;"","")</f>
        <v/>
      </c>
      <c r="AP36" s="109">
        <f>IFERROR(INDEX(OUT!K$8:K$73,MATCH($A36,OUT!$A$8:$A$73,0))&amp;"","")</f>
        <v/>
      </c>
      <c r="AQ36" s="109">
        <f>IFERROR(INDEX(OUT!L$8:L$73,MATCH($A36,OUT!$A$8:$A$73,0))&amp;"","")</f>
        <v/>
      </c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SUMPRODUCT(($H36:$N36="M")*6+($H36:$N36="T")*6+($H36:$N36="D")*12+($H36:$N36="N")*12+($H36:$N36="NT")*6+($H36:$N36="C")*10+($H36:$N36="A")*8+($H36:$N36="J")*5+($H36:$N36="E")*4+($H36:$N36="P")*6+($H36:$N36="R")*6)</f>
        <v/>
      </c>
      <c r="BF36" s="110">
        <f>SUMPRODUCT(($O36:$U36="M")*6+($O36:$U36="T")*6+($O36:$U36="D")*12+($O36:$U36="N")*12+($O36:$U36="NT")*6+($O36:$U36="C")*10+($O36:$U36="A")*8+($O36:$U36="J")*5+($O36:$U36="E")*4+($O36:$U36="P")*6+($O36:$U36="R")*6)</f>
        <v/>
      </c>
      <c r="BG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H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I36" s="110">
        <f>SUMPRODUCT(($AJ36:$AL36="M")*6+($AJ36:$AL36="T")*6+($AJ36:$AL36="D")*12+($AJ36:$AL36="N")*12+($AJ36:$AL36="NT")*6+($AJ36:$AL36="C")*10+($AJ36:$AL36="A")*8+($AJ36:$AL36="J")*5+($AJ36:$AL36="E")*4+($AJ36:$AL36="P")*6+($AJ36:$AL36="R")*6)+SUMPRODUCT(($AN36:$AQ36="M")*6+($AN36:$AQ36="T")*6+($AN36:$AQ36="D")*12+($AN36:$AQ36="N")*12+($AN36:$AQ36="NT")*6+($AN36:$AQ36="C")*10+($AN36:$AQ36="A")*8+($AN36:$AQ36="J")*5+($AN36:$AQ36="E")*4+($AN36:$AQ36="P")*6+($AN36:$AQ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3">
        <f>IFERROR(INDEX(AGO!AM$8:AM$73,MATCH($A37,AGO!$A$8:$A$73,0))&amp;"","")</f>
        <v/>
      </c>
      <c r="I37" s="108" t="inlineStr">
        <is>
          <t>M</t>
        </is>
      </c>
      <c r="J37" s="116" t="inlineStr">
        <is>
          <t>N</t>
        </is>
      </c>
      <c r="K37" s="107" t="n"/>
      <c r="L37" s="108" t="inlineStr">
        <is>
          <t>M</t>
        </is>
      </c>
      <c r="M37" s="107" t="n"/>
      <c r="N37" s="107" t="n"/>
      <c r="O37" s="107" t="n"/>
      <c r="P37" s="108" t="inlineStr">
        <is>
          <t>M</t>
        </is>
      </c>
      <c r="Q37" s="107" t="n"/>
      <c r="R37" s="107" t="n"/>
      <c r="S37" s="108" t="inlineStr">
        <is>
          <t>M</t>
        </is>
      </c>
      <c r="T37" s="115" t="inlineStr">
        <is>
          <t>D</t>
        </is>
      </c>
      <c r="U37" s="117" t="inlineStr">
        <is>
          <t>T</t>
        </is>
      </c>
      <c r="V37" s="107" t="n"/>
      <c r="W37" s="108" t="inlineStr">
        <is>
          <t>M</t>
        </is>
      </c>
      <c r="X37" s="108" t="inlineStr">
        <is>
          <t>M</t>
        </is>
      </c>
      <c r="Y37" s="107" t="n"/>
      <c r="Z37" s="108" t="inlineStr">
        <is>
          <t>M</t>
        </is>
      </c>
      <c r="AA37" s="107" t="n"/>
      <c r="AB37" s="115" t="inlineStr">
        <is>
          <t>D</t>
        </is>
      </c>
      <c r="AC37" s="117" t="inlineStr">
        <is>
          <t>T</t>
        </is>
      </c>
      <c r="AD37" s="115" t="inlineStr">
        <is>
          <t>D</t>
        </is>
      </c>
      <c r="AE37" s="116" t="inlineStr">
        <is>
          <t>N</t>
        </is>
      </c>
      <c r="AF37" s="107" t="n"/>
      <c r="AG37" s="107" t="n"/>
      <c r="AH37" s="107" t="n"/>
      <c r="AI37" s="107" t="n"/>
      <c r="AJ37" s="128" t="inlineStr">
        <is>
          <t>FE</t>
        </is>
      </c>
      <c r="AK37" s="128" t="inlineStr">
        <is>
          <t>FE</t>
        </is>
      </c>
      <c r="AL37" s="128" t="inlineStr">
        <is>
          <t>FE</t>
        </is>
      </c>
      <c r="AM37" s="96" t="n"/>
      <c r="AN37" s="123">
        <f>IFERROR(INDEX(OUT!I$8:I$73,MATCH($A37,OUT!$A$8:$A$73,0))&amp;"","")</f>
        <v/>
      </c>
      <c r="AO37" s="123">
        <f>IFERROR(INDEX(OUT!J$8:J$73,MATCH($A37,OUT!$A$8:$A$73,0))&amp;"","")</f>
        <v/>
      </c>
      <c r="AP37" s="109">
        <f>IFERROR(INDEX(OUT!K$8:K$73,MATCH($A37,OUT!$A$8:$A$73,0))&amp;"","")</f>
        <v/>
      </c>
      <c r="AQ37" s="109">
        <f>IFERROR(INDEX(OUT!L$8:L$73,MATCH($A37,OUT!$A$8:$A$73,0))&amp;"","")</f>
        <v/>
      </c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SUMPRODUCT(($H37:$N37="M")*6+($H37:$N37="T")*6+($H37:$N37="D")*12+($H37:$N37="N")*12+($H37:$N37="NT")*6+($H37:$N37="C")*10+($H37:$N37="A")*8+($H37:$N37="J")*5+($H37:$N37="E")*4+($H37:$N37="P")*6+($H37:$N37="R")*6)</f>
        <v/>
      </c>
      <c r="BF37" s="110">
        <f>SUMPRODUCT(($O37:$U37="M")*6+($O37:$U37="T")*6+($O37:$U37="D")*12+($O37:$U37="N")*12+($O37:$U37="NT")*6+($O37:$U37="C")*10+($O37:$U37="A")*8+($O37:$U37="J")*5+($O37:$U37="E")*4+($O37:$U37="P")*6+($O37:$U37="R")*6)</f>
        <v/>
      </c>
      <c r="BG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H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I37" s="110">
        <f>SUMPRODUCT(($AJ37:$AL37="M")*6+($AJ37:$AL37="T")*6+($AJ37:$AL37="D")*12+($AJ37:$AL37="N")*12+($AJ37:$AL37="NT")*6+($AJ37:$AL37="C")*10+($AJ37:$AL37="A")*8+($AJ37:$AL37="J")*5+($AJ37:$AL37="E")*4+($AJ37:$AL37="P")*6+($AJ37:$AL37="R")*6)+SUMPRODUCT(($AN37:$AQ37="M")*6+($AN37:$AQ37="T")*6+($AN37:$AQ37="D")*12+($AN37:$AQ37="N")*12+($AN37:$AQ37="NT")*6+($AN37:$AQ37="C")*10+($AN37:$AQ37="A")*8+($AN37:$AQ37="J")*5+($AN37:$AQ37="E")*4+($AN37:$AQ37="P")*6+($AN37:$AQ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3">
        <f>IFERROR(INDEX(AGO!AM$8:AM$73,MATCH($A38,AGO!$A$8:$A$73,0))&amp;"","")</f>
        <v/>
      </c>
      <c r="I38" s="116" t="inlineStr">
        <is>
          <t>N</t>
        </is>
      </c>
      <c r="J38" s="107" t="n"/>
      <c r="K38" s="116" t="inlineStr">
        <is>
          <t>N</t>
        </is>
      </c>
      <c r="L38" s="107" t="n"/>
      <c r="M38" s="107" t="n"/>
      <c r="N38" s="107" t="n"/>
      <c r="O38" s="116" t="inlineStr">
        <is>
          <t>N</t>
        </is>
      </c>
      <c r="P38" s="107" t="n"/>
      <c r="Q38" s="107" t="n"/>
      <c r="R38" s="107" t="n"/>
      <c r="S38" s="116" t="inlineStr">
        <is>
          <t>N</t>
        </is>
      </c>
      <c r="T38" s="107" t="n"/>
      <c r="U38" s="107" t="n"/>
      <c r="V38" s="108" t="inlineStr">
        <is>
          <t>M</t>
        </is>
      </c>
      <c r="W38" s="108" t="inlineStr">
        <is>
          <t>M</t>
        </is>
      </c>
      <c r="X38" s="107" t="n"/>
      <c r="Y38" s="107" t="n"/>
      <c r="Z38" s="107" t="n"/>
      <c r="AA38" s="116" t="inlineStr">
        <is>
          <t>N</t>
        </is>
      </c>
      <c r="AB38" s="107" t="n"/>
      <c r="AC38" s="108" t="inlineStr">
        <is>
          <t>M</t>
        </is>
      </c>
      <c r="AD38" s="107" t="n"/>
      <c r="AE38" s="107" t="n"/>
      <c r="AF38" s="107" t="n"/>
      <c r="AG38" s="107" t="n"/>
      <c r="AH38" s="107" t="n"/>
      <c r="AI38" s="116" t="inlineStr">
        <is>
          <t>N</t>
        </is>
      </c>
      <c r="AJ38" s="116" t="inlineStr">
        <is>
          <t>N</t>
        </is>
      </c>
      <c r="AK38" s="107" t="n"/>
      <c r="AL38" s="107" t="n"/>
      <c r="AM38" s="96" t="n"/>
      <c r="AN38" s="123">
        <f>IFERROR(INDEX(OUT!I$8:I$73,MATCH($A38,OUT!$A$8:$A$73,0))&amp;"","")</f>
        <v/>
      </c>
      <c r="AO38" s="123">
        <f>IFERROR(INDEX(OUT!J$8:J$73,MATCH($A38,OUT!$A$8:$A$73,0))&amp;"","")</f>
        <v/>
      </c>
      <c r="AP38" s="109">
        <f>IFERROR(INDEX(OUT!K$8:K$73,MATCH($A38,OUT!$A$8:$A$73,0))&amp;"","")</f>
        <v/>
      </c>
      <c r="AQ38" s="109">
        <f>IFERROR(INDEX(OUT!L$8:L$73,MATCH($A38,OUT!$A$8:$A$73,0))&amp;"","")</f>
        <v/>
      </c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SUMPRODUCT(($H38:$N38="M")*6+($H38:$N38="T")*6+($H38:$N38="D")*12+($H38:$N38="N")*12+($H38:$N38="NT")*6+($H38:$N38="C")*10+($H38:$N38="A")*8+($H38:$N38="J")*5+($H38:$N38="E")*4+($H38:$N38="P")*6+($H38:$N38="R")*6)</f>
        <v/>
      </c>
      <c r="BF38" s="110">
        <f>SUMPRODUCT(($O38:$U38="M")*6+($O38:$U38="T")*6+($O38:$U38="D")*12+($O38:$U38="N")*12+($O38:$U38="NT")*6+($O38:$U38="C")*10+($O38:$U38="A")*8+($O38:$U38="J")*5+($O38:$U38="E")*4+($O38:$U38="P")*6+($O38:$U38="R")*6)</f>
        <v/>
      </c>
      <c r="BG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H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I38" s="110">
        <f>SUMPRODUCT(($AJ38:$AL38="M")*6+($AJ38:$AL38="T")*6+($AJ38:$AL38="D")*12+($AJ38:$AL38="N")*12+($AJ38:$AL38="NT")*6+($AJ38:$AL38="C")*10+($AJ38:$AL38="A")*8+($AJ38:$AL38="J")*5+($AJ38:$AL38="E")*4+($AJ38:$AL38="P")*6+($AJ38:$AL38="R")*6)+SUMPRODUCT(($AN38:$AQ38="M")*6+($AN38:$AQ38="T")*6+($AN38:$AQ38="D")*12+($AN38:$AQ38="N")*12+($AN38:$AQ38="NT")*6+($AN38:$AQ38="C")*10+($AN38:$AQ38="A")*8+($AN38:$AQ38="J")*5+($AN38:$AQ38="E")*4+($AN38:$AQ38="P")*6+($AN38:$AQ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3">
        <f>IFERROR(INDEX(AGO!AM$8:AM$73,MATCH($A39,AGO!$A$8:$A$73,0))&amp;"","")</f>
        <v/>
      </c>
      <c r="I39" s="107" t="n"/>
      <c r="J39" s="117" t="inlineStr">
        <is>
          <t>T</t>
        </is>
      </c>
      <c r="K39" s="107" t="n"/>
      <c r="L39" s="107" t="n"/>
      <c r="M39" s="116" t="inlineStr">
        <is>
          <t>N</t>
        </is>
      </c>
      <c r="N39" s="107" t="n"/>
      <c r="O39" s="117" t="inlineStr">
        <is>
          <t>T</t>
        </is>
      </c>
      <c r="P39" s="107" t="n"/>
      <c r="Q39" s="117" t="inlineStr">
        <is>
          <t>T</t>
        </is>
      </c>
      <c r="R39" s="107" t="n"/>
      <c r="S39" s="116" t="inlineStr">
        <is>
          <t>N</t>
        </is>
      </c>
      <c r="T39" s="107" t="n"/>
      <c r="U39" s="107" t="n"/>
      <c r="V39" s="117" t="inlineStr">
        <is>
          <t>T</t>
        </is>
      </c>
      <c r="W39" s="107" t="n"/>
      <c r="X39" s="107" t="n"/>
      <c r="Y39" s="107" t="n"/>
      <c r="Z39" s="108" t="inlineStr">
        <is>
          <t>M</t>
        </is>
      </c>
      <c r="AA39" s="116" t="inlineStr">
        <is>
          <t>N</t>
        </is>
      </c>
      <c r="AB39" s="107" t="n"/>
      <c r="AC39" s="117" t="inlineStr">
        <is>
          <t>T</t>
        </is>
      </c>
      <c r="AD39" s="107" t="n"/>
      <c r="AE39" s="115" t="inlineStr">
        <is>
          <t>D</t>
        </is>
      </c>
      <c r="AF39" s="107" t="n"/>
      <c r="AG39" s="108" t="inlineStr">
        <is>
          <t>M</t>
        </is>
      </c>
      <c r="AH39" s="107" t="n"/>
      <c r="AI39" s="107" t="n"/>
      <c r="AJ39" s="117" t="inlineStr">
        <is>
          <t>T</t>
        </is>
      </c>
      <c r="AK39" s="108" t="inlineStr">
        <is>
          <t>M</t>
        </is>
      </c>
      <c r="AL39" s="115" t="inlineStr">
        <is>
          <t>D</t>
        </is>
      </c>
      <c r="AM39" s="96" t="n"/>
      <c r="AN39" s="123">
        <f>IFERROR(INDEX(OUT!I$8:I$73,MATCH($A39,OUT!$A$8:$A$73,0))&amp;"","")</f>
        <v/>
      </c>
      <c r="AO39" s="123">
        <f>IFERROR(INDEX(OUT!J$8:J$73,MATCH($A39,OUT!$A$8:$A$73,0))&amp;"","")</f>
        <v/>
      </c>
      <c r="AP39" s="109">
        <f>IFERROR(INDEX(OUT!K$8:K$73,MATCH($A39,OUT!$A$8:$A$73,0))&amp;"","")</f>
        <v/>
      </c>
      <c r="AQ39" s="109">
        <f>IFERROR(INDEX(OUT!L$8:L$73,MATCH($A39,OUT!$A$8:$A$73,0))&amp;"","")</f>
        <v/>
      </c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SUMPRODUCT(($H39:$N39="M")*6+($H39:$N39="T")*6+($H39:$N39="D")*12+($H39:$N39="N")*12+($H39:$N39="NT")*6+($H39:$N39="C")*10+($H39:$N39="A")*8+($H39:$N39="J")*5+($H39:$N39="E")*4+($H39:$N39="P")*6+($H39:$N39="R")*6)</f>
        <v/>
      </c>
      <c r="BF39" s="110">
        <f>SUMPRODUCT(($O39:$U39="M")*6+($O39:$U39="T")*6+($O39:$U39="D")*12+($O39:$U39="N")*12+($O39:$U39="NT")*6+($O39:$U39="C")*10+($O39:$U39="A")*8+($O39:$U39="J")*5+($O39:$U39="E")*4+($O39:$U39="P")*6+($O39:$U39="R")*6)</f>
        <v/>
      </c>
      <c r="BG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H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I39" s="110">
        <f>SUMPRODUCT(($AJ39:$AL39="M")*6+($AJ39:$AL39="T")*6+($AJ39:$AL39="D")*12+($AJ39:$AL39="N")*12+($AJ39:$AL39="NT")*6+($AJ39:$AL39="C")*10+($AJ39:$AL39="A")*8+($AJ39:$AL39="J")*5+($AJ39:$AL39="E")*4+($AJ39:$AL39="P")*6+($AJ39:$AL39="R")*6)+SUMPRODUCT(($AN39:$AQ39="M")*6+($AN39:$AQ39="T")*6+($AN39:$AQ39="D")*12+($AN39:$AQ39="N")*12+($AN39:$AQ39="NT")*6+($AN39:$AQ39="C")*10+($AN39:$AQ39="A")*8+($AN39:$AQ39="J")*5+($AN39:$AQ39="E")*4+($AN39:$AQ39="P")*6+($AN39:$AQ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3">
        <f>IFERROR(INDEX(AGO!AM$8:AM$73,MATCH($A40,AGO!$A$8:$A$73,0))&amp;"","")</f>
        <v/>
      </c>
      <c r="I40" s="127" t="inlineStr">
        <is>
          <t>LM</t>
        </is>
      </c>
      <c r="J40" s="127" t="inlineStr">
        <is>
          <t>LM</t>
        </is>
      </c>
      <c r="K40" s="127" t="inlineStr">
        <is>
          <t>LM</t>
        </is>
      </c>
      <c r="L40" s="127" t="inlineStr">
        <is>
          <t>LM</t>
        </is>
      </c>
      <c r="M40" s="127" t="inlineStr">
        <is>
          <t>LM</t>
        </is>
      </c>
      <c r="N40" s="127" t="inlineStr">
        <is>
          <t>LM</t>
        </is>
      </c>
      <c r="O40" s="127" t="inlineStr">
        <is>
          <t>LM</t>
        </is>
      </c>
      <c r="P40" s="127" t="inlineStr">
        <is>
          <t>LM</t>
        </is>
      </c>
      <c r="Q40" s="127" t="inlineStr">
        <is>
          <t>LM</t>
        </is>
      </c>
      <c r="R40" s="127" t="inlineStr">
        <is>
          <t>LM</t>
        </is>
      </c>
      <c r="S40" s="127" t="inlineStr">
        <is>
          <t>LM</t>
        </is>
      </c>
      <c r="T40" s="127" t="inlineStr">
        <is>
          <t>LM</t>
        </is>
      </c>
      <c r="U40" s="127" t="inlineStr">
        <is>
          <t>LM</t>
        </is>
      </c>
      <c r="V40" s="127" t="inlineStr">
        <is>
          <t>LM</t>
        </is>
      </c>
      <c r="W40" s="127" t="inlineStr">
        <is>
          <t>LM</t>
        </is>
      </c>
      <c r="X40" s="127" t="inlineStr">
        <is>
          <t>LM</t>
        </is>
      </c>
      <c r="Y40" s="127" t="inlineStr">
        <is>
          <t>LM</t>
        </is>
      </c>
      <c r="Z40" s="127" t="inlineStr">
        <is>
          <t>LM</t>
        </is>
      </c>
      <c r="AA40" s="127" t="inlineStr">
        <is>
          <t>LM</t>
        </is>
      </c>
      <c r="AB40" s="127" t="inlineStr">
        <is>
          <t>LM</t>
        </is>
      </c>
      <c r="AC40" s="127" t="inlineStr">
        <is>
          <t>LM</t>
        </is>
      </c>
      <c r="AD40" s="127" t="inlineStr">
        <is>
          <t>LM</t>
        </is>
      </c>
      <c r="AE40" s="127" t="inlineStr">
        <is>
          <t>LM</t>
        </is>
      </c>
      <c r="AF40" s="127" t="inlineStr">
        <is>
          <t>LM</t>
        </is>
      </c>
      <c r="AG40" s="127" t="inlineStr">
        <is>
          <t>LM</t>
        </is>
      </c>
      <c r="AH40" s="127" t="inlineStr">
        <is>
          <t>LM</t>
        </is>
      </c>
      <c r="AI40" s="127" t="inlineStr">
        <is>
          <t>LM</t>
        </is>
      </c>
      <c r="AJ40" s="127" t="inlineStr">
        <is>
          <t>LM</t>
        </is>
      </c>
      <c r="AK40" s="107" t="n"/>
      <c r="AL40" s="107" t="n"/>
      <c r="AM40" s="96" t="n"/>
      <c r="AN40" s="123">
        <f>IFERROR(INDEX(OUT!I$8:I$73,MATCH($A40,OUT!$A$8:$A$73,0))&amp;"","")</f>
        <v/>
      </c>
      <c r="AO40" s="123">
        <f>IFERROR(INDEX(OUT!J$8:J$73,MATCH($A40,OUT!$A$8:$A$73,0))&amp;"","")</f>
        <v/>
      </c>
      <c r="AP40" s="109">
        <f>IFERROR(INDEX(OUT!K$8:K$73,MATCH($A40,OUT!$A$8:$A$73,0))&amp;"","")</f>
        <v/>
      </c>
      <c r="AQ40" s="109">
        <f>IFERROR(INDEX(OUT!L$8:L$73,MATCH($A40,OUT!$A$8:$A$73,0))&amp;"","")</f>
        <v/>
      </c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SUMPRODUCT(($H40:$N40="M")*6+($H40:$N40="T")*6+($H40:$N40="D")*12+($H40:$N40="N")*12+($H40:$N40="NT")*6+($H40:$N40="C")*10+($H40:$N40="A")*8+($H40:$N40="J")*5+($H40:$N40="E")*4+($H40:$N40="P")*6+($H40:$N40="R")*6)</f>
        <v/>
      </c>
      <c r="BF40" s="110">
        <f>SUMPRODUCT(($O40:$U40="M")*6+($O40:$U40="T")*6+($O40:$U40="D")*12+($O40:$U40="N")*12+($O40:$U40="NT")*6+($O40:$U40="C")*10+($O40:$U40="A")*8+($O40:$U40="J")*5+($O40:$U40="E")*4+($O40:$U40="P")*6+($O40:$U40="R")*6)</f>
        <v/>
      </c>
      <c r="BG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H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I40" s="110">
        <f>SUMPRODUCT(($AJ40:$AL40="M")*6+($AJ40:$AL40="T")*6+($AJ40:$AL40="D")*12+($AJ40:$AL40="N")*12+($AJ40:$AL40="NT")*6+($AJ40:$AL40="C")*10+($AJ40:$AL40="A")*8+($AJ40:$AL40="J")*5+($AJ40:$AL40="E")*4+($AJ40:$AL40="P")*6+($AJ40:$AL40="R")*6)+SUMPRODUCT(($AN40:$AQ40="M")*6+($AN40:$AQ40="T")*6+($AN40:$AQ40="D")*12+($AN40:$AQ40="N")*12+($AN40:$AQ40="NT")*6+($AN40:$AQ40="C")*10+($AN40:$AQ40="A")*8+($AN40:$AQ40="J")*5+($AN40:$AQ40="E")*4+($AN40:$AQ40="P")*6+($AN40:$AQ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3">
        <f>IFERROR(INDEX(AGO!AM$8:AM$73,MATCH($A41,AGO!$A$8:$A$73,0))&amp;"","")</f>
        <v/>
      </c>
      <c r="I41" s="107" t="n"/>
      <c r="J41" s="107" t="n"/>
      <c r="K41" s="107" t="n"/>
      <c r="L41" s="107" t="n"/>
      <c r="M41" s="107" t="n"/>
      <c r="N41" s="115" t="inlineStr">
        <is>
          <t>D</t>
        </is>
      </c>
      <c r="O41" s="115" t="inlineStr">
        <is>
          <t>D</t>
        </is>
      </c>
      <c r="P41" s="107" t="n"/>
      <c r="Q41" s="107" t="n"/>
      <c r="R41" s="115" t="inlineStr">
        <is>
          <t>D</t>
        </is>
      </c>
      <c r="S41" s="107" t="n"/>
      <c r="T41" s="107" t="n"/>
      <c r="U41" s="107" t="n"/>
      <c r="V41" s="128" t="inlineStr">
        <is>
          <t>FE</t>
        </is>
      </c>
      <c r="W41" s="128" t="inlineStr">
        <is>
          <t>FE</t>
        </is>
      </c>
      <c r="X41" s="128" t="inlineStr">
        <is>
          <t>FE</t>
        </is>
      </c>
      <c r="Y41" s="128" t="inlineStr">
        <is>
          <t>FE</t>
        </is>
      </c>
      <c r="Z41" s="128" t="inlineStr">
        <is>
          <t>FE</t>
        </is>
      </c>
      <c r="AA41" s="128" t="inlineStr">
        <is>
          <t>FE</t>
        </is>
      </c>
      <c r="AB41" s="128" t="inlineStr">
        <is>
          <t>FE</t>
        </is>
      </c>
      <c r="AC41" s="128" t="inlineStr">
        <is>
          <t>FE</t>
        </is>
      </c>
      <c r="AD41" s="128" t="inlineStr">
        <is>
          <t>FE</t>
        </is>
      </c>
      <c r="AE41" s="128" t="inlineStr">
        <is>
          <t>FE</t>
        </is>
      </c>
      <c r="AF41" s="128" t="inlineStr">
        <is>
          <t>FE</t>
        </is>
      </c>
      <c r="AG41" s="128" t="inlineStr">
        <is>
          <t>FE</t>
        </is>
      </c>
      <c r="AH41" s="128" t="inlineStr">
        <is>
          <t>FE</t>
        </is>
      </c>
      <c r="AI41" s="128" t="inlineStr">
        <is>
          <t>FE</t>
        </is>
      </c>
      <c r="AJ41" s="128" t="inlineStr">
        <is>
          <t>FE</t>
        </is>
      </c>
      <c r="AK41" s="107" t="n"/>
      <c r="AL41" s="107" t="n"/>
      <c r="AM41" s="96" t="n"/>
      <c r="AN41" s="123">
        <f>IFERROR(INDEX(OUT!I$8:I$73,MATCH($A41,OUT!$A$8:$A$73,0))&amp;"","")</f>
        <v/>
      </c>
      <c r="AO41" s="123">
        <f>IFERROR(INDEX(OUT!J$8:J$73,MATCH($A41,OUT!$A$8:$A$73,0))&amp;"","")</f>
        <v/>
      </c>
      <c r="AP41" s="109">
        <f>IFERROR(INDEX(OUT!K$8:K$73,MATCH($A41,OUT!$A$8:$A$73,0))&amp;"","")</f>
        <v/>
      </c>
      <c r="AQ41" s="109">
        <f>IFERROR(INDEX(OUT!L$8:L$73,MATCH($A41,OUT!$A$8:$A$73,0))&amp;"","")</f>
        <v/>
      </c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SUMPRODUCT(($H41:$N41="M")*6+($H41:$N41="T")*6+($H41:$N41="D")*12+($H41:$N41="N")*12+($H41:$N41="NT")*6+($H41:$N41="C")*10+($H41:$N41="A")*8+($H41:$N41="J")*5+($H41:$N41="E")*4+($H41:$N41="P")*6+($H41:$N41="R")*6)</f>
        <v/>
      </c>
      <c r="BF41" s="110">
        <f>SUMPRODUCT(($O41:$U41="M")*6+($O41:$U41="T")*6+($O41:$U41="D")*12+($O41:$U41="N")*12+($O41:$U41="NT")*6+($O41:$U41="C")*10+($O41:$U41="A")*8+($O41:$U41="J")*5+($O41:$U41="E")*4+($O41:$U41="P")*6+($O41:$U41="R")*6)</f>
        <v/>
      </c>
      <c r="BG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H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I41" s="110">
        <f>SUMPRODUCT(($AJ41:$AL41="M")*6+($AJ41:$AL41="T")*6+($AJ41:$AL41="D")*12+($AJ41:$AL41="N")*12+($AJ41:$AL41="NT")*6+($AJ41:$AL41="C")*10+($AJ41:$AL41="A")*8+($AJ41:$AL41="J")*5+($AJ41:$AL41="E")*4+($AJ41:$AL41="P")*6+($AJ41:$AL41="R")*6)+SUMPRODUCT(($AN41:$AQ41="M")*6+($AN41:$AQ41="T")*6+($AN41:$AQ41="D")*12+($AN41:$AQ41="N")*12+($AN41:$AQ41="NT")*6+($AN41:$AQ41="C")*10+($AN41:$AQ41="A")*8+($AN41:$AQ41="J")*5+($AN41:$AQ41="E")*4+($AN41:$AQ41="P")*6+($AN41:$AQ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3">
        <f>IFERROR(INDEX(AGO!AM$8:AM$73,MATCH($A42,AGO!$A$8:$A$73,0))&amp;"","")</f>
        <v/>
      </c>
      <c r="I42" s="108" t="inlineStr">
        <is>
          <t>M</t>
        </is>
      </c>
      <c r="J42" s="107" t="n"/>
      <c r="K42" s="107" t="n"/>
      <c r="L42" s="107" t="n"/>
      <c r="M42" s="117" t="inlineStr">
        <is>
          <t>T</t>
        </is>
      </c>
      <c r="N42" s="116" t="inlineStr">
        <is>
          <t>N</t>
        </is>
      </c>
      <c r="O42" s="107" t="n"/>
      <c r="P42" s="116" t="inlineStr">
        <is>
          <t>N</t>
        </is>
      </c>
      <c r="Q42" s="107" t="n"/>
      <c r="R42" s="107" t="n"/>
      <c r="S42" s="116" t="inlineStr">
        <is>
          <t>N</t>
        </is>
      </c>
      <c r="T42" s="107" t="n"/>
      <c r="U42" s="107" t="n"/>
      <c r="V42" s="107" t="n"/>
      <c r="W42" s="115" t="inlineStr">
        <is>
          <t>D</t>
        </is>
      </c>
      <c r="X42" s="107" t="n"/>
      <c r="Y42" s="107" t="n"/>
      <c r="Z42" s="107" t="n"/>
      <c r="AA42" s="107" t="n"/>
      <c r="AB42" s="115" t="inlineStr">
        <is>
          <t>D</t>
        </is>
      </c>
      <c r="AC42" s="115" t="inlineStr">
        <is>
          <t>D</t>
        </is>
      </c>
      <c r="AD42" s="107" t="n"/>
      <c r="AE42" s="116" t="inlineStr">
        <is>
          <t>N</t>
        </is>
      </c>
      <c r="AF42" s="107" t="n"/>
      <c r="AG42" s="107" t="n"/>
      <c r="AH42" s="107" t="n"/>
      <c r="AI42" s="107" t="n"/>
      <c r="AJ42" s="107" t="n"/>
      <c r="AK42" s="115" t="inlineStr">
        <is>
          <t>D</t>
        </is>
      </c>
      <c r="AL42" s="107" t="n"/>
      <c r="AM42" s="96" t="n"/>
      <c r="AN42" s="123">
        <f>IFERROR(INDEX(OUT!I$8:I$73,MATCH($A42,OUT!$A$8:$A$73,0))&amp;"","")</f>
        <v/>
      </c>
      <c r="AO42" s="123">
        <f>IFERROR(INDEX(OUT!J$8:J$73,MATCH($A42,OUT!$A$8:$A$73,0))&amp;"","")</f>
        <v/>
      </c>
      <c r="AP42" s="109">
        <f>IFERROR(INDEX(OUT!K$8:K$73,MATCH($A42,OUT!$A$8:$A$73,0))&amp;"","")</f>
        <v/>
      </c>
      <c r="AQ42" s="109">
        <f>IFERROR(INDEX(OUT!L$8:L$73,MATCH($A42,OUT!$A$8:$A$73,0))&amp;"","")</f>
        <v/>
      </c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SUMPRODUCT(($H42:$N42="M")*6+($H42:$N42="T")*6+($H42:$N42="D")*12+($H42:$N42="N")*12+($H42:$N42="NT")*6+($H42:$N42="C")*10+($H42:$N42="A")*8+($H42:$N42="J")*5+($H42:$N42="E")*4+($H42:$N42="P")*6+($H42:$N42="R")*6)</f>
        <v/>
      </c>
      <c r="BF42" s="110">
        <f>SUMPRODUCT(($O42:$U42="M")*6+($O42:$U42="T")*6+($O42:$U42="D")*12+($O42:$U42="N")*12+($O42:$U42="NT")*6+($O42:$U42="C")*10+($O42:$U42="A")*8+($O42:$U42="J")*5+($O42:$U42="E")*4+($O42:$U42="P")*6+($O42:$U42="R")*6)</f>
        <v/>
      </c>
      <c r="BG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H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I42" s="110">
        <f>SUMPRODUCT(($AJ42:$AL42="M")*6+($AJ42:$AL42="T")*6+($AJ42:$AL42="D")*12+($AJ42:$AL42="N")*12+($AJ42:$AL42="NT")*6+($AJ42:$AL42="C")*10+($AJ42:$AL42="A")*8+($AJ42:$AL42="J")*5+($AJ42:$AL42="E")*4+($AJ42:$AL42="P")*6+($AJ42:$AL42="R")*6)+SUMPRODUCT(($AN42:$AQ42="M")*6+($AN42:$AQ42="T")*6+($AN42:$AQ42="D")*12+($AN42:$AQ42="N")*12+($AN42:$AQ42="NT")*6+($AN42:$AQ42="C")*10+($AN42:$AQ42="A")*8+($AN42:$AQ42="J")*5+($AN42:$AQ42="E")*4+($AN42:$AQ42="P")*6+($AN42:$AQ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3">
        <f>IFERROR(INDEX(AGO!AM$8:AM$73,MATCH($A43,AGO!$A$8:$A$73,0))&amp;"","")</f>
        <v/>
      </c>
      <c r="I43" s="107" t="n"/>
      <c r="J43" s="107" t="n"/>
      <c r="K43" s="107" t="n"/>
      <c r="L43" s="107" t="n"/>
      <c r="M43" s="116" t="inlineStr">
        <is>
          <t>N</t>
        </is>
      </c>
      <c r="N43" s="107" t="n"/>
      <c r="O43" s="116" t="inlineStr">
        <is>
          <t>N</t>
        </is>
      </c>
      <c r="P43" s="107" t="n"/>
      <c r="Q43" s="107" t="n"/>
      <c r="R43" s="116" t="inlineStr">
        <is>
          <t>N</t>
        </is>
      </c>
      <c r="S43" s="107" t="n"/>
      <c r="T43" s="107" t="n"/>
      <c r="U43" s="107" t="n"/>
      <c r="V43" s="116" t="inlineStr">
        <is>
          <t>N</t>
        </is>
      </c>
      <c r="W43" s="107" t="n"/>
      <c r="X43" s="107" t="n"/>
      <c r="Y43" s="107" t="n"/>
      <c r="Z43" s="107" t="n"/>
      <c r="AA43" s="107" t="n"/>
      <c r="AB43" s="116" t="inlineStr">
        <is>
          <t>N</t>
        </is>
      </c>
      <c r="AC43" s="107" t="n"/>
      <c r="AD43" s="116" t="inlineStr">
        <is>
          <t>N</t>
        </is>
      </c>
      <c r="AE43" s="107" t="n"/>
      <c r="AF43" s="116" t="inlineStr">
        <is>
          <t>N</t>
        </is>
      </c>
      <c r="AG43" s="107" t="n"/>
      <c r="AH43" s="107" t="n"/>
      <c r="AI43" s="107" t="n"/>
      <c r="AJ43" s="116" t="inlineStr">
        <is>
          <t>N</t>
        </is>
      </c>
      <c r="AK43" s="107" t="n"/>
      <c r="AL43" s="107" t="n"/>
      <c r="AM43" s="96" t="n"/>
      <c r="AN43" s="123">
        <f>IFERROR(INDEX(OUT!I$8:I$73,MATCH($A43,OUT!$A$8:$A$73,0))&amp;"","")</f>
        <v/>
      </c>
      <c r="AO43" s="123">
        <f>IFERROR(INDEX(OUT!J$8:J$73,MATCH($A43,OUT!$A$8:$A$73,0))&amp;"","")</f>
        <v/>
      </c>
      <c r="AP43" s="109">
        <f>IFERROR(INDEX(OUT!K$8:K$73,MATCH($A43,OUT!$A$8:$A$73,0))&amp;"","")</f>
        <v/>
      </c>
      <c r="AQ43" s="109">
        <f>IFERROR(INDEX(OUT!L$8:L$73,MATCH($A43,OUT!$A$8:$A$73,0))&amp;"","")</f>
        <v/>
      </c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SUMPRODUCT(($H43:$N43="M")*6+($H43:$N43="T")*6+($H43:$N43="D")*12+($H43:$N43="N")*12+($H43:$N43="NT")*6+($H43:$N43="C")*10+($H43:$N43="A")*8+($H43:$N43="J")*5+($H43:$N43="E")*4+($H43:$N43="P")*6+($H43:$N43="R")*6)</f>
        <v/>
      </c>
      <c r="BF43" s="110">
        <f>SUMPRODUCT(($O43:$U43="M")*6+($O43:$U43="T")*6+($O43:$U43="D")*12+($O43:$U43="N")*12+($O43:$U43="NT")*6+($O43:$U43="C")*10+($O43:$U43="A")*8+($O43:$U43="J")*5+($O43:$U43="E")*4+($O43:$U43="P")*6+($O43:$U43="R")*6)</f>
        <v/>
      </c>
      <c r="BG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H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I43" s="110">
        <f>SUMPRODUCT(($AJ43:$AL43="M")*6+($AJ43:$AL43="T")*6+($AJ43:$AL43="D")*12+($AJ43:$AL43="N")*12+($AJ43:$AL43="NT")*6+($AJ43:$AL43="C")*10+($AJ43:$AL43="A")*8+($AJ43:$AL43="J")*5+($AJ43:$AL43="E")*4+($AJ43:$AL43="P")*6+($AJ43:$AL43="R")*6)+SUMPRODUCT(($AN43:$AQ43="M")*6+($AN43:$AQ43="T")*6+($AN43:$AQ43="D")*12+($AN43:$AQ43="N")*12+($AN43:$AQ43="NT")*6+($AN43:$AQ43="C")*10+($AN43:$AQ43="A")*8+($AN43:$AQ43="J")*5+($AN43:$AQ43="E")*4+($AN43:$AQ43="P")*6+($AN43:$AQ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3">
        <f>IFERROR(INDEX(AGO!AM$8:AM$73,MATCH($A44,AGO!$A$8:$A$73,0))&amp;"","")</f>
        <v/>
      </c>
      <c r="I44" s="108" t="inlineStr">
        <is>
          <t>M</t>
        </is>
      </c>
      <c r="J44" s="107" t="n"/>
      <c r="K44" s="107" t="n"/>
      <c r="L44" s="117" t="inlineStr">
        <is>
          <t>T</t>
        </is>
      </c>
      <c r="M44" s="107" t="n"/>
      <c r="N44" s="115" t="inlineStr">
        <is>
          <t>D</t>
        </is>
      </c>
      <c r="O44" s="107" t="n"/>
      <c r="P44" s="115" t="inlineStr">
        <is>
          <t>D</t>
        </is>
      </c>
      <c r="Q44" s="116" t="inlineStr">
        <is>
          <t>N</t>
        </is>
      </c>
      <c r="R44" s="107" t="n"/>
      <c r="S44" s="115" t="inlineStr">
        <is>
          <t>D</t>
        </is>
      </c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7" t="inlineStr">
        <is>
          <t>T</t>
        </is>
      </c>
      <c r="AD44" s="108" t="inlineStr">
        <is>
          <t>M</t>
        </is>
      </c>
      <c r="AE44" s="107" t="n"/>
      <c r="AF44" s="107" t="n"/>
      <c r="AG44" s="115" t="inlineStr">
        <is>
          <t>D</t>
        </is>
      </c>
      <c r="AH44" s="107" t="n"/>
      <c r="AI44" s="115" t="inlineStr">
        <is>
          <t>D</t>
        </is>
      </c>
      <c r="AJ44" s="115" t="inlineStr">
        <is>
          <t>D</t>
        </is>
      </c>
      <c r="AK44" s="107" t="n"/>
      <c r="AL44" s="107" t="n"/>
      <c r="AM44" s="96" t="n"/>
      <c r="AN44" s="123">
        <f>IFERROR(INDEX(OUT!I$8:I$73,MATCH($A44,OUT!$A$8:$A$73,0))&amp;"","")</f>
        <v/>
      </c>
      <c r="AO44" s="123">
        <f>IFERROR(INDEX(OUT!J$8:J$73,MATCH($A44,OUT!$A$8:$A$73,0))&amp;"","")</f>
        <v/>
      </c>
      <c r="AP44" s="109">
        <f>IFERROR(INDEX(OUT!K$8:K$73,MATCH($A44,OUT!$A$8:$A$73,0))&amp;"","")</f>
        <v/>
      </c>
      <c r="AQ44" s="109">
        <f>IFERROR(INDEX(OUT!L$8:L$73,MATCH($A44,OUT!$A$8:$A$73,0))&amp;"","")</f>
        <v/>
      </c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SUMPRODUCT(($H44:$N44="M")*6+($H44:$N44="T")*6+($H44:$N44="D")*12+($H44:$N44="N")*12+($H44:$N44="NT")*6+($H44:$N44="C")*10+($H44:$N44="A")*8+($H44:$N44="J")*5+($H44:$N44="E")*4+($H44:$N44="P")*6+($H44:$N44="R")*6)</f>
        <v/>
      </c>
      <c r="BF44" s="110">
        <f>SUMPRODUCT(($O44:$U44="M")*6+($O44:$U44="T")*6+($O44:$U44="D")*12+($O44:$U44="N")*12+($O44:$U44="NT")*6+($O44:$U44="C")*10+($O44:$U44="A")*8+($O44:$U44="J")*5+($O44:$U44="E")*4+($O44:$U44="P")*6+($O44:$U44="R")*6)</f>
        <v/>
      </c>
      <c r="BG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H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I44" s="110">
        <f>SUMPRODUCT(($AJ44:$AL44="M")*6+($AJ44:$AL44="T")*6+($AJ44:$AL44="D")*12+($AJ44:$AL44="N")*12+($AJ44:$AL44="NT")*6+($AJ44:$AL44="C")*10+($AJ44:$AL44="A")*8+($AJ44:$AL44="J")*5+($AJ44:$AL44="E")*4+($AJ44:$AL44="P")*6+($AJ44:$AL44="R")*6)+SUMPRODUCT(($AN44:$AQ44="M")*6+($AN44:$AQ44="T")*6+($AN44:$AQ44="D")*12+($AN44:$AQ44="N")*12+($AN44:$AQ44="NT")*6+($AN44:$AQ44="C")*10+($AN44:$AQ44="A")*8+($AN44:$AQ44="J")*5+($AN44:$AQ44="E")*4+($AN44:$AQ44="P")*6+($AN44:$AQ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3">
        <f>IFERROR(INDEX(AGO!AM$8:AM$73,MATCH($A45,AGO!$A$8:$A$73,0))&amp;"","")</f>
        <v/>
      </c>
      <c r="I45" s="107" t="n"/>
      <c r="J45" s="107" t="n"/>
      <c r="K45" s="108" t="inlineStr">
        <is>
          <t>M</t>
        </is>
      </c>
      <c r="L45" s="116" t="inlineStr">
        <is>
          <t>N</t>
        </is>
      </c>
      <c r="M45" s="107" t="n"/>
      <c r="N45" s="107" t="n"/>
      <c r="O45" s="107" t="n"/>
      <c r="P45" s="108" t="inlineStr">
        <is>
          <t>M</t>
        </is>
      </c>
      <c r="Q45" s="107" t="n"/>
      <c r="R45" s="108" t="inlineStr">
        <is>
          <t>M</t>
        </is>
      </c>
      <c r="S45" s="107" t="n"/>
      <c r="T45" s="116" t="inlineStr">
        <is>
          <t>N</t>
        </is>
      </c>
      <c r="U45" s="107" t="n"/>
      <c r="V45" s="107" t="n"/>
      <c r="W45" s="108" t="inlineStr">
        <is>
          <t>M</t>
        </is>
      </c>
      <c r="X45" s="107" t="n"/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08" t="inlineStr">
        <is>
          <t>M</t>
        </is>
      </c>
      <c r="AG45" s="107" t="n"/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7" t="n"/>
      <c r="AM45" s="96" t="n"/>
      <c r="AN45" s="123">
        <f>IFERROR(INDEX(OUT!I$8:I$73,MATCH($A45,OUT!$A$8:$A$73,0))&amp;"","")</f>
        <v/>
      </c>
      <c r="AO45" s="123">
        <f>IFERROR(INDEX(OUT!J$8:J$73,MATCH($A45,OUT!$A$8:$A$73,0))&amp;"","")</f>
        <v/>
      </c>
      <c r="AP45" s="109">
        <f>IFERROR(INDEX(OUT!K$8:K$73,MATCH($A45,OUT!$A$8:$A$73,0))&amp;"","")</f>
        <v/>
      </c>
      <c r="AQ45" s="109">
        <f>IFERROR(INDEX(OUT!L$8:L$73,MATCH($A45,OUT!$A$8:$A$73,0))&amp;"","")</f>
        <v/>
      </c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SUMPRODUCT(($H45:$N45="M")*6+($H45:$N45="T")*6+($H45:$N45="D")*12+($H45:$N45="N")*12+($H45:$N45="NT")*6+($H45:$N45="C")*10+($H45:$N45="A")*8+($H45:$N45="J")*5+($H45:$N45="E")*4+($H45:$N45="P")*6+($H45:$N45="R")*6)</f>
        <v/>
      </c>
      <c r="BF45" s="110">
        <f>SUMPRODUCT(($O45:$U45="M")*6+($O45:$U45="T")*6+($O45:$U45="D")*12+($O45:$U45="N")*12+($O45:$U45="NT")*6+($O45:$U45="C")*10+($O45:$U45="A")*8+($O45:$U45="J")*5+($O45:$U45="E")*4+($O45:$U45="P")*6+($O45:$U45="R")*6)</f>
        <v/>
      </c>
      <c r="BG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H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I45" s="110">
        <f>SUMPRODUCT(($AJ45:$AL45="M")*6+($AJ45:$AL45="T")*6+($AJ45:$AL45="D")*12+($AJ45:$AL45="N")*12+($AJ45:$AL45="NT")*6+($AJ45:$AL45="C")*10+($AJ45:$AL45="A")*8+($AJ45:$AL45="J")*5+($AJ45:$AL45="E")*4+($AJ45:$AL45="P")*6+($AJ45:$AL45="R")*6)+SUMPRODUCT(($AN45:$AQ45="M")*6+($AN45:$AQ45="T")*6+($AN45:$AQ45="D")*12+($AN45:$AQ45="N")*12+($AN45:$AQ45="NT")*6+($AN45:$AQ45="C")*10+($AN45:$AQ45="A")*8+($AN45:$AQ45="J")*5+($AN45:$AQ45="E")*4+($AN45:$AQ45="P")*6+($AN45:$AQ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3">
        <f>IFERROR(INDEX(AGO!AM$8:AM$73,MATCH($A46,AGO!$A$8:$A$73,0))&amp;"","")</f>
        <v/>
      </c>
      <c r="I46" s="107" t="n"/>
      <c r="J46" s="115" t="inlineStr">
        <is>
          <t>D</t>
        </is>
      </c>
      <c r="K46" s="107" t="n"/>
      <c r="L46" s="107" t="n"/>
      <c r="M46" s="107" t="n"/>
      <c r="N46" s="116" t="inlineStr">
        <is>
          <t>N</t>
        </is>
      </c>
      <c r="O46" s="107" t="n"/>
      <c r="P46" s="107" t="n"/>
      <c r="Q46" s="115" t="inlineStr">
        <is>
          <t>D</t>
        </is>
      </c>
      <c r="R46" s="107" t="n"/>
      <c r="S46" s="116" t="inlineStr">
        <is>
          <t>N</t>
        </is>
      </c>
      <c r="T46" s="107" t="n"/>
      <c r="U46" s="107" t="n"/>
      <c r="V46" s="107" t="n"/>
      <c r="W46" s="107" t="n"/>
      <c r="X46" s="115" t="inlineStr">
        <is>
          <t>D</t>
        </is>
      </c>
      <c r="Y46" s="107" t="n"/>
      <c r="Z46" s="107" t="n"/>
      <c r="AA46" s="107" t="n"/>
      <c r="AB46" s="116" t="inlineStr">
        <is>
          <t>N</t>
        </is>
      </c>
      <c r="AC46" s="107" t="n"/>
      <c r="AD46" s="107" t="n"/>
      <c r="AE46" s="117" t="inlineStr">
        <is>
          <t>T</t>
        </is>
      </c>
      <c r="AF46" s="107" t="n"/>
      <c r="AG46" s="116" t="inlineStr">
        <is>
          <t>N</t>
        </is>
      </c>
      <c r="AH46" s="107" t="n"/>
      <c r="AI46" s="107" t="n"/>
      <c r="AJ46" s="107" t="n"/>
      <c r="AK46" s="107" t="n"/>
      <c r="AL46" s="115" t="inlineStr">
        <is>
          <t>D</t>
        </is>
      </c>
      <c r="AM46" s="96" t="n"/>
      <c r="AN46" s="123">
        <f>IFERROR(INDEX(OUT!I$8:I$73,MATCH($A46,OUT!$A$8:$A$73,0))&amp;"","")</f>
        <v/>
      </c>
      <c r="AO46" s="123">
        <f>IFERROR(INDEX(OUT!J$8:J$73,MATCH($A46,OUT!$A$8:$A$73,0))&amp;"","")</f>
        <v/>
      </c>
      <c r="AP46" s="109">
        <f>IFERROR(INDEX(OUT!K$8:K$73,MATCH($A46,OUT!$A$8:$A$73,0))&amp;"","")</f>
        <v/>
      </c>
      <c r="AQ46" s="109">
        <f>IFERROR(INDEX(OUT!L$8:L$73,MATCH($A46,OUT!$A$8:$A$73,0))&amp;"","")</f>
        <v/>
      </c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SUMPRODUCT(($H46:$N46="M")*6+($H46:$N46="T")*6+($H46:$N46="D")*12+($H46:$N46="N")*12+($H46:$N46="NT")*6+($H46:$N46="C")*10+($H46:$N46="A")*8+($H46:$N46="J")*5+($H46:$N46="E")*4+($H46:$N46="P")*6+($H46:$N46="R")*6)</f>
        <v/>
      </c>
      <c r="BF46" s="110">
        <f>SUMPRODUCT(($O46:$U46="M")*6+($O46:$U46="T")*6+($O46:$U46="D")*12+($O46:$U46="N")*12+($O46:$U46="NT")*6+($O46:$U46="C")*10+($O46:$U46="A")*8+($O46:$U46="J")*5+($O46:$U46="E")*4+($O46:$U46="P")*6+($O46:$U46="R")*6)</f>
        <v/>
      </c>
      <c r="BG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H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I46" s="110">
        <f>SUMPRODUCT(($AJ46:$AL46="M")*6+($AJ46:$AL46="T")*6+($AJ46:$AL46="D")*12+($AJ46:$AL46="N")*12+($AJ46:$AL46="NT")*6+($AJ46:$AL46="C")*10+($AJ46:$AL46="A")*8+($AJ46:$AL46="J")*5+($AJ46:$AL46="E")*4+($AJ46:$AL46="P")*6+($AJ46:$AL46="R")*6)+SUMPRODUCT(($AN46:$AQ46="M")*6+($AN46:$AQ46="T")*6+($AN46:$AQ46="D")*12+($AN46:$AQ46="N")*12+($AN46:$AQ46="NT")*6+($AN46:$AQ46="C")*10+($AN46:$AQ46="A")*8+($AN46:$AQ46="J")*5+($AN46:$AQ46="E")*4+($AN46:$AQ46="P")*6+($AN46:$AQ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3">
        <f>IFERROR(INDEX(AGO!AM$8:AM$73,MATCH($A47,AGO!$A$8:$A$73,0))&amp;"","")</f>
        <v/>
      </c>
      <c r="I47" s="116" t="inlineStr">
        <is>
          <t>N</t>
        </is>
      </c>
      <c r="J47" s="107" t="n"/>
      <c r="K47" s="107" t="n"/>
      <c r="L47" s="107" t="n"/>
      <c r="M47" s="115" t="inlineStr">
        <is>
          <t>D</t>
        </is>
      </c>
      <c r="N47" s="107" t="n"/>
      <c r="O47" s="116" t="inlineStr">
        <is>
          <t>N</t>
        </is>
      </c>
      <c r="P47" s="107" t="n"/>
      <c r="Q47" s="107" t="n"/>
      <c r="R47" s="115" t="inlineStr">
        <is>
          <t>D</t>
        </is>
      </c>
      <c r="S47" s="107" t="n"/>
      <c r="T47" s="107" t="n"/>
      <c r="U47" s="107" t="n"/>
      <c r="V47" s="107" t="n"/>
      <c r="W47" s="116" t="inlineStr">
        <is>
          <t>N</t>
        </is>
      </c>
      <c r="X47" s="107" t="n"/>
      <c r="Y47" s="107" t="n"/>
      <c r="Z47" s="107" t="n"/>
      <c r="AA47" s="115" t="inlineStr">
        <is>
          <t>D</t>
        </is>
      </c>
      <c r="AB47" s="107" t="n"/>
      <c r="AC47" s="116" t="inlineStr">
        <is>
          <t>N</t>
        </is>
      </c>
      <c r="AD47" s="107" t="n"/>
      <c r="AE47" s="107" t="n"/>
      <c r="AF47" s="115" t="inlineStr">
        <is>
          <t>D</t>
        </is>
      </c>
      <c r="AG47" s="107" t="n"/>
      <c r="AH47" s="107" t="n"/>
      <c r="AI47" s="107" t="n"/>
      <c r="AJ47" s="116" t="inlineStr">
        <is>
          <t>N</t>
        </is>
      </c>
      <c r="AK47" s="107" t="n"/>
      <c r="AL47" s="107" t="n"/>
      <c r="AM47" s="96" t="n"/>
      <c r="AN47" s="123">
        <f>IFERROR(INDEX(OUT!I$8:I$73,MATCH($A47,OUT!$A$8:$A$73,0))&amp;"","")</f>
        <v/>
      </c>
      <c r="AO47" s="123">
        <f>IFERROR(INDEX(OUT!J$8:J$73,MATCH($A47,OUT!$A$8:$A$73,0))&amp;"","")</f>
        <v/>
      </c>
      <c r="AP47" s="109">
        <f>IFERROR(INDEX(OUT!K$8:K$73,MATCH($A47,OUT!$A$8:$A$73,0))&amp;"","")</f>
        <v/>
      </c>
      <c r="AQ47" s="109">
        <f>IFERROR(INDEX(OUT!L$8:L$73,MATCH($A47,OUT!$A$8:$A$73,0))&amp;"","")</f>
        <v/>
      </c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SUMPRODUCT(($H47:$N47="M")*6+($H47:$N47="T")*6+($H47:$N47="D")*12+($H47:$N47="N")*12+($H47:$N47="NT")*6+($H47:$N47="C")*10+($H47:$N47="A")*8+($H47:$N47="J")*5+($H47:$N47="E")*4+($H47:$N47="P")*6+($H47:$N47="R")*6)</f>
        <v/>
      </c>
      <c r="BF47" s="110">
        <f>SUMPRODUCT(($O47:$U47="M")*6+($O47:$U47="T")*6+($O47:$U47="D")*12+($O47:$U47="N")*12+($O47:$U47="NT")*6+($O47:$U47="C")*10+($O47:$U47="A")*8+($O47:$U47="J")*5+($O47:$U47="E")*4+($O47:$U47="P")*6+($O47:$U47="R")*6)</f>
        <v/>
      </c>
      <c r="BG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H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I47" s="110">
        <f>SUMPRODUCT(($AJ47:$AL47="M")*6+($AJ47:$AL47="T")*6+($AJ47:$AL47="D")*12+($AJ47:$AL47="N")*12+($AJ47:$AL47="NT")*6+($AJ47:$AL47="C")*10+($AJ47:$AL47="A")*8+($AJ47:$AL47="J")*5+($AJ47:$AL47="E")*4+($AJ47:$AL47="P")*6+($AJ47:$AL47="R")*6)+SUMPRODUCT(($AN47:$AQ47="M")*6+($AN47:$AQ47="T")*6+($AN47:$AQ47="D")*12+($AN47:$AQ47="N")*12+($AN47:$AQ47="NT")*6+($AN47:$AQ47="C")*10+($AN47:$AQ47="A")*8+($AN47:$AQ47="J")*5+($AN47:$AQ47="E")*4+($AN47:$AQ47="P")*6+($AN47:$AQ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3">
        <f>IFERROR(INDEX(AGO!AM$8:AM$73,MATCH($A48,AGO!$A$8:$A$73,0))&amp;"","")</f>
        <v/>
      </c>
      <c r="I48" s="128" t="inlineStr">
        <is>
          <t>FE</t>
        </is>
      </c>
      <c r="J48" s="128" t="inlineStr">
        <is>
          <t>FE</t>
        </is>
      </c>
      <c r="K48" s="128" t="inlineStr">
        <is>
          <t>FE</t>
        </is>
      </c>
      <c r="L48" s="128" t="inlineStr">
        <is>
          <t>FE</t>
        </is>
      </c>
      <c r="M48" s="128" t="inlineStr">
        <is>
          <t>FE</t>
        </is>
      </c>
      <c r="N48" s="128" t="inlineStr">
        <is>
          <t>FE</t>
        </is>
      </c>
      <c r="O48" s="128" t="inlineStr">
        <is>
          <t>FE</t>
        </is>
      </c>
      <c r="P48" s="128" t="inlineStr">
        <is>
          <t>FE</t>
        </is>
      </c>
      <c r="Q48" s="128" t="inlineStr">
        <is>
          <t>FE</t>
        </is>
      </c>
      <c r="R48" s="128" t="inlineStr">
        <is>
          <t>FE</t>
        </is>
      </c>
      <c r="S48" s="128" t="inlineStr">
        <is>
          <t>FE</t>
        </is>
      </c>
      <c r="T48" s="128" t="inlineStr">
        <is>
          <t>FE</t>
        </is>
      </c>
      <c r="U48" s="128" t="inlineStr">
        <is>
          <t>FE</t>
        </is>
      </c>
      <c r="V48" s="128" t="inlineStr">
        <is>
          <t>FE</t>
        </is>
      </c>
      <c r="W48" s="128" t="inlineStr">
        <is>
          <t>FE</t>
        </is>
      </c>
      <c r="X48" s="107" t="n"/>
      <c r="Y48" s="108" t="inlineStr">
        <is>
          <t>M</t>
        </is>
      </c>
      <c r="Z48" s="117" t="inlineStr">
        <is>
          <t>T</t>
        </is>
      </c>
      <c r="AA48" s="108" t="inlineStr">
        <is>
          <t>M</t>
        </is>
      </c>
      <c r="AB48" s="107" t="n"/>
      <c r="AC48" s="107" t="n"/>
      <c r="AD48" s="108" t="inlineStr">
        <is>
          <t>M</t>
        </is>
      </c>
      <c r="AE48" s="107" t="n"/>
      <c r="AF48" s="117" t="inlineStr">
        <is>
          <t>T</t>
        </is>
      </c>
      <c r="AG48" s="117" t="inlineStr">
        <is>
          <t>T</t>
        </is>
      </c>
      <c r="AH48" s="108" t="inlineStr">
        <is>
          <t>M</t>
        </is>
      </c>
      <c r="AI48" s="107" t="n"/>
      <c r="AJ48" s="107" t="n"/>
      <c r="AK48" s="108" t="inlineStr">
        <is>
          <t>M</t>
        </is>
      </c>
      <c r="AL48" s="107" t="n"/>
      <c r="AM48" s="96" t="n"/>
      <c r="AN48" s="123">
        <f>IFERROR(INDEX(OUT!I$8:I$73,MATCH($A48,OUT!$A$8:$A$73,0))&amp;"","")</f>
        <v/>
      </c>
      <c r="AO48" s="123">
        <f>IFERROR(INDEX(OUT!J$8:J$73,MATCH($A48,OUT!$A$8:$A$73,0))&amp;"","")</f>
        <v/>
      </c>
      <c r="AP48" s="109">
        <f>IFERROR(INDEX(OUT!K$8:K$73,MATCH($A48,OUT!$A$8:$A$73,0))&amp;"","")</f>
        <v/>
      </c>
      <c r="AQ48" s="109">
        <f>IFERROR(INDEX(OUT!L$8:L$73,MATCH($A48,OUT!$A$8:$A$73,0))&amp;"","")</f>
        <v/>
      </c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SUMPRODUCT(($H48:$N48="M")*6+($H48:$N48="T")*6+($H48:$N48="D")*12+($H48:$N48="N")*12+($H48:$N48="NT")*6+($H48:$N48="C")*10+($H48:$N48="A")*8+($H48:$N48="J")*5+($H48:$N48="E")*4+($H48:$N48="P")*6+($H48:$N48="R")*6)</f>
        <v/>
      </c>
      <c r="BF48" s="110">
        <f>SUMPRODUCT(($O48:$U48="M")*6+($O48:$U48="T")*6+($O48:$U48="D")*12+($O48:$U48="N")*12+($O48:$U48="NT")*6+($O48:$U48="C")*10+($O48:$U48="A")*8+($O48:$U48="J")*5+($O48:$U48="E")*4+($O48:$U48="P")*6+($O48:$U48="R")*6)</f>
        <v/>
      </c>
      <c r="BG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H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I48" s="110">
        <f>SUMPRODUCT(($AJ48:$AL48="M")*6+($AJ48:$AL48="T")*6+($AJ48:$AL48="D")*12+($AJ48:$AL48="N")*12+($AJ48:$AL48="NT")*6+($AJ48:$AL48="C")*10+($AJ48:$AL48="A")*8+($AJ48:$AL48="J")*5+($AJ48:$AL48="E")*4+($AJ48:$AL48="P")*6+($AJ48:$AL48="R")*6)+SUMPRODUCT(($AN48:$AQ48="M")*6+($AN48:$AQ48="T")*6+($AN48:$AQ48="D")*12+($AN48:$AQ48="N")*12+($AN48:$AQ48="NT")*6+($AN48:$AQ48="C")*10+($AN48:$AQ48="A")*8+($AN48:$AQ48="J")*5+($AN48:$AQ48="E")*4+($AN48:$AQ48="P")*6+($AN48:$AQ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3">
        <f>IFERROR(INDEX(AGO!AM$8:AM$73,MATCH($A49,AGO!$A$8:$A$73,0))&amp;"","")</f>
        <v/>
      </c>
      <c r="I49" s="107" t="n"/>
      <c r="J49" s="115" t="inlineStr">
        <is>
          <t>D</t>
        </is>
      </c>
      <c r="K49" s="107" t="n"/>
      <c r="L49" s="108" t="inlineStr">
        <is>
          <t>M</t>
        </is>
      </c>
      <c r="M49" s="107" t="n"/>
      <c r="N49" s="107" t="n"/>
      <c r="O49" s="107" t="n"/>
      <c r="P49" s="107" t="n"/>
      <c r="Q49" s="115" t="inlineStr">
        <is>
          <t>D</t>
        </is>
      </c>
      <c r="R49" s="107" t="n"/>
      <c r="S49" s="108" t="inlineStr">
        <is>
          <t>M</t>
        </is>
      </c>
      <c r="T49" s="115" t="inlineStr">
        <is>
          <t>D</t>
        </is>
      </c>
      <c r="U49" s="107" t="n"/>
      <c r="V49" s="107" t="n"/>
      <c r="W49" s="107" t="n"/>
      <c r="X49" s="115" t="inlineStr">
        <is>
          <t>D</t>
        </is>
      </c>
      <c r="Y49" s="107" t="n"/>
      <c r="Z49" s="107" t="n"/>
      <c r="AA49" s="115" t="inlineStr">
        <is>
          <t>D</t>
        </is>
      </c>
      <c r="AB49" s="107" t="n"/>
      <c r="AC49" s="107" t="n"/>
      <c r="AD49" s="107" t="n"/>
      <c r="AE49" s="115" t="inlineStr">
        <is>
          <t>D</t>
        </is>
      </c>
      <c r="AF49" s="107" t="n"/>
      <c r="AG49" s="115" t="inlineStr">
        <is>
          <t>D</t>
        </is>
      </c>
      <c r="AH49" s="107" t="n"/>
      <c r="AI49" s="107" t="n"/>
      <c r="AJ49" s="108" t="inlineStr">
        <is>
          <t>M</t>
        </is>
      </c>
      <c r="AK49" s="107" t="n"/>
      <c r="AL49" s="115" t="inlineStr">
        <is>
          <t>D</t>
        </is>
      </c>
      <c r="AM49" s="96" t="n"/>
      <c r="AN49" s="123">
        <f>IFERROR(INDEX(OUT!I$8:I$73,MATCH($A49,OUT!$A$8:$A$73,0))&amp;"","")</f>
        <v/>
      </c>
      <c r="AO49" s="123">
        <f>IFERROR(INDEX(OUT!J$8:J$73,MATCH($A49,OUT!$A$8:$A$73,0))&amp;"","")</f>
        <v/>
      </c>
      <c r="AP49" s="109">
        <f>IFERROR(INDEX(OUT!K$8:K$73,MATCH($A49,OUT!$A$8:$A$73,0))&amp;"","")</f>
        <v/>
      </c>
      <c r="AQ49" s="109">
        <f>IFERROR(INDEX(OUT!L$8:L$73,MATCH($A49,OUT!$A$8:$A$73,0))&amp;"","")</f>
        <v/>
      </c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SUMPRODUCT(($H49:$N49="M")*6+($H49:$N49="T")*6+($H49:$N49="D")*12+($H49:$N49="N")*12+($H49:$N49="NT")*6+($H49:$N49="C")*10+($H49:$N49="A")*8+($H49:$N49="J")*5+($H49:$N49="E")*4+($H49:$N49="P")*6+($H49:$N49="R")*6)</f>
        <v/>
      </c>
      <c r="BF49" s="110">
        <f>SUMPRODUCT(($O49:$U49="M")*6+($O49:$U49="T")*6+($O49:$U49="D")*12+($O49:$U49="N")*12+($O49:$U49="NT")*6+($O49:$U49="C")*10+($O49:$U49="A")*8+($O49:$U49="J")*5+($O49:$U49="E")*4+($O49:$U49="P")*6+($O49:$U49="R")*6)</f>
        <v/>
      </c>
      <c r="BG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H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I49" s="110">
        <f>SUMPRODUCT(($AJ49:$AL49="M")*6+($AJ49:$AL49="T")*6+($AJ49:$AL49="D")*12+($AJ49:$AL49="N")*12+($AJ49:$AL49="NT")*6+($AJ49:$AL49="C")*10+($AJ49:$AL49="A")*8+($AJ49:$AL49="J")*5+($AJ49:$AL49="E")*4+($AJ49:$AL49="P")*6+($AJ49:$AL49="R")*6)+SUMPRODUCT(($AN49:$AQ49="M")*6+($AN49:$AQ49="T")*6+($AN49:$AQ49="D")*12+($AN49:$AQ49="N")*12+($AN49:$AQ49="NT")*6+($AN49:$AQ49="C")*10+($AN49:$AQ49="A")*8+($AN49:$AQ49="J")*5+($AN49:$AQ49="E")*4+($AN49:$AQ49="P")*6+($AN49:$AQ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3">
        <f>IFERROR(INDEX(AGO!AM$8:AM$73,MATCH($A50,AGO!$A$8:$A$73,0))&amp;"","")</f>
        <v/>
      </c>
      <c r="I50" s="116" t="inlineStr">
        <is>
          <t>N</t>
        </is>
      </c>
      <c r="J50" s="107" t="n"/>
      <c r="K50" s="107" t="n"/>
      <c r="L50" s="116" t="inlineStr">
        <is>
          <t>N</t>
        </is>
      </c>
      <c r="M50" s="107" t="n"/>
      <c r="N50" s="107" t="n"/>
      <c r="O50" s="107" t="n"/>
      <c r="P50" s="115" t="inlineStr">
        <is>
          <t>D</t>
        </is>
      </c>
      <c r="Q50" s="107" t="n"/>
      <c r="R50" s="107" t="n"/>
      <c r="S50" s="107" t="n"/>
      <c r="T50" s="115" t="inlineStr">
        <is>
          <t>D</t>
        </is>
      </c>
      <c r="U50" s="107" t="n"/>
      <c r="V50" s="107" t="n"/>
      <c r="W50" s="107" t="n"/>
      <c r="X50" s="107" t="n"/>
      <c r="Y50" s="107" t="n"/>
      <c r="Z50" s="115" t="inlineStr">
        <is>
          <t>D</t>
        </is>
      </c>
      <c r="AA50" s="107" t="n"/>
      <c r="AB50" s="116" t="inlineStr">
        <is>
          <t>N</t>
        </is>
      </c>
      <c r="AC50" s="107" t="n"/>
      <c r="AD50" s="115" t="inlineStr">
        <is>
          <t>D</t>
        </is>
      </c>
      <c r="AE50" s="107" t="n"/>
      <c r="AF50" s="107" t="n"/>
      <c r="AG50" s="116" t="inlineStr">
        <is>
          <t>N</t>
        </is>
      </c>
      <c r="AH50" s="107" t="n"/>
      <c r="AI50" s="107" t="n"/>
      <c r="AJ50" s="107" t="n"/>
      <c r="AK50" s="115" t="inlineStr">
        <is>
          <t>D</t>
        </is>
      </c>
      <c r="AL50" s="107" t="n"/>
      <c r="AM50" s="96" t="n"/>
      <c r="AN50" s="123">
        <f>IFERROR(INDEX(OUT!I$8:I$73,MATCH($A50,OUT!$A$8:$A$73,0))&amp;"","")</f>
        <v/>
      </c>
      <c r="AO50" s="123">
        <f>IFERROR(INDEX(OUT!J$8:J$73,MATCH($A50,OUT!$A$8:$A$73,0))&amp;"","")</f>
        <v/>
      </c>
      <c r="AP50" s="109">
        <f>IFERROR(INDEX(OUT!K$8:K$73,MATCH($A50,OUT!$A$8:$A$73,0))&amp;"","")</f>
        <v/>
      </c>
      <c r="AQ50" s="109">
        <f>IFERROR(INDEX(OUT!L$8:L$73,MATCH($A50,OUT!$A$8:$A$73,0))&amp;"","")</f>
        <v/>
      </c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SUMPRODUCT(($H50:$N50="M")*6+($H50:$N50="T")*6+($H50:$N50="D")*12+($H50:$N50="N")*12+($H50:$N50="NT")*6+($H50:$N50="C")*10+($H50:$N50="A")*8+($H50:$N50="J")*5+($H50:$N50="E")*4+($H50:$N50="P")*6+($H50:$N50="R")*6)</f>
        <v/>
      </c>
      <c r="BF50" s="110">
        <f>SUMPRODUCT(($O50:$U50="M")*6+($O50:$U50="T")*6+($O50:$U50="D")*12+($O50:$U50="N")*12+($O50:$U50="NT")*6+($O50:$U50="C")*10+($O50:$U50="A")*8+($O50:$U50="J")*5+($O50:$U50="E")*4+($O50:$U50="P")*6+($O50:$U50="R")*6)</f>
        <v/>
      </c>
      <c r="BG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H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I50" s="110">
        <f>SUMPRODUCT(($AJ50:$AL50="M")*6+($AJ50:$AL50="T")*6+($AJ50:$AL50="D")*12+($AJ50:$AL50="N")*12+($AJ50:$AL50="NT")*6+($AJ50:$AL50="C")*10+($AJ50:$AL50="A")*8+($AJ50:$AL50="J")*5+($AJ50:$AL50="E")*4+($AJ50:$AL50="P")*6+($AJ50:$AL50="R")*6)+SUMPRODUCT(($AN50:$AQ50="M")*6+($AN50:$AQ50="T")*6+($AN50:$AQ50="D")*12+($AN50:$AQ50="N")*12+($AN50:$AQ50="NT")*6+($AN50:$AQ50="C")*10+($AN50:$AQ50="A")*8+($AN50:$AQ50="J")*5+($AN50:$AQ50="E")*4+($AN50:$AQ50="P")*6+($AN50:$AQ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3">
        <f>IFERROR(INDEX(AGO!AM$8:AM$73,MATCH($A51,AGO!$A$8:$A$73,0))&amp;"","")</f>
        <v/>
      </c>
      <c r="I51" s="127" t="inlineStr">
        <is>
          <t>LM</t>
        </is>
      </c>
      <c r="J51" s="127" t="inlineStr">
        <is>
          <t>LM</t>
        </is>
      </c>
      <c r="K51" s="127" t="inlineStr">
        <is>
          <t>LM</t>
        </is>
      </c>
      <c r="L51" s="127" t="inlineStr">
        <is>
          <t>LM</t>
        </is>
      </c>
      <c r="M51" s="127" t="inlineStr">
        <is>
          <t>LM</t>
        </is>
      </c>
      <c r="N51" s="127" t="inlineStr">
        <is>
          <t>LM</t>
        </is>
      </c>
      <c r="O51" s="127" t="inlineStr">
        <is>
          <t>LM</t>
        </is>
      </c>
      <c r="P51" s="127" t="inlineStr">
        <is>
          <t>LM</t>
        </is>
      </c>
      <c r="Q51" s="127" t="inlineStr">
        <is>
          <t>LM</t>
        </is>
      </c>
      <c r="R51" s="127" t="inlineStr">
        <is>
          <t>LM</t>
        </is>
      </c>
      <c r="S51" s="127" t="inlineStr">
        <is>
          <t>LM</t>
        </is>
      </c>
      <c r="T51" s="127" t="inlineStr">
        <is>
          <t>LM</t>
        </is>
      </c>
      <c r="U51" s="127" t="inlineStr">
        <is>
          <t>LM</t>
        </is>
      </c>
      <c r="V51" s="127" t="inlineStr">
        <is>
          <t>LM</t>
        </is>
      </c>
      <c r="W51" s="127" t="inlineStr">
        <is>
          <t>LM</t>
        </is>
      </c>
      <c r="X51" s="127" t="inlineStr">
        <is>
          <t>LM</t>
        </is>
      </c>
      <c r="Y51" s="127" t="inlineStr">
        <is>
          <t>LM</t>
        </is>
      </c>
      <c r="Z51" s="127" t="inlineStr">
        <is>
          <t>LM</t>
        </is>
      </c>
      <c r="AA51" s="127" t="inlineStr">
        <is>
          <t>LM</t>
        </is>
      </c>
      <c r="AB51" s="127" t="inlineStr">
        <is>
          <t>LM</t>
        </is>
      </c>
      <c r="AC51" s="127" t="inlineStr">
        <is>
          <t>LM</t>
        </is>
      </c>
      <c r="AD51" s="127" t="inlineStr">
        <is>
          <t>LM</t>
        </is>
      </c>
      <c r="AE51" s="127" t="inlineStr">
        <is>
          <t>LM</t>
        </is>
      </c>
      <c r="AF51" s="127" t="inlineStr">
        <is>
          <t>LM</t>
        </is>
      </c>
      <c r="AG51" s="127" t="inlineStr">
        <is>
          <t>LM</t>
        </is>
      </c>
      <c r="AH51" s="127" t="inlineStr">
        <is>
          <t>LM</t>
        </is>
      </c>
      <c r="AI51" s="127" t="inlineStr">
        <is>
          <t>LM</t>
        </is>
      </c>
      <c r="AJ51" s="127" t="inlineStr">
        <is>
          <t>LM</t>
        </is>
      </c>
      <c r="AK51" s="107" t="n"/>
      <c r="AL51" s="107" t="n"/>
      <c r="AM51" s="96" t="n"/>
      <c r="AN51" s="123">
        <f>IFERROR(INDEX(OUT!I$8:I$73,MATCH($A51,OUT!$A$8:$A$73,0))&amp;"","")</f>
        <v/>
      </c>
      <c r="AO51" s="123">
        <f>IFERROR(INDEX(OUT!J$8:J$73,MATCH($A51,OUT!$A$8:$A$73,0))&amp;"","")</f>
        <v/>
      </c>
      <c r="AP51" s="109">
        <f>IFERROR(INDEX(OUT!K$8:K$73,MATCH($A51,OUT!$A$8:$A$73,0))&amp;"","")</f>
        <v/>
      </c>
      <c r="AQ51" s="109">
        <f>IFERROR(INDEX(OUT!L$8:L$73,MATCH($A51,OUT!$A$8:$A$73,0))&amp;"","")</f>
        <v/>
      </c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SUMPRODUCT(($H51:$N51="M")*6+($H51:$N51="T")*6+($H51:$N51="D")*12+($H51:$N51="N")*12+($H51:$N51="NT")*6+($H51:$N51="C")*10+($H51:$N51="A")*8+($H51:$N51="J")*5+($H51:$N51="E")*4+($H51:$N51="P")*6+($H51:$N51="R")*6)</f>
        <v/>
      </c>
      <c r="BF51" s="110">
        <f>SUMPRODUCT(($O51:$U51="M")*6+($O51:$U51="T")*6+($O51:$U51="D")*12+($O51:$U51="N")*12+($O51:$U51="NT")*6+($O51:$U51="C")*10+($O51:$U51="A")*8+($O51:$U51="J")*5+($O51:$U51="E")*4+($O51:$U51="P")*6+($O51:$U51="R")*6)</f>
        <v/>
      </c>
      <c r="BG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H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I51" s="110">
        <f>SUMPRODUCT(($AJ51:$AL51="M")*6+($AJ51:$AL51="T")*6+($AJ51:$AL51="D")*12+($AJ51:$AL51="N")*12+($AJ51:$AL51="NT")*6+($AJ51:$AL51="C")*10+($AJ51:$AL51="A")*8+($AJ51:$AL51="J")*5+($AJ51:$AL51="E")*4+($AJ51:$AL51="P")*6+($AJ51:$AL51="R")*6)+SUMPRODUCT(($AN51:$AQ51="M")*6+($AN51:$AQ51="T")*6+($AN51:$AQ51="D")*12+($AN51:$AQ51="N")*12+($AN51:$AQ51="NT")*6+($AN51:$AQ51="C")*10+($AN51:$AQ51="A")*8+($AN51:$AQ51="J")*5+($AN51:$AQ51="E")*4+($AN51:$AQ51="P")*6+($AN51:$AQ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3">
        <f>IFERROR(INDEX(AGO!AM$8:AM$73,MATCH($A52,AGO!$A$8:$A$73,0))&amp;"","")</f>
        <v/>
      </c>
      <c r="I52" s="107" t="n"/>
      <c r="J52" s="107" t="n"/>
      <c r="K52" s="107" t="n"/>
      <c r="L52" s="116" t="inlineStr">
        <is>
          <t>N</t>
        </is>
      </c>
      <c r="M52" s="117" t="inlineStr">
        <is>
          <t>T</t>
        </is>
      </c>
      <c r="N52" s="107" t="n"/>
      <c r="O52" s="116" t="inlineStr">
        <is>
          <t>N</t>
        </is>
      </c>
      <c r="P52" s="107" t="n"/>
      <c r="Q52" s="107" t="n"/>
      <c r="R52" s="107" t="n"/>
      <c r="S52" s="107" t="n"/>
      <c r="T52" s="116" t="inlineStr">
        <is>
          <t>N</t>
        </is>
      </c>
      <c r="U52" s="107" t="n"/>
      <c r="V52" s="116" t="inlineStr">
        <is>
          <t>N</t>
        </is>
      </c>
      <c r="W52" s="107" t="n"/>
      <c r="X52" s="107" t="n"/>
      <c r="Y52" s="107" t="n"/>
      <c r="Z52" s="107" t="n"/>
      <c r="AA52" s="116" t="inlineStr">
        <is>
          <t>N</t>
        </is>
      </c>
      <c r="AB52" s="107" t="n"/>
      <c r="AC52" s="116" t="inlineStr">
        <is>
          <t>N</t>
        </is>
      </c>
      <c r="AD52" s="107" t="n"/>
      <c r="AE52" s="107" t="n"/>
      <c r="AF52" s="107" t="n"/>
      <c r="AG52" s="116" t="inlineStr">
        <is>
          <t>N</t>
        </is>
      </c>
      <c r="AH52" s="107" t="n"/>
      <c r="AI52" s="107" t="n"/>
      <c r="AJ52" s="116" t="inlineStr">
        <is>
          <t>N</t>
        </is>
      </c>
      <c r="AK52" s="107" t="n"/>
      <c r="AL52" s="107" t="n"/>
      <c r="AM52" s="96" t="n"/>
      <c r="AN52" s="123">
        <f>IFERROR(INDEX(OUT!I$8:I$73,MATCH($A52,OUT!$A$8:$A$73,0))&amp;"","")</f>
        <v/>
      </c>
      <c r="AO52" s="123">
        <f>IFERROR(INDEX(OUT!J$8:J$73,MATCH($A52,OUT!$A$8:$A$73,0))&amp;"","")</f>
        <v/>
      </c>
      <c r="AP52" s="109">
        <f>IFERROR(INDEX(OUT!K$8:K$73,MATCH($A52,OUT!$A$8:$A$73,0))&amp;"","")</f>
        <v/>
      </c>
      <c r="AQ52" s="109">
        <f>IFERROR(INDEX(OUT!L$8:L$73,MATCH($A52,OUT!$A$8:$A$73,0))&amp;"","")</f>
        <v/>
      </c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SUMPRODUCT(($H52:$N52="M")*6+($H52:$N52="T")*6+($H52:$N52="D")*12+($H52:$N52="N")*12+($H52:$N52="NT")*6+($H52:$N52="C")*10+($H52:$N52="A")*8+($H52:$N52="J")*5+($H52:$N52="E")*4+($H52:$N52="P")*6+($H52:$N52="R")*6)</f>
        <v/>
      </c>
      <c r="BF52" s="110">
        <f>SUMPRODUCT(($O52:$U52="M")*6+($O52:$U52="T")*6+($O52:$U52="D")*12+($O52:$U52="N")*12+($O52:$U52="NT")*6+($O52:$U52="C")*10+($O52:$U52="A")*8+($O52:$U52="J")*5+($O52:$U52="E")*4+($O52:$U52="P")*6+($O52:$U52="R")*6)</f>
        <v/>
      </c>
      <c r="BG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H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I52" s="110">
        <f>SUMPRODUCT(($AJ52:$AL52="M")*6+($AJ52:$AL52="T")*6+($AJ52:$AL52="D")*12+($AJ52:$AL52="N")*12+($AJ52:$AL52="NT")*6+($AJ52:$AL52="C")*10+($AJ52:$AL52="A")*8+($AJ52:$AL52="J")*5+($AJ52:$AL52="E")*4+($AJ52:$AL52="P")*6+($AJ52:$AL52="R")*6)+SUMPRODUCT(($AN52:$AQ52="M")*6+($AN52:$AQ52="T")*6+($AN52:$AQ52="D")*12+($AN52:$AQ52="N")*12+($AN52:$AQ52="NT")*6+($AN52:$AQ52="C")*10+($AN52:$AQ52="A")*8+($AN52:$AQ52="J")*5+($AN52:$AQ52="E")*4+($AN52:$AQ52="P")*6+($AN52:$AQ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3">
        <f>IFERROR(INDEX(AGO!AM$8:AM$73,MATCH($A53,AGO!$A$8:$A$73,0))&amp;"","")</f>
        <v/>
      </c>
      <c r="I53" s="116" t="inlineStr">
        <is>
          <t>N</t>
        </is>
      </c>
      <c r="J53" s="116" t="inlineStr">
        <is>
          <t>N</t>
        </is>
      </c>
      <c r="K53" s="107" t="n"/>
      <c r="L53" s="107" t="n"/>
      <c r="M53" s="107" t="n"/>
      <c r="N53" s="107" t="n"/>
      <c r="O53" s="107" t="n"/>
      <c r="P53" s="116" t="inlineStr">
        <is>
          <t>N</t>
        </is>
      </c>
      <c r="Q53" s="107" t="n"/>
      <c r="R53" s="107" t="n"/>
      <c r="S53" s="116" t="inlineStr">
        <is>
          <t>N</t>
        </is>
      </c>
      <c r="T53" s="107" t="n"/>
      <c r="U53" s="115" t="inlineStr">
        <is>
          <t>D</t>
        </is>
      </c>
      <c r="V53" s="115" t="inlineStr">
        <is>
          <t>D</t>
        </is>
      </c>
      <c r="W53" s="115" t="inlineStr">
        <is>
          <t>D</t>
        </is>
      </c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16" t="inlineStr">
        <is>
          <t>N</t>
        </is>
      </c>
      <c r="AH53" s="107" t="n"/>
      <c r="AI53" s="115" t="inlineStr">
        <is>
          <t>D</t>
        </is>
      </c>
      <c r="AJ53" s="116" t="inlineStr">
        <is>
          <t>N</t>
        </is>
      </c>
      <c r="AK53" s="116" t="inlineStr">
        <is>
          <t>N</t>
        </is>
      </c>
      <c r="AL53" s="107" t="n"/>
      <c r="AM53" s="96" t="n"/>
      <c r="AN53" s="123">
        <f>IFERROR(INDEX(OUT!I$8:I$73,MATCH($A53,OUT!$A$8:$A$73,0))&amp;"","")</f>
        <v/>
      </c>
      <c r="AO53" s="123">
        <f>IFERROR(INDEX(OUT!J$8:J$73,MATCH($A53,OUT!$A$8:$A$73,0))&amp;"","")</f>
        <v/>
      </c>
      <c r="AP53" s="109">
        <f>IFERROR(INDEX(OUT!K$8:K$73,MATCH($A53,OUT!$A$8:$A$73,0))&amp;"","")</f>
        <v/>
      </c>
      <c r="AQ53" s="109">
        <f>IFERROR(INDEX(OUT!L$8:L$73,MATCH($A53,OUT!$A$8:$A$73,0))&amp;"","")</f>
        <v/>
      </c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SUMPRODUCT(($H53:$N53="M")*6+($H53:$N53="T")*6+($H53:$N53="D")*12+($H53:$N53="N")*12+($H53:$N53="NT")*6+($H53:$N53="C")*10+($H53:$N53="A")*8+($H53:$N53="J")*5+($H53:$N53="E")*4+($H53:$N53="P")*6+($H53:$N53="R")*6)</f>
        <v/>
      </c>
      <c r="BF53" s="110">
        <f>SUMPRODUCT(($O53:$U53="M")*6+($O53:$U53="T")*6+($O53:$U53="D")*12+($O53:$U53="N")*12+($O53:$U53="NT")*6+($O53:$U53="C")*10+($O53:$U53="A")*8+($O53:$U53="J")*5+($O53:$U53="E")*4+($O53:$U53="P")*6+($O53:$U53="R")*6)</f>
        <v/>
      </c>
      <c r="BG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H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I53" s="110">
        <f>SUMPRODUCT(($AJ53:$AL53="M")*6+($AJ53:$AL53="T")*6+($AJ53:$AL53="D")*12+($AJ53:$AL53="N")*12+($AJ53:$AL53="NT")*6+($AJ53:$AL53="C")*10+($AJ53:$AL53="A")*8+($AJ53:$AL53="J")*5+($AJ53:$AL53="E")*4+($AJ53:$AL53="P")*6+($AJ53:$AL53="R")*6)+SUMPRODUCT(($AN53:$AQ53="M")*6+($AN53:$AQ53="T")*6+($AN53:$AQ53="D")*12+($AN53:$AQ53="N")*12+($AN53:$AQ53="NT")*6+($AN53:$AQ53="C")*10+($AN53:$AQ53="A")*8+($AN53:$AQ53="J")*5+($AN53:$AQ53="E")*4+($AN53:$AQ53="P")*6+($AN53:$AQ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3">
        <f>IFERROR(INDEX(AGO!AM$8:AM$73,MATCH($A54,AGO!$A$8:$A$73,0))&amp;"","")</f>
        <v/>
      </c>
      <c r="I54" s="107" t="n"/>
      <c r="J54" s="107" t="n"/>
      <c r="K54" s="116" t="inlineStr">
        <is>
          <t>N</t>
        </is>
      </c>
      <c r="L54" s="107" t="n"/>
      <c r="M54" s="116" t="inlineStr">
        <is>
          <t>N</t>
        </is>
      </c>
      <c r="N54" s="107" t="n"/>
      <c r="O54" s="107" t="n"/>
      <c r="P54" s="107" t="n"/>
      <c r="Q54" s="107" t="n"/>
      <c r="R54" s="116" t="inlineStr">
        <is>
          <t>N</t>
        </is>
      </c>
      <c r="S54" s="107" t="n"/>
      <c r="T54" s="116" t="inlineStr">
        <is>
          <t>N</t>
        </is>
      </c>
      <c r="U54" s="107" t="n"/>
      <c r="V54" s="107" t="n"/>
      <c r="W54" s="107" t="n"/>
      <c r="X54" s="107" t="n"/>
      <c r="Y54" s="116" t="inlineStr">
        <is>
          <t>N</t>
        </is>
      </c>
      <c r="Z54" s="107" t="n"/>
      <c r="AA54" s="116" t="inlineStr">
        <is>
          <t>N</t>
        </is>
      </c>
      <c r="AB54" s="107" t="n"/>
      <c r="AC54" s="107" t="n"/>
      <c r="AD54" s="107" t="n"/>
      <c r="AE54" s="107" t="n"/>
      <c r="AF54" s="116" t="inlineStr">
        <is>
          <t>N</t>
        </is>
      </c>
      <c r="AG54" s="107" t="n"/>
      <c r="AH54" s="116" t="inlineStr">
        <is>
          <t>N</t>
        </is>
      </c>
      <c r="AI54" s="107" t="n"/>
      <c r="AJ54" s="107" t="n"/>
      <c r="AK54" s="107" t="n"/>
      <c r="AL54" s="107" t="n"/>
      <c r="AM54" s="96" t="n"/>
      <c r="AN54" s="123">
        <f>IFERROR(INDEX(OUT!I$8:I$73,MATCH($A54,OUT!$A$8:$A$73,0))&amp;"","")</f>
        <v/>
      </c>
      <c r="AO54" s="123">
        <f>IFERROR(INDEX(OUT!J$8:J$73,MATCH($A54,OUT!$A$8:$A$73,0))&amp;"","")</f>
        <v/>
      </c>
      <c r="AP54" s="109">
        <f>IFERROR(INDEX(OUT!K$8:K$73,MATCH($A54,OUT!$A$8:$A$73,0))&amp;"","")</f>
        <v/>
      </c>
      <c r="AQ54" s="109">
        <f>IFERROR(INDEX(OUT!L$8:L$73,MATCH($A54,OUT!$A$8:$A$73,0))&amp;"","")</f>
        <v/>
      </c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SUMPRODUCT(($H54:$N54="M")*6+($H54:$N54="T")*6+($H54:$N54="D")*12+($H54:$N54="N")*12+($H54:$N54="NT")*6+($H54:$N54="C")*10+($H54:$N54="A")*8+($H54:$N54="J")*5+($H54:$N54="E")*4+($H54:$N54="P")*6+($H54:$N54="R")*6)</f>
        <v/>
      </c>
      <c r="BF54" s="110">
        <f>SUMPRODUCT(($O54:$U54="M")*6+($O54:$U54="T")*6+($O54:$U54="D")*12+($O54:$U54="N")*12+($O54:$U54="NT")*6+($O54:$U54="C")*10+($O54:$U54="A")*8+($O54:$U54="J")*5+($O54:$U54="E")*4+($O54:$U54="P")*6+($O54:$U54="R")*6)</f>
        <v/>
      </c>
      <c r="BG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H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I54" s="110">
        <f>SUMPRODUCT(($AJ54:$AL54="M")*6+($AJ54:$AL54="T")*6+($AJ54:$AL54="D")*12+($AJ54:$AL54="N")*12+($AJ54:$AL54="NT")*6+($AJ54:$AL54="C")*10+($AJ54:$AL54="A")*8+($AJ54:$AL54="J")*5+($AJ54:$AL54="E")*4+($AJ54:$AL54="P")*6+($AJ54:$AL54="R")*6)+SUMPRODUCT(($AN54:$AQ54="M")*6+($AN54:$AQ54="T")*6+($AN54:$AQ54="D")*12+($AN54:$AQ54="N")*12+($AN54:$AQ54="NT")*6+($AN54:$AQ54="C")*10+($AN54:$AQ54="A")*8+($AN54:$AQ54="J")*5+($AN54:$AQ54="E")*4+($AN54:$AQ54="P")*6+($AN54:$AQ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3">
        <f>IFERROR(INDEX(AGO!AM$8:AM$73,MATCH($A55,AGO!$A$8:$A$73,0))&amp;"","")</f>
        <v/>
      </c>
      <c r="I55" s="107" t="n"/>
      <c r="J55" s="108" t="inlineStr">
        <is>
          <t>M</t>
        </is>
      </c>
      <c r="K55" s="108" t="inlineStr">
        <is>
          <t>M</t>
        </is>
      </c>
      <c r="L55" s="108" t="inlineStr">
        <is>
          <t>M</t>
        </is>
      </c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7" t="n"/>
      <c r="R55" s="108" t="inlineStr">
        <is>
          <t>M</t>
        </is>
      </c>
      <c r="S55" s="108" t="inlineStr">
        <is>
          <t>M</t>
        </is>
      </c>
      <c r="T55" s="108" t="inlineStr">
        <is>
          <t>M</t>
        </is>
      </c>
      <c r="U55" s="107" t="n"/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96" t="n"/>
      <c r="AN55" s="123">
        <f>IFERROR(INDEX(OUT!I$8:I$73,MATCH($A55,OUT!$A$8:$A$73,0))&amp;"","")</f>
        <v/>
      </c>
      <c r="AO55" s="123">
        <f>IFERROR(INDEX(OUT!J$8:J$73,MATCH($A55,OUT!$A$8:$A$73,0))&amp;"","")</f>
        <v/>
      </c>
      <c r="AP55" s="109">
        <f>IFERROR(INDEX(OUT!K$8:K$73,MATCH($A55,OUT!$A$8:$A$73,0))&amp;"","")</f>
        <v/>
      </c>
      <c r="AQ55" s="109">
        <f>IFERROR(INDEX(OUT!L$8:L$73,MATCH($A55,OUT!$A$8:$A$73,0))&amp;"","")</f>
        <v/>
      </c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SUMPRODUCT(($H55:$N55="M")*6+($H55:$N55="T")*6+($H55:$N55="D")*12+($H55:$N55="N")*12+($H55:$N55="NT")*6+($H55:$N55="C")*10+($H55:$N55="A")*8+($H55:$N55="J")*5+($H55:$N55="E")*4+($H55:$N55="P")*6+($H55:$N55="R")*6)</f>
        <v/>
      </c>
      <c r="BF55" s="110">
        <f>SUMPRODUCT(($O55:$U55="M")*6+($O55:$U55="T")*6+($O55:$U55="D")*12+($O55:$U55="N")*12+($O55:$U55="NT")*6+($O55:$U55="C")*10+($O55:$U55="A")*8+($O55:$U55="J")*5+($O55:$U55="E")*4+($O55:$U55="P")*6+($O55:$U55="R")*6)</f>
        <v/>
      </c>
      <c r="BG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H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I55" s="110">
        <f>SUMPRODUCT(($AJ55:$AL55="M")*6+($AJ55:$AL55="T")*6+($AJ55:$AL55="D")*12+($AJ55:$AL55="N")*12+($AJ55:$AL55="NT")*6+($AJ55:$AL55="C")*10+($AJ55:$AL55="A")*8+($AJ55:$AL55="J")*5+($AJ55:$AL55="E")*4+($AJ55:$AL55="P")*6+($AJ55:$AL55="R")*6)+SUMPRODUCT(($AN55:$AQ55="M")*6+($AN55:$AQ55="T")*6+($AN55:$AQ55="D")*12+($AN55:$AQ55="N")*12+($AN55:$AQ55="NT")*6+($AN55:$AQ55="C")*10+($AN55:$AQ55="A")*8+($AN55:$AQ55="J")*5+($AN55:$AQ55="E")*4+($AN55:$AQ55="P")*6+($AN55:$AQ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3">
        <f>IFERROR(INDEX(AGO!AM$8:AM$73,MATCH($A56,AGO!$A$8:$A$73,0))&amp;"","")</f>
        <v/>
      </c>
      <c r="I56" s="107" t="n"/>
      <c r="J56" s="107" t="n"/>
      <c r="K56" s="115" t="inlineStr">
        <is>
          <t>D</t>
        </is>
      </c>
      <c r="L56" s="107" t="n"/>
      <c r="M56" s="107" t="n"/>
      <c r="N56" s="115" t="inlineStr">
        <is>
          <t>D</t>
        </is>
      </c>
      <c r="O56" s="115" t="inlineStr">
        <is>
          <t>D</t>
        </is>
      </c>
      <c r="P56" s="107" t="n"/>
      <c r="Q56" s="107" t="n"/>
      <c r="R56" s="115" t="inlineStr">
        <is>
          <t>D</t>
        </is>
      </c>
      <c r="S56" s="107" t="n"/>
      <c r="T56" s="107" t="n"/>
      <c r="U56" s="107" t="n"/>
      <c r="V56" s="107" t="n"/>
      <c r="W56" s="107" t="n"/>
      <c r="X56" s="108" t="inlineStr">
        <is>
          <t>M</t>
        </is>
      </c>
      <c r="Y56" s="117" t="inlineStr">
        <is>
          <t>T</t>
        </is>
      </c>
      <c r="Z56" s="115" t="inlineStr">
        <is>
          <t>D</t>
        </is>
      </c>
      <c r="AA56" s="107" t="n"/>
      <c r="AB56" s="107" t="n"/>
      <c r="AC56" s="128" t="inlineStr">
        <is>
          <t>FE</t>
        </is>
      </c>
      <c r="AD56" s="128" t="inlineStr">
        <is>
          <t>FE</t>
        </is>
      </c>
      <c r="AE56" s="128" t="inlineStr">
        <is>
          <t>FE</t>
        </is>
      </c>
      <c r="AF56" s="128" t="inlineStr">
        <is>
          <t>FE</t>
        </is>
      </c>
      <c r="AG56" s="128" t="inlineStr">
        <is>
          <t>FE</t>
        </is>
      </c>
      <c r="AH56" s="128" t="inlineStr">
        <is>
          <t>FE</t>
        </is>
      </c>
      <c r="AI56" s="128" t="inlineStr">
        <is>
          <t>FE</t>
        </is>
      </c>
      <c r="AJ56" s="128" t="inlineStr">
        <is>
          <t>FE</t>
        </is>
      </c>
      <c r="AK56" s="128" t="inlineStr">
        <is>
          <t>FE</t>
        </is>
      </c>
      <c r="AL56" s="128" t="inlineStr">
        <is>
          <t>FE</t>
        </is>
      </c>
      <c r="AM56" s="96" t="n"/>
      <c r="AN56" s="123">
        <f>IFERROR(INDEX(OUT!I$8:I$73,MATCH($A56,OUT!$A$8:$A$73,0))&amp;"","")</f>
        <v/>
      </c>
      <c r="AO56" s="123">
        <f>IFERROR(INDEX(OUT!J$8:J$73,MATCH($A56,OUT!$A$8:$A$73,0))&amp;"","")</f>
        <v/>
      </c>
      <c r="AP56" s="109">
        <f>IFERROR(INDEX(OUT!K$8:K$73,MATCH($A56,OUT!$A$8:$A$73,0))&amp;"","")</f>
        <v/>
      </c>
      <c r="AQ56" s="109">
        <f>IFERROR(INDEX(OUT!L$8:L$73,MATCH($A56,OUT!$A$8:$A$73,0))&amp;"","")</f>
        <v/>
      </c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SUMPRODUCT(($H56:$N56="M")*6+($H56:$N56="T")*6+($H56:$N56="D")*12+($H56:$N56="N")*12+($H56:$N56="NT")*6+($H56:$N56="C")*10+($H56:$N56="A")*8+($H56:$N56="J")*5+($H56:$N56="E")*4+($H56:$N56="P")*6+($H56:$N56="R")*6)</f>
        <v/>
      </c>
      <c r="BF56" s="110">
        <f>SUMPRODUCT(($O56:$U56="M")*6+($O56:$U56="T")*6+($O56:$U56="D")*12+($O56:$U56="N")*12+($O56:$U56="NT")*6+($O56:$U56="C")*10+($O56:$U56="A")*8+($O56:$U56="J")*5+($O56:$U56="E")*4+($O56:$U56="P")*6+($O56:$U56="R")*6)</f>
        <v/>
      </c>
      <c r="BG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H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I56" s="110">
        <f>SUMPRODUCT(($AJ56:$AL56="M")*6+($AJ56:$AL56="T")*6+($AJ56:$AL56="D")*12+($AJ56:$AL56="N")*12+($AJ56:$AL56="NT")*6+($AJ56:$AL56="C")*10+($AJ56:$AL56="A")*8+($AJ56:$AL56="J")*5+($AJ56:$AL56="E")*4+($AJ56:$AL56="P")*6+($AJ56:$AL56="R")*6)+SUMPRODUCT(($AN56:$AQ56="M")*6+($AN56:$AQ56="T")*6+($AN56:$AQ56="D")*12+($AN56:$AQ56="N")*12+($AN56:$AQ56="NT")*6+($AN56:$AQ56="C")*10+($AN56:$AQ56="A")*8+($AN56:$AQ56="J")*5+($AN56:$AQ56="E")*4+($AN56:$AQ56="P")*6+($AN56:$AQ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3">
        <f>IFERROR(INDEX(AGO!AM$8:AM$73,MATCH($A57,AGO!$A$8:$A$73,0))&amp;"","")</f>
        <v/>
      </c>
      <c r="I57" s="107" t="n"/>
      <c r="J57" s="107" t="n"/>
      <c r="K57" s="107" t="n"/>
      <c r="L57" s="107" t="n"/>
      <c r="M57" s="115" t="inlineStr">
        <is>
          <t>D</t>
        </is>
      </c>
      <c r="N57" s="107" t="n"/>
      <c r="O57" s="116" t="inlineStr">
        <is>
          <t>N</t>
        </is>
      </c>
      <c r="P57" s="107" t="n"/>
      <c r="Q57" s="116" t="inlineStr">
        <is>
          <t>N</t>
        </is>
      </c>
      <c r="R57" s="107" t="n"/>
      <c r="S57" s="107" t="n"/>
      <c r="T57" s="107" t="n"/>
      <c r="U57" s="107" t="n"/>
      <c r="V57" s="107" t="n"/>
      <c r="W57" s="107" t="n"/>
      <c r="X57" s="116" t="inlineStr">
        <is>
          <t>N</t>
        </is>
      </c>
      <c r="Y57" s="107" t="n"/>
      <c r="Z57" s="107" t="n"/>
      <c r="AA57" s="115" t="inlineStr">
        <is>
          <t>D</t>
        </is>
      </c>
      <c r="AB57" s="107" t="n"/>
      <c r="AC57" s="116" t="inlineStr">
        <is>
          <t>N</t>
        </is>
      </c>
      <c r="AD57" s="107" t="n"/>
      <c r="AE57" s="116" t="inlineStr">
        <is>
          <t>N</t>
        </is>
      </c>
      <c r="AF57" s="107" t="n"/>
      <c r="AG57" s="107" t="n"/>
      <c r="AH57" s="107" t="n"/>
      <c r="AI57" s="107" t="n"/>
      <c r="AJ57" s="107" t="n"/>
      <c r="AK57" s="107" t="n"/>
      <c r="AL57" s="116" t="inlineStr">
        <is>
          <t>N</t>
        </is>
      </c>
      <c r="AM57" s="96" t="n"/>
      <c r="AN57" s="123">
        <f>IFERROR(INDEX(OUT!I$8:I$73,MATCH($A57,OUT!$A$8:$A$73,0))&amp;"","")</f>
        <v/>
      </c>
      <c r="AO57" s="123">
        <f>IFERROR(INDEX(OUT!J$8:J$73,MATCH($A57,OUT!$A$8:$A$73,0))&amp;"","")</f>
        <v/>
      </c>
      <c r="AP57" s="109">
        <f>IFERROR(INDEX(OUT!K$8:K$73,MATCH($A57,OUT!$A$8:$A$73,0))&amp;"","")</f>
        <v/>
      </c>
      <c r="AQ57" s="109">
        <f>IFERROR(INDEX(OUT!L$8:L$73,MATCH($A57,OUT!$A$8:$A$73,0))&amp;"","")</f>
        <v/>
      </c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SUMPRODUCT(($H57:$N57="M")*6+($H57:$N57="T")*6+($H57:$N57="D")*12+($H57:$N57="N")*12+($H57:$N57="NT")*6+($H57:$N57="C")*10+($H57:$N57="A")*8+($H57:$N57="J")*5+($H57:$N57="E")*4+($H57:$N57="P")*6+($H57:$N57="R")*6)</f>
        <v/>
      </c>
      <c r="BF57" s="110">
        <f>SUMPRODUCT(($O57:$U57="M")*6+($O57:$U57="T")*6+($O57:$U57="D")*12+($O57:$U57="N")*12+($O57:$U57="NT")*6+($O57:$U57="C")*10+($O57:$U57="A")*8+($O57:$U57="J")*5+($O57:$U57="E")*4+($O57:$U57="P")*6+($O57:$U57="R")*6)</f>
        <v/>
      </c>
      <c r="BG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H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I57" s="110">
        <f>SUMPRODUCT(($AJ57:$AL57="M")*6+($AJ57:$AL57="T")*6+($AJ57:$AL57="D")*12+($AJ57:$AL57="N")*12+($AJ57:$AL57="NT")*6+($AJ57:$AL57="C")*10+($AJ57:$AL57="A")*8+($AJ57:$AL57="J")*5+($AJ57:$AL57="E")*4+($AJ57:$AL57="P")*6+($AJ57:$AL57="R")*6)+SUMPRODUCT(($AN57:$AQ57="M")*6+($AN57:$AQ57="T")*6+($AN57:$AQ57="D")*12+($AN57:$AQ57="N")*12+($AN57:$AQ57="NT")*6+($AN57:$AQ57="C")*10+($AN57:$AQ57="A")*8+($AN57:$AQ57="J")*5+($AN57:$AQ57="E")*4+($AN57:$AQ57="P")*6+($AN57:$AQ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3">
        <f>IFERROR(INDEX(AGO!AM$8:AM$73,MATCH($A58,AGO!$A$8:$A$73,0))&amp;"","")</f>
        <v/>
      </c>
      <c r="I58" s="115" t="inlineStr">
        <is>
          <t>D</t>
        </is>
      </c>
      <c r="J58" s="107" t="n"/>
      <c r="K58" s="107" t="n"/>
      <c r="L58" s="115" t="inlineStr">
        <is>
          <t>D</t>
        </is>
      </c>
      <c r="M58" s="107" t="n"/>
      <c r="N58" s="107" t="n"/>
      <c r="O58" s="107" t="n"/>
      <c r="P58" s="107" t="n"/>
      <c r="Q58" s="107" t="n"/>
      <c r="R58" s="116" t="inlineStr">
        <is>
          <t>N</t>
        </is>
      </c>
      <c r="S58" s="107" t="n"/>
      <c r="T58" s="115" t="inlineStr">
        <is>
          <t>D</t>
        </is>
      </c>
      <c r="U58" s="107" t="n"/>
      <c r="V58" s="115" t="inlineStr">
        <is>
          <t>D</t>
        </is>
      </c>
      <c r="W58" s="107" t="n"/>
      <c r="X58" s="115" t="inlineStr">
        <is>
          <t>D</t>
        </is>
      </c>
      <c r="Y58" s="107" t="n"/>
      <c r="Z58" s="107" t="n"/>
      <c r="AA58" s="107" t="n"/>
      <c r="AB58" s="107" t="n"/>
      <c r="AC58" s="107" t="n"/>
      <c r="AD58" s="107" t="n"/>
      <c r="AE58" s="116" t="inlineStr">
        <is>
          <t>N</t>
        </is>
      </c>
      <c r="AF58" s="107" t="n"/>
      <c r="AG58" s="107" t="n"/>
      <c r="AH58" s="115" t="inlineStr">
        <is>
          <t>D</t>
        </is>
      </c>
      <c r="AI58" s="107" t="n"/>
      <c r="AJ58" s="115" t="inlineStr">
        <is>
          <t>D</t>
        </is>
      </c>
      <c r="AK58" s="107" t="n"/>
      <c r="AL58" s="116" t="inlineStr">
        <is>
          <t>N</t>
        </is>
      </c>
      <c r="AM58" s="96" t="n"/>
      <c r="AN58" s="123">
        <f>IFERROR(INDEX(OUT!I$8:I$73,MATCH($A58,OUT!$A$8:$A$73,0))&amp;"","")</f>
        <v/>
      </c>
      <c r="AO58" s="123">
        <f>IFERROR(INDEX(OUT!J$8:J$73,MATCH($A58,OUT!$A$8:$A$73,0))&amp;"","")</f>
        <v/>
      </c>
      <c r="AP58" s="109">
        <f>IFERROR(INDEX(OUT!K$8:K$73,MATCH($A58,OUT!$A$8:$A$73,0))&amp;"","")</f>
        <v/>
      </c>
      <c r="AQ58" s="109">
        <f>IFERROR(INDEX(OUT!L$8:L$73,MATCH($A58,OUT!$A$8:$A$73,0))&amp;"","")</f>
        <v/>
      </c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SUMPRODUCT(($H58:$N58="M")*6+($H58:$N58="T")*6+($H58:$N58="D")*12+($H58:$N58="N")*12+($H58:$N58="NT")*6+($H58:$N58="C")*10+($H58:$N58="A")*8+($H58:$N58="J")*5+($H58:$N58="E")*4+($H58:$N58="P")*6+($H58:$N58="R")*6)</f>
        <v/>
      </c>
      <c r="BF58" s="110">
        <f>SUMPRODUCT(($O58:$U58="M")*6+($O58:$U58="T")*6+($O58:$U58="D")*12+($O58:$U58="N")*12+($O58:$U58="NT")*6+($O58:$U58="C")*10+($O58:$U58="A")*8+($O58:$U58="J")*5+($O58:$U58="E")*4+($O58:$U58="P")*6+($O58:$U58="R")*6)</f>
        <v/>
      </c>
      <c r="BG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H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I58" s="110">
        <f>SUMPRODUCT(($AJ58:$AL58="M")*6+($AJ58:$AL58="T")*6+($AJ58:$AL58="D")*12+($AJ58:$AL58="N")*12+($AJ58:$AL58="NT")*6+($AJ58:$AL58="C")*10+($AJ58:$AL58="A")*8+($AJ58:$AL58="J")*5+($AJ58:$AL58="E")*4+($AJ58:$AL58="P")*6+($AJ58:$AL58="R")*6)+SUMPRODUCT(($AN58:$AQ58="M")*6+($AN58:$AQ58="T")*6+($AN58:$AQ58="D")*12+($AN58:$AQ58="N")*12+($AN58:$AQ58="NT")*6+($AN58:$AQ58="C")*10+($AN58:$AQ58="A")*8+($AN58:$AQ58="J")*5+($AN58:$AQ58="E")*4+($AN58:$AQ58="P")*6+($AN58:$AQ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3">
        <f>IFERROR(INDEX(AGO!AM$8:AM$73,MATCH($A59,AGO!$A$8:$A$73,0))&amp;"","")</f>
        <v/>
      </c>
      <c r="I59" s="107" t="n"/>
      <c r="J59" s="116" t="inlineStr">
        <is>
          <t>N</t>
        </is>
      </c>
      <c r="K59" s="107" t="n"/>
      <c r="L59" s="107" t="n"/>
      <c r="M59" s="107" t="n"/>
      <c r="N59" s="117" t="inlineStr">
        <is>
          <t>T</t>
        </is>
      </c>
      <c r="O59" s="107" t="n"/>
      <c r="P59" s="107" t="n"/>
      <c r="Q59" s="116" t="inlineStr">
        <is>
          <t>N</t>
        </is>
      </c>
      <c r="R59" s="107" t="n"/>
      <c r="S59" s="107" t="n"/>
      <c r="T59" s="107" t="n"/>
      <c r="U59" s="116" t="inlineStr">
        <is>
          <t>N</t>
        </is>
      </c>
      <c r="V59" s="107" t="n"/>
      <c r="W59" s="107" t="n"/>
      <c r="X59" s="116" t="inlineStr">
        <is>
          <t>N</t>
        </is>
      </c>
      <c r="Y59" s="107" t="n"/>
      <c r="Z59" s="116" t="inlineStr">
        <is>
          <t>N</t>
        </is>
      </c>
      <c r="AA59" s="107" t="n"/>
      <c r="AB59" s="117" t="inlineStr">
        <is>
          <t>T</t>
        </is>
      </c>
      <c r="AC59" s="107" t="n"/>
      <c r="AD59" s="116" t="inlineStr">
        <is>
          <t>N</t>
        </is>
      </c>
      <c r="AE59" s="116" t="inlineStr">
        <is>
          <t>N</t>
        </is>
      </c>
      <c r="AF59" s="107" t="n"/>
      <c r="AG59" s="116" t="inlineStr">
        <is>
          <t>N</t>
        </is>
      </c>
      <c r="AH59" s="107" t="n"/>
      <c r="AI59" s="107" t="n"/>
      <c r="AJ59" s="107" t="n"/>
      <c r="AK59" s="107" t="n"/>
      <c r="AL59" s="116" t="inlineStr">
        <is>
          <t>N</t>
        </is>
      </c>
      <c r="AM59" s="96" t="n"/>
      <c r="AN59" s="123">
        <f>IFERROR(INDEX(OUT!I$8:I$73,MATCH($A59,OUT!$A$8:$A$73,0))&amp;"","")</f>
        <v/>
      </c>
      <c r="AO59" s="123">
        <f>IFERROR(INDEX(OUT!J$8:J$73,MATCH($A59,OUT!$A$8:$A$73,0))&amp;"","")</f>
        <v/>
      </c>
      <c r="AP59" s="109">
        <f>IFERROR(INDEX(OUT!K$8:K$73,MATCH($A59,OUT!$A$8:$A$73,0))&amp;"","")</f>
        <v/>
      </c>
      <c r="AQ59" s="109">
        <f>IFERROR(INDEX(OUT!L$8:L$73,MATCH($A59,OUT!$A$8:$A$73,0))&amp;"","")</f>
        <v/>
      </c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SUMPRODUCT(($H59:$N59="M")*6+($H59:$N59="T")*6+($H59:$N59="D")*12+($H59:$N59="N")*12+($H59:$N59="NT")*6+($H59:$N59="C")*10+($H59:$N59="A")*8+($H59:$N59="J")*5+($H59:$N59="E")*4+($H59:$N59="P")*6+($H59:$N59="R")*6)</f>
        <v/>
      </c>
      <c r="BF59" s="110">
        <f>SUMPRODUCT(($O59:$U59="M")*6+($O59:$U59="T")*6+($O59:$U59="D")*12+($O59:$U59="N")*12+($O59:$U59="NT")*6+($O59:$U59="C")*10+($O59:$U59="A")*8+($O59:$U59="J")*5+($O59:$U59="E")*4+($O59:$U59="P")*6+($O59:$U59="R")*6)</f>
        <v/>
      </c>
      <c r="BG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H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I59" s="110">
        <f>SUMPRODUCT(($AJ59:$AL59="M")*6+($AJ59:$AL59="T")*6+($AJ59:$AL59="D")*12+($AJ59:$AL59="N")*12+($AJ59:$AL59="NT")*6+($AJ59:$AL59="C")*10+($AJ59:$AL59="A")*8+($AJ59:$AL59="J")*5+($AJ59:$AL59="E")*4+($AJ59:$AL59="P")*6+($AJ59:$AL59="R")*6)+SUMPRODUCT(($AN59:$AQ59="M")*6+($AN59:$AQ59="T")*6+($AN59:$AQ59="D")*12+($AN59:$AQ59="N")*12+($AN59:$AQ59="NT")*6+($AN59:$AQ59="C")*10+($AN59:$AQ59="A")*8+($AN59:$AQ59="J")*5+($AN59:$AQ59="E")*4+($AN59:$AQ59="P")*6+($AN59:$AQ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3">
        <f>IFERROR(INDEX(AGO!AM$8:AM$73,MATCH($A60,AGO!$A$8:$A$73,0))&amp;"","")</f>
        <v/>
      </c>
      <c r="I60" s="107" t="n"/>
      <c r="J60" s="116" t="inlineStr">
        <is>
          <t>N</t>
        </is>
      </c>
      <c r="K60" s="107" t="n"/>
      <c r="L60" s="116" t="inlineStr">
        <is>
          <t>N</t>
        </is>
      </c>
      <c r="M60" s="107" t="n"/>
      <c r="N60" s="107" t="n"/>
      <c r="O60" s="107" t="n"/>
      <c r="P60" s="107" t="n"/>
      <c r="Q60" s="116" t="inlineStr">
        <is>
          <t>N</t>
        </is>
      </c>
      <c r="R60" s="107" t="n"/>
      <c r="S60" s="107" t="n"/>
      <c r="T60" s="107" t="n"/>
      <c r="U60" s="115" t="inlineStr">
        <is>
          <t>D</t>
        </is>
      </c>
      <c r="V60" s="107" t="n"/>
      <c r="W60" s="107" t="n"/>
      <c r="X60" s="116" t="inlineStr">
        <is>
          <t>N</t>
        </is>
      </c>
      <c r="Y60" s="107" t="n"/>
      <c r="Z60" s="116" t="inlineStr">
        <is>
          <t>N</t>
        </is>
      </c>
      <c r="AA60" s="107" t="n"/>
      <c r="AB60" s="107" t="n"/>
      <c r="AC60" s="107" t="n"/>
      <c r="AD60" s="107" t="n"/>
      <c r="AE60" s="107" t="n"/>
      <c r="AF60" s="107" t="n"/>
      <c r="AG60" s="116" t="inlineStr">
        <is>
          <t>N</t>
        </is>
      </c>
      <c r="AH60" s="107" t="n"/>
      <c r="AI60" s="116" t="inlineStr">
        <is>
          <t>N</t>
        </is>
      </c>
      <c r="AJ60" s="107" t="n"/>
      <c r="AK60" s="107" t="n"/>
      <c r="AL60" s="116" t="inlineStr">
        <is>
          <t>N</t>
        </is>
      </c>
      <c r="AM60" s="96" t="n"/>
      <c r="AN60" s="123">
        <f>IFERROR(INDEX(OUT!I$8:I$73,MATCH($A60,OUT!$A$8:$A$73,0))&amp;"","")</f>
        <v/>
      </c>
      <c r="AO60" s="123">
        <f>IFERROR(INDEX(OUT!J$8:J$73,MATCH($A60,OUT!$A$8:$A$73,0))&amp;"","")</f>
        <v/>
      </c>
      <c r="AP60" s="109">
        <f>IFERROR(INDEX(OUT!K$8:K$73,MATCH($A60,OUT!$A$8:$A$73,0))&amp;"","")</f>
        <v/>
      </c>
      <c r="AQ60" s="109">
        <f>IFERROR(INDEX(OUT!L$8:L$73,MATCH($A60,OUT!$A$8:$A$73,0))&amp;"","")</f>
        <v/>
      </c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SUMPRODUCT(($H60:$N60="M")*6+($H60:$N60="T")*6+($H60:$N60="D")*12+($H60:$N60="N")*12+($H60:$N60="NT")*6+($H60:$N60="C")*10+($H60:$N60="A")*8+($H60:$N60="J")*5+($H60:$N60="E")*4+($H60:$N60="P")*6+($H60:$N60="R")*6)</f>
        <v/>
      </c>
      <c r="BF60" s="110">
        <f>SUMPRODUCT(($O60:$U60="M")*6+($O60:$U60="T")*6+($O60:$U60="D")*12+($O60:$U60="N")*12+($O60:$U60="NT")*6+($O60:$U60="C")*10+($O60:$U60="A")*8+($O60:$U60="J")*5+($O60:$U60="E")*4+($O60:$U60="P")*6+($O60:$U60="R")*6)</f>
        <v/>
      </c>
      <c r="BG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H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I60" s="110">
        <f>SUMPRODUCT(($AJ60:$AL60="M")*6+($AJ60:$AL60="T")*6+($AJ60:$AL60="D")*12+($AJ60:$AL60="N")*12+($AJ60:$AL60="NT")*6+($AJ60:$AL60="C")*10+($AJ60:$AL60="A")*8+($AJ60:$AL60="J")*5+($AJ60:$AL60="E")*4+($AJ60:$AL60="P")*6+($AJ60:$AL60="R")*6)+SUMPRODUCT(($AN60:$AQ60="M")*6+($AN60:$AQ60="T")*6+($AN60:$AQ60="D")*12+($AN60:$AQ60="N")*12+($AN60:$AQ60="NT")*6+($AN60:$AQ60="C")*10+($AN60:$AQ60="A")*8+($AN60:$AQ60="J")*5+($AN60:$AQ60="E")*4+($AN60:$AQ60="P")*6+($AN60:$AQ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3">
        <f>IFERROR(INDEX(AGO!AM$8:AM$73,MATCH($A61,AGO!$A$8:$A$73,0))&amp;"","")</f>
        <v/>
      </c>
      <c r="I61" s="107" t="n"/>
      <c r="J61" s="107" t="n"/>
      <c r="K61" s="107" t="n"/>
      <c r="L61" s="107" t="n"/>
      <c r="M61" s="107" t="n"/>
      <c r="N61" s="116" t="inlineStr">
        <is>
          <t>N</t>
        </is>
      </c>
      <c r="O61" s="107" t="n"/>
      <c r="P61" s="107" t="n"/>
      <c r="Q61" s="107" t="n"/>
      <c r="R61" s="115" t="inlineStr">
        <is>
          <t>D</t>
        </is>
      </c>
      <c r="S61" s="116" t="inlineStr">
        <is>
          <t>N</t>
        </is>
      </c>
      <c r="T61" s="107" t="n"/>
      <c r="U61" s="107" t="n"/>
      <c r="V61" s="115" t="inlineStr">
        <is>
          <t>D</t>
        </is>
      </c>
      <c r="W61" s="107" t="n"/>
      <c r="X61" s="107" t="n"/>
      <c r="Y61" s="115" t="inlineStr">
        <is>
          <t>D</t>
        </is>
      </c>
      <c r="Z61" s="107" t="n"/>
      <c r="AA61" s="107" t="n"/>
      <c r="AB61" s="107" t="n"/>
      <c r="AC61" s="115" t="inlineStr">
        <is>
          <t>D</t>
        </is>
      </c>
      <c r="AD61" s="107" t="n"/>
      <c r="AE61" s="107" t="n"/>
      <c r="AF61" s="107" t="n"/>
      <c r="AG61" s="107" t="n"/>
      <c r="AH61" s="107" t="n"/>
      <c r="AI61" s="115" t="inlineStr">
        <is>
          <t>D</t>
        </is>
      </c>
      <c r="AJ61" s="115" t="inlineStr">
        <is>
          <t>D</t>
        </is>
      </c>
      <c r="AK61" s="107" t="n"/>
      <c r="AL61" s="116" t="inlineStr">
        <is>
          <t>N</t>
        </is>
      </c>
      <c r="AM61" s="96" t="n"/>
      <c r="AN61" s="123">
        <f>IFERROR(INDEX(OUT!I$8:I$73,MATCH($A61,OUT!$A$8:$A$73,0))&amp;"","")</f>
        <v/>
      </c>
      <c r="AO61" s="123">
        <f>IFERROR(INDEX(OUT!J$8:J$73,MATCH($A61,OUT!$A$8:$A$73,0))&amp;"","")</f>
        <v/>
      </c>
      <c r="AP61" s="109">
        <f>IFERROR(INDEX(OUT!K$8:K$73,MATCH($A61,OUT!$A$8:$A$73,0))&amp;"","")</f>
        <v/>
      </c>
      <c r="AQ61" s="109">
        <f>IFERROR(INDEX(OUT!L$8:L$73,MATCH($A61,OUT!$A$8:$A$73,0))&amp;"","")</f>
        <v/>
      </c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SUMPRODUCT(($H61:$N61="M")*6+($H61:$N61="T")*6+($H61:$N61="D")*12+($H61:$N61="N")*12+($H61:$N61="NT")*6+($H61:$N61="C")*10+($H61:$N61="A")*8+($H61:$N61="J")*5+($H61:$N61="E")*4+($H61:$N61="P")*6+($H61:$N61="R")*6)</f>
        <v/>
      </c>
      <c r="BF61" s="110">
        <f>SUMPRODUCT(($O61:$U61="M")*6+($O61:$U61="T")*6+($O61:$U61="D")*12+($O61:$U61="N")*12+($O61:$U61="NT")*6+($O61:$U61="C")*10+($O61:$U61="A")*8+($O61:$U61="J")*5+($O61:$U61="E")*4+($O61:$U61="P")*6+($O61:$U61="R")*6)</f>
        <v/>
      </c>
      <c r="BG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H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I61" s="110">
        <f>SUMPRODUCT(($AJ61:$AL61="M")*6+($AJ61:$AL61="T")*6+($AJ61:$AL61="D")*12+($AJ61:$AL61="N")*12+($AJ61:$AL61="NT")*6+($AJ61:$AL61="C")*10+($AJ61:$AL61="A")*8+($AJ61:$AL61="J")*5+($AJ61:$AL61="E")*4+($AJ61:$AL61="P")*6+($AJ61:$AL61="R")*6)+SUMPRODUCT(($AN61:$AQ61="M")*6+($AN61:$AQ61="T")*6+($AN61:$AQ61="D")*12+($AN61:$AQ61="N")*12+($AN61:$AQ61="NT")*6+($AN61:$AQ61="C")*10+($AN61:$AQ61="A")*8+($AN61:$AQ61="J")*5+($AN61:$AQ61="E")*4+($AN61:$AQ61="P")*6+($AN61:$AQ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3">
        <f>IFERROR(INDEX(AGO!AM$8:AM$73,MATCH($A62,AGO!$A$8:$A$73,0))&amp;"","")</f>
        <v/>
      </c>
      <c r="I62" s="128" t="inlineStr">
        <is>
          <t>FE</t>
        </is>
      </c>
      <c r="J62" s="128" t="inlineStr">
        <is>
          <t>FE</t>
        </is>
      </c>
      <c r="K62" s="128" t="inlineStr">
        <is>
          <t>FE</t>
        </is>
      </c>
      <c r="L62" s="128" t="inlineStr">
        <is>
          <t>FE</t>
        </is>
      </c>
      <c r="M62" s="128" t="inlineStr">
        <is>
          <t>FE</t>
        </is>
      </c>
      <c r="N62" s="128" t="inlineStr">
        <is>
          <t>FE</t>
        </is>
      </c>
      <c r="O62" s="128" t="inlineStr">
        <is>
          <t>FE</t>
        </is>
      </c>
      <c r="P62" s="128" t="inlineStr">
        <is>
          <t>FE</t>
        </is>
      </c>
      <c r="Q62" s="128" t="inlineStr">
        <is>
          <t>FE</t>
        </is>
      </c>
      <c r="R62" s="128" t="inlineStr">
        <is>
          <t>FE</t>
        </is>
      </c>
      <c r="S62" s="128" t="inlineStr">
        <is>
          <t>FE</t>
        </is>
      </c>
      <c r="T62" s="128" t="inlineStr">
        <is>
          <t>FE</t>
        </is>
      </c>
      <c r="U62" s="128" t="inlineStr">
        <is>
          <t>FE</t>
        </is>
      </c>
      <c r="V62" s="128" t="inlineStr">
        <is>
          <t>FE</t>
        </is>
      </c>
      <c r="W62" s="116" t="inlineStr">
        <is>
          <t>N</t>
        </is>
      </c>
      <c r="X62" s="107" t="n"/>
      <c r="Y62" s="107" t="n"/>
      <c r="Z62" s="107" t="n"/>
      <c r="AA62" s="115" t="inlineStr">
        <is>
          <t>D</t>
        </is>
      </c>
      <c r="AB62" s="107" t="n"/>
      <c r="AC62" s="107" t="n"/>
      <c r="AD62" s="116" t="inlineStr">
        <is>
          <t>N</t>
        </is>
      </c>
      <c r="AE62" s="107" t="n"/>
      <c r="AF62" s="115" t="inlineStr">
        <is>
          <t>D</t>
        </is>
      </c>
      <c r="AG62" s="107" t="n"/>
      <c r="AH62" s="107" t="n"/>
      <c r="AI62" s="107" t="n"/>
      <c r="AJ62" s="107" t="n"/>
      <c r="AK62" s="116" t="inlineStr">
        <is>
          <t>N</t>
        </is>
      </c>
      <c r="AL62" s="107" t="n"/>
      <c r="AM62" s="96" t="n"/>
      <c r="AN62" s="123">
        <f>IFERROR(INDEX(OUT!I$8:I$73,MATCH($A62,OUT!$A$8:$A$73,0))&amp;"","")</f>
        <v/>
      </c>
      <c r="AO62" s="123">
        <f>IFERROR(INDEX(OUT!J$8:J$73,MATCH($A62,OUT!$A$8:$A$73,0))&amp;"","")</f>
        <v/>
      </c>
      <c r="AP62" s="109">
        <f>IFERROR(INDEX(OUT!K$8:K$73,MATCH($A62,OUT!$A$8:$A$73,0))&amp;"","")</f>
        <v/>
      </c>
      <c r="AQ62" s="109">
        <f>IFERROR(INDEX(OUT!L$8:L$73,MATCH($A62,OUT!$A$8:$A$73,0))&amp;"","")</f>
        <v/>
      </c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SUMPRODUCT(($H62:$N62="M")*6+($H62:$N62="T")*6+($H62:$N62="D")*12+($H62:$N62="N")*12+($H62:$N62="NT")*6+($H62:$N62="C")*10+($H62:$N62="A")*8+($H62:$N62="J")*5+($H62:$N62="E")*4+($H62:$N62="P")*6+($H62:$N62="R")*6)</f>
        <v/>
      </c>
      <c r="BF62" s="110">
        <f>SUMPRODUCT(($O62:$U62="M")*6+($O62:$U62="T")*6+($O62:$U62="D")*12+($O62:$U62="N")*12+($O62:$U62="NT")*6+($O62:$U62="C")*10+($O62:$U62="A")*8+($O62:$U62="J")*5+($O62:$U62="E")*4+($O62:$U62="P")*6+($O62:$U62="R")*6)</f>
        <v/>
      </c>
      <c r="BG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H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I62" s="110">
        <f>SUMPRODUCT(($AJ62:$AL62="M")*6+($AJ62:$AL62="T")*6+($AJ62:$AL62="D")*12+($AJ62:$AL62="N")*12+($AJ62:$AL62="NT")*6+($AJ62:$AL62="C")*10+($AJ62:$AL62="A")*8+($AJ62:$AL62="J")*5+($AJ62:$AL62="E")*4+($AJ62:$AL62="P")*6+($AJ62:$AL62="R")*6)+SUMPRODUCT(($AN62:$AQ62="M")*6+($AN62:$AQ62="T")*6+($AN62:$AQ62="D")*12+($AN62:$AQ62="N")*12+($AN62:$AQ62="NT")*6+($AN62:$AQ62="C")*10+($AN62:$AQ62="A")*8+($AN62:$AQ62="J")*5+($AN62:$AQ62="E")*4+($AN62:$AQ62="P")*6+($AN62:$AQ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3">
        <f>IFERROR(INDEX(AGO!AM$8:AM$73,MATCH($A63,AGO!$A$8:$A$73,0))&amp;"","")</f>
        <v/>
      </c>
      <c r="I63" s="107" t="n"/>
      <c r="J63" s="108" t="inlineStr">
        <is>
          <t>M</t>
        </is>
      </c>
      <c r="K63" s="115" t="inlineStr">
        <is>
          <t>D</t>
        </is>
      </c>
      <c r="L63" s="107" t="n"/>
      <c r="M63" s="107" t="n"/>
      <c r="N63" s="107" t="n"/>
      <c r="O63" s="128" t="inlineStr">
        <is>
          <t>FE</t>
        </is>
      </c>
      <c r="P63" s="128" t="inlineStr">
        <is>
          <t>FE</t>
        </is>
      </c>
      <c r="Q63" s="128" t="inlineStr">
        <is>
          <t>FE</t>
        </is>
      </c>
      <c r="R63" s="128" t="inlineStr">
        <is>
          <t>FE</t>
        </is>
      </c>
      <c r="S63" s="128" t="inlineStr">
        <is>
          <t>FE</t>
        </is>
      </c>
      <c r="T63" s="128" t="inlineStr">
        <is>
          <t>FE</t>
        </is>
      </c>
      <c r="U63" s="128" t="inlineStr">
        <is>
          <t>FE</t>
        </is>
      </c>
      <c r="V63" s="128" t="inlineStr">
        <is>
          <t>FE</t>
        </is>
      </c>
      <c r="W63" s="128" t="inlineStr">
        <is>
          <t>FE</t>
        </is>
      </c>
      <c r="X63" s="128" t="inlineStr">
        <is>
          <t>FE</t>
        </is>
      </c>
      <c r="Y63" s="128" t="inlineStr">
        <is>
          <t>FE</t>
        </is>
      </c>
      <c r="Z63" s="128" t="inlineStr">
        <is>
          <t>FE</t>
        </is>
      </c>
      <c r="AA63" s="128" t="inlineStr">
        <is>
          <t>FE</t>
        </is>
      </c>
      <c r="AB63" s="128" t="inlineStr">
        <is>
          <t>FE</t>
        </is>
      </c>
      <c r="AC63" s="128" t="inlineStr">
        <is>
          <t>FE</t>
        </is>
      </c>
      <c r="AD63" s="107" t="n"/>
      <c r="AE63" s="107" t="n"/>
      <c r="AF63" s="107" t="n"/>
      <c r="AG63" s="107" t="n"/>
      <c r="AH63" s="117" t="inlineStr">
        <is>
          <t>T</t>
        </is>
      </c>
      <c r="AI63" s="115" t="inlineStr">
        <is>
          <t>D</t>
        </is>
      </c>
      <c r="AJ63" s="115" t="inlineStr">
        <is>
          <t>D</t>
        </is>
      </c>
      <c r="AK63" s="107" t="n"/>
      <c r="AL63" s="107" t="n"/>
      <c r="AM63" s="96" t="n"/>
      <c r="AN63" s="123">
        <f>IFERROR(INDEX(OUT!I$8:I$73,MATCH($A63,OUT!$A$8:$A$73,0))&amp;"","")</f>
        <v/>
      </c>
      <c r="AO63" s="123">
        <f>IFERROR(INDEX(OUT!J$8:J$73,MATCH($A63,OUT!$A$8:$A$73,0))&amp;"","")</f>
        <v/>
      </c>
      <c r="AP63" s="109">
        <f>IFERROR(INDEX(OUT!K$8:K$73,MATCH($A63,OUT!$A$8:$A$73,0))&amp;"","")</f>
        <v/>
      </c>
      <c r="AQ63" s="109">
        <f>IFERROR(INDEX(OUT!L$8:L$73,MATCH($A63,OUT!$A$8:$A$73,0))&amp;"","")</f>
        <v/>
      </c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SUMPRODUCT(($H63:$N63="M")*6+($H63:$N63="T")*6+($H63:$N63="D")*12+($H63:$N63="N")*12+($H63:$N63="NT")*6+($H63:$N63="C")*10+($H63:$N63="A")*8+($H63:$N63="J")*5+($H63:$N63="E")*4+($H63:$N63="P")*6+($H63:$N63="R")*6)</f>
        <v/>
      </c>
      <c r="BF63" s="110">
        <f>SUMPRODUCT(($O63:$U63="M")*6+($O63:$U63="T")*6+($O63:$U63="D")*12+($O63:$U63="N")*12+($O63:$U63="NT")*6+($O63:$U63="C")*10+($O63:$U63="A")*8+($O63:$U63="J")*5+($O63:$U63="E")*4+($O63:$U63="P")*6+($O63:$U63="R")*6)</f>
        <v/>
      </c>
      <c r="BG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H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I63" s="110">
        <f>SUMPRODUCT(($AJ63:$AL63="M")*6+($AJ63:$AL63="T")*6+($AJ63:$AL63="D")*12+($AJ63:$AL63="N")*12+($AJ63:$AL63="NT")*6+($AJ63:$AL63="C")*10+($AJ63:$AL63="A")*8+($AJ63:$AL63="J")*5+($AJ63:$AL63="E")*4+($AJ63:$AL63="P")*6+($AJ63:$AL63="R")*6)+SUMPRODUCT(($AN63:$AQ63="M")*6+($AN63:$AQ63="T")*6+($AN63:$AQ63="D")*12+($AN63:$AQ63="N")*12+($AN63:$AQ63="NT")*6+($AN63:$AQ63="C")*10+($AN63:$AQ63="A")*8+($AN63:$AQ63="J")*5+($AN63:$AQ63="E")*4+($AN63:$AQ63="P")*6+($AN63:$AQ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3">
        <f>IFERROR(INDEX(AGO!AM$8:AM$73,MATCH($A64,AGO!$A$8:$A$73,0))&amp;"","")</f>
        <v/>
      </c>
      <c r="I64" s="117" t="inlineStr">
        <is>
          <t>T</t>
        </is>
      </c>
      <c r="J64" s="117" t="inlineStr">
        <is>
          <t>T</t>
        </is>
      </c>
      <c r="K64" s="107" t="n"/>
      <c r="L64" s="107" t="n"/>
      <c r="M64" s="107" t="n"/>
      <c r="N64" s="107" t="n"/>
      <c r="O64" s="116" t="inlineStr">
        <is>
          <t>N</t>
        </is>
      </c>
      <c r="P64" s="107" t="n"/>
      <c r="Q64" s="107" t="n"/>
      <c r="R64" s="107" t="n"/>
      <c r="S64" s="107" t="n"/>
      <c r="T64" s="116" t="inlineStr">
        <is>
          <t>N</t>
        </is>
      </c>
      <c r="U64" s="107" t="n"/>
      <c r="V64" s="117" t="inlineStr">
        <is>
          <t>T</t>
        </is>
      </c>
      <c r="W64" s="116" t="inlineStr">
        <is>
          <t>N</t>
        </is>
      </c>
      <c r="X64" s="117" t="inlineStr">
        <is>
          <t>T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7" t="inlineStr">
        <is>
          <t>T</t>
        </is>
      </c>
      <c r="AG64" s="117" t="inlineStr">
        <is>
          <t>T</t>
        </is>
      </c>
      <c r="AH64" s="116" t="inlineStr">
        <is>
          <t>N</t>
        </is>
      </c>
      <c r="AI64" s="107" t="n"/>
      <c r="AJ64" s="117" t="inlineStr">
        <is>
          <t>T</t>
        </is>
      </c>
      <c r="AK64" s="107" t="n"/>
      <c r="AL64" s="117" t="inlineStr">
        <is>
          <t>T</t>
        </is>
      </c>
      <c r="AM64" s="96" t="n"/>
      <c r="AN64" s="123">
        <f>IFERROR(INDEX(OUT!I$8:I$73,MATCH($A64,OUT!$A$8:$A$73,0))&amp;"","")</f>
        <v/>
      </c>
      <c r="AO64" s="123">
        <f>IFERROR(INDEX(OUT!J$8:J$73,MATCH($A64,OUT!$A$8:$A$73,0))&amp;"","")</f>
        <v/>
      </c>
      <c r="AP64" s="109">
        <f>IFERROR(INDEX(OUT!K$8:K$73,MATCH($A64,OUT!$A$8:$A$73,0))&amp;"","")</f>
        <v/>
      </c>
      <c r="AQ64" s="109">
        <f>IFERROR(INDEX(OUT!L$8:L$73,MATCH($A64,OUT!$A$8:$A$73,0))&amp;"","")</f>
        <v/>
      </c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SUMPRODUCT(($H64:$N64="M")*6+($H64:$N64="T")*6+($H64:$N64="D")*12+($H64:$N64="N")*12+($H64:$N64="NT")*6+($H64:$N64="C")*10+($H64:$N64="A")*8+($H64:$N64="J")*5+($H64:$N64="E")*4+($H64:$N64="P")*6+($H64:$N64="R")*6)</f>
        <v/>
      </c>
      <c r="BF64" s="110">
        <f>SUMPRODUCT(($O64:$U64="M")*6+($O64:$U64="T")*6+($O64:$U64="D")*12+($O64:$U64="N")*12+($O64:$U64="NT")*6+($O64:$U64="C")*10+($O64:$U64="A")*8+($O64:$U64="J")*5+($O64:$U64="E")*4+($O64:$U64="P")*6+($O64:$U64="R")*6)</f>
        <v/>
      </c>
      <c r="BG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H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I64" s="110">
        <f>SUMPRODUCT(($AJ64:$AL64="M")*6+($AJ64:$AL64="T")*6+($AJ64:$AL64="D")*12+($AJ64:$AL64="N")*12+($AJ64:$AL64="NT")*6+($AJ64:$AL64="C")*10+($AJ64:$AL64="A")*8+($AJ64:$AL64="J")*5+($AJ64:$AL64="E")*4+($AJ64:$AL64="P")*6+($AJ64:$AL64="R")*6)+SUMPRODUCT(($AN64:$AQ64="M")*6+($AN64:$AQ64="T")*6+($AN64:$AQ64="D")*12+($AN64:$AQ64="N")*12+($AN64:$AQ64="NT")*6+($AN64:$AQ64="C")*10+($AN64:$AQ64="A")*8+($AN64:$AQ64="J")*5+($AN64:$AQ64="E")*4+($AN64:$AQ64="P")*6+($AN64:$AQ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3">
        <f>IFERROR(INDEX(AGO!AM$8:AM$73,MATCH($A65,AGO!$A$8:$A$73,0))&amp;"","")</f>
        <v/>
      </c>
      <c r="I65" s="107" t="n"/>
      <c r="J65" s="107" t="n"/>
      <c r="K65" s="107" t="n"/>
      <c r="L65" s="115" t="inlineStr">
        <is>
          <t>D</t>
        </is>
      </c>
      <c r="M65" s="115" t="inlineStr">
        <is>
          <t>D</t>
        </is>
      </c>
      <c r="N65" s="107" t="n"/>
      <c r="O65" s="108" t="inlineStr">
        <is>
          <t>M</t>
        </is>
      </c>
      <c r="P65" s="107" t="n"/>
      <c r="Q65" s="107" t="n"/>
      <c r="R65" s="108" t="inlineStr">
        <is>
          <t>M</t>
        </is>
      </c>
      <c r="S65" s="115" t="inlineStr">
        <is>
          <t>D</t>
        </is>
      </c>
      <c r="T65" s="107" t="n"/>
      <c r="U65" s="107" t="n"/>
      <c r="V65" s="107" t="n"/>
      <c r="W65" s="107" t="n"/>
      <c r="X65" s="107" t="n"/>
      <c r="Y65" s="107" t="n"/>
      <c r="Z65" s="116" t="inlineStr">
        <is>
          <t>N</t>
        </is>
      </c>
      <c r="AA65" s="107" t="n"/>
      <c r="AB65" s="115" t="inlineStr">
        <is>
          <t>D</t>
        </is>
      </c>
      <c r="AC65" s="107" t="n"/>
      <c r="AD65" s="107" t="n"/>
      <c r="AE65" s="115" t="inlineStr">
        <is>
          <t>D</t>
        </is>
      </c>
      <c r="AF65" s="107" t="n"/>
      <c r="AG65" s="115" t="inlineStr">
        <is>
          <t>D</t>
        </is>
      </c>
      <c r="AH65" s="107" t="n"/>
      <c r="AI65" s="107" t="n"/>
      <c r="AJ65" s="107" t="n"/>
      <c r="AK65" s="107" t="n"/>
      <c r="AL65" s="115" t="inlineStr">
        <is>
          <t>D</t>
        </is>
      </c>
      <c r="AM65" s="96" t="n"/>
      <c r="AN65" s="123">
        <f>IFERROR(INDEX(OUT!I$8:I$73,MATCH($A65,OUT!$A$8:$A$73,0))&amp;"","")</f>
        <v/>
      </c>
      <c r="AO65" s="123">
        <f>IFERROR(INDEX(OUT!J$8:J$73,MATCH($A65,OUT!$A$8:$A$73,0))&amp;"","")</f>
        <v/>
      </c>
      <c r="AP65" s="109">
        <f>IFERROR(INDEX(OUT!K$8:K$73,MATCH($A65,OUT!$A$8:$A$73,0))&amp;"","")</f>
        <v/>
      </c>
      <c r="AQ65" s="109">
        <f>IFERROR(INDEX(OUT!L$8:L$73,MATCH($A65,OUT!$A$8:$A$73,0))&amp;"","")</f>
        <v/>
      </c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SUMPRODUCT(($H65:$N65="M")*6+($H65:$N65="T")*6+($H65:$N65="D")*12+($H65:$N65="N")*12+($H65:$N65="NT")*6+($H65:$N65="C")*10+($H65:$N65="A")*8+($H65:$N65="J")*5+($H65:$N65="E")*4+($H65:$N65="P")*6+($H65:$N65="R")*6)</f>
        <v/>
      </c>
      <c r="BF65" s="110">
        <f>SUMPRODUCT(($O65:$U65="M")*6+($O65:$U65="T")*6+($O65:$U65="D")*12+($O65:$U65="N")*12+($O65:$U65="NT")*6+($O65:$U65="C")*10+($O65:$U65="A")*8+($O65:$U65="J")*5+($O65:$U65="E")*4+($O65:$U65="P")*6+($O65:$U65="R")*6)</f>
        <v/>
      </c>
      <c r="BG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H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I65" s="110">
        <f>SUMPRODUCT(($AJ65:$AL65="M")*6+($AJ65:$AL65="T")*6+($AJ65:$AL65="D")*12+($AJ65:$AL65="N")*12+($AJ65:$AL65="NT")*6+($AJ65:$AL65="C")*10+($AJ65:$AL65="A")*8+($AJ65:$AL65="J")*5+($AJ65:$AL65="E")*4+($AJ65:$AL65="P")*6+($AJ65:$AL65="R")*6)+SUMPRODUCT(($AN65:$AQ65="M")*6+($AN65:$AQ65="T")*6+($AN65:$AQ65="D")*12+($AN65:$AQ65="N")*12+($AN65:$AQ65="NT")*6+($AN65:$AQ65="C")*10+($AN65:$AQ65="A")*8+($AN65:$AQ65="J")*5+($AN65:$AQ65="E")*4+($AN65:$AQ65="P")*6+($AN65:$AQ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3">
        <f>IFERROR(INDEX(AGO!AM$8:AM$73,MATCH($A66,AGO!$A$8:$A$73,0))&amp;"","")</f>
        <v/>
      </c>
      <c r="I66" s="107" t="n"/>
      <c r="J66" s="107" t="n"/>
      <c r="K66" s="116" t="inlineStr">
        <is>
          <t>N</t>
        </is>
      </c>
      <c r="L66" s="107" t="n"/>
      <c r="M66" s="107" t="n"/>
      <c r="N66" s="107" t="n"/>
      <c r="O66" s="107" t="n"/>
      <c r="P66" s="107" t="n"/>
      <c r="Q66" s="107" t="n"/>
      <c r="R66" s="116" t="inlineStr">
        <is>
          <t>N</t>
        </is>
      </c>
      <c r="S66" s="107" t="n"/>
      <c r="T66" s="116" t="inlineStr">
        <is>
          <t>N</t>
        </is>
      </c>
      <c r="U66" s="107" t="n"/>
      <c r="V66" s="116" t="inlineStr">
        <is>
          <t>N</t>
        </is>
      </c>
      <c r="W66" s="107" t="n"/>
      <c r="X66" s="107" t="n"/>
      <c r="Y66" s="117" t="inlineStr">
        <is>
          <t>T</t>
        </is>
      </c>
      <c r="Z66" s="117" t="inlineStr">
        <is>
          <t>T</t>
        </is>
      </c>
      <c r="AA66" s="107" t="n"/>
      <c r="AB66" s="107" t="n"/>
      <c r="AC66" s="107" t="n"/>
      <c r="AD66" s="107" t="n"/>
      <c r="AE66" s="107" t="n"/>
      <c r="AF66" s="107" t="n"/>
      <c r="AG66" s="116" t="inlineStr">
        <is>
          <t>N</t>
        </is>
      </c>
      <c r="AH66" s="107" t="n"/>
      <c r="AI66" s="115" t="inlineStr">
        <is>
          <t>D</t>
        </is>
      </c>
      <c r="AJ66" s="116" t="inlineStr">
        <is>
          <t>N</t>
        </is>
      </c>
      <c r="AK66" s="107" t="n"/>
      <c r="AL66" s="107" t="n"/>
      <c r="AM66" s="96" t="n"/>
      <c r="AN66" s="123">
        <f>IFERROR(INDEX(OUT!I$8:I$73,MATCH($A66,OUT!$A$8:$A$73,0))&amp;"","")</f>
        <v/>
      </c>
      <c r="AO66" s="123">
        <f>IFERROR(INDEX(OUT!J$8:J$73,MATCH($A66,OUT!$A$8:$A$73,0))&amp;"","")</f>
        <v/>
      </c>
      <c r="AP66" s="109">
        <f>IFERROR(INDEX(OUT!K$8:K$73,MATCH($A66,OUT!$A$8:$A$73,0))&amp;"","")</f>
        <v/>
      </c>
      <c r="AQ66" s="109">
        <f>IFERROR(INDEX(OUT!L$8:L$73,MATCH($A66,OUT!$A$8:$A$73,0))&amp;"","")</f>
        <v/>
      </c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SUMPRODUCT(($H66:$N66="M")*6+($H66:$N66="T")*6+($H66:$N66="D")*12+($H66:$N66="N")*12+($H66:$N66="NT")*6+($H66:$N66="C")*10+($H66:$N66="A")*8+($H66:$N66="J")*5+($H66:$N66="E")*4+($H66:$N66="P")*6+($H66:$N66="R")*6)</f>
        <v/>
      </c>
      <c r="BF66" s="110">
        <f>SUMPRODUCT(($O66:$U66="M")*6+($O66:$U66="T")*6+($O66:$U66="D")*12+($O66:$U66="N")*12+($O66:$U66="NT")*6+($O66:$U66="C")*10+($O66:$U66="A")*8+($O66:$U66="J")*5+($O66:$U66="E")*4+($O66:$U66="P")*6+($O66:$U66="R")*6)</f>
        <v/>
      </c>
      <c r="BG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H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I66" s="110">
        <f>SUMPRODUCT(($AJ66:$AL66="M")*6+($AJ66:$AL66="T")*6+($AJ66:$AL66="D")*12+($AJ66:$AL66="N")*12+($AJ66:$AL66="NT")*6+($AJ66:$AL66="C")*10+($AJ66:$AL66="A")*8+($AJ66:$AL66="J")*5+($AJ66:$AL66="E")*4+($AJ66:$AL66="P")*6+($AJ66:$AL66="R")*6)+SUMPRODUCT(($AN66:$AQ66="M")*6+($AN66:$AQ66="T")*6+($AN66:$AQ66="D")*12+($AN66:$AQ66="N")*12+($AN66:$AQ66="NT")*6+($AN66:$AQ66="C")*10+($AN66:$AQ66="A")*8+($AN66:$AQ66="J")*5+($AN66:$AQ66="E")*4+($AN66:$AQ66="P")*6+($AN66:$AQ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3">
        <f>IFERROR(INDEX(AGO!AM$8:AM$73,MATCH($A67,AGO!$A$8:$A$73,0))&amp;"","")</f>
        <v/>
      </c>
      <c r="I67" s="107" t="n"/>
      <c r="J67" s="108" t="inlineStr">
        <is>
          <t>M</t>
        </is>
      </c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16" t="inlineStr">
        <is>
          <t>N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7" t="n"/>
      <c r="Z67" s="116" t="inlineStr">
        <is>
          <t>N</t>
        </is>
      </c>
      <c r="AA67" s="107" t="n"/>
      <c r="AB67" s="107" t="n"/>
      <c r="AC67" s="107" t="n"/>
      <c r="AD67" s="108" t="inlineStr">
        <is>
          <t>M</t>
        </is>
      </c>
      <c r="AE67" s="108" t="inlineStr">
        <is>
          <t>M</t>
        </is>
      </c>
      <c r="AF67" s="107" t="n"/>
      <c r="AG67" s="107" t="n"/>
      <c r="AH67" s="116" t="inlineStr">
        <is>
          <t>N</t>
        </is>
      </c>
      <c r="AI67" s="107" t="n"/>
      <c r="AJ67" s="108" t="inlineStr">
        <is>
          <t>M</t>
        </is>
      </c>
      <c r="AK67" s="108" t="inlineStr">
        <is>
          <t>M</t>
        </is>
      </c>
      <c r="AL67" s="108" t="inlineStr">
        <is>
          <t>M</t>
        </is>
      </c>
      <c r="AM67" s="96" t="n"/>
      <c r="AN67" s="123">
        <f>IFERROR(INDEX(OUT!I$8:I$73,MATCH($A67,OUT!$A$8:$A$73,0))&amp;"","")</f>
        <v/>
      </c>
      <c r="AO67" s="123">
        <f>IFERROR(INDEX(OUT!J$8:J$73,MATCH($A67,OUT!$A$8:$A$73,0))&amp;"","")</f>
        <v/>
      </c>
      <c r="AP67" s="109">
        <f>IFERROR(INDEX(OUT!K$8:K$73,MATCH($A67,OUT!$A$8:$A$73,0))&amp;"","")</f>
        <v/>
      </c>
      <c r="AQ67" s="109">
        <f>IFERROR(INDEX(OUT!L$8:L$73,MATCH($A67,OUT!$A$8:$A$73,0))&amp;"","")</f>
        <v/>
      </c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SUMPRODUCT(($H67:$N67="M")*6+($H67:$N67="T")*6+($H67:$N67="D")*12+($H67:$N67="N")*12+($H67:$N67="NT")*6+($H67:$N67="C")*10+($H67:$N67="A")*8+($H67:$N67="J")*5+($H67:$N67="E")*4+($H67:$N67="P")*6+($H67:$N67="R")*6)</f>
        <v/>
      </c>
      <c r="BF67" s="110">
        <f>SUMPRODUCT(($O67:$U67="M")*6+($O67:$U67="T")*6+($O67:$U67="D")*12+($O67:$U67="N")*12+($O67:$U67="NT")*6+($O67:$U67="C")*10+($O67:$U67="A")*8+($O67:$U67="J")*5+($O67:$U67="E")*4+($O67:$U67="P")*6+($O67:$U67="R")*6)</f>
        <v/>
      </c>
      <c r="BG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H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I67" s="110">
        <f>SUMPRODUCT(($AJ67:$AL67="M")*6+($AJ67:$AL67="T")*6+($AJ67:$AL67="D")*12+($AJ67:$AL67="N")*12+($AJ67:$AL67="NT")*6+($AJ67:$AL67="C")*10+($AJ67:$AL67="A")*8+($AJ67:$AL67="J")*5+($AJ67:$AL67="E")*4+($AJ67:$AL67="P")*6+($AJ67:$AL67="R")*6)+SUMPRODUCT(($AN67:$AQ67="M")*6+($AN67:$AQ67="T")*6+($AN67:$AQ67="D")*12+($AN67:$AQ67="N")*12+($AN67:$AQ67="NT")*6+($AN67:$AQ67="C")*10+($AN67:$AQ67="A")*8+($AN67:$AQ67="J")*5+($AN67:$AQ67="E")*4+($AN67:$AQ67="P")*6+($AN67:$AQ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3">
        <f>IFERROR(INDEX(AGO!AM$8:AM$73,MATCH($A68,AGO!$A$8:$A$73,0))&amp;"","")</f>
        <v/>
      </c>
      <c r="I68" s="107" t="n"/>
      <c r="J68" s="117" t="inlineStr">
        <is>
          <t>T</t>
        </is>
      </c>
      <c r="K68" s="107" t="n"/>
      <c r="L68" s="115" t="inlineStr">
        <is>
          <t>D</t>
        </is>
      </c>
      <c r="M68" s="107" t="n"/>
      <c r="N68" s="117" t="inlineStr">
        <is>
          <t>T</t>
        </is>
      </c>
      <c r="O68" s="107" t="n"/>
      <c r="P68" s="107" t="n"/>
      <c r="Q68" s="116" t="inlineStr">
        <is>
          <t>N</t>
        </is>
      </c>
      <c r="R68" s="107" t="n"/>
      <c r="S68" s="107" t="n"/>
      <c r="T68" s="115" t="inlineStr">
        <is>
          <t>D</t>
        </is>
      </c>
      <c r="U68" s="107" t="n"/>
      <c r="V68" s="107" t="n"/>
      <c r="W68" s="107" t="n"/>
      <c r="X68" s="115" t="inlineStr">
        <is>
          <t>D</t>
        </is>
      </c>
      <c r="Y68" s="107" t="n"/>
      <c r="Z68" s="115" t="inlineStr">
        <is>
          <t>D</t>
        </is>
      </c>
      <c r="AA68" s="107" t="n"/>
      <c r="AB68" s="107" t="n"/>
      <c r="AC68" s="107" t="n"/>
      <c r="AD68" s="107" t="n"/>
      <c r="AE68" s="115" t="inlineStr">
        <is>
          <t>D</t>
        </is>
      </c>
      <c r="AF68" s="107" t="n"/>
      <c r="AG68" s="115" t="inlineStr">
        <is>
          <t>D</t>
        </is>
      </c>
      <c r="AH68" s="107" t="n"/>
      <c r="AI68" s="107" t="n"/>
      <c r="AJ68" s="107" t="n"/>
      <c r="AK68" s="107" t="n"/>
      <c r="AL68" s="107" t="n"/>
      <c r="AM68" s="96" t="n"/>
      <c r="AN68" s="123">
        <f>IFERROR(INDEX(OUT!I$8:I$73,MATCH($A68,OUT!$A$8:$A$73,0))&amp;"","")</f>
        <v/>
      </c>
      <c r="AO68" s="123">
        <f>IFERROR(INDEX(OUT!J$8:J$73,MATCH($A68,OUT!$A$8:$A$73,0))&amp;"","")</f>
        <v/>
      </c>
      <c r="AP68" s="109">
        <f>IFERROR(INDEX(OUT!K$8:K$73,MATCH($A68,OUT!$A$8:$A$73,0))&amp;"","")</f>
        <v/>
      </c>
      <c r="AQ68" s="109">
        <f>IFERROR(INDEX(OUT!L$8:L$73,MATCH($A68,OUT!$A$8:$A$73,0))&amp;"","")</f>
        <v/>
      </c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SUMPRODUCT(($H68:$N68="M")*6+($H68:$N68="T")*6+($H68:$N68="D")*12+($H68:$N68="N")*12+($H68:$N68="NT")*6+($H68:$N68="C")*10+($H68:$N68="A")*8+($H68:$N68="J")*5+($H68:$N68="E")*4+($H68:$N68="P")*6+($H68:$N68="R")*6)</f>
        <v/>
      </c>
      <c r="BF68" s="110">
        <f>SUMPRODUCT(($O68:$U68="M")*6+($O68:$U68="T")*6+($O68:$U68="D")*12+($O68:$U68="N")*12+($O68:$U68="NT")*6+($O68:$U68="C")*10+($O68:$U68="A")*8+($O68:$U68="J")*5+($O68:$U68="E")*4+($O68:$U68="P")*6+($O68:$U68="R")*6)</f>
        <v/>
      </c>
      <c r="BG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H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I68" s="110">
        <f>SUMPRODUCT(($AJ68:$AL68="M")*6+($AJ68:$AL68="T")*6+($AJ68:$AL68="D")*12+($AJ68:$AL68="N")*12+($AJ68:$AL68="NT")*6+($AJ68:$AL68="C")*10+($AJ68:$AL68="A")*8+($AJ68:$AL68="J")*5+($AJ68:$AL68="E")*4+($AJ68:$AL68="P")*6+($AJ68:$AL68="R")*6)+SUMPRODUCT(($AN68:$AQ68="M")*6+($AN68:$AQ68="T")*6+($AN68:$AQ68="D")*12+($AN68:$AQ68="N")*12+($AN68:$AQ68="NT")*6+($AN68:$AQ68="C")*10+($AN68:$AQ68="A")*8+($AN68:$AQ68="J")*5+($AN68:$AQ68="E")*4+($AN68:$AQ68="P")*6+($AN68:$AQ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3">
        <f>IFERROR(INDEX(AGO!AM$8:AM$73,MATCH($A69,AGO!$A$8:$A$73,0))&amp;"","")</f>
        <v/>
      </c>
      <c r="I69" s="117" t="inlineStr">
        <is>
          <t>T</t>
        </is>
      </c>
      <c r="J69" s="115" t="inlineStr">
        <is>
          <t>D</t>
        </is>
      </c>
      <c r="K69" s="107" t="n"/>
      <c r="L69" s="115" t="inlineStr">
        <is>
          <t>D</t>
        </is>
      </c>
      <c r="M69" s="107" t="n"/>
      <c r="N69" s="107" t="n"/>
      <c r="O69" s="107" t="n"/>
      <c r="P69" s="107" t="n"/>
      <c r="Q69" s="115" t="inlineStr">
        <is>
          <t>D</t>
        </is>
      </c>
      <c r="R69" s="107" t="n"/>
      <c r="S69" s="115" t="inlineStr">
        <is>
          <t>D</t>
        </is>
      </c>
      <c r="T69" s="107" t="n"/>
      <c r="U69" s="107" t="n"/>
      <c r="V69" s="116" t="inlineStr">
        <is>
          <t>N</t>
        </is>
      </c>
      <c r="W69" s="107" t="n"/>
      <c r="X69" s="116" t="inlineStr">
        <is>
          <t>N</t>
        </is>
      </c>
      <c r="Y69" s="107" t="n"/>
      <c r="Z69" s="107" t="n"/>
      <c r="AA69" s="107" t="n"/>
      <c r="AB69" s="107" t="n"/>
      <c r="AC69" s="107" t="n"/>
      <c r="AD69" s="107" t="n"/>
      <c r="AE69" s="115" t="inlineStr">
        <is>
          <t>D</t>
        </is>
      </c>
      <c r="AF69" s="107" t="n"/>
      <c r="AG69" s="107" t="n"/>
      <c r="AH69" s="115" t="inlineStr">
        <is>
          <t>D</t>
        </is>
      </c>
      <c r="AI69" s="107" t="n"/>
      <c r="AJ69" s="115" t="inlineStr">
        <is>
          <t>D</t>
        </is>
      </c>
      <c r="AK69" s="107" t="n"/>
      <c r="AL69" s="107" t="n"/>
      <c r="AM69" s="96" t="n"/>
      <c r="AN69" s="123">
        <f>IFERROR(INDEX(OUT!I$8:I$73,MATCH($A69,OUT!$A$8:$A$73,0))&amp;"","")</f>
        <v/>
      </c>
      <c r="AO69" s="123">
        <f>IFERROR(INDEX(OUT!J$8:J$73,MATCH($A69,OUT!$A$8:$A$73,0))&amp;"","")</f>
        <v/>
      </c>
      <c r="AP69" s="109">
        <f>IFERROR(INDEX(OUT!K$8:K$73,MATCH($A69,OUT!$A$8:$A$73,0))&amp;"","")</f>
        <v/>
      </c>
      <c r="AQ69" s="109">
        <f>IFERROR(INDEX(OUT!L$8:L$73,MATCH($A69,OUT!$A$8:$A$73,0))&amp;"","")</f>
        <v/>
      </c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SUMPRODUCT(($H69:$N69="M")*6+($H69:$N69="T")*6+($H69:$N69="D")*12+($H69:$N69="N")*12+($H69:$N69="NT")*6+($H69:$N69="C")*10+($H69:$N69="A")*8+($H69:$N69="J")*5+($H69:$N69="E")*4+($H69:$N69="P")*6+($H69:$N69="R")*6)</f>
        <v/>
      </c>
      <c r="BF69" s="110">
        <f>SUMPRODUCT(($O69:$U69="M")*6+($O69:$U69="T")*6+($O69:$U69="D")*12+($O69:$U69="N")*12+($O69:$U69="NT")*6+($O69:$U69="C")*10+($O69:$U69="A")*8+($O69:$U69="J")*5+($O69:$U69="E")*4+($O69:$U69="P")*6+($O69:$U69="R")*6)</f>
        <v/>
      </c>
      <c r="BG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H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I69" s="110">
        <f>SUMPRODUCT(($AJ69:$AL69="M")*6+($AJ69:$AL69="T")*6+($AJ69:$AL69="D")*12+($AJ69:$AL69="N")*12+($AJ69:$AL69="NT")*6+($AJ69:$AL69="C")*10+($AJ69:$AL69="A")*8+($AJ69:$AL69="J")*5+($AJ69:$AL69="E")*4+($AJ69:$AL69="P")*6+($AJ69:$AL69="R")*6)+SUMPRODUCT(($AN69:$AQ69="M")*6+($AN69:$AQ69="T")*6+($AN69:$AQ69="D")*12+($AN69:$AQ69="N")*12+($AN69:$AQ69="NT")*6+($AN69:$AQ69="C")*10+($AN69:$AQ69="A")*8+($AN69:$AQ69="J")*5+($AN69:$AQ69="E")*4+($AN69:$AQ69="P")*6+($AN69:$AQ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3">
        <f>IFERROR(INDEX(AGO!AM$8:AM$73,MATCH($A70,AGO!$A$8:$A$73,0))&amp;"","")</f>
        <v/>
      </c>
      <c r="I70" s="116" t="inlineStr">
        <is>
          <t>N</t>
        </is>
      </c>
      <c r="J70" s="117" t="inlineStr">
        <is>
          <t>T</t>
        </is>
      </c>
      <c r="K70" s="108" t="inlineStr">
        <is>
          <t>M</t>
        </is>
      </c>
      <c r="L70" s="107" t="n"/>
      <c r="M70" s="107" t="n"/>
      <c r="N70" s="107" t="n"/>
      <c r="O70" s="107" t="n"/>
      <c r="P70" s="116" t="inlineStr">
        <is>
          <t>N</t>
        </is>
      </c>
      <c r="Q70" s="107" t="n"/>
      <c r="R70" s="107" t="n"/>
      <c r="S70" s="107" t="n"/>
      <c r="T70" s="107" t="n"/>
      <c r="U70" s="116" t="inlineStr">
        <is>
          <t>N</t>
        </is>
      </c>
      <c r="V70" s="107" t="n"/>
      <c r="W70" s="115" t="inlineStr">
        <is>
          <t>D</t>
        </is>
      </c>
      <c r="X70" s="107" t="n"/>
      <c r="Y70" s="107" t="n"/>
      <c r="Z70" s="107" t="n"/>
      <c r="AA70" s="107" t="n"/>
      <c r="AB70" s="115" t="inlineStr">
        <is>
          <t>D</t>
        </is>
      </c>
      <c r="AC70" s="107" t="n"/>
      <c r="AD70" s="115" t="inlineStr">
        <is>
          <t>D</t>
        </is>
      </c>
      <c r="AE70" s="107" t="n"/>
      <c r="AF70" s="115" t="inlineStr">
        <is>
          <t>D</t>
        </is>
      </c>
      <c r="AG70" s="107" t="n"/>
      <c r="AH70" s="107" t="n"/>
      <c r="AI70" s="107" t="n"/>
      <c r="AJ70" s="115" t="inlineStr">
        <is>
          <t>D</t>
        </is>
      </c>
      <c r="AK70" s="107" t="n"/>
      <c r="AL70" s="108" t="inlineStr">
        <is>
          <t>M</t>
        </is>
      </c>
      <c r="AM70" s="96" t="n"/>
      <c r="AN70" s="123">
        <f>IFERROR(INDEX(OUT!I$8:I$73,MATCH($A70,OUT!$A$8:$A$73,0))&amp;"","")</f>
        <v/>
      </c>
      <c r="AO70" s="123">
        <f>IFERROR(INDEX(OUT!J$8:J$73,MATCH($A70,OUT!$A$8:$A$73,0))&amp;"","")</f>
        <v/>
      </c>
      <c r="AP70" s="109">
        <f>IFERROR(INDEX(OUT!K$8:K$73,MATCH($A70,OUT!$A$8:$A$73,0))&amp;"","")</f>
        <v/>
      </c>
      <c r="AQ70" s="109">
        <f>IFERROR(INDEX(OUT!L$8:L$73,MATCH($A70,OUT!$A$8:$A$73,0))&amp;"","")</f>
        <v/>
      </c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SUMPRODUCT(($H70:$N70="M")*6+($H70:$N70="T")*6+($H70:$N70="D")*12+($H70:$N70="N")*12+($H70:$N70="NT")*6+($H70:$N70="C")*10+($H70:$N70="A")*8+($H70:$N70="J")*5+($H70:$N70="E")*4+($H70:$N70="P")*6+($H70:$N70="R")*6)</f>
        <v/>
      </c>
      <c r="BF70" s="110">
        <f>SUMPRODUCT(($O70:$U70="M")*6+($O70:$U70="T")*6+($O70:$U70="D")*12+($O70:$U70="N")*12+($O70:$U70="NT")*6+($O70:$U70="C")*10+($O70:$U70="A")*8+($O70:$U70="J")*5+($O70:$U70="E")*4+($O70:$U70="P")*6+($O70:$U70="R")*6)</f>
        <v/>
      </c>
      <c r="BG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H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I70" s="110">
        <f>SUMPRODUCT(($AJ70:$AL70="M")*6+($AJ70:$AL70="T")*6+($AJ70:$AL70="D")*12+($AJ70:$AL70="N")*12+($AJ70:$AL70="NT")*6+($AJ70:$AL70="C")*10+($AJ70:$AL70="A")*8+($AJ70:$AL70="J")*5+($AJ70:$AL70="E")*4+($AJ70:$AL70="P")*6+($AJ70:$AL70="R")*6)+SUMPRODUCT(($AN70:$AQ70="M")*6+($AN70:$AQ70="T")*6+($AN70:$AQ70="D")*12+($AN70:$AQ70="N")*12+($AN70:$AQ70="NT")*6+($AN70:$AQ70="C")*10+($AN70:$AQ70="A")*8+($AN70:$AQ70="J")*5+($AN70:$AQ70="E")*4+($AN70:$AQ70="P")*6+($AN70:$AQ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3">
        <f>IFERROR(INDEX(AGO!AM$8:AM$73,MATCH($A71,AGO!$A$8:$A$73,0))&amp;"","")</f>
        <v/>
      </c>
      <c r="I71" s="130" t="inlineStr">
        <is>
          <t>A</t>
        </is>
      </c>
      <c r="J71" s="107" t="n"/>
      <c r="K71" s="130" t="inlineStr">
        <is>
          <t>A</t>
        </is>
      </c>
      <c r="L71" s="107" t="n"/>
      <c r="M71" s="107" t="n"/>
      <c r="N71" s="107" t="n"/>
      <c r="O71" s="130" t="inlineStr">
        <is>
          <t>A</t>
        </is>
      </c>
      <c r="P71" s="130" t="inlineStr">
        <is>
          <t>A</t>
        </is>
      </c>
      <c r="Q71" s="107" t="n"/>
      <c r="R71" s="107" t="n"/>
      <c r="S71" s="107" t="n"/>
      <c r="T71" s="107" t="n"/>
      <c r="U71" s="130" t="inlineStr">
        <is>
          <t>A</t>
        </is>
      </c>
      <c r="V71" s="130" t="inlineStr">
        <is>
          <t>A</t>
        </is>
      </c>
      <c r="W71" s="130" t="inlineStr">
        <is>
          <t>A</t>
        </is>
      </c>
      <c r="X71" s="107" t="n"/>
      <c r="Y71" s="130" t="inlineStr">
        <is>
          <t>A</t>
        </is>
      </c>
      <c r="Z71" s="107" t="n"/>
      <c r="AA71" s="107" t="n"/>
      <c r="AB71" s="107" t="n"/>
      <c r="AC71" s="130" t="inlineStr">
        <is>
          <t>A</t>
        </is>
      </c>
      <c r="AD71" s="130" t="inlineStr">
        <is>
          <t>A</t>
        </is>
      </c>
      <c r="AE71" s="107" t="n"/>
      <c r="AF71" s="107" t="n"/>
      <c r="AG71" s="107" t="n"/>
      <c r="AH71" s="107" t="n"/>
      <c r="AI71" s="130" t="inlineStr">
        <is>
          <t>A</t>
        </is>
      </c>
      <c r="AJ71" s="130" t="inlineStr">
        <is>
          <t>A</t>
        </is>
      </c>
      <c r="AK71" s="107" t="n"/>
      <c r="AL71" s="130" t="inlineStr">
        <is>
          <t>A</t>
        </is>
      </c>
      <c r="AM71" s="96" t="n"/>
      <c r="AN71" s="123">
        <f>IFERROR(INDEX(OUT!I$8:I$73,MATCH($A71,OUT!$A$8:$A$73,0))&amp;"","")</f>
        <v/>
      </c>
      <c r="AO71" s="123">
        <f>IFERROR(INDEX(OUT!J$8:J$73,MATCH($A71,OUT!$A$8:$A$73,0))&amp;"","")</f>
        <v/>
      </c>
      <c r="AP71" s="109">
        <f>IFERROR(INDEX(OUT!K$8:K$73,MATCH($A71,OUT!$A$8:$A$73,0))&amp;"","")</f>
        <v/>
      </c>
      <c r="AQ71" s="109">
        <f>IFERROR(INDEX(OUT!L$8:L$73,MATCH($A71,OUT!$A$8:$A$73,0))&amp;"","")</f>
        <v/>
      </c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SUMPRODUCT(($H71:$N71="M")*6+($H71:$N71="T")*6+($H71:$N71="D")*12+($H71:$N71="N")*12+($H71:$N71="NT")*6+($H71:$N71="C")*10+($H71:$N71="A")*8+($H71:$N71="J")*5+($H71:$N71="E")*4+($H71:$N71="P")*6+($H71:$N71="R")*6)</f>
        <v/>
      </c>
      <c r="BF71" s="110">
        <f>SUMPRODUCT(($O71:$U71="M")*6+($O71:$U71="T")*6+($O71:$U71="D")*12+($O71:$U71="N")*12+($O71:$U71="NT")*6+($O71:$U71="C")*10+($O71:$U71="A")*8+($O71:$U71="J")*5+($O71:$U71="E")*4+($O71:$U71="P")*6+($O71:$U71="R")*6)</f>
        <v/>
      </c>
      <c r="BG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H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I71" s="110">
        <f>SUMPRODUCT(($AJ71:$AL71="M")*6+($AJ71:$AL71="T")*6+($AJ71:$AL71="D")*12+($AJ71:$AL71="N")*12+($AJ71:$AL71="NT")*6+($AJ71:$AL71="C")*10+($AJ71:$AL71="A")*8+($AJ71:$AL71="J")*5+($AJ71:$AL71="E")*4+($AJ71:$AL71="P")*6+($AJ71:$AL71="R")*6)+SUMPRODUCT(($AN71:$AQ71="M")*6+($AN71:$AQ71="T")*6+($AN71:$AQ71="D")*12+($AN71:$AQ71="N")*12+($AN71:$AQ71="NT")*6+($AN71:$AQ71="C")*10+($AN71:$AQ71="A")*8+($AN71:$AQ71="J")*5+($AN71:$AQ71="E")*4+($AN71:$AQ71="P")*6+($AN71:$AQ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3">
        <f>IFERROR(INDEX(AGO!AM$8:AM$73,MATCH($A72,AGO!$A$8:$A$73,0))&amp;"","")</f>
        <v/>
      </c>
      <c r="I72" s="117" t="inlineStr">
        <is>
          <t>T</t>
        </is>
      </c>
      <c r="J72" s="130" t="inlineStr">
        <is>
          <t>A</t>
        </is>
      </c>
      <c r="K72" s="107" t="n"/>
      <c r="L72" s="130" t="inlineStr">
        <is>
          <t>A</t>
        </is>
      </c>
      <c r="M72" s="107" t="n"/>
      <c r="N72" s="107" t="n"/>
      <c r="O72" s="107" t="n"/>
      <c r="P72" s="117" t="inlineStr">
        <is>
          <t>T</t>
        </is>
      </c>
      <c r="Q72" s="130" t="inlineStr">
        <is>
          <t>A</t>
        </is>
      </c>
      <c r="R72" s="130" t="inlineStr">
        <is>
          <t>A</t>
        </is>
      </c>
      <c r="S72" s="130" t="inlineStr">
        <is>
          <t>A</t>
        </is>
      </c>
      <c r="T72" s="107" t="n"/>
      <c r="U72" s="107" t="n"/>
      <c r="V72" s="107" t="n"/>
      <c r="W72" s="117" t="inlineStr">
        <is>
          <t>T</t>
        </is>
      </c>
      <c r="X72" s="130" t="inlineStr">
        <is>
          <t>A</t>
        </is>
      </c>
      <c r="Y72" s="130" t="inlineStr">
        <is>
          <t>A</t>
        </is>
      </c>
      <c r="Z72" s="130" t="inlineStr">
        <is>
          <t>A</t>
        </is>
      </c>
      <c r="AA72" s="107" t="n"/>
      <c r="AB72" s="107" t="n"/>
      <c r="AC72" s="107" t="n"/>
      <c r="AD72" s="117" t="inlineStr">
        <is>
          <t>T</t>
        </is>
      </c>
      <c r="AE72" s="130" t="inlineStr">
        <is>
          <t>A</t>
        </is>
      </c>
      <c r="AF72" s="130" t="inlineStr">
        <is>
          <t>A</t>
        </is>
      </c>
      <c r="AG72" s="130" t="inlineStr">
        <is>
          <t>A</t>
        </is>
      </c>
      <c r="AH72" s="107" t="n"/>
      <c r="AI72" s="107" t="n"/>
      <c r="AJ72" s="107" t="n"/>
      <c r="AK72" s="117" t="inlineStr">
        <is>
          <t>T</t>
        </is>
      </c>
      <c r="AL72" s="130" t="inlineStr">
        <is>
          <t>A</t>
        </is>
      </c>
      <c r="AM72" s="96" t="n"/>
      <c r="AN72" s="123">
        <f>IFERROR(INDEX(OUT!I$8:I$73,MATCH($A72,OUT!$A$8:$A$73,0))&amp;"","")</f>
        <v/>
      </c>
      <c r="AO72" s="123">
        <f>IFERROR(INDEX(OUT!J$8:J$73,MATCH($A72,OUT!$A$8:$A$73,0))&amp;"","")</f>
        <v/>
      </c>
      <c r="AP72" s="109">
        <f>IFERROR(INDEX(OUT!K$8:K$73,MATCH($A72,OUT!$A$8:$A$73,0))&amp;"","")</f>
        <v/>
      </c>
      <c r="AQ72" s="109">
        <f>IFERROR(INDEX(OUT!L$8:L$73,MATCH($A72,OUT!$A$8:$A$73,0))&amp;"","")</f>
        <v/>
      </c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SUMPRODUCT(($H72:$N72="M")*6+($H72:$N72="T")*6+($H72:$N72="D")*12+($H72:$N72="N")*12+($H72:$N72="NT")*6+($H72:$N72="C")*10+($H72:$N72="A")*8+($H72:$N72="J")*5+($H72:$N72="E")*4+($H72:$N72="P")*6+($H72:$N72="R")*6)</f>
        <v/>
      </c>
      <c r="BF72" s="110">
        <f>SUMPRODUCT(($O72:$U72="M")*6+($O72:$U72="T")*6+($O72:$U72="D")*12+($O72:$U72="N")*12+($O72:$U72="NT")*6+($O72:$U72="C")*10+($O72:$U72="A")*8+($O72:$U72="J")*5+($O72:$U72="E")*4+($O72:$U72="P")*6+($O72:$U72="R")*6)</f>
        <v/>
      </c>
      <c r="BG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H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I72" s="110">
        <f>SUMPRODUCT(($AJ72:$AL72="M")*6+($AJ72:$AL72="T")*6+($AJ72:$AL72="D")*12+($AJ72:$AL72="N")*12+($AJ72:$AL72="NT")*6+($AJ72:$AL72="C")*10+($AJ72:$AL72="A")*8+($AJ72:$AL72="J")*5+($AJ72:$AL72="E")*4+($AJ72:$AL72="P")*6+($AJ72:$AL72="R")*6)+SUMPRODUCT(($AN72:$AQ72="M")*6+($AN72:$AQ72="T")*6+($AN72:$AQ72="D")*12+($AN72:$AQ72="N")*12+($AN72:$AQ72="NT")*6+($AN72:$AQ72="C")*10+($AN72:$AQ72="A")*8+($AN72:$AQ72="J")*5+($AN72:$AQ72="E")*4+($AN72:$AQ72="P")*6+($AN72:$AQ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3">
        <f>IFERROR(INDEX(AGO!AM$8:AM$73,MATCH($A73,AGO!$A$8:$A$73,0))&amp;"","")</f>
        <v/>
      </c>
      <c r="I73" s="108" t="inlineStr">
        <is>
          <t>M</t>
        </is>
      </c>
      <c r="J73" s="115" t="inlineStr">
        <is>
          <t>D</t>
        </is>
      </c>
      <c r="K73" s="107" t="n"/>
      <c r="L73" s="115" t="inlineStr">
        <is>
          <t>D</t>
        </is>
      </c>
      <c r="M73" s="107" t="n"/>
      <c r="N73" s="107" t="n"/>
      <c r="O73" s="107" t="n"/>
      <c r="P73" s="108" t="inlineStr">
        <is>
          <t>M</t>
        </is>
      </c>
      <c r="Q73" s="115" t="inlineStr">
        <is>
          <t>D</t>
        </is>
      </c>
      <c r="R73" s="107" t="n"/>
      <c r="S73" s="115" t="inlineStr">
        <is>
          <t>D</t>
        </is>
      </c>
      <c r="T73" s="107" t="n"/>
      <c r="U73" s="107" t="n"/>
      <c r="V73" s="107" t="n"/>
      <c r="W73" s="108" t="inlineStr">
        <is>
          <t>M</t>
        </is>
      </c>
      <c r="X73" s="115" t="inlineStr">
        <is>
          <t>D</t>
        </is>
      </c>
      <c r="Y73" s="107" t="n"/>
      <c r="Z73" s="115" t="inlineStr">
        <is>
          <t>D</t>
        </is>
      </c>
      <c r="AA73" s="107" t="n"/>
      <c r="AB73" s="107" t="n"/>
      <c r="AC73" s="107" t="n"/>
      <c r="AD73" s="108" t="inlineStr">
        <is>
          <t>M</t>
        </is>
      </c>
      <c r="AE73" s="115" t="inlineStr">
        <is>
          <t>D</t>
        </is>
      </c>
      <c r="AF73" s="107" t="n"/>
      <c r="AG73" s="115" t="inlineStr">
        <is>
          <t>D</t>
        </is>
      </c>
      <c r="AH73" s="107" t="n"/>
      <c r="AI73" s="107" t="n"/>
      <c r="AJ73" s="107" t="n"/>
      <c r="AK73" s="108" t="inlineStr">
        <is>
          <t>M</t>
        </is>
      </c>
      <c r="AL73" s="107" t="n"/>
      <c r="AM73" s="96" t="n"/>
      <c r="AN73" s="123">
        <f>IFERROR(INDEX(OUT!I$8:I$73,MATCH($A73,OUT!$A$8:$A$73,0))&amp;"","")</f>
        <v/>
      </c>
      <c r="AO73" s="123">
        <f>IFERROR(INDEX(OUT!J$8:J$73,MATCH($A73,OUT!$A$8:$A$73,0))&amp;"","")</f>
        <v/>
      </c>
      <c r="AP73" s="109">
        <f>IFERROR(INDEX(OUT!K$8:K$73,MATCH($A73,OUT!$A$8:$A$73,0))&amp;"","")</f>
        <v/>
      </c>
      <c r="AQ73" s="109">
        <f>IFERROR(INDEX(OUT!L$8:L$73,MATCH($A73,OUT!$A$8:$A$73,0))&amp;"","")</f>
        <v/>
      </c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SUMPRODUCT(($H73:$N73="M")*6+($H73:$N73="T")*6+($H73:$N73="D")*12+($H73:$N73="N")*12+($H73:$N73="NT")*6+($H73:$N73="C")*10+($H73:$N73="A")*8+($H73:$N73="J")*5+($H73:$N73="E")*4+($H73:$N73="P")*6+($H73:$N73="R")*6)</f>
        <v/>
      </c>
      <c r="BF73" s="110">
        <f>SUMPRODUCT(($O73:$U73="M")*6+($O73:$U73="T")*6+($O73:$U73="D")*12+($O73:$U73="N")*12+($O73:$U73="NT")*6+($O73:$U73="C")*10+($O73:$U73="A")*8+($O73:$U73="J")*5+($O73:$U73="E")*4+($O73:$U73="P")*6+($O73:$U73="R")*6)</f>
        <v/>
      </c>
      <c r="BG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H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I73" s="110">
        <f>SUMPRODUCT(($AJ73:$AL73="M")*6+($AJ73:$AL73="T")*6+($AJ73:$AL73="D")*12+($AJ73:$AL73="N")*12+($AJ73:$AL73="NT")*6+($AJ73:$AL73="C")*10+($AJ73:$AL73="A")*8+($AJ73:$AL73="J")*5+($AJ73:$AL73="E")*4+($AJ73:$AL73="P")*6+($AJ73:$AL73="R")*6)+SUMPRODUCT(($AN73:$AQ73="M")*6+($AN73:$AQ73="T")*6+($AN73:$AQ73="D")*12+($AN73:$AQ73="N")*12+($AN73:$AQ73="NT")*6+($AN73:$AQ73="C")*10+($AN73:$AQ73="A")*8+($AN73:$AQ73="J")*5+($AN73:$AQ73="E")*4+($AN73:$AQ73="P")*6+($AN73:$AQ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39" t="n"/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39" t="n"/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39" t="n"/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2">
        <f>MAX(0,CONFIG!$B$9-H75)</f>
        <v/>
      </c>
      <c r="I78" s="122">
        <f>MAX(0,CONFIG!$B$9-I75)</f>
        <v/>
      </c>
      <c r="J78" s="122">
        <f>MAX(0,CONFIG!$B$9-J75)</f>
        <v/>
      </c>
      <c r="K78" s="122">
        <f>MAX(0,CONFIG!$B$9-K75)</f>
        <v/>
      </c>
      <c r="L78" s="122">
        <f>MAX(0,CONFIG!$B$9-L75)</f>
        <v/>
      </c>
      <c r="M78" s="122">
        <f>MAX(0,CONFIG!$B$10-M75)</f>
        <v/>
      </c>
      <c r="N78" s="122">
        <f>MAX(0,CONFIG!$B$11-N75)</f>
        <v/>
      </c>
      <c r="O78" s="122">
        <f>MAX(0,CONFIG!$B$9-O75)</f>
        <v/>
      </c>
      <c r="P78" s="122">
        <f>MAX(0,CONFIG!$B$9-P75)</f>
        <v/>
      </c>
      <c r="Q78" s="122">
        <f>MAX(0,CONFIG!$B$9-Q75)</f>
        <v/>
      </c>
      <c r="R78" s="122">
        <f>MAX(0,CONFIG!$B$9-R75)</f>
        <v/>
      </c>
      <c r="S78" s="122">
        <f>MAX(0,CONFIG!$B$9-S75)</f>
        <v/>
      </c>
      <c r="T78" s="122">
        <f>MAX(0,CONFIG!$B$10-T75)</f>
        <v/>
      </c>
      <c r="U78" s="122">
        <f>MAX(0,CONFIG!$B$11-U75)</f>
        <v/>
      </c>
      <c r="V78" s="122">
        <f>MAX(0,CONFIG!$B$9-V75)</f>
        <v/>
      </c>
      <c r="W78" s="122">
        <f>MAX(0,CONFIG!$B$9-W75)</f>
        <v/>
      </c>
      <c r="X78" s="122">
        <f>MAX(0,CONFIG!$B$9-X75)</f>
        <v/>
      </c>
      <c r="Y78" s="122">
        <f>MAX(0,CONFIG!$B$9-Y75)</f>
        <v/>
      </c>
      <c r="Z78" s="122">
        <f>MAX(0,CONFIG!$B$9-Z75)</f>
        <v/>
      </c>
      <c r="AA78" s="122">
        <f>MAX(0,CONFIG!$B$10-AA75)</f>
        <v/>
      </c>
      <c r="AB78" s="122">
        <f>MAX(0,CONFIG!$B$11-AB75)</f>
        <v/>
      </c>
      <c r="AC78" s="122">
        <f>MAX(0,CONFIG!$B$9-AC75)</f>
        <v/>
      </c>
      <c r="AD78" s="122">
        <f>MAX(0,CONFIG!$B$9-AD75)</f>
        <v/>
      </c>
      <c r="AE78" s="122">
        <f>MAX(0,CONFIG!$B$9-AE75)</f>
        <v/>
      </c>
      <c r="AF78" s="122">
        <f>MAX(0,CONFIG!$B$9-AF75)</f>
        <v/>
      </c>
      <c r="AG78" s="122">
        <f>MAX(0,CONFIG!$B$9-AG75)</f>
        <v/>
      </c>
      <c r="AH78" s="122">
        <f>MAX(0,CONFIG!$B$10-AH75)</f>
        <v/>
      </c>
      <c r="AI78" s="122">
        <f>MAX(0,CONFIG!$B$11-AI75)</f>
        <v/>
      </c>
      <c r="AJ78" s="122">
        <f>MAX(0,CONFIG!$B$9-AJ75)</f>
        <v/>
      </c>
      <c r="AK78" s="122">
        <f>MAX(0,CONFIG!$B$9-AK75)</f>
        <v/>
      </c>
      <c r="AL78" s="122">
        <f>MAX(0,CONFIG!$B$9-AL75)</f>
        <v/>
      </c>
      <c r="AM78" s="39" t="n"/>
      <c r="AN78" s="122">
        <f>MAX(0,CONFIG!$B$4-AN75)</f>
        <v/>
      </c>
      <c r="AO78" s="122">
        <f>MAX(0,CONFIG!$B$4-AO75)</f>
        <v/>
      </c>
      <c r="AP78" s="122">
        <f>MAX(0,CONFIG!$B$5-AP75)</f>
        <v/>
      </c>
      <c r="AQ78" s="122">
        <f>MAX(0,CONFIG!$B$6-AQ75)</f>
        <v/>
      </c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2">
        <f>MAX(0,CONFIG!$C$9-H76)</f>
        <v/>
      </c>
      <c r="I79" s="122">
        <f>MAX(0,CONFIG!$C$9-I76)</f>
        <v/>
      </c>
      <c r="J79" s="122">
        <f>MAX(0,CONFIG!$C$9-J76)</f>
        <v/>
      </c>
      <c r="K79" s="122">
        <f>MAX(0,CONFIG!$C$9-K76)</f>
        <v/>
      </c>
      <c r="L79" s="122">
        <f>MAX(0,CONFIG!$C$9-L76)</f>
        <v/>
      </c>
      <c r="M79" s="122">
        <f>MAX(0,CONFIG!$C$10-M76)</f>
        <v/>
      </c>
      <c r="N79" s="122">
        <f>MAX(0,CONFIG!$C$11-N76)</f>
        <v/>
      </c>
      <c r="O79" s="122">
        <f>MAX(0,CONFIG!$C$9-O76)</f>
        <v/>
      </c>
      <c r="P79" s="122">
        <f>MAX(0,CONFIG!$C$9-P76)</f>
        <v/>
      </c>
      <c r="Q79" s="122">
        <f>MAX(0,CONFIG!$C$9-Q76)</f>
        <v/>
      </c>
      <c r="R79" s="122">
        <f>MAX(0,CONFIG!$C$9-R76)</f>
        <v/>
      </c>
      <c r="S79" s="122">
        <f>MAX(0,CONFIG!$C$9-S76)</f>
        <v/>
      </c>
      <c r="T79" s="122">
        <f>MAX(0,CONFIG!$C$10-T76)</f>
        <v/>
      </c>
      <c r="U79" s="122">
        <f>MAX(0,CONFIG!$C$11-U76)</f>
        <v/>
      </c>
      <c r="V79" s="122">
        <f>MAX(0,CONFIG!$C$9-V76)</f>
        <v/>
      </c>
      <c r="W79" s="122">
        <f>MAX(0,CONFIG!$C$9-W76)</f>
        <v/>
      </c>
      <c r="X79" s="122">
        <f>MAX(0,CONFIG!$C$9-X76)</f>
        <v/>
      </c>
      <c r="Y79" s="122">
        <f>MAX(0,CONFIG!$C$9-Y76)</f>
        <v/>
      </c>
      <c r="Z79" s="122">
        <f>MAX(0,CONFIG!$C$9-Z76)</f>
        <v/>
      </c>
      <c r="AA79" s="122">
        <f>MAX(0,CONFIG!$C$10-AA76)</f>
        <v/>
      </c>
      <c r="AB79" s="122">
        <f>MAX(0,CONFIG!$C$11-AB76)</f>
        <v/>
      </c>
      <c r="AC79" s="122">
        <f>MAX(0,CONFIG!$C$9-AC76)</f>
        <v/>
      </c>
      <c r="AD79" s="122">
        <f>MAX(0,CONFIG!$C$9-AD76)</f>
        <v/>
      </c>
      <c r="AE79" s="122">
        <f>MAX(0,CONFIG!$C$9-AE76)</f>
        <v/>
      </c>
      <c r="AF79" s="122">
        <f>MAX(0,CONFIG!$C$9-AF76)</f>
        <v/>
      </c>
      <c r="AG79" s="122">
        <f>MAX(0,CONFIG!$C$9-AG76)</f>
        <v/>
      </c>
      <c r="AH79" s="122">
        <f>MAX(0,CONFIG!$C$10-AH76)</f>
        <v/>
      </c>
      <c r="AI79" s="122">
        <f>MAX(0,CONFIG!$C$11-AI76)</f>
        <v/>
      </c>
      <c r="AJ79" s="122">
        <f>MAX(0,CONFIG!$C$9-AJ76)</f>
        <v/>
      </c>
      <c r="AK79" s="122">
        <f>MAX(0,CONFIG!$C$9-AK76)</f>
        <v/>
      </c>
      <c r="AL79" s="122">
        <f>MAX(0,CONFIG!$C$9-AL76)</f>
        <v/>
      </c>
      <c r="AM79" s="39" t="n"/>
      <c r="AN79" s="122">
        <f>MAX(0,CONFIG!$C$4-AN76)</f>
        <v/>
      </c>
      <c r="AO79" s="122">
        <f>MAX(0,CONFIG!$C$4-AO76)</f>
        <v/>
      </c>
      <c r="AP79" s="122">
        <f>MAX(0,CONFIG!$C$5-AP76)</f>
        <v/>
      </c>
      <c r="AQ79" s="122">
        <f>MAX(0,CONFIG!$C$6-AQ76)</f>
        <v/>
      </c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2">
        <f>MAX(0,CONFIG!$D$9-H77)</f>
        <v/>
      </c>
      <c r="I80" s="122">
        <f>MAX(0,CONFIG!$D$9-I77)</f>
        <v/>
      </c>
      <c r="J80" s="122">
        <f>MAX(0,CONFIG!$D$9-J77)</f>
        <v/>
      </c>
      <c r="K80" s="122">
        <f>MAX(0,CONFIG!$D$9-K77)</f>
        <v/>
      </c>
      <c r="L80" s="122">
        <f>MAX(0,CONFIG!$D$9-L77)</f>
        <v/>
      </c>
      <c r="M80" s="122">
        <f>MAX(0,CONFIG!$D$10-M77)</f>
        <v/>
      </c>
      <c r="N80" s="122">
        <f>MAX(0,CONFIG!$D$11-N77)</f>
        <v/>
      </c>
      <c r="O80" s="122">
        <f>MAX(0,CONFIG!$D$9-O77)</f>
        <v/>
      </c>
      <c r="P80" s="122">
        <f>MAX(0,CONFIG!$D$9-P77)</f>
        <v/>
      </c>
      <c r="Q80" s="122">
        <f>MAX(0,CONFIG!$D$9-Q77)</f>
        <v/>
      </c>
      <c r="R80" s="122">
        <f>MAX(0,CONFIG!$D$9-R77)</f>
        <v/>
      </c>
      <c r="S80" s="122">
        <f>MAX(0,CONFIG!$D$9-S77)</f>
        <v/>
      </c>
      <c r="T80" s="122">
        <f>MAX(0,CONFIG!$D$10-T77)</f>
        <v/>
      </c>
      <c r="U80" s="122">
        <f>MAX(0,CONFIG!$D$11-U77)</f>
        <v/>
      </c>
      <c r="V80" s="122">
        <f>MAX(0,CONFIG!$D$9-V77)</f>
        <v/>
      </c>
      <c r="W80" s="122">
        <f>MAX(0,CONFIG!$D$9-W77)</f>
        <v/>
      </c>
      <c r="X80" s="122">
        <f>MAX(0,CONFIG!$D$9-X77)</f>
        <v/>
      </c>
      <c r="Y80" s="122">
        <f>MAX(0,CONFIG!$D$9-Y77)</f>
        <v/>
      </c>
      <c r="Z80" s="122">
        <f>MAX(0,CONFIG!$D$9-Z77)</f>
        <v/>
      </c>
      <c r="AA80" s="122">
        <f>MAX(0,CONFIG!$D$10-AA77)</f>
        <v/>
      </c>
      <c r="AB80" s="122">
        <f>MAX(0,CONFIG!$D$11-AB77)</f>
        <v/>
      </c>
      <c r="AC80" s="122">
        <f>MAX(0,CONFIG!$D$9-AC77)</f>
        <v/>
      </c>
      <c r="AD80" s="122">
        <f>MAX(0,CONFIG!$D$9-AD77)</f>
        <v/>
      </c>
      <c r="AE80" s="122">
        <f>MAX(0,CONFIG!$D$9-AE77)</f>
        <v/>
      </c>
      <c r="AF80" s="122">
        <f>MAX(0,CONFIG!$D$9-AF77)</f>
        <v/>
      </c>
      <c r="AG80" s="122">
        <f>MAX(0,CONFIG!$D$9-AG77)</f>
        <v/>
      </c>
      <c r="AH80" s="122">
        <f>MAX(0,CONFIG!$D$10-AH77)</f>
        <v/>
      </c>
      <c r="AI80" s="122">
        <f>MAX(0,CONFIG!$D$11-AI77)</f>
        <v/>
      </c>
      <c r="AJ80" s="122">
        <f>MAX(0,CONFIG!$D$9-AJ77)</f>
        <v/>
      </c>
      <c r="AK80" s="122">
        <f>MAX(0,CONFIG!$D$9-AK77)</f>
        <v/>
      </c>
      <c r="AL80" s="122">
        <f>MAX(0,CONFIG!$D$9-AL77)</f>
        <v/>
      </c>
      <c r="AM80" s="39" t="n"/>
      <c r="AN80" s="122">
        <f>MAX(0,CONFIG!$D$4-AN77)</f>
        <v/>
      </c>
      <c r="AO80" s="122">
        <f>MAX(0,CONFIG!$D$4-AO77)</f>
        <v/>
      </c>
      <c r="AP80" s="122">
        <f>MAX(0,CONFIG!$D$5-AP77)</f>
        <v/>
      </c>
      <c r="AQ80" s="122">
        <f>MAX(0,CONFIG!$D$6-AQ77)</f>
        <v/>
      </c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01/11</t>
        </is>
      </c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3">
        <f>IFERROR(INDEX(SET!AJ$8:AJ$73,MATCH($A8,SET!$A$8:$A$73,0))&amp;"","")</f>
        <v/>
      </c>
      <c r="G8" s="123">
        <f>IFERROR(INDEX(SET!AK$8:AK$73,MATCH($A8,SET!$A$8:$A$73,0))&amp;"","")</f>
        <v/>
      </c>
      <c r="H8" s="123">
        <f>IFERROR(INDEX(SET!AL$8:AL$73,MATCH($A8,SET!$A$8:$A$73,0))&amp;"","")</f>
        <v/>
      </c>
      <c r="I8" s="108" t="inlineStr">
        <is>
          <t>M</t>
        </is>
      </c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07" t="n"/>
      <c r="AN8" s="109">
        <f>IFERROR(INDEX(NOV!I$8:I$73,MATCH($A8,NOV!$A$8:$A$73,0))&amp;"","")</f>
        <v/>
      </c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SUMPRODUCT(($F8:$L8="M")*6+($F8:$L8="T")*6+($F8:$L8="D")*12+($F8:$L8="N")*12+($F8:$L8="NT")*6+($F8:$L8="C")*10+($F8:$L8="A")*8+($F8:$L8="J")*5+($F8:$L8="E")*4+($F8:$L8="P")*6+($F8:$L8="R")*6)</f>
        <v/>
      </c>
      <c r="BF8" s="110">
        <f>SUMPRODUCT(($M8:$S8="M")*6+($M8:$S8="T")*6+($M8:$S8="D")*12+($M8:$S8="N")*12+($M8:$S8="NT")*6+($M8:$S8="C")*10+($M8:$S8="A")*8+($M8:$S8="J")*5+($M8:$S8="E")*4+($M8:$S8="P")*6+($M8:$S8="R")*6)</f>
        <v/>
      </c>
      <c r="BG8" s="110">
        <f>SUMPRODUCT(($T8:$Z8="M")*6+($T8:$Z8="T")*6+($T8:$Z8="D")*12+($T8:$Z8="N")*12+($T8:$Z8="NT")*6+($T8:$Z8="C")*10+($T8:$Z8="A")*8+($T8:$Z8="J")*5+($T8:$Z8="E")*4+($T8:$Z8="P")*6+($T8:$Z8="R")*6)</f>
        <v/>
      </c>
      <c r="BH8" s="110">
        <f>SUMPRODUCT(($AA8:$AG8="M")*6+($AA8:$AG8="T")*6+($AA8:$AG8="D")*12+($AA8:$AG8="N")*12+($AA8:$AG8="NT")*6+($AA8:$AG8="C")*10+($AA8:$AG8="A")*8+($AA8:$AG8="J")*5+($AA8:$AG8="E")*4+($AA8:$AG8="P")*6+($AA8:$AG8="R")*6)</f>
        <v/>
      </c>
      <c r="BI8" s="110">
        <f>SUMPRODUCT(($AH8:$AM8="M")*6+($AH8:$AM8="T")*6+($AH8:$AM8="D")*12+($AH8:$AM8="N")*12+($AH8:$AM8="NT")*6+($AH8:$AM8="C")*10+($AH8:$AM8="A")*8+($AH8:$AM8="J")*5+($AH8:$AM8="E")*4+($AH8:$AM8="P")*6+($AH8:$AM8="R")*6)+SUMPRODUCT(($AN8:$AN8="M")*6+($AN8:$AN8="T")*6+($AN8:$AN8="D")*12+($AN8:$AN8="N")*12+($AN8:$AN8="NT")*6+($AN8:$AN8="C")*10+($AN8:$AN8="A")*8+($AN8:$AN8="J")*5+($AN8:$AN8="E")*4+($AN8:$AN8="P")*6+($AN8:$AN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3">
        <f>IFERROR(INDEX(SET!AJ$8:AJ$73,MATCH($A9,SET!$A$8:$A$73,0))&amp;"","")</f>
        <v/>
      </c>
      <c r="G9" s="123">
        <f>IFERROR(INDEX(SET!AK$8:AK$73,MATCH($A9,SET!$A$8:$A$73,0))&amp;"","")</f>
        <v/>
      </c>
      <c r="H9" s="123">
        <f>IFERROR(INDEX(SET!AL$8:AL$73,MATCH($A9,SET!$A$8:$A$73,0))&amp;"","")</f>
        <v/>
      </c>
      <c r="I9" s="108" t="inlineStr">
        <is>
          <t>M</t>
        </is>
      </c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7" t="n"/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>
        <f>IFERROR(INDEX(NOV!I$8:I$73,MATCH($A9,NOV!$A$8:$A$73,0))&amp;"","")</f>
        <v/>
      </c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SUMPRODUCT(($F9:$L9="M")*6+($F9:$L9="T")*6+($F9:$L9="D")*12+($F9:$L9="N")*12+($F9:$L9="NT")*6+($F9:$L9="C")*10+($F9:$L9="A")*8+($F9:$L9="J")*5+($F9:$L9="E")*4+($F9:$L9="P")*6+($F9:$L9="R")*6)</f>
        <v/>
      </c>
      <c r="BF9" s="110">
        <f>SUMPRODUCT(($M9:$S9="M")*6+($M9:$S9="T")*6+($M9:$S9="D")*12+($M9:$S9="N")*12+($M9:$S9="NT")*6+($M9:$S9="C")*10+($M9:$S9="A")*8+($M9:$S9="J")*5+($M9:$S9="E")*4+($M9:$S9="P")*6+($M9:$S9="R")*6)</f>
        <v/>
      </c>
      <c r="BG9" s="110">
        <f>SUMPRODUCT(($T9:$Z9="M")*6+($T9:$Z9="T")*6+($T9:$Z9="D")*12+($T9:$Z9="N")*12+($T9:$Z9="NT")*6+($T9:$Z9="C")*10+($T9:$Z9="A")*8+($T9:$Z9="J")*5+($T9:$Z9="E")*4+($T9:$Z9="P")*6+($T9:$Z9="R")*6)</f>
        <v/>
      </c>
      <c r="BH9" s="110">
        <f>SUMPRODUCT(($AA9:$AG9="M")*6+($AA9:$AG9="T")*6+($AA9:$AG9="D")*12+($AA9:$AG9="N")*12+($AA9:$AG9="NT")*6+($AA9:$AG9="C")*10+($AA9:$AG9="A")*8+($AA9:$AG9="J")*5+($AA9:$AG9="E")*4+($AA9:$AG9="P")*6+($AA9:$AG9="R")*6)</f>
        <v/>
      </c>
      <c r="BI9" s="110">
        <f>SUMPRODUCT(($AH9:$AM9="M")*6+($AH9:$AM9="T")*6+($AH9:$AM9="D")*12+($AH9:$AM9="N")*12+($AH9:$AM9="NT")*6+($AH9:$AM9="C")*10+($AH9:$AM9="A")*8+($AH9:$AM9="J")*5+($AH9:$AM9="E")*4+($AH9:$AM9="P")*6+($AH9:$AM9="R")*6)+SUMPRODUCT(($AN9:$AN9="M")*6+($AN9:$AN9="T")*6+($AN9:$AN9="D")*12+($AN9:$AN9="N")*12+($AN9:$AN9="NT")*6+($AN9:$AN9="C")*10+($AN9:$AN9="A")*8+($AN9:$AN9="J")*5+($AN9:$AN9="E")*4+($AN9:$AN9="P")*6+($AN9:$AN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3">
        <f>IFERROR(INDEX(SET!AJ$8:AJ$73,MATCH($A10,SET!$A$8:$A$73,0))&amp;"","")</f>
        <v/>
      </c>
      <c r="G10" s="123">
        <f>IFERROR(INDEX(SET!AK$8:AK$73,MATCH($A10,SET!$A$8:$A$73,0))&amp;"","")</f>
        <v/>
      </c>
      <c r="H10" s="123">
        <f>IFERROR(INDEX(SET!AL$8:AL$73,MATCH($A10,SET!$A$8:$A$73,0))&amp;"","")</f>
        <v/>
      </c>
      <c r="I10" s="108" t="inlineStr">
        <is>
          <t>M</t>
        </is>
      </c>
      <c r="J10" s="108" t="inlineStr">
        <is>
          <t>M</t>
        </is>
      </c>
      <c r="K10" s="107" t="n"/>
      <c r="L10" s="107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07" t="n"/>
      <c r="S10" s="107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07" t="n"/>
      <c r="Z10" s="107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07" t="n"/>
      <c r="AG10" s="107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07" t="n"/>
      <c r="AN10" s="109">
        <f>IFERROR(INDEX(NOV!I$8:I$73,MATCH($A10,NOV!$A$8:$A$73,0))&amp;"","")</f>
        <v/>
      </c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SUMPRODUCT(($F10:$L10="M")*6+($F10:$L10="T")*6+($F10:$L10="D")*12+($F10:$L10="N")*12+($F10:$L10="NT")*6+($F10:$L10="C")*10+($F10:$L10="A")*8+($F10:$L10="J")*5+($F10:$L10="E")*4+($F10:$L10="P")*6+($F10:$L10="R")*6)</f>
        <v/>
      </c>
      <c r="BF10" s="110">
        <f>SUMPRODUCT(($M10:$S10="M")*6+($M10:$S10="T")*6+($M10:$S10="D")*12+($M10:$S10="N")*12+($M10:$S10="NT")*6+($M10:$S10="C")*10+($M10:$S10="A")*8+($M10:$S10="J")*5+($M10:$S10="E")*4+($M10:$S10="P")*6+($M10:$S10="R")*6)</f>
        <v/>
      </c>
      <c r="BG10" s="110">
        <f>SUMPRODUCT(($T10:$Z10="M")*6+($T10:$Z10="T")*6+($T10:$Z10="D")*12+($T10:$Z10="N")*12+($T10:$Z10="NT")*6+($T10:$Z10="C")*10+($T10:$Z10="A")*8+($T10:$Z10="J")*5+($T10:$Z10="E")*4+($T10:$Z10="P")*6+($T10:$Z10="R")*6)</f>
        <v/>
      </c>
      <c r="BH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I10" s="110">
        <f>SUMPRODUCT(($AH10:$AM10="M")*6+($AH10:$AM10="T")*6+($AH10:$AM10="D")*12+($AH10:$AM10="N")*12+($AH10:$AM10="NT")*6+($AH10:$AM10="C")*10+($AH10:$AM10="A")*8+($AH10:$AM10="J")*5+($AH10:$AM10="E")*4+($AH10:$AM10="P")*6+($AH10:$AM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3">
        <f>IFERROR(INDEX(SET!AJ$8:AJ$73,MATCH($A11,SET!$A$8:$A$73,0))&amp;"","")</f>
        <v/>
      </c>
      <c r="G11" s="123">
        <f>IFERROR(INDEX(SET!AK$8:AK$73,MATCH($A11,SET!$A$8:$A$73,0))&amp;"","")</f>
        <v/>
      </c>
      <c r="H11" s="123">
        <f>IFERROR(INDEX(SET!AL$8:AL$73,MATCH($A11,SET!$A$8:$A$73,0))&amp;"","")</f>
        <v/>
      </c>
      <c r="I11" s="108" t="inlineStr">
        <is>
          <t>M</t>
        </is>
      </c>
      <c r="J11" s="108" t="inlineStr">
        <is>
          <t>M</t>
        </is>
      </c>
      <c r="K11" s="107" t="n"/>
      <c r="L11" s="116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5" t="inlineStr">
        <is>
          <t>D</t>
        </is>
      </c>
      <c r="Q11" s="108" t="inlineStr">
        <is>
          <t>M</t>
        </is>
      </c>
      <c r="R11" s="107" t="n"/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15" t="inlineStr">
        <is>
          <t>D</t>
        </is>
      </c>
      <c r="X11" s="108" t="inlineStr">
        <is>
          <t>M</t>
        </is>
      </c>
      <c r="Y11" s="107" t="n"/>
      <c r="Z11" s="116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5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5" t="inlineStr">
        <is>
          <t>D</t>
        </is>
      </c>
      <c r="AL11" s="108" t="inlineStr">
        <is>
          <t>M</t>
        </is>
      </c>
      <c r="AM11" s="107" t="n"/>
      <c r="AN11" s="109">
        <f>IFERROR(INDEX(NOV!I$8:I$73,MATCH($A11,NOV!$A$8:$A$73,0))&amp;"","")</f>
        <v/>
      </c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SUMPRODUCT(($F11:$L11="M")*6+($F11:$L11="T")*6+($F11:$L11="D")*12+($F11:$L11="N")*12+($F11:$L11="NT")*6+($F11:$L11="C")*10+($F11:$L11="A")*8+($F11:$L11="J")*5+($F11:$L11="E")*4+($F11:$L11="P")*6+($F11:$L11="R")*6)</f>
        <v/>
      </c>
      <c r="BF11" s="110">
        <f>SUMPRODUCT(($M11:$S11="M")*6+($M11:$S11="T")*6+($M11:$S11="D")*12+($M11:$S11="N")*12+($M11:$S11="NT")*6+($M11:$S11="C")*10+($M11:$S11="A")*8+($M11:$S11="J")*5+($M11:$S11="E")*4+($M11:$S11="P")*6+($M11:$S11="R")*6)</f>
        <v/>
      </c>
      <c r="BG11" s="110">
        <f>SUMPRODUCT(($T11:$Z11="M")*6+($T11:$Z11="T")*6+($T11:$Z11="D")*12+($T11:$Z11="N")*12+($T11:$Z11="NT")*6+($T11:$Z11="C")*10+($T11:$Z11="A")*8+($T11:$Z11="J")*5+($T11:$Z11="E")*4+($T11:$Z11="P")*6+($T11:$Z11="R")*6)</f>
        <v/>
      </c>
      <c r="BH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I11" s="110">
        <f>SUMPRODUCT(($AH11:$AM11="M")*6+($AH11:$AM11="T")*6+($AH11:$AM11="D")*12+($AH11:$AM11="N")*12+($AH11:$AM11="NT")*6+($AH11:$AM11="C")*10+($AH11:$AM11="A")*8+($AH11:$AM11="J")*5+($AH11:$AM11="E")*4+($AH11:$AM11="P")*6+($AH11:$AM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3">
        <f>IFERROR(INDEX(SET!AJ$8:AJ$73,MATCH($A12,SET!$A$8:$A$73,0))&amp;"","")</f>
        <v/>
      </c>
      <c r="G12" s="123">
        <f>IFERROR(INDEX(SET!AK$8:AK$73,MATCH($A12,SET!$A$8:$A$73,0))&amp;"","")</f>
        <v/>
      </c>
      <c r="H12" s="123">
        <f>IFERROR(INDEX(SET!AL$8:AL$73,MATCH($A12,SET!$A$8:$A$73,0))&amp;"","")</f>
        <v/>
      </c>
      <c r="I12" s="117" t="inlineStr">
        <is>
          <t>T</t>
        </is>
      </c>
      <c r="J12" s="117" t="inlineStr">
        <is>
          <t>T</t>
        </is>
      </c>
      <c r="K12" s="107" t="n"/>
      <c r="L12" s="117" t="inlineStr">
        <is>
          <t>T</t>
        </is>
      </c>
      <c r="M12" s="117" t="inlineStr">
        <is>
          <t>T</t>
        </is>
      </c>
      <c r="N12" s="115" t="inlineStr">
        <is>
          <t>D</t>
        </is>
      </c>
      <c r="O12" s="107" t="n"/>
      <c r="P12" s="117" t="inlineStr">
        <is>
          <t>T</t>
        </is>
      </c>
      <c r="Q12" s="117" t="inlineStr">
        <is>
          <t>T</t>
        </is>
      </c>
      <c r="R12" s="107" t="n"/>
      <c r="S12" s="115" t="inlineStr">
        <is>
          <t>D</t>
        </is>
      </c>
      <c r="T12" s="117" t="inlineStr">
        <is>
          <t>T</t>
        </is>
      </c>
      <c r="U12" s="115" t="inlineStr">
        <is>
          <t>D</t>
        </is>
      </c>
      <c r="V12" s="107" t="n"/>
      <c r="W12" s="115" t="inlineStr">
        <is>
          <t>D</t>
        </is>
      </c>
      <c r="X12" s="107" t="n"/>
      <c r="Y12" s="107" t="n"/>
      <c r="Z12" s="108" t="inlineStr">
        <is>
          <t>M</t>
        </is>
      </c>
      <c r="AA12" s="117" t="inlineStr">
        <is>
          <t>T</t>
        </is>
      </c>
      <c r="AB12" s="117" t="inlineStr">
        <is>
          <t>T</t>
        </is>
      </c>
      <c r="AC12" s="107" t="n"/>
      <c r="AD12" s="115" t="inlineStr">
        <is>
          <t>D</t>
        </is>
      </c>
      <c r="AE12" s="117" t="inlineStr">
        <is>
          <t>T</t>
        </is>
      </c>
      <c r="AF12" s="107" t="n"/>
      <c r="AG12" s="115" t="inlineStr">
        <is>
          <t>D</t>
        </is>
      </c>
      <c r="AH12" s="117" t="inlineStr">
        <is>
          <t>T</t>
        </is>
      </c>
      <c r="AI12" s="115" t="inlineStr">
        <is>
          <t>D</t>
        </is>
      </c>
      <c r="AJ12" s="107" t="n"/>
      <c r="AK12" s="115" t="inlineStr">
        <is>
          <t>D</t>
        </is>
      </c>
      <c r="AL12" s="117" t="inlineStr">
        <is>
          <t>T</t>
        </is>
      </c>
      <c r="AM12" s="107" t="n"/>
      <c r="AN12" s="109">
        <f>IFERROR(INDEX(NOV!I$8:I$73,MATCH($A12,NOV!$A$8:$A$73,0))&amp;"","")</f>
        <v/>
      </c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SUMPRODUCT(($F12:$L12="M")*6+($F12:$L12="T")*6+($F12:$L12="D")*12+($F12:$L12="N")*12+($F12:$L12="NT")*6+($F12:$L12="C")*10+($F12:$L12="A")*8+($F12:$L12="J")*5+($F12:$L12="E")*4+($F12:$L12="P")*6+($F12:$L12="R")*6)</f>
        <v/>
      </c>
      <c r="BF12" s="110">
        <f>SUMPRODUCT(($M12:$S12="M")*6+($M12:$S12="T")*6+($M12:$S12="D")*12+($M12:$S12="N")*12+($M12:$S12="NT")*6+($M12:$S12="C")*10+($M12:$S12="A")*8+($M12:$S12="J")*5+($M12:$S12="E")*4+($M12:$S12="P")*6+($M12:$S12="R")*6)</f>
        <v/>
      </c>
      <c r="BG12" s="110">
        <f>SUMPRODUCT(($T12:$Z12="M")*6+($T12:$Z12="T")*6+($T12:$Z12="D")*12+($T12:$Z12="N")*12+($T12:$Z12="NT")*6+($T12:$Z12="C")*10+($T12:$Z12="A")*8+($T12:$Z12="J")*5+($T12:$Z12="E")*4+($T12:$Z12="P")*6+($T12:$Z12="R")*6)</f>
        <v/>
      </c>
      <c r="BH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I12" s="110">
        <f>SUMPRODUCT(($AH12:$AM12="M")*6+($AH12:$AM12="T")*6+($AH12:$AM12="D")*12+($AH12:$AM12="N")*12+($AH12:$AM12="NT")*6+($AH12:$AM12="C")*10+($AH12:$AM12="A")*8+($AH12:$AM12="J")*5+($AH12:$AM12="E")*4+($AH12:$AM12="P")*6+($AH12:$AM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3">
        <f>IFERROR(INDEX(SET!AJ$8:AJ$73,MATCH($A13,SET!$A$8:$A$73,0))&amp;"","")</f>
        <v/>
      </c>
      <c r="G13" s="123">
        <f>IFERROR(INDEX(SET!AK$8:AK$73,MATCH($A13,SET!$A$8:$A$73,0))&amp;"","")</f>
        <v/>
      </c>
      <c r="H13" s="123">
        <f>IFERROR(INDEX(SET!AL$8:AL$73,MATCH($A13,SET!$A$8:$A$73,0))&amp;"","")</f>
        <v/>
      </c>
      <c r="I13" s="108" t="inlineStr">
        <is>
          <t>M</t>
        </is>
      </c>
      <c r="J13" s="108" t="inlineStr">
        <is>
          <t>M</t>
        </is>
      </c>
      <c r="K13" s="116" t="inlineStr">
        <is>
          <t>N</t>
        </is>
      </c>
      <c r="L13" s="107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07" t="n"/>
      <c r="T13" s="128" t="inlineStr">
        <is>
          <t>FE</t>
        </is>
      </c>
      <c r="U13" s="128" t="inlineStr">
        <is>
          <t>FE</t>
        </is>
      </c>
      <c r="V13" s="128" t="inlineStr">
        <is>
          <t>FE</t>
        </is>
      </c>
      <c r="W13" s="128" t="inlineStr">
        <is>
          <t>FE</t>
        </is>
      </c>
      <c r="X13" s="128" t="inlineStr">
        <is>
          <t>FE</t>
        </is>
      </c>
      <c r="Y13" s="128" t="inlineStr">
        <is>
          <t>FE</t>
        </is>
      </c>
      <c r="Z13" s="128" t="inlineStr">
        <is>
          <t>FE</t>
        </is>
      </c>
      <c r="AA13" s="128" t="inlineStr">
        <is>
          <t>FE</t>
        </is>
      </c>
      <c r="AB13" s="128" t="inlineStr">
        <is>
          <t>FE</t>
        </is>
      </c>
      <c r="AC13" s="128" t="inlineStr">
        <is>
          <t>FE</t>
        </is>
      </c>
      <c r="AD13" s="128" t="inlineStr">
        <is>
          <t>FE</t>
        </is>
      </c>
      <c r="AE13" s="128" t="inlineStr">
        <is>
          <t>FE</t>
        </is>
      </c>
      <c r="AF13" s="128" t="inlineStr">
        <is>
          <t>FE</t>
        </is>
      </c>
      <c r="AG13" s="128" t="inlineStr">
        <is>
          <t>FE</t>
        </is>
      </c>
      <c r="AH13" s="128" t="inlineStr">
        <is>
          <t>FE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6" t="inlineStr">
        <is>
          <t>N</t>
        </is>
      </c>
      <c r="AN13" s="109">
        <f>IFERROR(INDEX(NOV!I$8:I$73,MATCH($A13,NOV!$A$8:$A$73,0))&amp;"","")</f>
        <v/>
      </c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SUMPRODUCT(($F13:$L13="M")*6+($F13:$L13="T")*6+($F13:$L13="D")*12+($F13:$L13="N")*12+($F13:$L13="NT")*6+($F13:$L13="C")*10+($F13:$L13="A")*8+($F13:$L13="J")*5+($F13:$L13="E")*4+($F13:$L13="P")*6+($F13:$L13="R")*6)</f>
        <v/>
      </c>
      <c r="BF13" s="110">
        <f>SUMPRODUCT(($M13:$S13="M")*6+($M13:$S13="T")*6+($M13:$S13="D")*12+($M13:$S13="N")*12+($M13:$S13="NT")*6+($M13:$S13="C")*10+($M13:$S13="A")*8+($M13:$S13="J")*5+($M13:$S13="E")*4+($M13:$S13="P")*6+($M13:$S13="R")*6)</f>
        <v/>
      </c>
      <c r="BG13" s="110">
        <f>SUMPRODUCT(($T13:$Z13="M")*6+($T13:$Z13="T")*6+($T13:$Z13="D")*12+($T13:$Z13="N")*12+($T13:$Z13="NT")*6+($T13:$Z13="C")*10+($T13:$Z13="A")*8+($T13:$Z13="J")*5+($T13:$Z13="E")*4+($T13:$Z13="P")*6+($T13:$Z13="R")*6)</f>
        <v/>
      </c>
      <c r="BH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I13" s="110">
        <f>SUMPRODUCT(($AH13:$AM13="M")*6+($AH13:$AM13="T")*6+($AH13:$AM13="D")*12+($AH13:$AM13="N")*12+($AH13:$AM13="NT")*6+($AH13:$AM13="C")*10+($AH13:$AM13="A")*8+($AH13:$AM13="J")*5+($AH13:$AM13="E")*4+($AH13:$AM13="P")*6+($AH13:$AM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3">
        <f>IFERROR(INDEX(SET!AJ$8:AJ$73,MATCH($A14,SET!$A$8:$A$73,0))&amp;"","")</f>
        <v/>
      </c>
      <c r="G14" s="123">
        <f>IFERROR(INDEX(SET!AK$8:AK$73,MATCH($A14,SET!$A$8:$A$73,0))&amp;"","")</f>
        <v/>
      </c>
      <c r="H14" s="123">
        <f>IFERROR(INDEX(SET!AL$8:AL$73,MATCH($A14,SET!$A$8:$A$73,0))&amp;"","")</f>
        <v/>
      </c>
      <c r="I14" s="108" t="inlineStr">
        <is>
          <t>M</t>
        </is>
      </c>
      <c r="J14" s="108" t="inlineStr">
        <is>
          <t>M</t>
        </is>
      </c>
      <c r="K14" s="115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5" t="inlineStr">
        <is>
          <t>D</t>
        </is>
      </c>
      <c r="O14" s="107" t="n"/>
      <c r="P14" s="108" t="inlineStr">
        <is>
          <t>M</t>
        </is>
      </c>
      <c r="Q14" s="107" t="n"/>
      <c r="R14" s="115" t="inlineStr">
        <is>
          <t>D</t>
        </is>
      </c>
      <c r="S14" s="107" t="n"/>
      <c r="T14" s="115" t="inlineStr">
        <is>
          <t>D</t>
        </is>
      </c>
      <c r="U14" s="107" t="n"/>
      <c r="V14" s="107" t="n"/>
      <c r="W14" s="108" t="inlineStr">
        <is>
          <t>M</t>
        </is>
      </c>
      <c r="X14" s="115" t="inlineStr">
        <is>
          <t>D</t>
        </is>
      </c>
      <c r="Y14" s="115" t="inlineStr">
        <is>
          <t>D</t>
        </is>
      </c>
      <c r="Z14" s="108" t="inlineStr">
        <is>
          <t>M</t>
        </is>
      </c>
      <c r="AA14" s="115" t="inlineStr">
        <is>
          <t>D</t>
        </is>
      </c>
      <c r="AB14" s="115" t="inlineStr">
        <is>
          <t>D</t>
        </is>
      </c>
      <c r="AC14" s="107" t="n"/>
      <c r="AD14" s="108" t="inlineStr">
        <is>
          <t>M</t>
        </is>
      </c>
      <c r="AE14" s="108" t="inlineStr">
        <is>
          <t>M</t>
        </is>
      </c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9">
        <f>IFERROR(INDEX(NOV!I$8:I$73,MATCH($A14,NOV!$A$8:$A$73,0))&amp;"","")</f>
        <v/>
      </c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SUMPRODUCT(($F14:$L14="M")*6+($F14:$L14="T")*6+($F14:$L14="D")*12+($F14:$L14="N")*12+($F14:$L14="NT")*6+($F14:$L14="C")*10+($F14:$L14="A")*8+($F14:$L14="J")*5+($F14:$L14="E")*4+($F14:$L14="P")*6+($F14:$L14="R")*6)</f>
        <v/>
      </c>
      <c r="BF14" s="110">
        <f>SUMPRODUCT(($M14:$S14="M")*6+($M14:$S14="T")*6+($M14:$S14="D")*12+($M14:$S14="N")*12+($M14:$S14="NT")*6+($M14:$S14="C")*10+($M14:$S14="A")*8+($M14:$S14="J")*5+($M14:$S14="E")*4+($M14:$S14="P")*6+($M14:$S14="R")*6)</f>
        <v/>
      </c>
      <c r="BG14" s="110">
        <f>SUMPRODUCT(($T14:$Z14="M")*6+($T14:$Z14="T")*6+($T14:$Z14="D")*12+($T14:$Z14="N")*12+($T14:$Z14="NT")*6+($T14:$Z14="C")*10+($T14:$Z14="A")*8+($T14:$Z14="J")*5+($T14:$Z14="E")*4+($T14:$Z14="P")*6+($T14:$Z14="R")*6)</f>
        <v/>
      </c>
      <c r="BH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I14" s="110">
        <f>SUMPRODUCT(($AH14:$AM14="M")*6+($AH14:$AM14="T")*6+($AH14:$AM14="D")*12+($AH14:$AM14="N")*12+($AH14:$AM14="NT")*6+($AH14:$AM14="C")*10+($AH14:$AM14="A")*8+($AH14:$AM14="J")*5+($AH14:$AM14="E")*4+($AH14:$AM14="P")*6+($AH14:$AM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3">
        <f>IFERROR(INDEX(SET!AJ$8:AJ$73,MATCH($A15,SET!$A$8:$A$73,0))&amp;"","")</f>
        <v/>
      </c>
      <c r="G15" s="123">
        <f>IFERROR(INDEX(SET!AK$8:AK$73,MATCH($A15,SET!$A$8:$A$73,0))&amp;"","")</f>
        <v/>
      </c>
      <c r="H15" s="123">
        <f>IFERROR(INDEX(SET!AL$8:AL$73,MATCH($A15,SET!$A$8:$A$73,0))&amp;"","")</f>
        <v/>
      </c>
      <c r="I15" s="108" t="inlineStr">
        <is>
          <t>M</t>
        </is>
      </c>
      <c r="J15" s="108" t="inlineStr">
        <is>
          <t>M</t>
        </is>
      </c>
      <c r="K15" s="116" t="inlineStr">
        <is>
          <t>N</t>
        </is>
      </c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5" t="inlineStr">
        <is>
          <t>D</t>
        </is>
      </c>
      <c r="R15" s="107" t="n"/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6" t="inlineStr">
        <is>
          <t>N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5" t="inlineStr">
        <is>
          <t>D</t>
        </is>
      </c>
      <c r="AF15" s="107" t="n"/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6" t="inlineStr">
        <is>
          <t>N</t>
        </is>
      </c>
      <c r="AN15" s="109">
        <f>IFERROR(INDEX(NOV!I$8:I$73,MATCH($A15,NOV!$A$8:$A$73,0))&amp;"","")</f>
        <v/>
      </c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SUMPRODUCT(($F15:$L15="M")*6+($F15:$L15="T")*6+($F15:$L15="D")*12+($F15:$L15="N")*12+($F15:$L15="NT")*6+($F15:$L15="C")*10+($F15:$L15="A")*8+($F15:$L15="J")*5+($F15:$L15="E")*4+($F15:$L15="P")*6+($F15:$L15="R")*6)</f>
        <v/>
      </c>
      <c r="BF15" s="110">
        <f>SUMPRODUCT(($M15:$S15="M")*6+($M15:$S15="T")*6+($M15:$S15="D")*12+($M15:$S15="N")*12+($M15:$S15="NT")*6+($M15:$S15="C")*10+($M15:$S15="A")*8+($M15:$S15="J")*5+($M15:$S15="E")*4+($M15:$S15="P")*6+($M15:$S15="R")*6)</f>
        <v/>
      </c>
      <c r="BG15" s="110">
        <f>SUMPRODUCT(($T15:$Z15="M")*6+($T15:$Z15="T")*6+($T15:$Z15="D")*12+($T15:$Z15="N")*12+($T15:$Z15="NT")*6+($T15:$Z15="C")*10+($T15:$Z15="A")*8+($T15:$Z15="J")*5+($T15:$Z15="E")*4+($T15:$Z15="P")*6+($T15:$Z15="R")*6)</f>
        <v/>
      </c>
      <c r="BH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I15" s="110">
        <f>SUMPRODUCT(($AH15:$AM15="M")*6+($AH15:$AM15="T")*6+($AH15:$AM15="D")*12+($AH15:$AM15="N")*12+($AH15:$AM15="NT")*6+($AH15:$AM15="C")*10+($AH15:$AM15="A")*8+($AH15:$AM15="J")*5+($AH15:$AM15="E")*4+($AH15:$AM15="P")*6+($AH15:$AM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3">
        <f>IFERROR(INDEX(SET!AJ$8:AJ$73,MATCH($A16,SET!$A$8:$A$73,0))&amp;"","")</f>
        <v/>
      </c>
      <c r="G16" s="123">
        <f>IFERROR(INDEX(SET!AK$8:AK$73,MATCH($A16,SET!$A$8:$A$73,0))&amp;"","")</f>
        <v/>
      </c>
      <c r="H16" s="123">
        <f>IFERROR(INDEX(SET!AL$8:AL$73,MATCH($A16,SET!$A$8:$A$73,0))&amp;"","")</f>
        <v/>
      </c>
      <c r="I16" s="129" t="inlineStr">
        <is>
          <t>J</t>
        </is>
      </c>
      <c r="J16" s="129" t="inlineStr">
        <is>
          <t>J</t>
        </is>
      </c>
      <c r="K16" s="129" t="inlineStr">
        <is>
          <t>J</t>
        </is>
      </c>
      <c r="L16" s="107" t="n"/>
      <c r="M16" s="129" t="inlineStr">
        <is>
          <t>J</t>
        </is>
      </c>
      <c r="N16" s="129" t="inlineStr">
        <is>
          <t>J</t>
        </is>
      </c>
      <c r="O16" s="129" t="inlineStr">
        <is>
          <t>J</t>
        </is>
      </c>
      <c r="P16" s="129" t="inlineStr">
        <is>
          <t>J</t>
        </is>
      </c>
      <c r="Q16" s="129" t="inlineStr">
        <is>
          <t>J</t>
        </is>
      </c>
      <c r="R16" s="129" t="inlineStr">
        <is>
          <t>J</t>
        </is>
      </c>
      <c r="S16" s="107" t="n"/>
      <c r="T16" s="129" t="inlineStr">
        <is>
          <t>J</t>
        </is>
      </c>
      <c r="U16" s="129" t="inlineStr">
        <is>
          <t>J</t>
        </is>
      </c>
      <c r="V16" s="129" t="inlineStr">
        <is>
          <t>J</t>
        </is>
      </c>
      <c r="W16" s="129" t="inlineStr">
        <is>
          <t>J</t>
        </is>
      </c>
      <c r="X16" s="129" t="inlineStr">
        <is>
          <t>J</t>
        </is>
      </c>
      <c r="Y16" s="129" t="inlineStr">
        <is>
          <t>J</t>
        </is>
      </c>
      <c r="Z16" s="107" t="n"/>
      <c r="AA16" s="129" t="inlineStr">
        <is>
          <t>J</t>
        </is>
      </c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29" t="inlineStr">
        <is>
          <t>J</t>
        </is>
      </c>
      <c r="AF16" s="129" t="inlineStr">
        <is>
          <t>J</t>
        </is>
      </c>
      <c r="AG16" s="107" t="n"/>
      <c r="AH16" s="129" t="inlineStr">
        <is>
          <t>J</t>
        </is>
      </c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29" t="inlineStr">
        <is>
          <t>J</t>
        </is>
      </c>
      <c r="AM16" s="129" t="inlineStr">
        <is>
          <t>J</t>
        </is>
      </c>
      <c r="AN16" s="109">
        <f>IFERROR(INDEX(NOV!I$8:I$73,MATCH($A16,NOV!$A$8:$A$73,0))&amp;"","")</f>
        <v/>
      </c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SUMPRODUCT(($F16:$L16="M")*6+($F16:$L16="T")*6+($F16:$L16="D")*12+($F16:$L16="N")*12+($F16:$L16="NT")*6+($F16:$L16="C")*10+($F16:$L16="A")*8+($F16:$L16="J")*5+($F16:$L16="E")*4+($F16:$L16="P")*6+($F16:$L16="R")*6)</f>
        <v/>
      </c>
      <c r="BF16" s="110">
        <f>SUMPRODUCT(($M16:$S16="M")*6+($M16:$S16="T")*6+($M16:$S16="D")*12+($M16:$S16="N")*12+($M16:$S16="NT")*6+($M16:$S16="C")*10+($M16:$S16="A")*8+($M16:$S16="J")*5+($M16:$S16="E")*4+($M16:$S16="P")*6+($M16:$S16="R")*6)</f>
        <v/>
      </c>
      <c r="BG16" s="110">
        <f>SUMPRODUCT(($T16:$Z16="M")*6+($T16:$Z16="T")*6+($T16:$Z16="D")*12+($T16:$Z16="N")*12+($T16:$Z16="NT")*6+($T16:$Z16="C")*10+($T16:$Z16="A")*8+($T16:$Z16="J")*5+($T16:$Z16="E")*4+($T16:$Z16="P")*6+($T16:$Z16="R")*6)</f>
        <v/>
      </c>
      <c r="BH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I16" s="110">
        <f>SUMPRODUCT(($AH16:$AM16="M")*6+($AH16:$AM16="T")*6+($AH16:$AM16="D")*12+($AH16:$AM16="N")*12+($AH16:$AM16="NT")*6+($AH16:$AM16="C")*10+($AH16:$AM16="A")*8+($AH16:$AM16="J")*5+($AH16:$AM16="E")*4+($AH16:$AM16="P")*6+($AH16:$AM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3">
        <f>IFERROR(INDEX(SET!AJ$8:AJ$73,MATCH($A17,SET!$A$8:$A$73,0))&amp;"","")</f>
        <v/>
      </c>
      <c r="G17" s="123">
        <f>IFERROR(INDEX(SET!AK$8:AK$73,MATCH($A17,SET!$A$8:$A$73,0))&amp;"","")</f>
        <v/>
      </c>
      <c r="H17" s="123">
        <f>IFERROR(INDEX(SET!AL$8:AL$73,MATCH($A17,SET!$A$8:$A$73,0))&amp;"","")</f>
        <v/>
      </c>
      <c r="I17" s="107" t="n"/>
      <c r="J17" s="116" t="inlineStr">
        <is>
          <t>N</t>
        </is>
      </c>
      <c r="K17" s="117" t="inlineStr">
        <is>
          <t>T</t>
        </is>
      </c>
      <c r="L17" s="107" t="n"/>
      <c r="M17" s="116" t="inlineStr">
        <is>
          <t>N</t>
        </is>
      </c>
      <c r="N17" s="125" t="inlineStr">
        <is>
          <t>E</t>
        </is>
      </c>
      <c r="O17" s="117" t="inlineStr">
        <is>
          <t>T</t>
        </is>
      </c>
      <c r="P17" s="117" t="inlineStr">
        <is>
          <t>T</t>
        </is>
      </c>
      <c r="Q17" s="107" t="n"/>
      <c r="R17" s="116" t="inlineStr">
        <is>
          <t>N</t>
        </is>
      </c>
      <c r="S17" s="107" t="n"/>
      <c r="T17" s="116" t="inlineStr">
        <is>
          <t>N</t>
        </is>
      </c>
      <c r="U17" s="125" t="inlineStr">
        <is>
          <t>E</t>
        </is>
      </c>
      <c r="V17" s="115" t="inlineStr">
        <is>
          <t>D</t>
        </is>
      </c>
      <c r="W17" s="116" t="inlineStr">
        <is>
          <t>N</t>
        </is>
      </c>
      <c r="X17" s="107" t="n"/>
      <c r="Y17" s="107" t="n"/>
      <c r="Z17" s="107" t="n"/>
      <c r="AA17" s="128" t="inlineStr">
        <is>
          <t>FE</t>
        </is>
      </c>
      <c r="AB17" s="128" t="inlineStr">
        <is>
          <t>FE</t>
        </is>
      </c>
      <c r="AC17" s="128" t="inlineStr">
        <is>
          <t>FE</t>
        </is>
      </c>
      <c r="AD17" s="128" t="inlineStr">
        <is>
          <t>FE</t>
        </is>
      </c>
      <c r="AE17" s="128" t="inlineStr">
        <is>
          <t>FE</t>
        </is>
      </c>
      <c r="AF17" s="128" t="inlineStr">
        <is>
          <t>FE</t>
        </is>
      </c>
      <c r="AG17" s="128" t="inlineStr">
        <is>
          <t>FE</t>
        </is>
      </c>
      <c r="AH17" s="128" t="inlineStr">
        <is>
          <t>FE</t>
        </is>
      </c>
      <c r="AI17" s="128" t="inlineStr">
        <is>
          <t>FE</t>
        </is>
      </c>
      <c r="AJ17" s="128" t="inlineStr">
        <is>
          <t>FE</t>
        </is>
      </c>
      <c r="AK17" s="128" t="inlineStr">
        <is>
          <t>FE</t>
        </is>
      </c>
      <c r="AL17" s="128" t="inlineStr">
        <is>
          <t>FE</t>
        </is>
      </c>
      <c r="AM17" s="128" t="inlineStr">
        <is>
          <t>FE</t>
        </is>
      </c>
      <c r="AN17" s="109">
        <f>IFERROR(INDEX(NOV!I$8:I$73,MATCH($A17,NOV!$A$8:$A$73,0))&amp;"","")</f>
        <v/>
      </c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SUMPRODUCT(($F17:$L17="M")*6+($F17:$L17="T")*6+($F17:$L17="D")*12+($F17:$L17="N")*12+($F17:$L17="NT")*6+($F17:$L17="C")*10+($F17:$L17="A")*8+($F17:$L17="J")*5+($F17:$L17="E")*4+($F17:$L17="P")*6+($F17:$L17="R")*6)</f>
        <v/>
      </c>
      <c r="BF17" s="110">
        <f>SUMPRODUCT(($M17:$S17="M")*6+($M17:$S17="T")*6+($M17:$S17="D")*12+($M17:$S17="N")*12+($M17:$S17="NT")*6+($M17:$S17="C")*10+($M17:$S17="A")*8+($M17:$S17="J")*5+($M17:$S17="E")*4+($M17:$S17="P")*6+($M17:$S17="R")*6)</f>
        <v/>
      </c>
      <c r="BG17" s="110">
        <f>SUMPRODUCT(($T17:$Z17="M")*6+($T17:$Z17="T")*6+($T17:$Z17="D")*12+($T17:$Z17="N")*12+($T17:$Z17="NT")*6+($T17:$Z17="C")*10+($T17:$Z17="A")*8+($T17:$Z17="J")*5+($T17:$Z17="E")*4+($T17:$Z17="P")*6+($T17:$Z17="R")*6)</f>
        <v/>
      </c>
      <c r="BH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I17" s="110">
        <f>SUMPRODUCT(($AH17:$AM17="M")*6+($AH17:$AM17="T")*6+($AH17:$AM17="D")*12+($AH17:$AM17="N")*12+($AH17:$AM17="NT")*6+($AH17:$AM17="C")*10+($AH17:$AM17="A")*8+($AH17:$AM17="J")*5+($AH17:$AM17="E")*4+($AH17:$AM17="P")*6+($AH17:$AM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3">
        <f>IFERROR(INDEX(SET!AJ$8:AJ$73,MATCH($A18,SET!$A$8:$A$73,0))&amp;"","")</f>
        <v/>
      </c>
      <c r="G18" s="123">
        <f>IFERROR(INDEX(SET!AK$8:AK$73,MATCH($A18,SET!$A$8:$A$73,0))&amp;"","")</f>
        <v/>
      </c>
      <c r="H18" s="123">
        <f>IFERROR(INDEX(SET!AL$8:AL$73,MATCH($A18,SET!$A$8:$A$73,0))&amp;"","")</f>
        <v/>
      </c>
      <c r="I18" s="117" t="inlineStr">
        <is>
          <t>T</t>
        </is>
      </c>
      <c r="J18" s="115" t="inlineStr">
        <is>
          <t>D</t>
        </is>
      </c>
      <c r="K18" s="107" t="n"/>
      <c r="L18" s="107" t="n"/>
      <c r="M18" s="117" t="inlineStr">
        <is>
          <t>T</t>
        </is>
      </c>
      <c r="N18" s="117" t="inlineStr">
        <is>
          <t>T</t>
        </is>
      </c>
      <c r="O18" s="117" t="inlineStr">
        <is>
          <t>T</t>
        </is>
      </c>
      <c r="P18" s="107" t="n"/>
      <c r="Q18" s="117" t="inlineStr">
        <is>
          <t>T</t>
        </is>
      </c>
      <c r="R18" s="107" t="n"/>
      <c r="S18" s="115" t="inlineStr">
        <is>
          <t>D</t>
        </is>
      </c>
      <c r="T18" s="115" t="inlineStr">
        <is>
          <t>D</t>
        </is>
      </c>
      <c r="U18" s="117" t="inlineStr">
        <is>
          <t>T</t>
        </is>
      </c>
      <c r="V18" s="115" t="inlineStr">
        <is>
          <t>D</t>
        </is>
      </c>
      <c r="W18" s="117" t="inlineStr">
        <is>
          <t>T</t>
        </is>
      </c>
      <c r="X18" s="107" t="n"/>
      <c r="Y18" s="107" t="n"/>
      <c r="Z18" s="107" t="n"/>
      <c r="AA18" s="117" t="inlineStr">
        <is>
          <t>T</t>
        </is>
      </c>
      <c r="AB18" s="117" t="inlineStr">
        <is>
          <t>T</t>
        </is>
      </c>
      <c r="AC18" s="117" t="inlineStr">
        <is>
          <t>T</t>
        </is>
      </c>
      <c r="AD18" s="107" t="n"/>
      <c r="AE18" s="117" t="inlineStr">
        <is>
          <t>T</t>
        </is>
      </c>
      <c r="AF18" s="107" t="n"/>
      <c r="AG18" s="115" t="inlineStr">
        <is>
          <t>D</t>
        </is>
      </c>
      <c r="AH18" s="117" t="inlineStr">
        <is>
          <t>T</t>
        </is>
      </c>
      <c r="AI18" s="117" t="inlineStr">
        <is>
          <t>T</t>
        </is>
      </c>
      <c r="AJ18" s="117" t="inlineStr">
        <is>
          <t>T</t>
        </is>
      </c>
      <c r="AK18" s="107" t="n"/>
      <c r="AL18" s="107" t="n"/>
      <c r="AM18" s="116" t="inlineStr">
        <is>
          <t>N</t>
        </is>
      </c>
      <c r="AN18" s="109">
        <f>IFERROR(INDEX(NOV!I$8:I$73,MATCH($A18,NOV!$A$8:$A$73,0))&amp;"","")</f>
        <v/>
      </c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SUMPRODUCT(($F18:$L18="M")*6+($F18:$L18="T")*6+($F18:$L18="D")*12+($F18:$L18="N")*12+($F18:$L18="NT")*6+($F18:$L18="C")*10+($F18:$L18="A")*8+($F18:$L18="J")*5+($F18:$L18="E")*4+($F18:$L18="P")*6+($F18:$L18="R")*6)</f>
        <v/>
      </c>
      <c r="BF18" s="110">
        <f>SUMPRODUCT(($M18:$S18="M")*6+($M18:$S18="T")*6+($M18:$S18="D")*12+($M18:$S18="N")*12+($M18:$S18="NT")*6+($M18:$S18="C")*10+($M18:$S18="A")*8+($M18:$S18="J")*5+($M18:$S18="E")*4+($M18:$S18="P")*6+($M18:$S18="R")*6)</f>
        <v/>
      </c>
      <c r="BG18" s="110">
        <f>SUMPRODUCT(($T18:$Z18="M")*6+($T18:$Z18="T")*6+($T18:$Z18="D")*12+($T18:$Z18="N")*12+($T18:$Z18="NT")*6+($T18:$Z18="C")*10+($T18:$Z18="A")*8+($T18:$Z18="J")*5+($T18:$Z18="E")*4+($T18:$Z18="P")*6+($T18:$Z18="R")*6)</f>
        <v/>
      </c>
      <c r="BH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I18" s="110">
        <f>SUMPRODUCT(($AH18:$AM18="M")*6+($AH18:$AM18="T")*6+($AH18:$AM18="D")*12+($AH18:$AM18="N")*12+($AH18:$AM18="NT")*6+($AH18:$AM18="C")*10+($AH18:$AM18="A")*8+($AH18:$AM18="J")*5+($AH18:$AM18="E")*4+($AH18:$AM18="P")*6+($AH18:$AM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3">
        <f>IFERROR(INDEX(SET!AJ$8:AJ$73,MATCH($A19,SET!$A$8:$A$73,0))&amp;"","")</f>
        <v/>
      </c>
      <c r="G19" s="123">
        <f>IFERROR(INDEX(SET!AK$8:AK$73,MATCH($A19,SET!$A$8:$A$73,0))&amp;"","")</f>
        <v/>
      </c>
      <c r="H19" s="123">
        <f>IFERROR(INDEX(SET!AL$8:AL$73,MATCH($A19,SET!$A$8:$A$73,0))&amp;"","")</f>
        <v/>
      </c>
      <c r="I19" s="116" t="inlineStr">
        <is>
          <t>N</t>
        </is>
      </c>
      <c r="J19" s="107" t="n"/>
      <c r="K19" s="107" t="n"/>
      <c r="L19" s="116" t="inlineStr">
        <is>
          <t>N</t>
        </is>
      </c>
      <c r="M19" s="107" t="n"/>
      <c r="N19" s="107" t="n"/>
      <c r="O19" s="116" t="inlineStr">
        <is>
          <t>N</t>
        </is>
      </c>
      <c r="P19" s="116" t="inlineStr">
        <is>
          <t>N</t>
        </is>
      </c>
      <c r="Q19" s="107" t="n"/>
      <c r="R19" s="107" t="n"/>
      <c r="S19" s="116" t="inlineStr">
        <is>
          <t>N</t>
        </is>
      </c>
      <c r="T19" s="107" t="n"/>
      <c r="U19" s="107" t="n"/>
      <c r="V19" s="116" t="inlineStr">
        <is>
          <t>N</t>
        </is>
      </c>
      <c r="W19" s="116" t="inlineStr">
        <is>
          <t>N</t>
        </is>
      </c>
      <c r="X19" s="107" t="n"/>
      <c r="Y19" s="107" t="n"/>
      <c r="Z19" s="116" t="inlineStr">
        <is>
          <t>N</t>
        </is>
      </c>
      <c r="AA19" s="107" t="n"/>
      <c r="AB19" s="116" t="inlineStr">
        <is>
          <t>N</t>
        </is>
      </c>
      <c r="AC19" s="116" t="inlineStr">
        <is>
          <t>N</t>
        </is>
      </c>
      <c r="AD19" s="107" t="n"/>
      <c r="AE19" s="116" t="inlineStr">
        <is>
          <t>N</t>
        </is>
      </c>
      <c r="AF19" s="107" t="n"/>
      <c r="AG19" s="107" t="n"/>
      <c r="AH19" s="107" t="n"/>
      <c r="AI19" s="107" t="n"/>
      <c r="AJ19" s="116" t="inlineStr">
        <is>
          <t>N</t>
        </is>
      </c>
      <c r="AK19" s="116" t="inlineStr">
        <is>
          <t>N</t>
        </is>
      </c>
      <c r="AL19" s="107" t="n"/>
      <c r="AM19" s="107" t="n"/>
      <c r="AN19" s="109">
        <f>IFERROR(INDEX(NOV!I$8:I$73,MATCH($A19,NOV!$A$8:$A$73,0))&amp;"","")</f>
        <v/>
      </c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SUMPRODUCT(($F19:$L19="M")*6+($F19:$L19="T")*6+($F19:$L19="D")*12+($F19:$L19="N")*12+($F19:$L19="NT")*6+($F19:$L19="C")*10+($F19:$L19="A")*8+($F19:$L19="J")*5+($F19:$L19="E")*4+($F19:$L19="P")*6+($F19:$L19="R")*6)</f>
        <v/>
      </c>
      <c r="BF19" s="110">
        <f>SUMPRODUCT(($M19:$S19="M")*6+($M19:$S19="T")*6+($M19:$S19="D")*12+($M19:$S19="N")*12+($M19:$S19="NT")*6+($M19:$S19="C")*10+($M19:$S19="A")*8+($M19:$S19="J")*5+($M19:$S19="E")*4+($M19:$S19="P")*6+($M19:$S19="R")*6)</f>
        <v/>
      </c>
      <c r="BG19" s="110">
        <f>SUMPRODUCT(($T19:$Z19="M")*6+($T19:$Z19="T")*6+($T19:$Z19="D")*12+($T19:$Z19="N")*12+($T19:$Z19="NT")*6+($T19:$Z19="C")*10+($T19:$Z19="A")*8+($T19:$Z19="J")*5+($T19:$Z19="E")*4+($T19:$Z19="P")*6+($T19:$Z19="R")*6)</f>
        <v/>
      </c>
      <c r="BH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I19" s="110">
        <f>SUMPRODUCT(($AH19:$AM19="M")*6+($AH19:$AM19="T")*6+($AH19:$AM19="D")*12+($AH19:$AM19="N")*12+($AH19:$AM19="NT")*6+($AH19:$AM19="C")*10+($AH19:$AM19="A")*8+($AH19:$AM19="J")*5+($AH19:$AM19="E")*4+($AH19:$AM19="P")*6+($AH19:$AM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3">
        <f>IFERROR(INDEX(SET!AJ$8:AJ$73,MATCH($A20,SET!$A$8:$A$73,0))&amp;"","")</f>
        <v/>
      </c>
      <c r="G20" s="123">
        <f>IFERROR(INDEX(SET!AK$8:AK$73,MATCH($A20,SET!$A$8:$A$73,0))&amp;"","")</f>
        <v/>
      </c>
      <c r="H20" s="123">
        <f>IFERROR(INDEX(SET!AL$8:AL$73,MATCH($A20,SET!$A$8:$A$73,0))&amp;"","")</f>
        <v/>
      </c>
      <c r="I20" s="116" t="inlineStr">
        <is>
          <t>N</t>
        </is>
      </c>
      <c r="J20" s="107" t="n"/>
      <c r="K20" s="107" t="n"/>
      <c r="L20" s="107" t="n"/>
      <c r="M20" s="107" t="n"/>
      <c r="N20" s="116" t="inlineStr">
        <is>
          <t>N</t>
        </is>
      </c>
      <c r="O20" s="107" t="n"/>
      <c r="P20" s="116" t="inlineStr">
        <is>
          <t>N</t>
        </is>
      </c>
      <c r="Q20" s="107" t="n"/>
      <c r="R20" s="116" t="inlineStr">
        <is>
          <t>N</t>
        </is>
      </c>
      <c r="S20" s="107" t="n"/>
      <c r="T20" s="107" t="n"/>
      <c r="U20" s="116" t="inlineStr">
        <is>
          <t>N</t>
        </is>
      </c>
      <c r="V20" s="107" t="n"/>
      <c r="W20" s="116" t="inlineStr">
        <is>
          <t>N</t>
        </is>
      </c>
      <c r="X20" s="107" t="n"/>
      <c r="Y20" s="107" t="n"/>
      <c r="Z20" s="116" t="inlineStr">
        <is>
          <t>N</t>
        </is>
      </c>
      <c r="AA20" s="107" t="n"/>
      <c r="AB20" s="116" t="inlineStr">
        <is>
          <t>N</t>
        </is>
      </c>
      <c r="AC20" s="116" t="inlineStr">
        <is>
          <t>N</t>
        </is>
      </c>
      <c r="AD20" s="116" t="inlineStr">
        <is>
          <t>N</t>
        </is>
      </c>
      <c r="AE20" s="107" t="n"/>
      <c r="AF20" s="107" t="n"/>
      <c r="AG20" s="107" t="n"/>
      <c r="AH20" s="107" t="n"/>
      <c r="AI20" s="107" t="n"/>
      <c r="AJ20" s="116" t="inlineStr">
        <is>
          <t>N</t>
        </is>
      </c>
      <c r="AK20" s="116" t="inlineStr">
        <is>
          <t>N</t>
        </is>
      </c>
      <c r="AL20" s="107" t="n"/>
      <c r="AM20" s="107" t="n"/>
      <c r="AN20" s="109">
        <f>IFERROR(INDEX(NOV!I$8:I$73,MATCH($A20,NOV!$A$8:$A$73,0))&amp;"","")</f>
        <v/>
      </c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SUMPRODUCT(($F20:$L20="M")*6+($F20:$L20="T")*6+($F20:$L20="D")*12+($F20:$L20="N")*12+($F20:$L20="NT")*6+($F20:$L20="C")*10+($F20:$L20="A")*8+($F20:$L20="J")*5+($F20:$L20="E")*4+($F20:$L20="P")*6+($F20:$L20="R")*6)</f>
        <v/>
      </c>
      <c r="BF20" s="110">
        <f>SUMPRODUCT(($M20:$S20="M")*6+($M20:$S20="T")*6+($M20:$S20="D")*12+($M20:$S20="N")*12+($M20:$S20="NT")*6+($M20:$S20="C")*10+($M20:$S20="A")*8+($M20:$S20="J")*5+($M20:$S20="E")*4+($M20:$S20="P")*6+($M20:$S20="R")*6)</f>
        <v/>
      </c>
      <c r="BG20" s="110">
        <f>SUMPRODUCT(($T20:$Z20="M")*6+($T20:$Z20="T")*6+($T20:$Z20="D")*12+($T20:$Z20="N")*12+($T20:$Z20="NT")*6+($T20:$Z20="C")*10+($T20:$Z20="A")*8+($T20:$Z20="J")*5+($T20:$Z20="E")*4+($T20:$Z20="P")*6+($T20:$Z20="R")*6)</f>
        <v/>
      </c>
      <c r="BH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I20" s="110">
        <f>SUMPRODUCT(($AH20:$AM20="M")*6+($AH20:$AM20="T")*6+($AH20:$AM20="D")*12+($AH20:$AM20="N")*12+($AH20:$AM20="NT")*6+($AH20:$AM20="C")*10+($AH20:$AM20="A")*8+($AH20:$AM20="J")*5+($AH20:$AM20="E")*4+($AH20:$AM20="P")*6+($AH20:$AM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3">
        <f>IFERROR(INDEX(SET!AJ$8:AJ$73,MATCH($A21,SET!$A$8:$A$73,0))&amp;"","")</f>
        <v/>
      </c>
      <c r="G21" s="123">
        <f>IFERROR(INDEX(SET!AK$8:AK$73,MATCH($A21,SET!$A$8:$A$73,0))&amp;"","")</f>
        <v/>
      </c>
      <c r="H21" s="123">
        <f>IFERROR(INDEX(SET!AL$8:AL$73,MATCH($A21,SET!$A$8:$A$73,0))&amp;"","")</f>
        <v/>
      </c>
      <c r="I21" s="117" t="inlineStr">
        <is>
          <t>T</t>
        </is>
      </c>
      <c r="J21" s="107" t="n"/>
      <c r="K21" s="107" t="n"/>
      <c r="L21" s="116" t="inlineStr">
        <is>
          <t>N</t>
        </is>
      </c>
      <c r="M21" s="117" t="inlineStr">
        <is>
          <t>T</t>
        </is>
      </c>
      <c r="N21" s="107" t="n"/>
      <c r="O21" s="117" t="inlineStr">
        <is>
          <t>T</t>
        </is>
      </c>
      <c r="P21" s="115" t="inlineStr">
        <is>
          <t>D</t>
        </is>
      </c>
      <c r="Q21" s="107" t="n"/>
      <c r="R21" s="108" t="inlineStr">
        <is>
          <t>M</t>
        </is>
      </c>
      <c r="S21" s="108" t="inlineStr">
        <is>
          <t>M</t>
        </is>
      </c>
      <c r="T21" s="117" t="inlineStr">
        <is>
          <t>T</t>
        </is>
      </c>
      <c r="U21" s="107" t="n"/>
      <c r="V21" s="115" t="inlineStr">
        <is>
          <t>D</t>
        </is>
      </c>
      <c r="W21" s="115" t="inlineStr">
        <is>
          <t>D</t>
        </is>
      </c>
      <c r="X21" s="117" t="inlineStr">
        <is>
          <t>T</t>
        </is>
      </c>
      <c r="Y21" s="107" t="n"/>
      <c r="Z21" s="107" t="n"/>
      <c r="AA21" s="107" t="n"/>
      <c r="AB21" s="107" t="n"/>
      <c r="AC21" s="115" t="inlineStr">
        <is>
          <t>D</t>
        </is>
      </c>
      <c r="AD21" s="107" t="n"/>
      <c r="AE21" s="116" t="inlineStr">
        <is>
          <t>N</t>
        </is>
      </c>
      <c r="AF21" s="107" t="n"/>
      <c r="AG21" s="116" t="inlineStr">
        <is>
          <t>N</t>
        </is>
      </c>
      <c r="AH21" s="116" t="inlineStr">
        <is>
          <t>N</t>
        </is>
      </c>
      <c r="AI21" s="107" t="n"/>
      <c r="AJ21" s="115" t="inlineStr">
        <is>
          <t>D</t>
        </is>
      </c>
      <c r="AK21" s="117" t="inlineStr">
        <is>
          <t>T</t>
        </is>
      </c>
      <c r="AL21" s="117" t="inlineStr">
        <is>
          <t>T</t>
        </is>
      </c>
      <c r="AM21" s="107" t="n"/>
      <c r="AN21" s="109">
        <f>IFERROR(INDEX(NOV!I$8:I$73,MATCH($A21,NOV!$A$8:$A$73,0))&amp;"","")</f>
        <v/>
      </c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SUMPRODUCT(($F21:$L21="M")*6+($F21:$L21="T")*6+($F21:$L21="D")*12+($F21:$L21="N")*12+($F21:$L21="NT")*6+($F21:$L21="C")*10+($F21:$L21="A")*8+($F21:$L21="J")*5+($F21:$L21="E")*4+($F21:$L21="P")*6+($F21:$L21="R")*6)</f>
        <v/>
      </c>
      <c r="BF21" s="110">
        <f>SUMPRODUCT(($M21:$S21="M")*6+($M21:$S21="T")*6+($M21:$S21="D")*12+($M21:$S21="N")*12+($M21:$S21="NT")*6+($M21:$S21="C")*10+($M21:$S21="A")*8+($M21:$S21="J")*5+($M21:$S21="E")*4+($M21:$S21="P")*6+($M21:$S21="R")*6)</f>
        <v/>
      </c>
      <c r="BG21" s="110">
        <f>SUMPRODUCT(($T21:$Z21="M")*6+($T21:$Z21="T")*6+($T21:$Z21="D")*12+($T21:$Z21="N")*12+($T21:$Z21="NT")*6+($T21:$Z21="C")*10+($T21:$Z21="A")*8+($T21:$Z21="J")*5+($T21:$Z21="E")*4+($T21:$Z21="P")*6+($T21:$Z21="R")*6)</f>
        <v/>
      </c>
      <c r="BH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I21" s="110">
        <f>SUMPRODUCT(($AH21:$AM21="M")*6+($AH21:$AM21="T")*6+($AH21:$AM21="D")*12+($AH21:$AM21="N")*12+($AH21:$AM21="NT")*6+($AH21:$AM21="C")*10+($AH21:$AM21="A")*8+($AH21:$AM21="J")*5+($AH21:$AM21="E")*4+($AH21:$AM21="P")*6+($AH21:$AM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3">
        <f>IFERROR(INDEX(SET!AJ$8:AJ$73,MATCH($A22,SET!$A$8:$A$73,0))&amp;"","")</f>
        <v/>
      </c>
      <c r="G22" s="123">
        <f>IFERROR(INDEX(SET!AK$8:AK$73,MATCH($A22,SET!$A$8:$A$73,0))&amp;"","")</f>
        <v/>
      </c>
      <c r="H22" s="123">
        <f>IFERROR(INDEX(SET!AL$8:AL$73,MATCH($A22,SET!$A$8:$A$73,0))&amp;"","")</f>
        <v/>
      </c>
      <c r="I22" s="115" t="inlineStr">
        <is>
          <t>D</t>
        </is>
      </c>
      <c r="J22" s="107" t="n"/>
      <c r="K22" s="107" t="n"/>
      <c r="L22" s="107" t="n"/>
      <c r="M22" s="107" t="n"/>
      <c r="N22" s="115" t="inlineStr">
        <is>
          <t>D</t>
        </is>
      </c>
      <c r="O22" s="107" t="n"/>
      <c r="P22" s="107" t="n"/>
      <c r="Q22" s="107" t="n"/>
      <c r="R22" s="117" t="inlineStr">
        <is>
          <t>T</t>
        </is>
      </c>
      <c r="S22" s="115" t="inlineStr">
        <is>
          <t>D</t>
        </is>
      </c>
      <c r="T22" s="116" t="inlineStr">
        <is>
          <t>N</t>
        </is>
      </c>
      <c r="U22" s="107" t="n"/>
      <c r="V22" s="108" t="inlineStr">
        <is>
          <t>M</t>
        </is>
      </c>
      <c r="W22" s="107" t="n"/>
      <c r="X22" s="107" t="n"/>
      <c r="Y22" s="115" t="inlineStr">
        <is>
          <t>D</t>
        </is>
      </c>
      <c r="Z22" s="107" t="n"/>
      <c r="AA22" s="107" t="n"/>
      <c r="AB22" s="115" t="inlineStr">
        <is>
          <t>D</t>
        </is>
      </c>
      <c r="AC22" s="108" t="inlineStr">
        <is>
          <t>M</t>
        </is>
      </c>
      <c r="AD22" s="115" t="inlineStr">
        <is>
          <t>D</t>
        </is>
      </c>
      <c r="AE22" s="107" t="n"/>
      <c r="AF22" s="107" t="n"/>
      <c r="AG22" s="107" t="n"/>
      <c r="AH22" s="107" t="n"/>
      <c r="AI22" s="115" t="inlineStr">
        <is>
          <t>D</t>
        </is>
      </c>
      <c r="AJ22" s="107" t="n"/>
      <c r="AK22" s="108" t="inlineStr">
        <is>
          <t>M</t>
        </is>
      </c>
      <c r="AL22" s="115" t="inlineStr">
        <is>
          <t>D</t>
        </is>
      </c>
      <c r="AM22" s="107" t="n"/>
      <c r="AN22" s="109">
        <f>IFERROR(INDEX(NOV!I$8:I$73,MATCH($A22,NOV!$A$8:$A$73,0))&amp;"","")</f>
        <v/>
      </c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SUMPRODUCT(($F22:$L22="M")*6+($F22:$L22="T")*6+($F22:$L22="D")*12+($F22:$L22="N")*12+($F22:$L22="NT")*6+($F22:$L22="C")*10+($F22:$L22="A")*8+($F22:$L22="J")*5+($F22:$L22="E")*4+($F22:$L22="P")*6+($F22:$L22="R")*6)</f>
        <v/>
      </c>
      <c r="BF22" s="110">
        <f>SUMPRODUCT(($M22:$S22="M")*6+($M22:$S22="T")*6+($M22:$S22="D")*12+($M22:$S22="N")*12+($M22:$S22="NT")*6+($M22:$S22="C")*10+($M22:$S22="A")*8+($M22:$S22="J")*5+($M22:$S22="E")*4+($M22:$S22="P")*6+($M22:$S22="R")*6)</f>
        <v/>
      </c>
      <c r="BG22" s="110">
        <f>SUMPRODUCT(($T22:$Z22="M")*6+($T22:$Z22="T")*6+($T22:$Z22="D")*12+($T22:$Z22="N")*12+($T22:$Z22="NT")*6+($T22:$Z22="C")*10+($T22:$Z22="A")*8+($T22:$Z22="J")*5+($T22:$Z22="E")*4+($T22:$Z22="P")*6+($T22:$Z22="R")*6)</f>
        <v/>
      </c>
      <c r="BH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I22" s="110">
        <f>SUMPRODUCT(($AH22:$AM22="M")*6+($AH22:$AM22="T")*6+($AH22:$AM22="D")*12+($AH22:$AM22="N")*12+($AH22:$AM22="NT")*6+($AH22:$AM22="C")*10+($AH22:$AM22="A")*8+($AH22:$AM22="J")*5+($AH22:$AM22="E")*4+($AH22:$AM22="P")*6+($AH22:$AM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3">
        <f>IFERROR(INDEX(SET!AJ$8:AJ$73,MATCH($A23,SET!$A$8:$A$73,0))&amp;"","")</f>
        <v/>
      </c>
      <c r="G23" s="123">
        <f>IFERROR(INDEX(SET!AK$8:AK$73,MATCH($A23,SET!$A$8:$A$73,0))&amp;"","")</f>
        <v/>
      </c>
      <c r="H23" s="123">
        <f>IFERROR(INDEX(SET!AL$8:AL$73,MATCH($A23,SET!$A$8:$A$73,0))&amp;"","")</f>
        <v/>
      </c>
      <c r="I23" s="107" t="n"/>
      <c r="J23" s="107" t="n"/>
      <c r="K23" s="115" t="inlineStr">
        <is>
          <t>D</t>
        </is>
      </c>
      <c r="L23" s="115" t="inlineStr">
        <is>
          <t>D</t>
        </is>
      </c>
      <c r="M23" s="115" t="inlineStr">
        <is>
          <t>D</t>
        </is>
      </c>
      <c r="N23" s="115" t="inlineStr">
        <is>
          <t>D</t>
        </is>
      </c>
      <c r="O23" s="107" t="n"/>
      <c r="P23" s="115" t="inlineStr">
        <is>
          <t>D</t>
        </is>
      </c>
      <c r="Q23" s="107" t="n"/>
      <c r="R23" s="107" t="n"/>
      <c r="S23" s="107" t="n"/>
      <c r="T23" s="107" t="n"/>
      <c r="U23" s="115" t="inlineStr">
        <is>
          <t>D</t>
        </is>
      </c>
      <c r="V23" s="107" t="n"/>
      <c r="W23" s="115" t="inlineStr">
        <is>
          <t>D</t>
        </is>
      </c>
      <c r="X23" s="107" t="n"/>
      <c r="Y23" s="115" t="inlineStr">
        <is>
          <t>D</t>
        </is>
      </c>
      <c r="Z23" s="107" t="n"/>
      <c r="AA23" s="115" t="inlineStr">
        <is>
          <t>D</t>
        </is>
      </c>
      <c r="AB23" s="115" t="inlineStr">
        <is>
          <t>D</t>
        </is>
      </c>
      <c r="AC23" s="107" t="n"/>
      <c r="AD23" s="115" t="inlineStr">
        <is>
          <t>D</t>
        </is>
      </c>
      <c r="AE23" s="107" t="n"/>
      <c r="AF23" s="107" t="n"/>
      <c r="AG23" s="107" t="n"/>
      <c r="AH23" s="115" t="inlineStr">
        <is>
          <t>D</t>
        </is>
      </c>
      <c r="AI23" s="115" t="inlineStr">
        <is>
          <t>D</t>
        </is>
      </c>
      <c r="AJ23" s="107" t="n"/>
      <c r="AK23" s="108" t="inlineStr">
        <is>
          <t>M</t>
        </is>
      </c>
      <c r="AL23" s="107" t="n"/>
      <c r="AM23" s="107" t="n"/>
      <c r="AN23" s="109">
        <f>IFERROR(INDEX(NOV!I$8:I$73,MATCH($A23,NOV!$A$8:$A$73,0))&amp;"","")</f>
        <v/>
      </c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SUMPRODUCT(($F23:$L23="M")*6+($F23:$L23="T")*6+($F23:$L23="D")*12+($F23:$L23="N")*12+($F23:$L23="NT")*6+($F23:$L23="C")*10+($F23:$L23="A")*8+($F23:$L23="J")*5+($F23:$L23="E")*4+($F23:$L23="P")*6+($F23:$L23="R")*6)</f>
        <v/>
      </c>
      <c r="BF23" s="110">
        <f>SUMPRODUCT(($M23:$S23="M")*6+($M23:$S23="T")*6+($M23:$S23="D")*12+($M23:$S23="N")*12+($M23:$S23="NT")*6+($M23:$S23="C")*10+($M23:$S23="A")*8+($M23:$S23="J")*5+($M23:$S23="E")*4+($M23:$S23="P")*6+($M23:$S23="R")*6)</f>
        <v/>
      </c>
      <c r="BG23" s="110">
        <f>SUMPRODUCT(($T23:$Z23="M")*6+($T23:$Z23="T")*6+($T23:$Z23="D")*12+($T23:$Z23="N")*12+($T23:$Z23="NT")*6+($T23:$Z23="C")*10+($T23:$Z23="A")*8+($T23:$Z23="J")*5+($T23:$Z23="E")*4+($T23:$Z23="P")*6+($T23:$Z23="R")*6)</f>
        <v/>
      </c>
      <c r="BH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I23" s="110">
        <f>SUMPRODUCT(($AH23:$AM23="M")*6+($AH23:$AM23="T")*6+($AH23:$AM23="D")*12+($AH23:$AM23="N")*12+($AH23:$AM23="NT")*6+($AH23:$AM23="C")*10+($AH23:$AM23="A")*8+($AH23:$AM23="J")*5+($AH23:$AM23="E")*4+($AH23:$AM23="P")*6+($AH23:$AM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3">
        <f>IFERROR(INDEX(SET!AJ$8:AJ$73,MATCH($A24,SET!$A$8:$A$73,0))&amp;"","")</f>
        <v/>
      </c>
      <c r="G24" s="123">
        <f>IFERROR(INDEX(SET!AK$8:AK$73,MATCH($A24,SET!$A$8:$A$73,0))&amp;"","")</f>
        <v/>
      </c>
      <c r="H24" s="123">
        <f>IFERROR(INDEX(SET!AL$8:AL$73,MATCH($A24,SET!$A$8:$A$73,0))&amp;"","")</f>
        <v/>
      </c>
      <c r="I24" s="117" t="inlineStr">
        <is>
          <t>T</t>
        </is>
      </c>
      <c r="J24" s="107" t="n"/>
      <c r="K24" s="116" t="inlineStr">
        <is>
          <t>N</t>
        </is>
      </c>
      <c r="L24" s="107" t="n"/>
      <c r="M24" s="107" t="n"/>
      <c r="N24" s="115" t="inlineStr">
        <is>
          <t>D</t>
        </is>
      </c>
      <c r="O24" s="108" t="inlineStr">
        <is>
          <t>M</t>
        </is>
      </c>
      <c r="P24" s="115" t="inlineStr">
        <is>
          <t>D</t>
        </is>
      </c>
      <c r="Q24" s="108" t="inlineStr">
        <is>
          <t>M</t>
        </is>
      </c>
      <c r="R24" s="107" t="n"/>
      <c r="S24" s="107" t="n"/>
      <c r="T24" s="107" t="n"/>
      <c r="U24" s="115" t="inlineStr">
        <is>
          <t>D</t>
        </is>
      </c>
      <c r="V24" s="107" t="n"/>
      <c r="W24" s="115" t="inlineStr">
        <is>
          <t>D</t>
        </is>
      </c>
      <c r="X24" s="116" t="inlineStr">
        <is>
          <t>N</t>
        </is>
      </c>
      <c r="Y24" s="107" t="n"/>
      <c r="Z24" s="107" t="n"/>
      <c r="AA24" s="107" t="n"/>
      <c r="AB24" s="115" t="inlineStr">
        <is>
          <t>D</t>
        </is>
      </c>
      <c r="AC24" s="107" t="n"/>
      <c r="AD24" s="115" t="inlineStr">
        <is>
          <t>D</t>
        </is>
      </c>
      <c r="AE24" s="107" t="n"/>
      <c r="AF24" s="115" t="inlineStr">
        <is>
          <t>D</t>
        </is>
      </c>
      <c r="AG24" s="107" t="n"/>
      <c r="AH24" s="107" t="n"/>
      <c r="AI24" s="115" t="inlineStr">
        <is>
          <t>D</t>
        </is>
      </c>
      <c r="AJ24" s="107" t="n"/>
      <c r="AK24" s="115" t="inlineStr">
        <is>
          <t>D</t>
        </is>
      </c>
      <c r="AL24" s="107" t="n"/>
      <c r="AM24" s="116" t="inlineStr">
        <is>
          <t>N</t>
        </is>
      </c>
      <c r="AN24" s="109">
        <f>IFERROR(INDEX(NOV!I$8:I$73,MATCH($A24,NOV!$A$8:$A$73,0))&amp;"","")</f>
        <v/>
      </c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SUMPRODUCT(($F24:$L24="M")*6+($F24:$L24="T")*6+($F24:$L24="D")*12+($F24:$L24="N")*12+($F24:$L24="NT")*6+($F24:$L24="C")*10+($F24:$L24="A")*8+($F24:$L24="J")*5+($F24:$L24="E")*4+($F24:$L24="P")*6+($F24:$L24="R")*6)</f>
        <v/>
      </c>
      <c r="BF24" s="110">
        <f>SUMPRODUCT(($M24:$S24="M")*6+($M24:$S24="T")*6+($M24:$S24="D")*12+($M24:$S24="N")*12+($M24:$S24="NT")*6+($M24:$S24="C")*10+($M24:$S24="A")*8+($M24:$S24="J")*5+($M24:$S24="E")*4+($M24:$S24="P")*6+($M24:$S24="R")*6)</f>
        <v/>
      </c>
      <c r="BG24" s="110">
        <f>SUMPRODUCT(($T24:$Z24="M")*6+($T24:$Z24="T")*6+($T24:$Z24="D")*12+($T24:$Z24="N")*12+($T24:$Z24="NT")*6+($T24:$Z24="C")*10+($T24:$Z24="A")*8+($T24:$Z24="J")*5+($T24:$Z24="E")*4+($T24:$Z24="P")*6+($T24:$Z24="R")*6)</f>
        <v/>
      </c>
      <c r="BH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I24" s="110">
        <f>SUMPRODUCT(($AH24:$AM24="M")*6+($AH24:$AM24="T")*6+($AH24:$AM24="D")*12+($AH24:$AM24="N")*12+($AH24:$AM24="NT")*6+($AH24:$AM24="C")*10+($AH24:$AM24="A")*8+($AH24:$AM24="J")*5+($AH24:$AM24="E")*4+($AH24:$AM24="P")*6+($AH24:$AM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3">
        <f>IFERROR(INDEX(SET!AJ$8:AJ$73,MATCH($A25,SET!$A$8:$A$73,0))&amp;"","")</f>
        <v/>
      </c>
      <c r="G25" s="123">
        <f>IFERROR(INDEX(SET!AK$8:AK$73,MATCH($A25,SET!$A$8:$A$73,0))&amp;"","")</f>
        <v/>
      </c>
      <c r="H25" s="123">
        <f>IFERROR(INDEX(SET!AL$8:AL$73,MATCH($A25,SET!$A$8:$A$73,0))&amp;"","")</f>
        <v/>
      </c>
      <c r="I25" s="107" t="n"/>
      <c r="J25" s="107" t="n"/>
      <c r="K25" s="107" t="n"/>
      <c r="L25" s="116" t="inlineStr">
        <is>
          <t>N</t>
        </is>
      </c>
      <c r="M25" s="107" t="n"/>
      <c r="N25" s="116" t="inlineStr">
        <is>
          <t>N</t>
        </is>
      </c>
      <c r="O25" s="116" t="inlineStr">
        <is>
          <t>N</t>
        </is>
      </c>
      <c r="P25" s="107" t="n"/>
      <c r="Q25" s="107" t="n"/>
      <c r="R25" s="107" t="n"/>
      <c r="S25" s="116" t="inlineStr">
        <is>
          <t>N</t>
        </is>
      </c>
      <c r="T25" s="107" t="n"/>
      <c r="U25" s="116" t="inlineStr">
        <is>
          <t>N</t>
        </is>
      </c>
      <c r="V25" s="116" t="inlineStr">
        <is>
          <t>N</t>
        </is>
      </c>
      <c r="W25" s="107" t="n"/>
      <c r="X25" s="107" t="n"/>
      <c r="Y25" s="107" t="n"/>
      <c r="Z25" s="107" t="n"/>
      <c r="AA25" s="128" t="inlineStr">
        <is>
          <t>FE</t>
        </is>
      </c>
      <c r="AB25" s="128" t="inlineStr">
        <is>
          <t>FE</t>
        </is>
      </c>
      <c r="AC25" s="128" t="inlineStr">
        <is>
          <t>FE</t>
        </is>
      </c>
      <c r="AD25" s="128" t="inlineStr">
        <is>
          <t>FE</t>
        </is>
      </c>
      <c r="AE25" s="128" t="inlineStr">
        <is>
          <t>FE</t>
        </is>
      </c>
      <c r="AF25" s="128" t="inlineStr">
        <is>
          <t>FE</t>
        </is>
      </c>
      <c r="AG25" s="128" t="inlineStr">
        <is>
          <t>FE</t>
        </is>
      </c>
      <c r="AH25" s="128" t="inlineStr">
        <is>
          <t>FE</t>
        </is>
      </c>
      <c r="AI25" s="128" t="inlineStr">
        <is>
          <t>FE</t>
        </is>
      </c>
      <c r="AJ25" s="128" t="inlineStr">
        <is>
          <t>FE</t>
        </is>
      </c>
      <c r="AK25" s="128" t="inlineStr">
        <is>
          <t>FE</t>
        </is>
      </c>
      <c r="AL25" s="128" t="inlineStr">
        <is>
          <t>FE</t>
        </is>
      </c>
      <c r="AM25" s="128" t="inlineStr">
        <is>
          <t>FE</t>
        </is>
      </c>
      <c r="AN25" s="109">
        <f>IFERROR(INDEX(NOV!I$8:I$73,MATCH($A25,NOV!$A$8:$A$73,0))&amp;"","")</f>
        <v/>
      </c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SUMPRODUCT(($F25:$L25="M")*6+($F25:$L25="T")*6+($F25:$L25="D")*12+($F25:$L25="N")*12+($F25:$L25="NT")*6+($F25:$L25="C")*10+($F25:$L25="A")*8+($F25:$L25="J")*5+($F25:$L25="E")*4+($F25:$L25="P")*6+($F25:$L25="R")*6)</f>
        <v/>
      </c>
      <c r="BF25" s="110">
        <f>SUMPRODUCT(($M25:$S25="M")*6+($M25:$S25="T")*6+($M25:$S25="D")*12+($M25:$S25="N")*12+($M25:$S25="NT")*6+($M25:$S25="C")*10+($M25:$S25="A")*8+($M25:$S25="J")*5+($M25:$S25="E")*4+($M25:$S25="P")*6+($M25:$S25="R")*6)</f>
        <v/>
      </c>
      <c r="BG25" s="110">
        <f>SUMPRODUCT(($T25:$Z25="M")*6+($T25:$Z25="T")*6+($T25:$Z25="D")*12+($T25:$Z25="N")*12+($T25:$Z25="NT")*6+($T25:$Z25="C")*10+($T25:$Z25="A")*8+($T25:$Z25="J")*5+($T25:$Z25="E")*4+($T25:$Z25="P")*6+($T25:$Z25="R")*6)</f>
        <v/>
      </c>
      <c r="BH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I25" s="110">
        <f>SUMPRODUCT(($AH25:$AM25="M")*6+($AH25:$AM25="T")*6+($AH25:$AM25="D")*12+($AH25:$AM25="N")*12+($AH25:$AM25="NT")*6+($AH25:$AM25="C")*10+($AH25:$AM25="A")*8+($AH25:$AM25="J")*5+($AH25:$AM25="E")*4+($AH25:$AM25="P")*6+($AH25:$AM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3">
        <f>IFERROR(INDEX(SET!AJ$8:AJ$73,MATCH($A26,SET!$A$8:$A$73,0))&amp;"","")</f>
        <v/>
      </c>
      <c r="G26" s="123">
        <f>IFERROR(INDEX(SET!AK$8:AK$73,MATCH($A26,SET!$A$8:$A$73,0))&amp;"","")</f>
        <v/>
      </c>
      <c r="H26" s="123">
        <f>IFERROR(INDEX(SET!AL$8:AL$73,MATCH($A26,SET!$A$8:$A$73,0))&amp;"","")</f>
        <v/>
      </c>
      <c r="I26" s="117" t="inlineStr">
        <is>
          <t>T</t>
        </is>
      </c>
      <c r="J26" s="117" t="inlineStr">
        <is>
          <t>T</t>
        </is>
      </c>
      <c r="K26" s="107" t="n"/>
      <c r="L26" s="116" t="inlineStr">
        <is>
          <t>N</t>
        </is>
      </c>
      <c r="M26" s="117" t="inlineStr">
        <is>
          <t>T</t>
        </is>
      </c>
      <c r="N26" s="116" t="inlineStr">
        <is>
          <t>N</t>
        </is>
      </c>
      <c r="O26" s="107" t="n"/>
      <c r="P26" s="117" t="inlineStr">
        <is>
          <t>T</t>
        </is>
      </c>
      <c r="Q26" s="115" t="inlineStr">
        <is>
          <t>D</t>
        </is>
      </c>
      <c r="R26" s="107" t="n"/>
      <c r="S26" s="107" t="n"/>
      <c r="T26" s="107" t="n"/>
      <c r="U26" s="115" t="inlineStr">
        <is>
          <t>D</t>
        </is>
      </c>
      <c r="V26" s="117" t="inlineStr">
        <is>
          <t>T</t>
        </is>
      </c>
      <c r="W26" s="107" t="n"/>
      <c r="X26" s="117" t="inlineStr">
        <is>
          <t>T</t>
        </is>
      </c>
      <c r="Y26" s="107" t="n"/>
      <c r="Z26" s="116" t="inlineStr">
        <is>
          <t>N</t>
        </is>
      </c>
      <c r="AA26" s="107" t="n"/>
      <c r="AB26" s="116" t="inlineStr">
        <is>
          <t>N</t>
        </is>
      </c>
      <c r="AC26" s="117" t="inlineStr">
        <is>
          <t>T</t>
        </is>
      </c>
      <c r="AD26" s="107" t="n"/>
      <c r="AE26" s="115" t="inlineStr">
        <is>
          <t>D</t>
        </is>
      </c>
      <c r="AF26" s="107" t="n"/>
      <c r="AG26" s="108" t="inlineStr">
        <is>
          <t>M</t>
        </is>
      </c>
      <c r="AH26" s="107" t="n"/>
      <c r="AI26" s="116" t="inlineStr">
        <is>
          <t>N</t>
        </is>
      </c>
      <c r="AJ26" s="107" t="n"/>
      <c r="AK26" s="115" t="inlineStr">
        <is>
          <t>D</t>
        </is>
      </c>
      <c r="AL26" s="107" t="n"/>
      <c r="AM26" s="107" t="n"/>
      <c r="AN26" s="109">
        <f>IFERROR(INDEX(NOV!I$8:I$73,MATCH($A26,NOV!$A$8:$A$73,0))&amp;"","")</f>
        <v/>
      </c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SUMPRODUCT(($F26:$L26="M")*6+($F26:$L26="T")*6+($F26:$L26="D")*12+($F26:$L26="N")*12+($F26:$L26="NT")*6+($F26:$L26="C")*10+($F26:$L26="A")*8+($F26:$L26="J")*5+($F26:$L26="E")*4+($F26:$L26="P")*6+($F26:$L26="R")*6)</f>
        <v/>
      </c>
      <c r="BF26" s="110">
        <f>SUMPRODUCT(($M26:$S26="M")*6+($M26:$S26="T")*6+($M26:$S26="D")*12+($M26:$S26="N")*12+($M26:$S26="NT")*6+($M26:$S26="C")*10+($M26:$S26="A")*8+($M26:$S26="J")*5+($M26:$S26="E")*4+($M26:$S26="P")*6+($M26:$S26="R")*6)</f>
        <v/>
      </c>
      <c r="BG26" s="110">
        <f>SUMPRODUCT(($T26:$Z26="M")*6+($T26:$Z26="T")*6+($T26:$Z26="D")*12+($T26:$Z26="N")*12+($T26:$Z26="NT")*6+($T26:$Z26="C")*10+($T26:$Z26="A")*8+($T26:$Z26="J")*5+($T26:$Z26="E")*4+($T26:$Z26="P")*6+($T26:$Z26="R")*6)</f>
        <v/>
      </c>
      <c r="BH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I26" s="110">
        <f>SUMPRODUCT(($AH26:$AM26="M")*6+($AH26:$AM26="T")*6+($AH26:$AM26="D")*12+($AH26:$AM26="N")*12+($AH26:$AM26="NT")*6+($AH26:$AM26="C")*10+($AH26:$AM26="A")*8+($AH26:$AM26="J")*5+($AH26:$AM26="E")*4+($AH26:$AM26="P")*6+($AH26:$AM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3">
        <f>IFERROR(INDEX(SET!AJ$8:AJ$73,MATCH($A27,SET!$A$8:$A$73,0))&amp;"","")</f>
        <v/>
      </c>
      <c r="G27" s="123">
        <f>IFERROR(INDEX(SET!AK$8:AK$73,MATCH($A27,SET!$A$8:$A$73,0))&amp;"","")</f>
        <v/>
      </c>
      <c r="H27" s="123">
        <f>IFERROR(INDEX(SET!AL$8:AL$73,MATCH($A27,SET!$A$8:$A$73,0))&amp;"","")</f>
        <v/>
      </c>
      <c r="I27" s="116" t="inlineStr">
        <is>
          <t>N</t>
        </is>
      </c>
      <c r="J27" s="115" t="inlineStr">
        <is>
          <t>D</t>
        </is>
      </c>
      <c r="K27" s="107" t="n"/>
      <c r="L27" s="107" t="n"/>
      <c r="M27" s="107" t="n"/>
      <c r="N27" s="116" t="inlineStr">
        <is>
          <t>N</t>
        </is>
      </c>
      <c r="O27" s="107" t="n"/>
      <c r="P27" s="116" t="inlineStr">
        <is>
          <t>N</t>
        </is>
      </c>
      <c r="Q27" s="107" t="n"/>
      <c r="R27" s="116" t="inlineStr">
        <is>
          <t>N</t>
        </is>
      </c>
      <c r="S27" s="107" t="n"/>
      <c r="T27" s="107" t="n"/>
      <c r="U27" s="116" t="inlineStr">
        <is>
          <t>N</t>
        </is>
      </c>
      <c r="V27" s="107" t="n"/>
      <c r="W27" s="116" t="inlineStr">
        <is>
          <t>N</t>
        </is>
      </c>
      <c r="X27" s="107" t="n"/>
      <c r="Y27" s="116" t="inlineStr">
        <is>
          <t>N</t>
        </is>
      </c>
      <c r="Z27" s="107" t="n"/>
      <c r="AA27" s="107" t="n"/>
      <c r="AB27" s="116" t="inlineStr">
        <is>
          <t>N</t>
        </is>
      </c>
      <c r="AC27" s="107" t="n"/>
      <c r="AD27" s="116" t="inlineStr">
        <is>
          <t>N</t>
        </is>
      </c>
      <c r="AE27" s="107" t="n"/>
      <c r="AF27" s="116" t="inlineStr">
        <is>
          <t>N</t>
        </is>
      </c>
      <c r="AG27" s="107" t="n"/>
      <c r="AH27" s="107" t="n"/>
      <c r="AI27" s="116" t="inlineStr">
        <is>
          <t>N</t>
        </is>
      </c>
      <c r="AJ27" s="107" t="n"/>
      <c r="AK27" s="116" t="inlineStr">
        <is>
          <t>N</t>
        </is>
      </c>
      <c r="AL27" s="107" t="n"/>
      <c r="AM27" s="116" t="inlineStr">
        <is>
          <t>N</t>
        </is>
      </c>
      <c r="AN27" s="109">
        <f>IFERROR(INDEX(NOV!I$8:I$73,MATCH($A27,NOV!$A$8:$A$73,0))&amp;"","")</f>
        <v/>
      </c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SUMPRODUCT(($F27:$L27="M")*6+($F27:$L27="T")*6+($F27:$L27="D")*12+($F27:$L27="N")*12+($F27:$L27="NT")*6+($F27:$L27="C")*10+($F27:$L27="A")*8+($F27:$L27="J")*5+($F27:$L27="E")*4+($F27:$L27="P")*6+($F27:$L27="R")*6)</f>
        <v/>
      </c>
      <c r="BF27" s="110">
        <f>SUMPRODUCT(($M27:$S27="M")*6+($M27:$S27="T")*6+($M27:$S27="D")*12+($M27:$S27="N")*12+($M27:$S27="NT")*6+($M27:$S27="C")*10+($M27:$S27="A")*8+($M27:$S27="J")*5+($M27:$S27="E")*4+($M27:$S27="P")*6+($M27:$S27="R")*6)</f>
        <v/>
      </c>
      <c r="BG27" s="110">
        <f>SUMPRODUCT(($T27:$Z27="M")*6+($T27:$Z27="T")*6+($T27:$Z27="D")*12+($T27:$Z27="N")*12+($T27:$Z27="NT")*6+($T27:$Z27="C")*10+($T27:$Z27="A")*8+($T27:$Z27="J")*5+($T27:$Z27="E")*4+($T27:$Z27="P")*6+($T27:$Z27="R")*6)</f>
        <v/>
      </c>
      <c r="BH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I27" s="110">
        <f>SUMPRODUCT(($AH27:$AM27="M")*6+($AH27:$AM27="T")*6+($AH27:$AM27="D")*12+($AH27:$AM27="N")*12+($AH27:$AM27="NT")*6+($AH27:$AM27="C")*10+($AH27:$AM27="A")*8+($AH27:$AM27="J")*5+($AH27:$AM27="E")*4+($AH27:$AM27="P")*6+($AH27:$AM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3">
        <f>IFERROR(INDEX(SET!AJ$8:AJ$73,MATCH($A28,SET!$A$8:$A$73,0))&amp;"","")</f>
        <v/>
      </c>
      <c r="G28" s="123">
        <f>IFERROR(INDEX(SET!AK$8:AK$73,MATCH($A28,SET!$A$8:$A$73,0))&amp;"","")</f>
        <v/>
      </c>
      <c r="H28" s="123">
        <f>IFERROR(INDEX(SET!AL$8:AL$73,MATCH($A28,SET!$A$8:$A$73,0))&amp;"","")</f>
        <v/>
      </c>
      <c r="I28" s="128" t="inlineStr">
        <is>
          <t>FE</t>
        </is>
      </c>
      <c r="J28" s="128" t="inlineStr">
        <is>
          <t>FE</t>
        </is>
      </c>
      <c r="K28" s="128" t="inlineStr">
        <is>
          <t>FE</t>
        </is>
      </c>
      <c r="L28" s="128" t="inlineStr">
        <is>
          <t>FE</t>
        </is>
      </c>
      <c r="M28" s="128" t="inlineStr">
        <is>
          <t>FE</t>
        </is>
      </c>
      <c r="N28" s="128" t="inlineStr">
        <is>
          <t>FE</t>
        </is>
      </c>
      <c r="O28" s="128" t="inlineStr">
        <is>
          <t>FE</t>
        </is>
      </c>
      <c r="P28" s="128" t="inlineStr">
        <is>
          <t>FE</t>
        </is>
      </c>
      <c r="Q28" s="128" t="inlineStr">
        <is>
          <t>FE</t>
        </is>
      </c>
      <c r="R28" s="128" t="inlineStr">
        <is>
          <t>FE</t>
        </is>
      </c>
      <c r="S28" s="128" t="inlineStr">
        <is>
          <t>FE</t>
        </is>
      </c>
      <c r="T28" s="107" t="n"/>
      <c r="U28" s="115" t="inlineStr">
        <is>
          <t>D</t>
        </is>
      </c>
      <c r="V28" s="117" t="inlineStr">
        <is>
          <t>T</t>
        </is>
      </c>
      <c r="W28" s="107" t="n"/>
      <c r="X28" s="107" t="n"/>
      <c r="Y28" s="107" t="n"/>
      <c r="Z28" s="117" t="inlineStr">
        <is>
          <t>T</t>
        </is>
      </c>
      <c r="AA28" s="116" t="inlineStr">
        <is>
          <t>N</t>
        </is>
      </c>
      <c r="AB28" s="107" t="n"/>
      <c r="AC28" s="107" t="n"/>
      <c r="AD28" s="107" t="n"/>
      <c r="AE28" s="117" t="inlineStr">
        <is>
          <t>T</t>
        </is>
      </c>
      <c r="AF28" s="107" t="n"/>
      <c r="AG28" s="115" t="inlineStr">
        <is>
          <t>D</t>
        </is>
      </c>
      <c r="AH28" s="107" t="n"/>
      <c r="AI28" s="115" t="inlineStr">
        <is>
          <t>D</t>
        </is>
      </c>
      <c r="AJ28" s="107" t="n"/>
      <c r="AK28" s="117" t="inlineStr">
        <is>
          <t>T</t>
        </is>
      </c>
      <c r="AL28" s="116" t="inlineStr">
        <is>
          <t>N</t>
        </is>
      </c>
      <c r="AM28" s="107" t="n"/>
      <c r="AN28" s="109">
        <f>IFERROR(INDEX(NOV!I$8:I$73,MATCH($A28,NOV!$A$8:$A$73,0))&amp;"","")</f>
        <v/>
      </c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SUMPRODUCT(($F28:$L28="M")*6+($F28:$L28="T")*6+($F28:$L28="D")*12+($F28:$L28="N")*12+($F28:$L28="NT")*6+($F28:$L28="C")*10+($F28:$L28="A")*8+($F28:$L28="J")*5+($F28:$L28="E")*4+($F28:$L28="P")*6+($F28:$L28="R")*6)</f>
        <v/>
      </c>
      <c r="BF28" s="110">
        <f>SUMPRODUCT(($M28:$S28="M")*6+($M28:$S28="T")*6+($M28:$S28="D")*12+($M28:$S28="N")*12+($M28:$S28="NT")*6+($M28:$S28="C")*10+($M28:$S28="A")*8+($M28:$S28="J")*5+($M28:$S28="E")*4+($M28:$S28="P")*6+($M28:$S28="R")*6)</f>
        <v/>
      </c>
      <c r="BG28" s="110">
        <f>SUMPRODUCT(($T28:$Z28="M")*6+($T28:$Z28="T")*6+($T28:$Z28="D")*12+($T28:$Z28="N")*12+($T28:$Z28="NT")*6+($T28:$Z28="C")*10+($T28:$Z28="A")*8+($T28:$Z28="J")*5+($T28:$Z28="E")*4+($T28:$Z28="P")*6+($T28:$Z28="R")*6)</f>
        <v/>
      </c>
      <c r="BH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I28" s="110">
        <f>SUMPRODUCT(($AH28:$AM28="M")*6+($AH28:$AM28="T")*6+($AH28:$AM28="D")*12+($AH28:$AM28="N")*12+($AH28:$AM28="NT")*6+($AH28:$AM28="C")*10+($AH28:$AM28="A")*8+($AH28:$AM28="J")*5+($AH28:$AM28="E")*4+($AH28:$AM28="P")*6+($AH28:$AM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3">
        <f>IFERROR(INDEX(SET!AJ$8:AJ$73,MATCH($A29,SET!$A$8:$A$73,0))&amp;"","")</f>
        <v/>
      </c>
      <c r="G29" s="123">
        <f>IFERROR(INDEX(SET!AK$8:AK$73,MATCH($A29,SET!$A$8:$A$73,0))&amp;"","")</f>
        <v/>
      </c>
      <c r="H29" s="123">
        <f>IFERROR(INDEX(SET!AL$8:AL$73,MATCH($A29,SET!$A$8:$A$73,0))&amp;"","")</f>
        <v/>
      </c>
      <c r="I29" s="108" t="inlineStr">
        <is>
          <t>M</t>
        </is>
      </c>
      <c r="J29" s="107" t="n"/>
      <c r="K29" s="108" t="inlineStr">
        <is>
          <t>M</t>
        </is>
      </c>
      <c r="L29" s="108" t="inlineStr">
        <is>
          <t>M</t>
        </is>
      </c>
      <c r="M29" s="116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6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7" t="n"/>
      <c r="AA29" s="116" t="inlineStr">
        <is>
          <t>N</t>
        </is>
      </c>
      <c r="AB29" s="107" t="n"/>
      <c r="AC29" s="108" t="inlineStr">
        <is>
          <t>M</t>
        </is>
      </c>
      <c r="AD29" s="107" t="n"/>
      <c r="AE29" s="116" t="inlineStr">
        <is>
          <t>N</t>
        </is>
      </c>
      <c r="AF29" s="107" t="n"/>
      <c r="AG29" s="108" t="inlineStr">
        <is>
          <t>M</t>
        </is>
      </c>
      <c r="AH29" s="116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>
        <f>IFERROR(INDEX(NOV!I$8:I$73,MATCH($A29,NOV!$A$8:$A$73,0))&amp;"","")</f>
        <v/>
      </c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SUMPRODUCT(($F29:$L29="M")*6+($F29:$L29="T")*6+($F29:$L29="D")*12+($F29:$L29="N")*12+($F29:$L29="NT")*6+($F29:$L29="C")*10+($F29:$L29="A")*8+($F29:$L29="J")*5+($F29:$L29="E")*4+($F29:$L29="P")*6+($F29:$L29="R")*6)</f>
        <v/>
      </c>
      <c r="BF29" s="110">
        <f>SUMPRODUCT(($M29:$S29="M")*6+($M29:$S29="T")*6+($M29:$S29="D")*12+($M29:$S29="N")*12+($M29:$S29="NT")*6+($M29:$S29="C")*10+($M29:$S29="A")*8+($M29:$S29="J")*5+($M29:$S29="E")*4+($M29:$S29="P")*6+($M29:$S29="R")*6)</f>
        <v/>
      </c>
      <c r="BG29" s="110">
        <f>SUMPRODUCT(($T29:$Z29="M")*6+($T29:$Z29="T")*6+($T29:$Z29="D")*12+($T29:$Z29="N")*12+($T29:$Z29="NT")*6+($T29:$Z29="C")*10+($T29:$Z29="A")*8+($T29:$Z29="J")*5+($T29:$Z29="E")*4+($T29:$Z29="P")*6+($T29:$Z29="R")*6)</f>
        <v/>
      </c>
      <c r="BH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I29" s="110">
        <f>SUMPRODUCT(($AH29:$AM29="M")*6+($AH29:$AM29="T")*6+($AH29:$AM29="D")*12+($AH29:$AM29="N")*12+($AH29:$AM29="NT")*6+($AH29:$AM29="C")*10+($AH29:$AM29="A")*8+($AH29:$AM29="J")*5+($AH29:$AM29="E")*4+($AH29:$AM29="P")*6+($AH29:$AM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3">
        <f>IFERROR(INDEX(SET!AJ$8:AJ$73,MATCH($A30,SET!$A$8:$A$73,0))&amp;"","")</f>
        <v/>
      </c>
      <c r="G30" s="123">
        <f>IFERROR(INDEX(SET!AK$8:AK$73,MATCH($A30,SET!$A$8:$A$73,0))&amp;"","")</f>
        <v/>
      </c>
      <c r="H30" s="123">
        <f>IFERROR(INDEX(SET!AL$8:AL$73,MATCH($A30,SET!$A$8:$A$73,0))&amp;"","")</f>
        <v/>
      </c>
      <c r="I30" s="128" t="inlineStr">
        <is>
          <t>FE</t>
        </is>
      </c>
      <c r="J30" s="128" t="inlineStr">
        <is>
          <t>FE</t>
        </is>
      </c>
      <c r="K30" s="128" t="inlineStr">
        <is>
          <t>FE</t>
        </is>
      </c>
      <c r="L30" s="128" t="inlineStr">
        <is>
          <t>FE</t>
        </is>
      </c>
      <c r="M30" s="128" t="inlineStr">
        <is>
          <t>FE</t>
        </is>
      </c>
      <c r="N30" s="107" t="n"/>
      <c r="O30" s="115" t="inlineStr">
        <is>
          <t>D</t>
        </is>
      </c>
      <c r="P30" s="107" t="n"/>
      <c r="Q30" s="107" t="n"/>
      <c r="R30" s="107" t="n"/>
      <c r="S30" s="116" t="inlineStr">
        <is>
          <t>N</t>
        </is>
      </c>
      <c r="T30" s="107" t="n"/>
      <c r="U30" s="107" t="n"/>
      <c r="V30" s="116" t="inlineStr">
        <is>
          <t>N</t>
        </is>
      </c>
      <c r="W30" s="117" t="inlineStr">
        <is>
          <t>T</t>
        </is>
      </c>
      <c r="X30" s="107" t="n"/>
      <c r="Y30" s="107" t="n"/>
      <c r="Z30" s="116" t="inlineStr">
        <is>
          <t>N</t>
        </is>
      </c>
      <c r="AA30" s="107" t="n"/>
      <c r="AB30" s="107" t="n"/>
      <c r="AC30" s="115" t="inlineStr">
        <is>
          <t>D</t>
        </is>
      </c>
      <c r="AD30" s="107" t="n"/>
      <c r="AE30" s="116" t="inlineStr">
        <is>
          <t>N</t>
        </is>
      </c>
      <c r="AF30" s="107" t="n"/>
      <c r="AG30" s="117" t="inlineStr">
        <is>
          <t>T</t>
        </is>
      </c>
      <c r="AH30" s="107" t="n"/>
      <c r="AI30" s="107" t="n"/>
      <c r="AJ30" s="116" t="inlineStr">
        <is>
          <t>N</t>
        </is>
      </c>
      <c r="AK30" s="117" t="inlineStr">
        <is>
          <t>T</t>
        </is>
      </c>
      <c r="AL30" s="107" t="n"/>
      <c r="AM30" s="107" t="n"/>
      <c r="AN30" s="109">
        <f>IFERROR(INDEX(NOV!I$8:I$73,MATCH($A30,NOV!$A$8:$A$73,0))&amp;"","")</f>
        <v/>
      </c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SUMPRODUCT(($F30:$L30="M")*6+($F30:$L30="T")*6+($F30:$L30="D")*12+($F30:$L30="N")*12+($F30:$L30="NT")*6+($F30:$L30="C")*10+($F30:$L30="A")*8+($F30:$L30="J")*5+($F30:$L30="E")*4+($F30:$L30="P")*6+($F30:$L30="R")*6)</f>
        <v/>
      </c>
      <c r="BF30" s="110">
        <f>SUMPRODUCT(($M30:$S30="M")*6+($M30:$S30="T")*6+($M30:$S30="D")*12+($M30:$S30="N")*12+($M30:$S30="NT")*6+($M30:$S30="C")*10+($M30:$S30="A")*8+($M30:$S30="J")*5+($M30:$S30="E")*4+($M30:$S30="P")*6+($M30:$S30="R")*6)</f>
        <v/>
      </c>
      <c r="BG30" s="110">
        <f>SUMPRODUCT(($T30:$Z30="M")*6+($T30:$Z30="T")*6+($T30:$Z30="D")*12+($T30:$Z30="N")*12+($T30:$Z30="NT")*6+($T30:$Z30="C")*10+($T30:$Z30="A")*8+($T30:$Z30="J")*5+($T30:$Z30="E")*4+($T30:$Z30="P")*6+($T30:$Z30="R")*6)</f>
        <v/>
      </c>
      <c r="BH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I30" s="110">
        <f>SUMPRODUCT(($AH30:$AM30="M")*6+($AH30:$AM30="T")*6+($AH30:$AM30="D")*12+($AH30:$AM30="N")*12+($AH30:$AM30="NT")*6+($AH30:$AM30="C")*10+($AH30:$AM30="A")*8+($AH30:$AM30="J")*5+($AH30:$AM30="E")*4+($AH30:$AM30="P")*6+($AH30:$AM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3">
        <f>IFERROR(INDEX(SET!AJ$8:AJ$73,MATCH($A31,SET!$A$8:$A$73,0))&amp;"","")</f>
        <v/>
      </c>
      <c r="G31" s="123">
        <f>IFERROR(INDEX(SET!AK$8:AK$73,MATCH($A31,SET!$A$8:$A$73,0))&amp;"","")</f>
        <v/>
      </c>
      <c r="H31" s="123">
        <f>IFERROR(INDEX(SET!AL$8:AL$73,MATCH($A31,SET!$A$8:$A$73,0))&amp;"","")</f>
        <v/>
      </c>
      <c r="I31" s="108" t="inlineStr">
        <is>
          <t>M</t>
        </is>
      </c>
      <c r="J31" s="108" t="inlineStr">
        <is>
          <t>M</t>
        </is>
      </c>
      <c r="K31" s="107" t="n"/>
      <c r="L31" s="107" t="n"/>
      <c r="M31" s="107" t="n"/>
      <c r="N31" s="117" t="inlineStr">
        <is>
          <t>T</t>
        </is>
      </c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16" t="inlineStr">
        <is>
          <t>N</t>
        </is>
      </c>
      <c r="T31" s="107" t="n"/>
      <c r="U31" s="117" t="inlineStr">
        <is>
          <t>T</t>
        </is>
      </c>
      <c r="V31" s="108" t="inlineStr">
        <is>
          <t>M</t>
        </is>
      </c>
      <c r="W31" s="117" t="inlineStr">
        <is>
          <t>T</t>
        </is>
      </c>
      <c r="X31" s="116" t="inlineStr">
        <is>
          <t>N</t>
        </is>
      </c>
      <c r="Y31" s="107" t="n"/>
      <c r="Z31" s="107" t="n"/>
      <c r="AA31" s="107" t="n"/>
      <c r="AB31" s="117" t="inlineStr">
        <is>
          <t>T</t>
        </is>
      </c>
      <c r="AC31" s="107" t="n"/>
      <c r="AD31" s="107" t="n"/>
      <c r="AE31" s="108" t="inlineStr">
        <is>
          <t>M</t>
        </is>
      </c>
      <c r="AF31" s="108" t="inlineStr">
        <is>
          <t>M</t>
        </is>
      </c>
      <c r="AG31" s="116" t="inlineStr">
        <is>
          <t>N</t>
        </is>
      </c>
      <c r="AH31" s="107" t="n"/>
      <c r="AI31" s="117" t="inlineStr">
        <is>
          <t>T</t>
        </is>
      </c>
      <c r="AJ31" s="115" t="inlineStr">
        <is>
          <t>D</t>
        </is>
      </c>
      <c r="AK31" s="117" t="inlineStr">
        <is>
          <t>T</t>
        </is>
      </c>
      <c r="AL31" s="108" t="inlineStr">
        <is>
          <t>M</t>
        </is>
      </c>
      <c r="AM31" s="107" t="n"/>
      <c r="AN31" s="109">
        <f>IFERROR(INDEX(NOV!I$8:I$73,MATCH($A31,NOV!$A$8:$A$73,0))&amp;"","")</f>
        <v/>
      </c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SUMPRODUCT(($F31:$L31="M")*6+($F31:$L31="T")*6+($F31:$L31="D")*12+($F31:$L31="N")*12+($F31:$L31="NT")*6+($F31:$L31="C")*10+($F31:$L31="A")*8+($F31:$L31="J")*5+($F31:$L31="E")*4+($F31:$L31="P")*6+($F31:$L31="R")*6)</f>
        <v/>
      </c>
      <c r="BF31" s="110">
        <f>SUMPRODUCT(($M31:$S31="M")*6+($M31:$S31="T")*6+($M31:$S31="D")*12+($M31:$S31="N")*12+($M31:$S31="NT")*6+($M31:$S31="C")*10+($M31:$S31="A")*8+($M31:$S31="J")*5+($M31:$S31="E")*4+($M31:$S31="P")*6+($M31:$S31="R")*6)</f>
        <v/>
      </c>
      <c r="BG31" s="110">
        <f>SUMPRODUCT(($T31:$Z31="M")*6+($T31:$Z31="T")*6+($T31:$Z31="D")*12+($T31:$Z31="N")*12+($T31:$Z31="NT")*6+($T31:$Z31="C")*10+($T31:$Z31="A")*8+($T31:$Z31="J")*5+($T31:$Z31="E")*4+($T31:$Z31="P")*6+($T31:$Z31="R")*6)</f>
        <v/>
      </c>
      <c r="BH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I31" s="110">
        <f>SUMPRODUCT(($AH31:$AM31="M")*6+($AH31:$AM31="T")*6+($AH31:$AM31="D")*12+($AH31:$AM31="N")*12+($AH31:$AM31="NT")*6+($AH31:$AM31="C")*10+($AH31:$AM31="A")*8+($AH31:$AM31="J")*5+($AH31:$AM31="E")*4+($AH31:$AM31="P")*6+($AH31:$AM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3">
        <f>IFERROR(INDEX(SET!AJ$8:AJ$73,MATCH($A32,SET!$A$8:$A$73,0))&amp;"","")</f>
        <v/>
      </c>
      <c r="G32" s="123">
        <f>IFERROR(INDEX(SET!AK$8:AK$73,MATCH($A32,SET!$A$8:$A$73,0))&amp;"","")</f>
        <v/>
      </c>
      <c r="H32" s="123">
        <f>IFERROR(INDEX(SET!AL$8:AL$73,MATCH($A32,SET!$A$8:$A$73,0))&amp;"","")</f>
        <v/>
      </c>
      <c r="I32" s="128" t="inlineStr">
        <is>
          <t>FE</t>
        </is>
      </c>
      <c r="J32" s="128" t="inlineStr">
        <is>
          <t>FE</t>
        </is>
      </c>
      <c r="K32" s="128" t="inlineStr">
        <is>
          <t>FE</t>
        </is>
      </c>
      <c r="L32" s="128" t="inlineStr">
        <is>
          <t>FE</t>
        </is>
      </c>
      <c r="M32" s="128" t="inlineStr">
        <is>
          <t>FE</t>
        </is>
      </c>
      <c r="N32" s="107" t="n"/>
      <c r="O32" s="107" t="n"/>
      <c r="P32" s="108" t="inlineStr">
        <is>
          <t>M</t>
        </is>
      </c>
      <c r="Q32" s="107" t="n"/>
      <c r="R32" s="108" t="inlineStr">
        <is>
          <t>M</t>
        </is>
      </c>
      <c r="S32" s="116" t="inlineStr">
        <is>
          <t>N</t>
        </is>
      </c>
      <c r="T32" s="116" t="inlineStr">
        <is>
          <t>N</t>
        </is>
      </c>
      <c r="U32" s="107" t="n"/>
      <c r="V32" s="117" t="inlineStr">
        <is>
          <t>T</t>
        </is>
      </c>
      <c r="W32" s="108" t="inlineStr">
        <is>
          <t>M</t>
        </is>
      </c>
      <c r="X32" s="108" t="inlineStr">
        <is>
          <t>M</t>
        </is>
      </c>
      <c r="Y32" s="107" t="n"/>
      <c r="Z32" s="107" t="n"/>
      <c r="AA32" s="117" t="inlineStr">
        <is>
          <t>T</t>
        </is>
      </c>
      <c r="AB32" s="107" t="n"/>
      <c r="AC32" s="107" t="n"/>
      <c r="AD32" s="107" t="n"/>
      <c r="AE32" s="116" t="inlineStr">
        <is>
          <t>N</t>
        </is>
      </c>
      <c r="AF32" s="107" t="n"/>
      <c r="AG32" s="115" t="inlineStr">
        <is>
          <t>D</t>
        </is>
      </c>
      <c r="AH32" s="115" t="inlineStr">
        <is>
          <t>D</t>
        </is>
      </c>
      <c r="AI32" s="107" t="n"/>
      <c r="AJ32" s="107" t="n"/>
      <c r="AK32" s="115" t="inlineStr">
        <is>
          <t>D</t>
        </is>
      </c>
      <c r="AL32" s="108" t="inlineStr">
        <is>
          <t>M</t>
        </is>
      </c>
      <c r="AM32" s="107" t="n"/>
      <c r="AN32" s="109">
        <f>IFERROR(INDEX(NOV!I$8:I$73,MATCH($A32,NOV!$A$8:$A$73,0))&amp;"","")</f>
        <v/>
      </c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SUMPRODUCT(($F32:$L32="M")*6+($F32:$L32="T")*6+($F32:$L32="D")*12+($F32:$L32="N")*12+($F32:$L32="NT")*6+($F32:$L32="C")*10+($F32:$L32="A")*8+($F32:$L32="J")*5+($F32:$L32="E")*4+($F32:$L32="P")*6+($F32:$L32="R")*6)</f>
        <v/>
      </c>
      <c r="BF32" s="110">
        <f>SUMPRODUCT(($M32:$S32="M")*6+($M32:$S32="T")*6+($M32:$S32="D")*12+($M32:$S32="N")*12+($M32:$S32="NT")*6+($M32:$S32="C")*10+($M32:$S32="A")*8+($M32:$S32="J")*5+($M32:$S32="E")*4+($M32:$S32="P")*6+($M32:$S32="R")*6)</f>
        <v/>
      </c>
      <c r="BG32" s="110">
        <f>SUMPRODUCT(($T32:$Z32="M")*6+($T32:$Z32="T")*6+($T32:$Z32="D")*12+($T32:$Z32="N")*12+($T32:$Z32="NT")*6+($T32:$Z32="C")*10+($T32:$Z32="A")*8+($T32:$Z32="J")*5+($T32:$Z32="E")*4+($T32:$Z32="P")*6+($T32:$Z32="R")*6)</f>
        <v/>
      </c>
      <c r="BH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I32" s="110">
        <f>SUMPRODUCT(($AH32:$AM32="M")*6+($AH32:$AM32="T")*6+($AH32:$AM32="D")*12+($AH32:$AM32="N")*12+($AH32:$AM32="NT")*6+($AH32:$AM32="C")*10+($AH32:$AM32="A")*8+($AH32:$AM32="J")*5+($AH32:$AM32="E")*4+($AH32:$AM32="P")*6+($AH32:$AM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3">
        <f>IFERROR(INDEX(SET!AJ$8:AJ$73,MATCH($A33,SET!$A$8:$A$73,0))&amp;"","")</f>
        <v/>
      </c>
      <c r="G33" s="123">
        <f>IFERROR(INDEX(SET!AK$8:AK$73,MATCH($A33,SET!$A$8:$A$73,0))&amp;"","")</f>
        <v/>
      </c>
      <c r="H33" s="123">
        <f>IFERROR(INDEX(SET!AL$8:AL$73,MATCH($A33,SET!$A$8:$A$73,0))&amp;"","")</f>
        <v/>
      </c>
      <c r="I33" s="107" t="n"/>
      <c r="J33" s="117" t="inlineStr">
        <is>
          <t>T</t>
        </is>
      </c>
      <c r="K33" s="108" t="inlineStr">
        <is>
          <t>M</t>
        </is>
      </c>
      <c r="L33" s="107" t="n"/>
      <c r="M33" s="115" t="inlineStr">
        <is>
          <t>D</t>
        </is>
      </c>
      <c r="N33" s="107" t="n"/>
      <c r="O33" s="107" t="n"/>
      <c r="P33" s="107" t="n"/>
      <c r="Q33" s="107" t="n"/>
      <c r="R33" s="115" t="inlineStr">
        <is>
          <t>D</t>
        </is>
      </c>
      <c r="S33" s="107" t="n"/>
      <c r="T33" s="108" t="inlineStr">
        <is>
          <t>M</t>
        </is>
      </c>
      <c r="U33" s="107" t="n"/>
      <c r="V33" s="107" t="n"/>
      <c r="W33" s="107" t="n"/>
      <c r="X33" s="115" t="inlineStr">
        <is>
          <t>D</t>
        </is>
      </c>
      <c r="Y33" s="108" t="inlineStr">
        <is>
          <t>M</t>
        </is>
      </c>
      <c r="Z33" s="107" t="n"/>
      <c r="AA33" s="115" t="inlineStr">
        <is>
          <t>D</t>
        </is>
      </c>
      <c r="AB33" s="107" t="n"/>
      <c r="AC33" s="107" t="n"/>
      <c r="AD33" s="107" t="n"/>
      <c r="AE33" s="115" t="inlineStr">
        <is>
          <t>D</t>
        </is>
      </c>
      <c r="AF33" s="107" t="n"/>
      <c r="AG33" s="107" t="n"/>
      <c r="AH33" s="115" t="inlineStr">
        <is>
          <t>D</t>
        </is>
      </c>
      <c r="AI33" s="107" t="n"/>
      <c r="AJ33" s="107" t="n"/>
      <c r="AK33" s="107" t="n"/>
      <c r="AL33" s="116" t="inlineStr">
        <is>
          <t>N</t>
        </is>
      </c>
      <c r="AM33" s="107" t="n"/>
      <c r="AN33" s="109">
        <f>IFERROR(INDEX(NOV!I$8:I$73,MATCH($A33,NOV!$A$8:$A$73,0))&amp;"","")</f>
        <v/>
      </c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SUMPRODUCT(($F33:$L33="M")*6+($F33:$L33="T")*6+($F33:$L33="D")*12+($F33:$L33="N")*12+($F33:$L33="NT")*6+($F33:$L33="C")*10+($F33:$L33="A")*8+($F33:$L33="J")*5+($F33:$L33="E")*4+($F33:$L33="P")*6+($F33:$L33="R")*6)</f>
        <v/>
      </c>
      <c r="BF33" s="110">
        <f>SUMPRODUCT(($M33:$S33="M")*6+($M33:$S33="T")*6+($M33:$S33="D")*12+($M33:$S33="N")*12+($M33:$S33="NT")*6+($M33:$S33="C")*10+($M33:$S33="A")*8+($M33:$S33="J")*5+($M33:$S33="E")*4+($M33:$S33="P")*6+($M33:$S33="R")*6)</f>
        <v/>
      </c>
      <c r="BG33" s="110">
        <f>SUMPRODUCT(($T33:$Z33="M")*6+($T33:$Z33="T")*6+($T33:$Z33="D")*12+($T33:$Z33="N")*12+($T33:$Z33="NT")*6+($T33:$Z33="C")*10+($T33:$Z33="A")*8+($T33:$Z33="J")*5+($T33:$Z33="E")*4+($T33:$Z33="P")*6+($T33:$Z33="R")*6)</f>
        <v/>
      </c>
      <c r="BH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I33" s="110">
        <f>SUMPRODUCT(($AH33:$AM33="M")*6+($AH33:$AM33="T")*6+($AH33:$AM33="D")*12+($AH33:$AM33="N")*12+($AH33:$AM33="NT")*6+($AH33:$AM33="C")*10+($AH33:$AM33="A")*8+($AH33:$AM33="J")*5+($AH33:$AM33="E")*4+($AH33:$AM33="P")*6+($AH33:$AM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3">
        <f>IFERROR(INDEX(SET!AJ$8:AJ$73,MATCH($A34,SET!$A$8:$A$73,0))&amp;"","")</f>
        <v/>
      </c>
      <c r="G34" s="123">
        <f>IFERROR(INDEX(SET!AK$8:AK$73,MATCH($A34,SET!$A$8:$A$73,0))&amp;"","")</f>
        <v/>
      </c>
      <c r="H34" s="123">
        <f>IFERROR(INDEX(SET!AL$8:AL$73,MATCH($A34,SET!$A$8:$A$73,0))&amp;"","")</f>
        <v/>
      </c>
      <c r="I34" s="107" t="n"/>
      <c r="J34" s="107" t="n"/>
      <c r="K34" s="115" t="inlineStr">
        <is>
          <t>D</t>
        </is>
      </c>
      <c r="L34" s="108" t="inlineStr">
        <is>
          <t>M</t>
        </is>
      </c>
      <c r="M34" s="107" t="n"/>
      <c r="N34" s="115" t="inlineStr">
        <is>
          <t>D</t>
        </is>
      </c>
      <c r="O34" s="108" t="inlineStr">
        <is>
          <t>M</t>
        </is>
      </c>
      <c r="P34" s="107" t="n"/>
      <c r="Q34" s="107" t="n"/>
      <c r="R34" s="115" t="inlineStr">
        <is>
          <t>D</t>
        </is>
      </c>
      <c r="S34" s="107" t="n"/>
      <c r="T34" s="108" t="inlineStr">
        <is>
          <t>M</t>
        </is>
      </c>
      <c r="U34" s="107" t="n"/>
      <c r="V34" s="115" t="inlineStr">
        <is>
          <t>D</t>
        </is>
      </c>
      <c r="W34" s="107" t="n"/>
      <c r="X34" s="116" t="inlineStr">
        <is>
          <t>N</t>
        </is>
      </c>
      <c r="Y34" s="107" t="n"/>
      <c r="Z34" s="107" t="n"/>
      <c r="AA34" s="115" t="inlineStr">
        <is>
          <t>D</t>
        </is>
      </c>
      <c r="AB34" s="108" t="inlineStr">
        <is>
          <t>M</t>
        </is>
      </c>
      <c r="AC34" s="115" t="inlineStr">
        <is>
          <t>D</t>
        </is>
      </c>
      <c r="AD34" s="107" t="n"/>
      <c r="AE34" s="107" t="n"/>
      <c r="AF34" s="107" t="n"/>
      <c r="AG34" s="107" t="n"/>
      <c r="AH34" s="107" t="n"/>
      <c r="AI34" s="115" t="inlineStr">
        <is>
          <t>D</t>
        </is>
      </c>
      <c r="AJ34" s="115" t="inlineStr">
        <is>
          <t>D</t>
        </is>
      </c>
      <c r="AK34" s="108" t="inlineStr">
        <is>
          <t>M</t>
        </is>
      </c>
      <c r="AL34" s="107" t="n"/>
      <c r="AM34" s="107" t="n"/>
      <c r="AN34" s="109">
        <f>IFERROR(INDEX(NOV!I$8:I$73,MATCH($A34,NOV!$A$8:$A$73,0))&amp;"","")</f>
        <v/>
      </c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SUMPRODUCT(($F34:$L34="M")*6+($F34:$L34="T")*6+($F34:$L34="D")*12+($F34:$L34="N")*12+($F34:$L34="NT")*6+($F34:$L34="C")*10+($F34:$L34="A")*8+($F34:$L34="J")*5+($F34:$L34="E")*4+($F34:$L34="P")*6+($F34:$L34="R")*6)</f>
        <v/>
      </c>
      <c r="BF34" s="110">
        <f>SUMPRODUCT(($M34:$S34="M")*6+($M34:$S34="T")*6+($M34:$S34="D")*12+($M34:$S34="N")*12+($M34:$S34="NT")*6+($M34:$S34="C")*10+($M34:$S34="A")*8+($M34:$S34="J")*5+($M34:$S34="E")*4+($M34:$S34="P")*6+($M34:$S34="R")*6)</f>
        <v/>
      </c>
      <c r="BG34" s="110">
        <f>SUMPRODUCT(($T34:$Z34="M")*6+($T34:$Z34="T")*6+($T34:$Z34="D")*12+($T34:$Z34="N")*12+($T34:$Z34="NT")*6+($T34:$Z34="C")*10+($T34:$Z34="A")*8+($T34:$Z34="J")*5+($T34:$Z34="E")*4+($T34:$Z34="P")*6+($T34:$Z34="R")*6)</f>
        <v/>
      </c>
      <c r="BH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I34" s="110">
        <f>SUMPRODUCT(($AH34:$AM34="M")*6+($AH34:$AM34="T")*6+($AH34:$AM34="D")*12+($AH34:$AM34="N")*12+($AH34:$AM34="NT")*6+($AH34:$AM34="C")*10+($AH34:$AM34="A")*8+($AH34:$AM34="J")*5+($AH34:$AM34="E")*4+($AH34:$AM34="P")*6+($AH34:$AM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3">
        <f>IFERROR(INDEX(SET!AJ$8:AJ$73,MATCH($A35,SET!$A$8:$A$73,0))&amp;"","")</f>
        <v/>
      </c>
      <c r="G35" s="123">
        <f>IFERROR(INDEX(SET!AK$8:AK$73,MATCH($A35,SET!$A$8:$A$73,0))&amp;"","")</f>
        <v/>
      </c>
      <c r="H35" s="123">
        <f>IFERROR(INDEX(SET!AL$8:AL$73,MATCH($A35,SET!$A$8:$A$73,0))&amp;"","")</f>
        <v/>
      </c>
      <c r="I35" s="116" t="inlineStr">
        <is>
          <t>N</t>
        </is>
      </c>
      <c r="J35" s="117" t="inlineStr">
        <is>
          <t>T</t>
        </is>
      </c>
      <c r="K35" s="107" t="n"/>
      <c r="L35" s="107" t="n"/>
      <c r="M35" s="107" t="n"/>
      <c r="N35" s="107" t="n"/>
      <c r="O35" s="107" t="n"/>
      <c r="P35" s="107" t="n"/>
      <c r="Q35" s="116" t="inlineStr">
        <is>
          <t>N</t>
        </is>
      </c>
      <c r="R35" s="116" t="inlineStr">
        <is>
          <t>N</t>
        </is>
      </c>
      <c r="S35" s="117" t="inlineStr">
        <is>
          <t>T</t>
        </is>
      </c>
      <c r="T35" s="116" t="inlineStr">
        <is>
          <t>N</t>
        </is>
      </c>
      <c r="U35" s="107" t="n"/>
      <c r="V35" s="107" t="n"/>
      <c r="W35" s="117" t="inlineStr">
        <is>
          <t>T</t>
        </is>
      </c>
      <c r="X35" s="107" t="n"/>
      <c r="Y35" s="107" t="n"/>
      <c r="Z35" s="115" t="inlineStr">
        <is>
          <t>D</t>
        </is>
      </c>
      <c r="AA35" s="116" t="inlineStr">
        <is>
          <t>N</t>
        </is>
      </c>
      <c r="AB35" s="107" t="n"/>
      <c r="AC35" s="117" t="inlineStr">
        <is>
          <t>T</t>
        </is>
      </c>
      <c r="AD35" s="107" t="n"/>
      <c r="AE35" s="115" t="inlineStr">
        <is>
          <t>D</t>
        </is>
      </c>
      <c r="AF35" s="107" t="n"/>
      <c r="AG35" s="107" t="n"/>
      <c r="AH35" s="116" t="inlineStr">
        <is>
          <t>N</t>
        </is>
      </c>
      <c r="AI35" s="107" t="n"/>
      <c r="AJ35" s="117" t="inlineStr">
        <is>
          <t>T</t>
        </is>
      </c>
      <c r="AK35" s="107" t="n"/>
      <c r="AL35" s="115" t="inlineStr">
        <is>
          <t>D</t>
        </is>
      </c>
      <c r="AM35" s="107" t="n"/>
      <c r="AN35" s="109">
        <f>IFERROR(INDEX(NOV!I$8:I$73,MATCH($A35,NOV!$A$8:$A$73,0))&amp;"","")</f>
        <v/>
      </c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SUMPRODUCT(($F35:$L35="M")*6+($F35:$L35="T")*6+($F35:$L35="D")*12+($F35:$L35="N")*12+($F35:$L35="NT")*6+($F35:$L35="C")*10+($F35:$L35="A")*8+($F35:$L35="J")*5+($F35:$L35="E")*4+($F35:$L35="P")*6+($F35:$L35="R")*6)</f>
        <v/>
      </c>
      <c r="BF35" s="110">
        <f>SUMPRODUCT(($M35:$S35="M")*6+($M35:$S35="T")*6+($M35:$S35="D")*12+($M35:$S35="N")*12+($M35:$S35="NT")*6+($M35:$S35="C")*10+($M35:$S35="A")*8+($M35:$S35="J")*5+($M35:$S35="E")*4+($M35:$S35="P")*6+($M35:$S35="R")*6)</f>
        <v/>
      </c>
      <c r="BG35" s="110">
        <f>SUMPRODUCT(($T35:$Z35="M")*6+($T35:$Z35="T")*6+($T35:$Z35="D")*12+($T35:$Z35="N")*12+($T35:$Z35="NT")*6+($T35:$Z35="C")*10+($T35:$Z35="A")*8+($T35:$Z35="J")*5+($T35:$Z35="E")*4+($T35:$Z35="P")*6+($T35:$Z35="R")*6)</f>
        <v/>
      </c>
      <c r="BH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I35" s="110">
        <f>SUMPRODUCT(($AH35:$AM35="M")*6+($AH35:$AM35="T")*6+($AH35:$AM35="D")*12+($AH35:$AM35="N")*12+($AH35:$AM35="NT")*6+($AH35:$AM35="C")*10+($AH35:$AM35="A")*8+($AH35:$AM35="J")*5+($AH35:$AM35="E")*4+($AH35:$AM35="P")*6+($AH35:$AM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3">
        <f>IFERROR(INDEX(SET!AJ$8:AJ$73,MATCH($A36,SET!$A$8:$A$73,0))&amp;"","")</f>
        <v/>
      </c>
      <c r="G36" s="123">
        <f>IFERROR(INDEX(SET!AK$8:AK$73,MATCH($A36,SET!$A$8:$A$73,0))&amp;"","")</f>
        <v/>
      </c>
      <c r="H36" s="123">
        <f>IFERROR(INDEX(SET!AL$8:AL$73,MATCH($A36,SET!$A$8:$A$73,0))&amp;"","")</f>
        <v/>
      </c>
      <c r="I36" s="107" t="n"/>
      <c r="J36" s="115" t="inlineStr">
        <is>
          <t>D</t>
        </is>
      </c>
      <c r="K36" s="107" t="n"/>
      <c r="L36" s="117" t="inlineStr">
        <is>
          <t>T</t>
        </is>
      </c>
      <c r="M36" s="108" t="inlineStr">
        <is>
          <t>M</t>
        </is>
      </c>
      <c r="N36" s="116" t="inlineStr">
        <is>
          <t>N</t>
        </is>
      </c>
      <c r="O36" s="107" t="n"/>
      <c r="P36" s="107" t="n"/>
      <c r="Q36" s="107" t="n"/>
      <c r="R36" s="115" t="inlineStr">
        <is>
          <t>D</t>
        </is>
      </c>
      <c r="S36" s="107" t="n"/>
      <c r="T36" s="107" t="n"/>
      <c r="U36" s="116" t="inlineStr">
        <is>
          <t>N</t>
        </is>
      </c>
      <c r="V36" s="107" t="n"/>
      <c r="W36" s="117" t="inlineStr">
        <is>
          <t>T</t>
        </is>
      </c>
      <c r="X36" s="115" t="inlineStr">
        <is>
          <t>D</t>
        </is>
      </c>
      <c r="Y36" s="107" t="n"/>
      <c r="Z36" s="107" t="n"/>
      <c r="AA36" s="115" t="inlineStr">
        <is>
          <t>D</t>
        </is>
      </c>
      <c r="AB36" s="116" t="inlineStr">
        <is>
          <t>N</t>
        </is>
      </c>
      <c r="AC36" s="107" t="n"/>
      <c r="AD36" s="107" t="n"/>
      <c r="AE36" s="107" t="n"/>
      <c r="AF36" s="107" t="n"/>
      <c r="AG36" s="108" t="inlineStr">
        <is>
          <t>M</t>
        </is>
      </c>
      <c r="AH36" s="107" t="n"/>
      <c r="AI36" s="115" t="inlineStr">
        <is>
          <t>D</t>
        </is>
      </c>
      <c r="AJ36" s="107" t="n"/>
      <c r="AK36" s="107" t="n"/>
      <c r="AL36" s="117" t="inlineStr">
        <is>
          <t>T</t>
        </is>
      </c>
      <c r="AM36" s="107" t="n"/>
      <c r="AN36" s="109">
        <f>IFERROR(INDEX(NOV!I$8:I$73,MATCH($A36,NOV!$A$8:$A$73,0))&amp;"","")</f>
        <v/>
      </c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SUMPRODUCT(($F36:$L36="M")*6+($F36:$L36="T")*6+($F36:$L36="D")*12+($F36:$L36="N")*12+($F36:$L36="NT")*6+($F36:$L36="C")*10+($F36:$L36="A")*8+($F36:$L36="J")*5+($F36:$L36="E")*4+($F36:$L36="P")*6+($F36:$L36="R")*6)</f>
        <v/>
      </c>
      <c r="BF36" s="110">
        <f>SUMPRODUCT(($M36:$S36="M")*6+($M36:$S36="T")*6+($M36:$S36="D")*12+($M36:$S36="N")*12+($M36:$S36="NT")*6+($M36:$S36="C")*10+($M36:$S36="A")*8+($M36:$S36="J")*5+($M36:$S36="E")*4+($M36:$S36="P")*6+($M36:$S36="R")*6)</f>
        <v/>
      </c>
      <c r="BG36" s="110">
        <f>SUMPRODUCT(($T36:$Z36="M")*6+($T36:$Z36="T")*6+($T36:$Z36="D")*12+($T36:$Z36="N")*12+($T36:$Z36="NT")*6+($T36:$Z36="C")*10+($T36:$Z36="A")*8+($T36:$Z36="J")*5+($T36:$Z36="E")*4+($T36:$Z36="P")*6+($T36:$Z36="R")*6)</f>
        <v/>
      </c>
      <c r="BH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I36" s="110">
        <f>SUMPRODUCT(($AH36:$AM36="M")*6+($AH36:$AM36="T")*6+($AH36:$AM36="D")*12+($AH36:$AM36="N")*12+($AH36:$AM36="NT")*6+($AH36:$AM36="C")*10+($AH36:$AM36="A")*8+($AH36:$AM36="J")*5+($AH36:$AM36="E")*4+($AH36:$AM36="P")*6+($AH36:$AM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3">
        <f>IFERROR(INDEX(SET!AJ$8:AJ$73,MATCH($A37,SET!$A$8:$A$73,0))&amp;"","")</f>
        <v/>
      </c>
      <c r="G37" s="123">
        <f>IFERROR(INDEX(SET!AK$8:AK$73,MATCH($A37,SET!$A$8:$A$73,0))&amp;"","")</f>
        <v/>
      </c>
      <c r="H37" s="123">
        <f>IFERROR(INDEX(SET!AL$8:AL$73,MATCH($A37,SET!$A$8:$A$73,0))&amp;"","")</f>
        <v/>
      </c>
      <c r="I37" s="128" t="inlineStr">
        <is>
          <t>FE</t>
        </is>
      </c>
      <c r="J37" s="128" t="inlineStr">
        <is>
          <t>FE</t>
        </is>
      </c>
      <c r="K37" s="128" t="inlineStr">
        <is>
          <t>FE</t>
        </is>
      </c>
      <c r="L37" s="128" t="inlineStr">
        <is>
          <t>FE</t>
        </is>
      </c>
      <c r="M37" s="128" t="inlineStr">
        <is>
          <t>FE</t>
        </is>
      </c>
      <c r="N37" s="128" t="inlineStr">
        <is>
          <t>FE</t>
        </is>
      </c>
      <c r="O37" s="128" t="inlineStr">
        <is>
          <t>FE</t>
        </is>
      </c>
      <c r="P37" s="128" t="inlineStr">
        <is>
          <t>FE</t>
        </is>
      </c>
      <c r="Q37" s="128" t="inlineStr">
        <is>
          <t>FE</t>
        </is>
      </c>
      <c r="R37" s="128" t="inlineStr">
        <is>
          <t>FE</t>
        </is>
      </c>
      <c r="S37" s="128" t="inlineStr">
        <is>
          <t>FE</t>
        </is>
      </c>
      <c r="T37" s="128" t="inlineStr">
        <is>
          <t>FE</t>
        </is>
      </c>
      <c r="U37" s="107" t="n"/>
      <c r="V37" s="107" t="n"/>
      <c r="W37" s="117" t="inlineStr">
        <is>
          <t>T</t>
        </is>
      </c>
      <c r="X37" s="107" t="n"/>
      <c r="Y37" s="116" t="inlineStr">
        <is>
          <t>N</t>
        </is>
      </c>
      <c r="Z37" s="117" t="inlineStr">
        <is>
          <t>T</t>
        </is>
      </c>
      <c r="AA37" s="107" t="n"/>
      <c r="AB37" s="117" t="inlineStr">
        <is>
          <t>T</t>
        </is>
      </c>
      <c r="AC37" s="115" t="inlineStr">
        <is>
          <t>D</t>
        </is>
      </c>
      <c r="AD37" s="107" t="n"/>
      <c r="AE37" s="116" t="inlineStr">
        <is>
          <t>N</t>
        </is>
      </c>
      <c r="AF37" s="107" t="n"/>
      <c r="AG37" s="107" t="n"/>
      <c r="AH37" s="107" t="n"/>
      <c r="AI37" s="115" t="inlineStr">
        <is>
          <t>D</t>
        </is>
      </c>
      <c r="AJ37" s="117" t="inlineStr">
        <is>
          <t>T</t>
        </is>
      </c>
      <c r="AK37" s="117" t="inlineStr">
        <is>
          <t>T</t>
        </is>
      </c>
      <c r="AL37" s="108" t="inlineStr">
        <is>
          <t>M</t>
        </is>
      </c>
      <c r="AM37" s="107" t="n"/>
      <c r="AN37" s="109">
        <f>IFERROR(INDEX(NOV!I$8:I$73,MATCH($A37,NOV!$A$8:$A$73,0))&amp;"","")</f>
        <v/>
      </c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SUMPRODUCT(($F37:$L37="M")*6+($F37:$L37="T")*6+($F37:$L37="D")*12+($F37:$L37="N")*12+($F37:$L37="NT")*6+($F37:$L37="C")*10+($F37:$L37="A")*8+($F37:$L37="J")*5+($F37:$L37="E")*4+($F37:$L37="P")*6+($F37:$L37="R")*6)</f>
        <v/>
      </c>
      <c r="BF37" s="110">
        <f>SUMPRODUCT(($M37:$S37="M")*6+($M37:$S37="T")*6+($M37:$S37="D")*12+($M37:$S37="N")*12+($M37:$S37="NT")*6+($M37:$S37="C")*10+($M37:$S37="A")*8+($M37:$S37="J")*5+($M37:$S37="E")*4+($M37:$S37="P")*6+($M37:$S37="R")*6)</f>
        <v/>
      </c>
      <c r="BG37" s="110">
        <f>SUMPRODUCT(($T37:$Z37="M")*6+($T37:$Z37="T")*6+($T37:$Z37="D")*12+($T37:$Z37="N")*12+($T37:$Z37="NT")*6+($T37:$Z37="C")*10+($T37:$Z37="A")*8+($T37:$Z37="J")*5+($T37:$Z37="E")*4+($T37:$Z37="P")*6+($T37:$Z37="R")*6)</f>
        <v/>
      </c>
      <c r="BH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I37" s="110">
        <f>SUMPRODUCT(($AH37:$AM37="M")*6+($AH37:$AM37="T")*6+($AH37:$AM37="D")*12+($AH37:$AM37="N")*12+($AH37:$AM37="NT")*6+($AH37:$AM37="C")*10+($AH37:$AM37="A")*8+($AH37:$AM37="J")*5+($AH37:$AM37="E")*4+($AH37:$AM37="P")*6+($AH37:$AM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3">
        <f>IFERROR(INDEX(SET!AJ$8:AJ$73,MATCH($A38,SET!$A$8:$A$73,0))&amp;"","")</f>
        <v/>
      </c>
      <c r="G38" s="123">
        <f>IFERROR(INDEX(SET!AK$8:AK$73,MATCH($A38,SET!$A$8:$A$73,0))&amp;"","")</f>
        <v/>
      </c>
      <c r="H38" s="123">
        <f>IFERROR(INDEX(SET!AL$8:AL$73,MATCH($A38,SET!$A$8:$A$73,0))&amp;"","")</f>
        <v/>
      </c>
      <c r="I38" s="107" t="n"/>
      <c r="J38" s="116" t="inlineStr">
        <is>
          <t>N</t>
        </is>
      </c>
      <c r="K38" s="107" t="n"/>
      <c r="L38" s="107" t="n"/>
      <c r="M38" s="115" t="inlineStr">
        <is>
          <t>D</t>
        </is>
      </c>
      <c r="N38" s="107" t="n"/>
      <c r="O38" s="107" t="n"/>
      <c r="P38" s="116" t="inlineStr">
        <is>
          <t>N</t>
        </is>
      </c>
      <c r="Q38" s="107" t="n"/>
      <c r="R38" s="107" t="n"/>
      <c r="S38" s="107" t="n"/>
      <c r="T38" s="115" t="inlineStr">
        <is>
          <t>D</t>
        </is>
      </c>
      <c r="U38" s="107" t="n"/>
      <c r="V38" s="107" t="n"/>
      <c r="W38" s="107" t="n"/>
      <c r="X38" s="115" t="inlineStr">
        <is>
          <t>D</t>
        </is>
      </c>
      <c r="Y38" s="107" t="n"/>
      <c r="Z38" s="107" t="n"/>
      <c r="AA38" s="108" t="inlineStr">
        <is>
          <t>M</t>
        </is>
      </c>
      <c r="AB38" s="108" t="inlineStr">
        <is>
          <t>M</t>
        </is>
      </c>
      <c r="AC38" s="107" t="n"/>
      <c r="AD38" s="107" t="n"/>
      <c r="AE38" s="107" t="n"/>
      <c r="AF38" s="107" t="n"/>
      <c r="AG38" s="116" t="inlineStr">
        <is>
          <t>N</t>
        </is>
      </c>
      <c r="AH38" s="107" t="n"/>
      <c r="AI38" s="107" t="n"/>
      <c r="AJ38" s="107" t="n"/>
      <c r="AK38" s="116" t="inlineStr">
        <is>
          <t>N</t>
        </is>
      </c>
      <c r="AL38" s="107" t="n"/>
      <c r="AM38" s="115" t="inlineStr">
        <is>
          <t>D</t>
        </is>
      </c>
      <c r="AN38" s="109">
        <f>IFERROR(INDEX(NOV!I$8:I$73,MATCH($A38,NOV!$A$8:$A$73,0))&amp;"","")</f>
        <v/>
      </c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SUMPRODUCT(($F38:$L38="M")*6+($F38:$L38="T")*6+($F38:$L38="D")*12+($F38:$L38="N")*12+($F38:$L38="NT")*6+($F38:$L38="C")*10+($F38:$L38="A")*8+($F38:$L38="J")*5+($F38:$L38="E")*4+($F38:$L38="P")*6+($F38:$L38="R")*6)</f>
        <v/>
      </c>
      <c r="BF38" s="110">
        <f>SUMPRODUCT(($M38:$S38="M")*6+($M38:$S38="T")*6+($M38:$S38="D")*12+($M38:$S38="N")*12+($M38:$S38="NT")*6+($M38:$S38="C")*10+($M38:$S38="A")*8+($M38:$S38="J")*5+($M38:$S38="E")*4+($M38:$S38="P")*6+($M38:$S38="R")*6)</f>
        <v/>
      </c>
      <c r="BG38" s="110">
        <f>SUMPRODUCT(($T38:$Z38="M")*6+($T38:$Z38="T")*6+($T38:$Z38="D")*12+($T38:$Z38="N")*12+($T38:$Z38="NT")*6+($T38:$Z38="C")*10+($T38:$Z38="A")*8+($T38:$Z38="J")*5+($T38:$Z38="E")*4+($T38:$Z38="P")*6+($T38:$Z38="R")*6)</f>
        <v/>
      </c>
      <c r="BH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I38" s="110">
        <f>SUMPRODUCT(($AH38:$AM38="M")*6+($AH38:$AM38="T")*6+($AH38:$AM38="D")*12+($AH38:$AM38="N")*12+($AH38:$AM38="NT")*6+($AH38:$AM38="C")*10+($AH38:$AM38="A")*8+($AH38:$AM38="J")*5+($AH38:$AM38="E")*4+($AH38:$AM38="P")*6+($AH38:$AM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3">
        <f>IFERROR(INDEX(SET!AJ$8:AJ$73,MATCH($A39,SET!$A$8:$A$73,0))&amp;"","")</f>
        <v/>
      </c>
      <c r="G39" s="123">
        <f>IFERROR(INDEX(SET!AK$8:AK$73,MATCH($A39,SET!$A$8:$A$73,0))&amp;"","")</f>
        <v/>
      </c>
      <c r="H39" s="123">
        <f>IFERROR(INDEX(SET!AL$8:AL$73,MATCH($A39,SET!$A$8:$A$73,0))&amp;"","")</f>
        <v/>
      </c>
      <c r="I39" s="107" t="n"/>
      <c r="J39" s="107" t="n"/>
      <c r="K39" s="116" t="inlineStr">
        <is>
          <t>N</t>
        </is>
      </c>
      <c r="L39" s="107" t="n"/>
      <c r="M39" s="117" t="inlineStr">
        <is>
          <t>T</t>
        </is>
      </c>
      <c r="N39" s="107" t="n"/>
      <c r="O39" s="115" t="inlineStr">
        <is>
          <t>D</t>
        </is>
      </c>
      <c r="P39" s="107" t="n"/>
      <c r="Q39" s="108" t="inlineStr">
        <is>
          <t>M</t>
        </is>
      </c>
      <c r="R39" s="107" t="n"/>
      <c r="S39" s="107" t="n"/>
      <c r="T39" s="117" t="inlineStr">
        <is>
          <t>T</t>
        </is>
      </c>
      <c r="U39" s="107" t="n"/>
      <c r="V39" s="115" t="inlineStr">
        <is>
          <t>D</t>
        </is>
      </c>
      <c r="W39" s="107" t="n"/>
      <c r="X39" s="108" t="inlineStr">
        <is>
          <t>M</t>
        </is>
      </c>
      <c r="Y39" s="107" t="n"/>
      <c r="Z39" s="107" t="n"/>
      <c r="AA39" s="117" t="inlineStr">
        <is>
          <t>T</t>
        </is>
      </c>
      <c r="AB39" s="107" t="n"/>
      <c r="AC39" s="115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7" t="n"/>
      <c r="AJ39" s="107" t="n"/>
      <c r="AK39" s="107" t="n"/>
      <c r="AL39" s="116" t="inlineStr">
        <is>
          <t>N</t>
        </is>
      </c>
      <c r="AM39" s="116" t="inlineStr">
        <is>
          <t>N</t>
        </is>
      </c>
      <c r="AN39" s="109">
        <f>IFERROR(INDEX(NOV!I$8:I$73,MATCH($A39,NOV!$A$8:$A$73,0))&amp;"","")</f>
        <v/>
      </c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SUMPRODUCT(($F39:$L39="M")*6+($F39:$L39="T")*6+($F39:$L39="D")*12+($F39:$L39="N")*12+($F39:$L39="NT")*6+($F39:$L39="C")*10+($F39:$L39="A")*8+($F39:$L39="J")*5+($F39:$L39="E")*4+($F39:$L39="P")*6+($F39:$L39="R")*6)</f>
        <v/>
      </c>
      <c r="BF39" s="110">
        <f>SUMPRODUCT(($M39:$S39="M")*6+($M39:$S39="T")*6+($M39:$S39="D")*12+($M39:$S39="N")*12+($M39:$S39="NT")*6+($M39:$S39="C")*10+($M39:$S39="A")*8+($M39:$S39="J")*5+($M39:$S39="E")*4+($M39:$S39="P")*6+($M39:$S39="R")*6)</f>
        <v/>
      </c>
      <c r="BG39" s="110">
        <f>SUMPRODUCT(($T39:$Z39="M")*6+($T39:$Z39="T")*6+($T39:$Z39="D")*12+($T39:$Z39="N")*12+($T39:$Z39="NT")*6+($T39:$Z39="C")*10+($T39:$Z39="A")*8+($T39:$Z39="J")*5+($T39:$Z39="E")*4+($T39:$Z39="P")*6+($T39:$Z39="R")*6)</f>
        <v/>
      </c>
      <c r="BH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I39" s="110">
        <f>SUMPRODUCT(($AH39:$AM39="M")*6+($AH39:$AM39="T")*6+($AH39:$AM39="D")*12+($AH39:$AM39="N")*12+($AH39:$AM39="NT")*6+($AH39:$AM39="C")*10+($AH39:$AM39="A")*8+($AH39:$AM39="J")*5+($AH39:$AM39="E")*4+($AH39:$AM39="P")*6+($AH39:$AM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3">
        <f>IFERROR(INDEX(SET!AJ$8:AJ$73,MATCH($A40,SET!$A$8:$A$73,0))&amp;"","")</f>
        <v/>
      </c>
      <c r="G40" s="123">
        <f>IFERROR(INDEX(SET!AK$8:AK$73,MATCH($A40,SET!$A$8:$A$73,0))&amp;"","")</f>
        <v/>
      </c>
      <c r="H40" s="123">
        <f>IFERROR(INDEX(SET!AL$8:AL$73,MATCH($A40,SET!$A$8:$A$73,0))&amp;"","")</f>
        <v/>
      </c>
      <c r="I40" s="127" t="inlineStr">
        <is>
          <t>LM</t>
        </is>
      </c>
      <c r="J40" s="127" t="inlineStr">
        <is>
          <t>LM</t>
        </is>
      </c>
      <c r="K40" s="127" t="inlineStr">
        <is>
          <t>LM</t>
        </is>
      </c>
      <c r="L40" s="127" t="inlineStr">
        <is>
          <t>LM</t>
        </is>
      </c>
      <c r="M40" s="127" t="inlineStr">
        <is>
          <t>LM</t>
        </is>
      </c>
      <c r="N40" s="127" t="inlineStr">
        <is>
          <t>LM</t>
        </is>
      </c>
      <c r="O40" s="127" t="inlineStr">
        <is>
          <t>LM</t>
        </is>
      </c>
      <c r="P40" s="127" t="inlineStr">
        <is>
          <t>LM</t>
        </is>
      </c>
      <c r="Q40" s="127" t="inlineStr">
        <is>
          <t>LM</t>
        </is>
      </c>
      <c r="R40" s="127" t="inlineStr">
        <is>
          <t>LM</t>
        </is>
      </c>
      <c r="S40" s="127" t="inlineStr">
        <is>
          <t>LM</t>
        </is>
      </c>
      <c r="T40" s="127" t="inlineStr">
        <is>
          <t>LM</t>
        </is>
      </c>
      <c r="U40" s="127" t="inlineStr">
        <is>
          <t>LM</t>
        </is>
      </c>
      <c r="V40" s="127" t="inlineStr">
        <is>
          <t>LM</t>
        </is>
      </c>
      <c r="W40" s="127" t="inlineStr">
        <is>
          <t>LM</t>
        </is>
      </c>
      <c r="X40" s="127" t="inlineStr">
        <is>
          <t>LM</t>
        </is>
      </c>
      <c r="Y40" s="127" t="inlineStr">
        <is>
          <t>LM</t>
        </is>
      </c>
      <c r="Z40" s="127" t="inlineStr">
        <is>
          <t>LM</t>
        </is>
      </c>
      <c r="AA40" s="127" t="inlineStr">
        <is>
          <t>LM</t>
        </is>
      </c>
      <c r="AB40" s="127" t="inlineStr">
        <is>
          <t>LM</t>
        </is>
      </c>
      <c r="AC40" s="127" t="inlineStr">
        <is>
          <t>LM</t>
        </is>
      </c>
      <c r="AD40" s="127" t="inlineStr">
        <is>
          <t>LM</t>
        </is>
      </c>
      <c r="AE40" s="127" t="inlineStr">
        <is>
          <t>LM</t>
        </is>
      </c>
      <c r="AF40" s="127" t="inlineStr">
        <is>
          <t>LM</t>
        </is>
      </c>
      <c r="AG40" s="127" t="inlineStr">
        <is>
          <t>LM</t>
        </is>
      </c>
      <c r="AH40" s="107" t="n"/>
      <c r="AI40" s="116" t="inlineStr">
        <is>
          <t>N</t>
        </is>
      </c>
      <c r="AJ40" s="107" t="n"/>
      <c r="AK40" s="116" t="inlineStr">
        <is>
          <t>N</t>
        </is>
      </c>
      <c r="AL40" s="107" t="n"/>
      <c r="AM40" s="107" t="n"/>
      <c r="AN40" s="109">
        <f>IFERROR(INDEX(NOV!I$8:I$73,MATCH($A40,NOV!$A$8:$A$73,0))&amp;"","")</f>
        <v/>
      </c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SUMPRODUCT(($F40:$L40="M")*6+($F40:$L40="T")*6+($F40:$L40="D")*12+($F40:$L40="N")*12+($F40:$L40="NT")*6+($F40:$L40="C")*10+($F40:$L40="A")*8+($F40:$L40="J")*5+($F40:$L40="E")*4+($F40:$L40="P")*6+($F40:$L40="R")*6)</f>
        <v/>
      </c>
      <c r="BF40" s="110">
        <f>SUMPRODUCT(($M40:$S40="M")*6+($M40:$S40="T")*6+($M40:$S40="D")*12+($M40:$S40="N")*12+($M40:$S40="NT")*6+($M40:$S40="C")*10+($M40:$S40="A")*8+($M40:$S40="J")*5+($M40:$S40="E")*4+($M40:$S40="P")*6+($M40:$S40="R")*6)</f>
        <v/>
      </c>
      <c r="BG40" s="110">
        <f>SUMPRODUCT(($T40:$Z40="M")*6+($T40:$Z40="T")*6+($T40:$Z40="D")*12+($T40:$Z40="N")*12+($T40:$Z40="NT")*6+($T40:$Z40="C")*10+($T40:$Z40="A")*8+($T40:$Z40="J")*5+($T40:$Z40="E")*4+($T40:$Z40="P")*6+($T40:$Z40="R")*6)</f>
        <v/>
      </c>
      <c r="BH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I40" s="110">
        <f>SUMPRODUCT(($AH40:$AM40="M")*6+($AH40:$AM40="T")*6+($AH40:$AM40="D")*12+($AH40:$AM40="N")*12+($AH40:$AM40="NT")*6+($AH40:$AM40="C")*10+($AH40:$AM40="A")*8+($AH40:$AM40="J")*5+($AH40:$AM40="E")*4+($AH40:$AM40="P")*6+($AH40:$AM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3">
        <f>IFERROR(INDEX(SET!AJ$8:AJ$73,MATCH($A41,SET!$A$8:$A$73,0))&amp;"","")</f>
        <v/>
      </c>
      <c r="G41" s="123">
        <f>IFERROR(INDEX(SET!AK$8:AK$73,MATCH($A41,SET!$A$8:$A$73,0))&amp;"","")</f>
        <v/>
      </c>
      <c r="H41" s="123">
        <f>IFERROR(INDEX(SET!AL$8:AL$73,MATCH($A41,SET!$A$8:$A$73,0))&amp;"","")</f>
        <v/>
      </c>
      <c r="I41" s="107" t="n"/>
      <c r="J41" s="117" t="inlineStr">
        <is>
          <t>T</t>
        </is>
      </c>
      <c r="K41" s="107" t="n"/>
      <c r="L41" s="115" t="inlineStr">
        <is>
          <t>D</t>
        </is>
      </c>
      <c r="M41" s="115" t="inlineStr">
        <is>
          <t>D</t>
        </is>
      </c>
      <c r="N41" s="107" t="n"/>
      <c r="O41" s="107" t="n"/>
      <c r="P41" s="115" t="inlineStr">
        <is>
          <t>D</t>
        </is>
      </c>
      <c r="Q41" s="107" t="n"/>
      <c r="R41" s="107" t="n"/>
      <c r="S41" s="107" t="n"/>
      <c r="T41" s="115" t="inlineStr">
        <is>
          <t>D</t>
        </is>
      </c>
      <c r="U41" s="115" t="inlineStr">
        <is>
          <t>D</t>
        </is>
      </c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15" t="inlineStr">
        <is>
          <t>D</t>
        </is>
      </c>
      <c r="AE41" s="107" t="n"/>
      <c r="AF41" s="115" t="inlineStr">
        <is>
          <t>D</t>
        </is>
      </c>
      <c r="AG41" s="107" t="n"/>
      <c r="AH41" s="115" t="inlineStr">
        <is>
          <t>D</t>
        </is>
      </c>
      <c r="AI41" s="107" t="n"/>
      <c r="AJ41" s="107" t="n"/>
      <c r="AK41" s="107" t="n"/>
      <c r="AL41" s="116" t="inlineStr">
        <is>
          <t>N</t>
        </is>
      </c>
      <c r="AM41" s="107" t="n"/>
      <c r="AN41" s="109">
        <f>IFERROR(INDEX(NOV!I$8:I$73,MATCH($A41,NOV!$A$8:$A$73,0))&amp;"","")</f>
        <v/>
      </c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SUMPRODUCT(($F41:$L41="M")*6+($F41:$L41="T")*6+($F41:$L41="D")*12+($F41:$L41="N")*12+($F41:$L41="NT")*6+($F41:$L41="C")*10+($F41:$L41="A")*8+($F41:$L41="J")*5+($F41:$L41="E")*4+($F41:$L41="P")*6+($F41:$L41="R")*6)</f>
        <v/>
      </c>
      <c r="BF41" s="110">
        <f>SUMPRODUCT(($M41:$S41="M")*6+($M41:$S41="T")*6+($M41:$S41="D")*12+($M41:$S41="N")*12+($M41:$S41="NT")*6+($M41:$S41="C")*10+($M41:$S41="A")*8+($M41:$S41="J")*5+($M41:$S41="E")*4+($M41:$S41="P")*6+($M41:$S41="R")*6)</f>
        <v/>
      </c>
      <c r="BG41" s="110">
        <f>SUMPRODUCT(($T41:$Z41="M")*6+($T41:$Z41="T")*6+($T41:$Z41="D")*12+($T41:$Z41="N")*12+($T41:$Z41="NT")*6+($T41:$Z41="C")*10+($T41:$Z41="A")*8+($T41:$Z41="J")*5+($T41:$Z41="E")*4+($T41:$Z41="P")*6+($T41:$Z41="R")*6)</f>
        <v/>
      </c>
      <c r="BH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I41" s="110">
        <f>SUMPRODUCT(($AH41:$AM41="M")*6+($AH41:$AM41="T")*6+($AH41:$AM41="D")*12+($AH41:$AM41="N")*12+($AH41:$AM41="NT")*6+($AH41:$AM41="C")*10+($AH41:$AM41="A")*8+($AH41:$AM41="J")*5+($AH41:$AM41="E")*4+($AH41:$AM41="P")*6+($AH41:$AM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3">
        <f>IFERROR(INDEX(SET!AJ$8:AJ$73,MATCH($A42,SET!$A$8:$A$73,0))&amp;"","")</f>
        <v/>
      </c>
      <c r="G42" s="123">
        <f>IFERROR(INDEX(SET!AK$8:AK$73,MATCH($A42,SET!$A$8:$A$73,0))&amp;"","")</f>
        <v/>
      </c>
      <c r="H42" s="123">
        <f>IFERROR(INDEX(SET!AL$8:AL$73,MATCH($A42,SET!$A$8:$A$73,0))&amp;"","")</f>
        <v/>
      </c>
      <c r="I42" s="116" t="inlineStr">
        <is>
          <t>N</t>
        </is>
      </c>
      <c r="J42" s="107" t="n"/>
      <c r="K42" s="107" t="n"/>
      <c r="L42" s="107" t="n"/>
      <c r="M42" s="107" t="n"/>
      <c r="N42" s="107" t="n"/>
      <c r="O42" s="116" t="inlineStr">
        <is>
          <t>N</t>
        </is>
      </c>
      <c r="P42" s="107" t="n"/>
      <c r="Q42" s="107" t="n"/>
      <c r="R42" s="116" t="inlineStr">
        <is>
          <t>N</t>
        </is>
      </c>
      <c r="S42" s="107" t="n"/>
      <c r="T42" s="115" t="inlineStr">
        <is>
          <t>D</t>
        </is>
      </c>
      <c r="U42" s="107" t="n"/>
      <c r="V42" s="107" t="n"/>
      <c r="W42" s="107" t="n"/>
      <c r="X42" s="116" t="inlineStr">
        <is>
          <t>N</t>
        </is>
      </c>
      <c r="Y42" s="107" t="n"/>
      <c r="Z42" s="107" t="n"/>
      <c r="AA42" s="128" t="inlineStr">
        <is>
          <t>FE</t>
        </is>
      </c>
      <c r="AB42" s="128" t="inlineStr">
        <is>
          <t>FE</t>
        </is>
      </c>
      <c r="AC42" s="128" t="inlineStr">
        <is>
          <t>FE</t>
        </is>
      </c>
      <c r="AD42" s="128" t="inlineStr">
        <is>
          <t>FE</t>
        </is>
      </c>
      <c r="AE42" s="128" t="inlineStr">
        <is>
          <t>FE</t>
        </is>
      </c>
      <c r="AF42" s="128" t="inlineStr">
        <is>
          <t>FE</t>
        </is>
      </c>
      <c r="AG42" s="128" t="inlineStr">
        <is>
          <t>FE</t>
        </is>
      </c>
      <c r="AH42" s="128" t="inlineStr">
        <is>
          <t>FE</t>
        </is>
      </c>
      <c r="AI42" s="128" t="inlineStr">
        <is>
          <t>FE</t>
        </is>
      </c>
      <c r="AJ42" s="128" t="inlineStr">
        <is>
          <t>FE</t>
        </is>
      </c>
      <c r="AK42" s="128" t="inlineStr">
        <is>
          <t>FE</t>
        </is>
      </c>
      <c r="AL42" s="128" t="inlineStr">
        <is>
          <t>FE</t>
        </is>
      </c>
      <c r="AM42" s="128" t="inlineStr">
        <is>
          <t>FE</t>
        </is>
      </c>
      <c r="AN42" s="109">
        <f>IFERROR(INDEX(NOV!I$8:I$73,MATCH($A42,NOV!$A$8:$A$73,0))&amp;"","")</f>
        <v/>
      </c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SUMPRODUCT(($F42:$L42="M")*6+($F42:$L42="T")*6+($F42:$L42="D")*12+($F42:$L42="N")*12+($F42:$L42="NT")*6+($F42:$L42="C")*10+($F42:$L42="A")*8+($F42:$L42="J")*5+($F42:$L42="E")*4+($F42:$L42="P")*6+($F42:$L42="R")*6)</f>
        <v/>
      </c>
      <c r="BF42" s="110">
        <f>SUMPRODUCT(($M42:$S42="M")*6+($M42:$S42="T")*6+($M42:$S42="D")*12+($M42:$S42="N")*12+($M42:$S42="NT")*6+($M42:$S42="C")*10+($M42:$S42="A")*8+($M42:$S42="J")*5+($M42:$S42="E")*4+($M42:$S42="P")*6+($M42:$S42="R")*6)</f>
        <v/>
      </c>
      <c r="BG42" s="110">
        <f>SUMPRODUCT(($T42:$Z42="M")*6+($T42:$Z42="T")*6+($T42:$Z42="D")*12+($T42:$Z42="N")*12+($T42:$Z42="NT")*6+($T42:$Z42="C")*10+($T42:$Z42="A")*8+($T42:$Z42="J")*5+($T42:$Z42="E")*4+($T42:$Z42="P")*6+($T42:$Z42="R")*6)</f>
        <v/>
      </c>
      <c r="BH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I42" s="110">
        <f>SUMPRODUCT(($AH42:$AM42="M")*6+($AH42:$AM42="T")*6+($AH42:$AM42="D")*12+($AH42:$AM42="N")*12+($AH42:$AM42="NT")*6+($AH42:$AM42="C")*10+($AH42:$AM42="A")*8+($AH42:$AM42="J")*5+($AH42:$AM42="E")*4+($AH42:$AM42="P")*6+($AH42:$AM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3">
        <f>IFERROR(INDEX(SET!AJ$8:AJ$73,MATCH($A43,SET!$A$8:$A$73,0))&amp;"","")</f>
        <v/>
      </c>
      <c r="G43" s="123">
        <f>IFERROR(INDEX(SET!AK$8:AK$73,MATCH($A43,SET!$A$8:$A$73,0))&amp;"","")</f>
        <v/>
      </c>
      <c r="H43" s="123">
        <f>IFERROR(INDEX(SET!AL$8:AL$73,MATCH($A43,SET!$A$8:$A$73,0))&amp;"","")</f>
        <v/>
      </c>
      <c r="I43" s="107" t="n"/>
      <c r="J43" s="116" t="inlineStr">
        <is>
          <t>N</t>
        </is>
      </c>
      <c r="K43" s="107" t="n"/>
      <c r="L43" s="107" t="n"/>
      <c r="M43" s="116" t="inlineStr">
        <is>
          <t>N</t>
        </is>
      </c>
      <c r="N43" s="107" t="n"/>
      <c r="O43" s="116" t="inlineStr">
        <is>
          <t>N</t>
        </is>
      </c>
      <c r="P43" s="107" t="n"/>
      <c r="Q43" s="107" t="n"/>
      <c r="R43" s="107" t="n"/>
      <c r="S43" s="107" t="n"/>
      <c r="T43" s="107" t="n"/>
      <c r="U43" s="107" t="n"/>
      <c r="V43" s="107" t="n"/>
      <c r="W43" s="116" t="inlineStr">
        <is>
          <t>N</t>
        </is>
      </c>
      <c r="X43" s="107" t="n"/>
      <c r="Y43" s="116" t="inlineStr">
        <is>
          <t>N</t>
        </is>
      </c>
      <c r="Z43" s="107" t="n"/>
      <c r="AA43" s="107" t="n"/>
      <c r="AB43" s="107" t="n"/>
      <c r="AC43" s="107" t="n"/>
      <c r="AD43" s="116" t="inlineStr">
        <is>
          <t>N</t>
        </is>
      </c>
      <c r="AE43" s="107" t="n"/>
      <c r="AF43" s="116" t="inlineStr">
        <is>
          <t>N</t>
        </is>
      </c>
      <c r="AG43" s="107" t="n"/>
      <c r="AH43" s="116" t="inlineStr">
        <is>
          <t>N</t>
        </is>
      </c>
      <c r="AI43" s="107" t="n"/>
      <c r="AJ43" s="107" t="n"/>
      <c r="AK43" s="116" t="inlineStr">
        <is>
          <t>N</t>
        </is>
      </c>
      <c r="AL43" s="107" t="n"/>
      <c r="AM43" s="107" t="n"/>
      <c r="AN43" s="109">
        <f>IFERROR(INDEX(NOV!I$8:I$73,MATCH($A43,NOV!$A$8:$A$73,0))&amp;"","")</f>
        <v/>
      </c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SUMPRODUCT(($F43:$L43="M")*6+($F43:$L43="T")*6+($F43:$L43="D")*12+($F43:$L43="N")*12+($F43:$L43="NT")*6+($F43:$L43="C")*10+($F43:$L43="A")*8+($F43:$L43="J")*5+($F43:$L43="E")*4+($F43:$L43="P")*6+($F43:$L43="R")*6)</f>
        <v/>
      </c>
      <c r="BF43" s="110">
        <f>SUMPRODUCT(($M43:$S43="M")*6+($M43:$S43="T")*6+($M43:$S43="D")*12+($M43:$S43="N")*12+($M43:$S43="NT")*6+($M43:$S43="C")*10+($M43:$S43="A")*8+($M43:$S43="J")*5+($M43:$S43="E")*4+($M43:$S43="P")*6+($M43:$S43="R")*6)</f>
        <v/>
      </c>
      <c r="BG43" s="110">
        <f>SUMPRODUCT(($T43:$Z43="M")*6+($T43:$Z43="T")*6+($T43:$Z43="D")*12+($T43:$Z43="N")*12+($T43:$Z43="NT")*6+($T43:$Z43="C")*10+($T43:$Z43="A")*8+($T43:$Z43="J")*5+($T43:$Z43="E")*4+($T43:$Z43="P")*6+($T43:$Z43="R")*6)</f>
        <v/>
      </c>
      <c r="BH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I43" s="110">
        <f>SUMPRODUCT(($AH43:$AM43="M")*6+($AH43:$AM43="T")*6+($AH43:$AM43="D")*12+($AH43:$AM43="N")*12+($AH43:$AM43="NT")*6+($AH43:$AM43="C")*10+($AH43:$AM43="A")*8+($AH43:$AM43="J")*5+($AH43:$AM43="E")*4+($AH43:$AM43="P")*6+($AH43:$AM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3">
        <f>IFERROR(INDEX(SET!AJ$8:AJ$73,MATCH($A44,SET!$A$8:$A$73,0))&amp;"","")</f>
        <v/>
      </c>
      <c r="G44" s="123">
        <f>IFERROR(INDEX(SET!AK$8:AK$73,MATCH($A44,SET!$A$8:$A$73,0))&amp;"","")</f>
        <v/>
      </c>
      <c r="H44" s="123">
        <f>IFERROR(INDEX(SET!AL$8:AL$73,MATCH($A44,SET!$A$8:$A$73,0))&amp;"","")</f>
        <v/>
      </c>
      <c r="I44" s="117" t="inlineStr">
        <is>
          <t>T</t>
        </is>
      </c>
      <c r="J44" s="117" t="inlineStr">
        <is>
          <t>T</t>
        </is>
      </c>
      <c r="K44" s="107" t="n"/>
      <c r="L44" s="107" t="n"/>
      <c r="M44" s="107" t="n"/>
      <c r="N44" s="115" t="inlineStr">
        <is>
          <t>D</t>
        </is>
      </c>
      <c r="O44" s="117" t="inlineStr">
        <is>
          <t>T</t>
        </is>
      </c>
      <c r="P44" s="107" t="n"/>
      <c r="Q44" s="117" t="inlineStr">
        <is>
          <t>T</t>
        </is>
      </c>
      <c r="R44" s="107" t="n"/>
      <c r="S44" s="107" t="n"/>
      <c r="T44" s="107" t="n"/>
      <c r="U44" s="107" t="n"/>
      <c r="V44" s="115" t="inlineStr">
        <is>
          <t>D</t>
        </is>
      </c>
      <c r="W44" s="107" t="n"/>
      <c r="X44" s="107" t="n"/>
      <c r="Y44" s="107" t="n"/>
      <c r="Z44" s="115" t="inlineStr">
        <is>
          <t>D</t>
        </is>
      </c>
      <c r="AA44" s="107" t="n"/>
      <c r="AB44" s="107" t="n"/>
      <c r="AC44" s="117" t="inlineStr">
        <is>
          <t>T</t>
        </is>
      </c>
      <c r="AD44" s="117" t="inlineStr">
        <is>
          <t>T</t>
        </is>
      </c>
      <c r="AE44" s="107" t="n"/>
      <c r="AF44" s="115" t="inlineStr">
        <is>
          <t>D</t>
        </is>
      </c>
      <c r="AG44" s="107" t="n"/>
      <c r="AH44" s="107" t="n"/>
      <c r="AI44" s="117" t="inlineStr">
        <is>
          <t>T</t>
        </is>
      </c>
      <c r="AJ44" s="117" t="inlineStr">
        <is>
          <t>T</t>
        </is>
      </c>
      <c r="AK44" s="107" t="n"/>
      <c r="AL44" s="116" t="inlineStr">
        <is>
          <t>N</t>
        </is>
      </c>
      <c r="AM44" s="107" t="n"/>
      <c r="AN44" s="109">
        <f>IFERROR(INDEX(NOV!I$8:I$73,MATCH($A44,NOV!$A$8:$A$73,0))&amp;"","")</f>
        <v/>
      </c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SUMPRODUCT(($F44:$L44="M")*6+($F44:$L44="T")*6+($F44:$L44="D")*12+($F44:$L44="N")*12+($F44:$L44="NT")*6+($F44:$L44="C")*10+($F44:$L44="A")*8+($F44:$L44="J")*5+($F44:$L44="E")*4+($F44:$L44="P")*6+($F44:$L44="R")*6)</f>
        <v/>
      </c>
      <c r="BF44" s="110">
        <f>SUMPRODUCT(($M44:$S44="M")*6+($M44:$S44="T")*6+($M44:$S44="D")*12+($M44:$S44="N")*12+($M44:$S44="NT")*6+($M44:$S44="C")*10+($M44:$S44="A")*8+($M44:$S44="J")*5+($M44:$S44="E")*4+($M44:$S44="P")*6+($M44:$S44="R")*6)</f>
        <v/>
      </c>
      <c r="BG44" s="110">
        <f>SUMPRODUCT(($T44:$Z44="M")*6+($T44:$Z44="T")*6+($T44:$Z44="D")*12+($T44:$Z44="N")*12+($T44:$Z44="NT")*6+($T44:$Z44="C")*10+($T44:$Z44="A")*8+($T44:$Z44="J")*5+($T44:$Z44="E")*4+($T44:$Z44="P")*6+($T44:$Z44="R")*6)</f>
        <v/>
      </c>
      <c r="BH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I44" s="110">
        <f>SUMPRODUCT(($AH44:$AM44="M")*6+($AH44:$AM44="T")*6+($AH44:$AM44="D")*12+($AH44:$AM44="N")*12+($AH44:$AM44="NT")*6+($AH44:$AM44="C")*10+($AH44:$AM44="A")*8+($AH44:$AM44="J")*5+($AH44:$AM44="E")*4+($AH44:$AM44="P")*6+($AH44:$AM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3">
        <f>IFERROR(INDEX(SET!AJ$8:AJ$73,MATCH($A45,SET!$A$8:$A$73,0))&amp;"","")</f>
        <v/>
      </c>
      <c r="G45" s="123">
        <f>IFERROR(INDEX(SET!AK$8:AK$73,MATCH($A45,SET!$A$8:$A$73,0))&amp;"","")</f>
        <v/>
      </c>
      <c r="H45" s="123">
        <f>IFERROR(INDEX(SET!AL$8:AL$73,MATCH($A45,SET!$A$8:$A$73,0))&amp;"","")</f>
        <v/>
      </c>
      <c r="I45" s="108" t="inlineStr">
        <is>
          <t>M</t>
        </is>
      </c>
      <c r="J45" s="107" t="n"/>
      <c r="K45" s="116" t="inlineStr">
        <is>
          <t>N</t>
        </is>
      </c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17" t="inlineStr">
        <is>
          <t>T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16" t="inlineStr">
        <is>
          <t>N</t>
        </is>
      </c>
      <c r="W45" s="107" t="n"/>
      <c r="X45" s="107" t="n"/>
      <c r="Y45" s="107" t="n"/>
      <c r="Z45" s="107" t="n"/>
      <c r="AA45" s="107" t="n"/>
      <c r="AB45" s="108" t="inlineStr">
        <is>
          <t>M</t>
        </is>
      </c>
      <c r="AC45" s="107" t="n"/>
      <c r="AD45" s="108" t="inlineStr">
        <is>
          <t>M</t>
        </is>
      </c>
      <c r="AE45" s="107" t="n"/>
      <c r="AF45" s="116" t="inlineStr">
        <is>
          <t>N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7" t="n"/>
      <c r="AN45" s="109">
        <f>IFERROR(INDEX(NOV!I$8:I$73,MATCH($A45,NOV!$A$8:$A$73,0))&amp;"","")</f>
        <v/>
      </c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SUMPRODUCT(($F45:$L45="M")*6+($F45:$L45="T")*6+($F45:$L45="D")*12+($F45:$L45="N")*12+($F45:$L45="NT")*6+($F45:$L45="C")*10+($F45:$L45="A")*8+($F45:$L45="J")*5+($F45:$L45="E")*4+($F45:$L45="P")*6+($F45:$L45="R")*6)</f>
        <v/>
      </c>
      <c r="BF45" s="110">
        <f>SUMPRODUCT(($M45:$S45="M")*6+($M45:$S45="T")*6+($M45:$S45="D")*12+($M45:$S45="N")*12+($M45:$S45="NT")*6+($M45:$S45="C")*10+($M45:$S45="A")*8+($M45:$S45="J")*5+($M45:$S45="E")*4+($M45:$S45="P")*6+($M45:$S45="R")*6)</f>
        <v/>
      </c>
      <c r="BG45" s="110">
        <f>SUMPRODUCT(($T45:$Z45="M")*6+($T45:$Z45="T")*6+($T45:$Z45="D")*12+($T45:$Z45="N")*12+($T45:$Z45="NT")*6+($T45:$Z45="C")*10+($T45:$Z45="A")*8+($T45:$Z45="J")*5+($T45:$Z45="E")*4+($T45:$Z45="P")*6+($T45:$Z45="R")*6)</f>
        <v/>
      </c>
      <c r="BH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I45" s="110">
        <f>SUMPRODUCT(($AH45:$AM45="M")*6+($AH45:$AM45="T")*6+($AH45:$AM45="D")*12+($AH45:$AM45="N")*12+($AH45:$AM45="NT")*6+($AH45:$AM45="C")*10+($AH45:$AM45="A")*8+($AH45:$AM45="J")*5+($AH45:$AM45="E")*4+($AH45:$AM45="P")*6+($AH45:$AM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3">
        <f>IFERROR(INDEX(SET!AJ$8:AJ$73,MATCH($A46,SET!$A$8:$A$73,0))&amp;"","")</f>
        <v/>
      </c>
      <c r="G46" s="123">
        <f>IFERROR(INDEX(SET!AK$8:AK$73,MATCH($A46,SET!$A$8:$A$73,0))&amp;"","")</f>
        <v/>
      </c>
      <c r="H46" s="123">
        <f>IFERROR(INDEX(SET!AL$8:AL$73,MATCH($A46,SET!$A$8:$A$73,0))&amp;"","")</f>
        <v/>
      </c>
      <c r="I46" s="107" t="n"/>
      <c r="J46" s="107" t="n"/>
      <c r="K46" s="107" t="n"/>
      <c r="L46" s="116" t="inlineStr">
        <is>
          <t>N</t>
        </is>
      </c>
      <c r="M46" s="107" t="n"/>
      <c r="N46" s="107" t="n"/>
      <c r="O46" s="115" t="inlineStr">
        <is>
          <t>D</t>
        </is>
      </c>
      <c r="P46" s="107" t="n"/>
      <c r="Q46" s="116" t="inlineStr">
        <is>
          <t>N</t>
        </is>
      </c>
      <c r="R46" s="107" t="n"/>
      <c r="S46" s="107" t="n"/>
      <c r="T46" s="107" t="n"/>
      <c r="U46" s="107" t="n"/>
      <c r="V46" s="115" t="inlineStr">
        <is>
          <t>D</t>
        </is>
      </c>
      <c r="W46" s="107" t="n"/>
      <c r="X46" s="107" t="n"/>
      <c r="Y46" s="107" t="n"/>
      <c r="Z46" s="115" t="inlineStr">
        <is>
          <t>D</t>
        </is>
      </c>
      <c r="AA46" s="107" t="n"/>
      <c r="AB46" s="107" t="n"/>
      <c r="AC46" s="115" t="inlineStr">
        <is>
          <t>D</t>
        </is>
      </c>
      <c r="AD46" s="107" t="n"/>
      <c r="AE46" s="116" t="inlineStr">
        <is>
          <t>N</t>
        </is>
      </c>
      <c r="AF46" s="107" t="n"/>
      <c r="AG46" s="107" t="n"/>
      <c r="AH46" s="107" t="n"/>
      <c r="AI46" s="107" t="n"/>
      <c r="AJ46" s="115" t="inlineStr">
        <is>
          <t>D</t>
        </is>
      </c>
      <c r="AK46" s="107" t="n"/>
      <c r="AL46" s="117" t="inlineStr">
        <is>
          <t>T</t>
        </is>
      </c>
      <c r="AM46" s="107" t="n"/>
      <c r="AN46" s="109">
        <f>IFERROR(INDEX(NOV!I$8:I$73,MATCH($A46,NOV!$A$8:$A$73,0))&amp;"","")</f>
        <v/>
      </c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SUMPRODUCT(($F46:$L46="M")*6+($F46:$L46="T")*6+($F46:$L46="D")*12+($F46:$L46="N")*12+($F46:$L46="NT")*6+($F46:$L46="C")*10+($F46:$L46="A")*8+($F46:$L46="J")*5+($F46:$L46="E")*4+($F46:$L46="P")*6+($F46:$L46="R")*6)</f>
        <v/>
      </c>
      <c r="BF46" s="110">
        <f>SUMPRODUCT(($M46:$S46="M")*6+($M46:$S46="T")*6+($M46:$S46="D")*12+($M46:$S46="N")*12+($M46:$S46="NT")*6+($M46:$S46="C")*10+($M46:$S46="A")*8+($M46:$S46="J")*5+($M46:$S46="E")*4+($M46:$S46="P")*6+($M46:$S46="R")*6)</f>
        <v/>
      </c>
      <c r="BG46" s="110">
        <f>SUMPRODUCT(($T46:$Z46="M")*6+($T46:$Z46="T")*6+($T46:$Z46="D")*12+($T46:$Z46="N")*12+($T46:$Z46="NT")*6+($T46:$Z46="C")*10+($T46:$Z46="A")*8+($T46:$Z46="J")*5+($T46:$Z46="E")*4+($T46:$Z46="P")*6+($T46:$Z46="R")*6)</f>
        <v/>
      </c>
      <c r="BH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I46" s="110">
        <f>SUMPRODUCT(($AH46:$AM46="M")*6+($AH46:$AM46="T")*6+($AH46:$AM46="D")*12+($AH46:$AM46="N")*12+($AH46:$AM46="NT")*6+($AH46:$AM46="C")*10+($AH46:$AM46="A")*8+($AH46:$AM46="J")*5+($AH46:$AM46="E")*4+($AH46:$AM46="P")*6+($AH46:$AM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3">
        <f>IFERROR(INDEX(SET!AJ$8:AJ$73,MATCH($A47,SET!$A$8:$A$73,0))&amp;"","")</f>
        <v/>
      </c>
      <c r="G47" s="123">
        <f>IFERROR(INDEX(SET!AK$8:AK$73,MATCH($A47,SET!$A$8:$A$73,0))&amp;"","")</f>
        <v/>
      </c>
      <c r="H47" s="123">
        <f>IFERROR(INDEX(SET!AL$8:AL$73,MATCH($A47,SET!$A$8:$A$73,0))&amp;"","")</f>
        <v/>
      </c>
      <c r="I47" s="115" t="inlineStr">
        <is>
          <t>D</t>
        </is>
      </c>
      <c r="J47" s="107" t="n"/>
      <c r="K47" s="107" t="n"/>
      <c r="L47" s="107" t="n"/>
      <c r="M47" s="116" t="inlineStr">
        <is>
          <t>N</t>
        </is>
      </c>
      <c r="N47" s="107" t="n"/>
      <c r="O47" s="107" t="n"/>
      <c r="P47" s="115" t="inlineStr">
        <is>
          <t>D</t>
        </is>
      </c>
      <c r="Q47" s="107" t="n"/>
      <c r="R47" s="107" t="n"/>
      <c r="S47" s="107" t="n"/>
      <c r="T47" s="107" t="n"/>
      <c r="U47" s="116" t="inlineStr">
        <is>
          <t>N</t>
        </is>
      </c>
      <c r="V47" s="107" t="n"/>
      <c r="W47" s="107" t="n"/>
      <c r="X47" s="116" t="inlineStr">
        <is>
          <t>N</t>
        </is>
      </c>
      <c r="Y47" s="107" t="n"/>
      <c r="Z47" s="107" t="n"/>
      <c r="AA47" s="108" t="inlineStr">
        <is>
          <t>M</t>
        </is>
      </c>
      <c r="AB47" s="107" t="n"/>
      <c r="AC47" s="107" t="n"/>
      <c r="AD47" s="107" t="n"/>
      <c r="AE47" s="107" t="n"/>
      <c r="AF47" s="117" t="inlineStr">
        <is>
          <t>T</t>
        </is>
      </c>
      <c r="AG47" s="115" t="inlineStr">
        <is>
          <t>D</t>
        </is>
      </c>
      <c r="AH47" s="107" t="n"/>
      <c r="AI47" s="116" t="inlineStr">
        <is>
          <t>N</t>
        </is>
      </c>
      <c r="AJ47" s="107" t="n"/>
      <c r="AK47" s="115" t="inlineStr">
        <is>
          <t>D</t>
        </is>
      </c>
      <c r="AL47" s="107" t="n"/>
      <c r="AM47" s="107" t="n"/>
      <c r="AN47" s="109">
        <f>IFERROR(INDEX(NOV!I$8:I$73,MATCH($A47,NOV!$A$8:$A$73,0))&amp;"","")</f>
        <v/>
      </c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SUMPRODUCT(($F47:$L47="M")*6+($F47:$L47="T")*6+($F47:$L47="D")*12+($F47:$L47="N")*12+($F47:$L47="NT")*6+($F47:$L47="C")*10+($F47:$L47="A")*8+($F47:$L47="J")*5+($F47:$L47="E")*4+($F47:$L47="P")*6+($F47:$L47="R")*6)</f>
        <v/>
      </c>
      <c r="BF47" s="110">
        <f>SUMPRODUCT(($M47:$S47="M")*6+($M47:$S47="T")*6+($M47:$S47="D")*12+($M47:$S47="N")*12+($M47:$S47="NT")*6+($M47:$S47="C")*10+($M47:$S47="A")*8+($M47:$S47="J")*5+($M47:$S47="E")*4+($M47:$S47="P")*6+($M47:$S47="R")*6)</f>
        <v/>
      </c>
      <c r="BG47" s="110">
        <f>SUMPRODUCT(($T47:$Z47="M")*6+($T47:$Z47="T")*6+($T47:$Z47="D")*12+($T47:$Z47="N")*12+($T47:$Z47="NT")*6+($T47:$Z47="C")*10+($T47:$Z47="A")*8+($T47:$Z47="J")*5+($T47:$Z47="E")*4+($T47:$Z47="P")*6+($T47:$Z47="R")*6)</f>
        <v/>
      </c>
      <c r="BH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I47" s="110">
        <f>SUMPRODUCT(($AH47:$AM47="M")*6+($AH47:$AM47="T")*6+($AH47:$AM47="D")*12+($AH47:$AM47="N")*12+($AH47:$AM47="NT")*6+($AH47:$AM47="C")*10+($AH47:$AM47="A")*8+($AH47:$AM47="J")*5+($AH47:$AM47="E")*4+($AH47:$AM47="P")*6+($AH47:$AM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3">
        <f>IFERROR(INDEX(SET!AJ$8:AJ$73,MATCH($A48,SET!$A$8:$A$73,0))&amp;"","")</f>
        <v/>
      </c>
      <c r="G48" s="123">
        <f>IFERROR(INDEX(SET!AK$8:AK$73,MATCH($A48,SET!$A$8:$A$73,0))&amp;"","")</f>
        <v/>
      </c>
      <c r="H48" s="123">
        <f>IFERROR(INDEX(SET!AL$8:AL$73,MATCH($A48,SET!$A$8:$A$73,0))&amp;"","")</f>
        <v/>
      </c>
      <c r="I48" s="107" t="n"/>
      <c r="J48" s="116" t="inlineStr">
        <is>
          <t>N</t>
        </is>
      </c>
      <c r="K48" s="107" t="n"/>
      <c r="L48" s="108" t="inlineStr">
        <is>
          <t>M</t>
        </is>
      </c>
      <c r="M48" s="107" t="n"/>
      <c r="N48" s="108" t="inlineStr">
        <is>
          <t>M</t>
        </is>
      </c>
      <c r="O48" s="107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07" t="n"/>
      <c r="T48" s="107" t="n"/>
      <c r="U48" s="108" t="inlineStr">
        <is>
          <t>M</t>
        </is>
      </c>
      <c r="V48" s="107" t="n"/>
      <c r="W48" s="108" t="inlineStr">
        <is>
          <t>M</t>
        </is>
      </c>
      <c r="X48" s="117" t="inlineStr">
        <is>
          <t>T</t>
        </is>
      </c>
      <c r="Y48" s="108" t="inlineStr">
        <is>
          <t>M</t>
        </is>
      </c>
      <c r="Z48" s="107" t="n"/>
      <c r="AA48" s="107" t="n"/>
      <c r="AB48" s="108" t="inlineStr">
        <is>
          <t>M</t>
        </is>
      </c>
      <c r="AC48" s="107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07" t="n"/>
      <c r="AH48" s="107" t="n"/>
      <c r="AI48" s="108" t="inlineStr">
        <is>
          <t>M</t>
        </is>
      </c>
      <c r="AJ48" s="107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09">
        <f>IFERROR(INDEX(NOV!I$8:I$73,MATCH($A48,NOV!$A$8:$A$73,0))&amp;"","")</f>
        <v/>
      </c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SUMPRODUCT(($F48:$L48="M")*6+($F48:$L48="T")*6+($F48:$L48="D")*12+($F48:$L48="N")*12+($F48:$L48="NT")*6+($F48:$L48="C")*10+($F48:$L48="A")*8+($F48:$L48="J")*5+($F48:$L48="E")*4+($F48:$L48="P")*6+($F48:$L48="R")*6)</f>
        <v/>
      </c>
      <c r="BF48" s="110">
        <f>SUMPRODUCT(($M48:$S48="M")*6+($M48:$S48="T")*6+($M48:$S48="D")*12+($M48:$S48="N")*12+($M48:$S48="NT")*6+($M48:$S48="C")*10+($M48:$S48="A")*8+($M48:$S48="J")*5+($M48:$S48="E")*4+($M48:$S48="P")*6+($M48:$S48="R")*6)</f>
        <v/>
      </c>
      <c r="BG48" s="110">
        <f>SUMPRODUCT(($T48:$Z48="M")*6+($T48:$Z48="T")*6+($T48:$Z48="D")*12+($T48:$Z48="N")*12+($T48:$Z48="NT")*6+($T48:$Z48="C")*10+($T48:$Z48="A")*8+($T48:$Z48="J")*5+($T48:$Z48="E")*4+($T48:$Z48="P")*6+($T48:$Z48="R")*6)</f>
        <v/>
      </c>
      <c r="BH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I48" s="110">
        <f>SUMPRODUCT(($AH48:$AM48="M")*6+($AH48:$AM48="T")*6+($AH48:$AM48="D")*12+($AH48:$AM48="N")*12+($AH48:$AM48="NT")*6+($AH48:$AM48="C")*10+($AH48:$AM48="A")*8+($AH48:$AM48="J")*5+($AH48:$AM48="E")*4+($AH48:$AM48="P")*6+($AH48:$AM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3">
        <f>IFERROR(INDEX(SET!AJ$8:AJ$73,MATCH($A49,SET!$A$8:$A$73,0))&amp;"","")</f>
        <v/>
      </c>
      <c r="G49" s="123">
        <f>IFERROR(INDEX(SET!AK$8:AK$73,MATCH($A49,SET!$A$8:$A$73,0))&amp;"","")</f>
        <v/>
      </c>
      <c r="H49" s="123">
        <f>IFERROR(INDEX(SET!AL$8:AL$73,MATCH($A49,SET!$A$8:$A$73,0))&amp;"","")</f>
        <v/>
      </c>
      <c r="I49" s="107" t="n"/>
      <c r="J49" s="107" t="n"/>
      <c r="K49" s="108" t="inlineStr">
        <is>
          <t>M</t>
        </is>
      </c>
      <c r="L49" s="107" t="n"/>
      <c r="M49" s="107" t="n"/>
      <c r="N49" s="107" t="n"/>
      <c r="O49" s="115" t="inlineStr">
        <is>
          <t>D</t>
        </is>
      </c>
      <c r="P49" s="107" t="n"/>
      <c r="Q49" s="107" t="n"/>
      <c r="R49" s="107" t="n"/>
      <c r="S49" s="115" t="inlineStr">
        <is>
          <t>D</t>
        </is>
      </c>
      <c r="T49" s="108" t="inlineStr">
        <is>
          <t>M</t>
        </is>
      </c>
      <c r="U49" s="107" t="n"/>
      <c r="V49" s="115" t="inlineStr">
        <is>
          <t>D</t>
        </is>
      </c>
      <c r="W49" s="107" t="n"/>
      <c r="X49" s="107" t="n"/>
      <c r="Y49" s="107" t="n"/>
      <c r="Z49" s="108" t="inlineStr">
        <is>
          <t>M</t>
        </is>
      </c>
      <c r="AA49" s="107" t="n"/>
      <c r="AB49" s="107" t="n"/>
      <c r="AC49" s="115" t="inlineStr">
        <is>
          <t>D</t>
        </is>
      </c>
      <c r="AD49" s="107" t="n"/>
      <c r="AE49" s="116" t="inlineStr">
        <is>
          <t>N</t>
        </is>
      </c>
      <c r="AF49" s="107" t="n"/>
      <c r="AG49" s="107" t="n"/>
      <c r="AH49" s="115" t="inlineStr">
        <is>
          <t>D</t>
        </is>
      </c>
      <c r="AI49" s="107" t="n"/>
      <c r="AJ49" s="115" t="inlineStr">
        <is>
          <t>D</t>
        </is>
      </c>
      <c r="AK49" s="107" t="n"/>
      <c r="AL49" s="107" t="n"/>
      <c r="AM49" s="107" t="n"/>
      <c r="AN49" s="109">
        <f>IFERROR(INDEX(NOV!I$8:I$73,MATCH($A49,NOV!$A$8:$A$73,0))&amp;"","")</f>
        <v/>
      </c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SUMPRODUCT(($F49:$L49="M")*6+($F49:$L49="T")*6+($F49:$L49="D")*12+($F49:$L49="N")*12+($F49:$L49="NT")*6+($F49:$L49="C")*10+($F49:$L49="A")*8+($F49:$L49="J")*5+($F49:$L49="E")*4+($F49:$L49="P")*6+($F49:$L49="R")*6)</f>
        <v/>
      </c>
      <c r="BF49" s="110">
        <f>SUMPRODUCT(($M49:$S49="M")*6+($M49:$S49="T")*6+($M49:$S49="D")*12+($M49:$S49="N")*12+($M49:$S49="NT")*6+($M49:$S49="C")*10+($M49:$S49="A")*8+($M49:$S49="J")*5+($M49:$S49="E")*4+($M49:$S49="P")*6+($M49:$S49="R")*6)</f>
        <v/>
      </c>
      <c r="BG49" s="110">
        <f>SUMPRODUCT(($T49:$Z49="M")*6+($T49:$Z49="T")*6+($T49:$Z49="D")*12+($T49:$Z49="N")*12+($T49:$Z49="NT")*6+($T49:$Z49="C")*10+($T49:$Z49="A")*8+($T49:$Z49="J")*5+($T49:$Z49="E")*4+($T49:$Z49="P")*6+($T49:$Z49="R")*6)</f>
        <v/>
      </c>
      <c r="BH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I49" s="110">
        <f>SUMPRODUCT(($AH49:$AM49="M")*6+($AH49:$AM49="T")*6+($AH49:$AM49="D")*12+($AH49:$AM49="N")*12+($AH49:$AM49="NT")*6+($AH49:$AM49="C")*10+($AH49:$AM49="A")*8+($AH49:$AM49="J")*5+($AH49:$AM49="E")*4+($AH49:$AM49="P")*6+($AH49:$AM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3">
        <f>IFERROR(INDEX(SET!AJ$8:AJ$73,MATCH($A50,SET!$A$8:$A$73,0))&amp;"","")</f>
        <v/>
      </c>
      <c r="G50" s="123">
        <f>IFERROR(INDEX(SET!AK$8:AK$73,MATCH($A50,SET!$A$8:$A$73,0))&amp;"","")</f>
        <v/>
      </c>
      <c r="H50" s="123">
        <f>IFERROR(INDEX(SET!AL$8:AL$73,MATCH($A50,SET!$A$8:$A$73,0))&amp;"","")</f>
        <v/>
      </c>
      <c r="I50" s="107" t="n"/>
      <c r="J50" s="116" t="inlineStr">
        <is>
          <t>N</t>
        </is>
      </c>
      <c r="K50" s="107" t="n"/>
      <c r="L50" s="107" t="n"/>
      <c r="M50" s="107" t="n"/>
      <c r="N50" s="115" t="inlineStr">
        <is>
          <t>D</t>
        </is>
      </c>
      <c r="O50" s="117" t="inlineStr">
        <is>
          <t>T</t>
        </is>
      </c>
      <c r="P50" s="117" t="inlineStr">
        <is>
          <t>T</t>
        </is>
      </c>
      <c r="Q50" s="107" t="n"/>
      <c r="R50" s="107" t="n"/>
      <c r="S50" s="107" t="n"/>
      <c r="T50" s="107" t="n"/>
      <c r="U50" s="115" t="inlineStr">
        <is>
          <t>D</t>
        </is>
      </c>
      <c r="V50" s="107" t="n"/>
      <c r="W50" s="107" t="n"/>
      <c r="X50" s="116" t="inlineStr">
        <is>
          <t>N</t>
        </is>
      </c>
      <c r="Y50" s="107" t="n"/>
      <c r="Z50" s="107" t="n"/>
      <c r="AA50" s="107" t="n"/>
      <c r="AB50" s="107" t="n"/>
      <c r="AC50" s="116" t="inlineStr">
        <is>
          <t>N</t>
        </is>
      </c>
      <c r="AD50" s="107" t="n"/>
      <c r="AE50" s="107" t="n"/>
      <c r="AF50" s="107" t="n"/>
      <c r="AG50" s="116" t="inlineStr">
        <is>
          <t>N</t>
        </is>
      </c>
      <c r="AH50" s="107" t="n"/>
      <c r="AI50" s="115" t="inlineStr">
        <is>
          <t>D</t>
        </is>
      </c>
      <c r="AJ50" s="116" t="inlineStr">
        <is>
          <t>N</t>
        </is>
      </c>
      <c r="AK50" s="107" t="n"/>
      <c r="AL50" s="107" t="n"/>
      <c r="AM50" s="107" t="n"/>
      <c r="AN50" s="109">
        <f>IFERROR(INDEX(NOV!I$8:I$73,MATCH($A50,NOV!$A$8:$A$73,0))&amp;"","")</f>
        <v/>
      </c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SUMPRODUCT(($F50:$L50="M")*6+($F50:$L50="T")*6+($F50:$L50="D")*12+($F50:$L50="N")*12+($F50:$L50="NT")*6+($F50:$L50="C")*10+($F50:$L50="A")*8+($F50:$L50="J")*5+($F50:$L50="E")*4+($F50:$L50="P")*6+($F50:$L50="R")*6)</f>
        <v/>
      </c>
      <c r="BF50" s="110">
        <f>SUMPRODUCT(($M50:$S50="M")*6+($M50:$S50="T")*6+($M50:$S50="D")*12+($M50:$S50="N")*12+($M50:$S50="NT")*6+($M50:$S50="C")*10+($M50:$S50="A")*8+($M50:$S50="J")*5+($M50:$S50="E")*4+($M50:$S50="P")*6+($M50:$S50="R")*6)</f>
        <v/>
      </c>
      <c r="BG50" s="110">
        <f>SUMPRODUCT(($T50:$Z50="M")*6+($T50:$Z50="T")*6+($T50:$Z50="D")*12+($T50:$Z50="N")*12+($T50:$Z50="NT")*6+($T50:$Z50="C")*10+($T50:$Z50="A")*8+($T50:$Z50="J")*5+($T50:$Z50="E")*4+($T50:$Z50="P")*6+($T50:$Z50="R")*6)</f>
        <v/>
      </c>
      <c r="BH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I50" s="110">
        <f>SUMPRODUCT(($AH50:$AM50="M")*6+($AH50:$AM50="T")*6+($AH50:$AM50="D")*12+($AH50:$AM50="N")*12+($AH50:$AM50="NT")*6+($AH50:$AM50="C")*10+($AH50:$AM50="A")*8+($AH50:$AM50="J")*5+($AH50:$AM50="E")*4+($AH50:$AM50="P")*6+($AH50:$AM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3">
        <f>IFERROR(INDEX(SET!AJ$8:AJ$73,MATCH($A51,SET!$A$8:$A$73,0))&amp;"","")</f>
        <v/>
      </c>
      <c r="G51" s="123">
        <f>IFERROR(INDEX(SET!AK$8:AK$73,MATCH($A51,SET!$A$8:$A$73,0))&amp;"","")</f>
        <v/>
      </c>
      <c r="H51" s="123">
        <f>IFERROR(INDEX(SET!AL$8:AL$73,MATCH($A51,SET!$A$8:$A$73,0))&amp;"","")</f>
        <v/>
      </c>
      <c r="I51" s="117" t="inlineStr">
        <is>
          <t>T</t>
        </is>
      </c>
      <c r="J51" s="107" t="n"/>
      <c r="K51" s="117" t="inlineStr">
        <is>
          <t>T</t>
        </is>
      </c>
      <c r="L51" s="108" t="inlineStr">
        <is>
          <t>M</t>
        </is>
      </c>
      <c r="M51" s="107" t="n"/>
      <c r="N51" s="115" t="inlineStr">
        <is>
          <t>D</t>
        </is>
      </c>
      <c r="O51" s="107" t="n"/>
      <c r="P51" s="107" t="n"/>
      <c r="Q51" s="107" t="n"/>
      <c r="R51" s="107" t="n"/>
      <c r="S51" s="115" t="inlineStr">
        <is>
          <t>D</t>
        </is>
      </c>
      <c r="T51" s="107" t="n"/>
      <c r="U51" s="115" t="inlineStr">
        <is>
          <t>D</t>
        </is>
      </c>
      <c r="V51" s="107" t="n"/>
      <c r="W51" s="107" t="n"/>
      <c r="X51" s="115" t="inlineStr">
        <is>
          <t>D</t>
        </is>
      </c>
      <c r="Y51" s="107" t="n"/>
      <c r="Z51" s="107" t="n"/>
      <c r="AA51" s="107" t="n"/>
      <c r="AB51" s="115" t="inlineStr">
        <is>
          <t>D</t>
        </is>
      </c>
      <c r="AC51" s="107" t="n"/>
      <c r="AD51" s="116" t="inlineStr">
        <is>
          <t>N</t>
        </is>
      </c>
      <c r="AE51" s="107" t="n"/>
      <c r="AF51" s="107" t="n"/>
      <c r="AG51" s="107" t="n"/>
      <c r="AH51" s="107" t="n"/>
      <c r="AI51" s="107" t="n"/>
      <c r="AJ51" s="115" t="inlineStr">
        <is>
          <t>D</t>
        </is>
      </c>
      <c r="AK51" s="107" t="n"/>
      <c r="AL51" s="115" t="inlineStr">
        <is>
          <t>D</t>
        </is>
      </c>
      <c r="AM51" s="107" t="n"/>
      <c r="AN51" s="109">
        <f>IFERROR(INDEX(NOV!I$8:I$73,MATCH($A51,NOV!$A$8:$A$73,0))&amp;"","")</f>
        <v/>
      </c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SUMPRODUCT(($F51:$L51="M")*6+($F51:$L51="T")*6+($F51:$L51="D")*12+($F51:$L51="N")*12+($F51:$L51="NT")*6+($F51:$L51="C")*10+($F51:$L51="A")*8+($F51:$L51="J")*5+($F51:$L51="E")*4+($F51:$L51="P")*6+($F51:$L51="R")*6)</f>
        <v/>
      </c>
      <c r="BF51" s="110">
        <f>SUMPRODUCT(($M51:$S51="M")*6+($M51:$S51="T")*6+($M51:$S51="D")*12+($M51:$S51="N")*12+($M51:$S51="NT")*6+($M51:$S51="C")*10+($M51:$S51="A")*8+($M51:$S51="J")*5+($M51:$S51="E")*4+($M51:$S51="P")*6+($M51:$S51="R")*6)</f>
        <v/>
      </c>
      <c r="BG51" s="110">
        <f>SUMPRODUCT(($T51:$Z51="M")*6+($T51:$Z51="T")*6+($T51:$Z51="D")*12+($T51:$Z51="N")*12+($T51:$Z51="NT")*6+($T51:$Z51="C")*10+($T51:$Z51="A")*8+($T51:$Z51="J")*5+($T51:$Z51="E")*4+($T51:$Z51="P")*6+($T51:$Z51="R")*6)</f>
        <v/>
      </c>
      <c r="BH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I51" s="110">
        <f>SUMPRODUCT(($AH51:$AM51="M")*6+($AH51:$AM51="T")*6+($AH51:$AM51="D")*12+($AH51:$AM51="N")*12+($AH51:$AM51="NT")*6+($AH51:$AM51="C")*10+($AH51:$AM51="A")*8+($AH51:$AM51="J")*5+($AH51:$AM51="E")*4+($AH51:$AM51="P")*6+($AH51:$AM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3">
        <f>IFERROR(INDEX(SET!AJ$8:AJ$73,MATCH($A52,SET!$A$8:$A$73,0))&amp;"","")</f>
        <v/>
      </c>
      <c r="G52" s="123">
        <f>IFERROR(INDEX(SET!AK$8:AK$73,MATCH($A52,SET!$A$8:$A$73,0))&amp;"","")</f>
        <v/>
      </c>
      <c r="H52" s="123">
        <f>IFERROR(INDEX(SET!AL$8:AL$73,MATCH($A52,SET!$A$8:$A$73,0))&amp;"","")</f>
        <v/>
      </c>
      <c r="I52" s="107" t="n"/>
      <c r="J52" s="116" t="inlineStr">
        <is>
          <t>N</t>
        </is>
      </c>
      <c r="K52" s="107" t="n"/>
      <c r="L52" s="107" t="n"/>
      <c r="M52" s="116" t="inlineStr">
        <is>
          <t>N</t>
        </is>
      </c>
      <c r="N52" s="107" t="n"/>
      <c r="O52" s="107" t="n"/>
      <c r="P52" s="107" t="n"/>
      <c r="Q52" s="107" t="n"/>
      <c r="R52" s="116" t="inlineStr">
        <is>
          <t>N</t>
        </is>
      </c>
      <c r="S52" s="107" t="n"/>
      <c r="T52" s="116" t="inlineStr">
        <is>
          <t>N</t>
        </is>
      </c>
      <c r="U52" s="107" t="n"/>
      <c r="V52" s="107" t="n"/>
      <c r="W52" s="116" t="inlineStr">
        <is>
          <t>N</t>
        </is>
      </c>
      <c r="X52" s="107" t="n"/>
      <c r="Y52" s="107" t="n"/>
      <c r="Z52" s="107" t="n"/>
      <c r="AA52" s="116" t="inlineStr">
        <is>
          <t>N</t>
        </is>
      </c>
      <c r="AB52" s="107" t="n"/>
      <c r="AC52" s="116" t="inlineStr">
        <is>
          <t>N</t>
        </is>
      </c>
      <c r="AD52" s="107" t="n"/>
      <c r="AE52" s="107" t="n"/>
      <c r="AF52" s="107" t="n"/>
      <c r="AG52" s="107" t="n"/>
      <c r="AH52" s="116" t="inlineStr">
        <is>
          <t>N</t>
        </is>
      </c>
      <c r="AI52" s="107" t="n"/>
      <c r="AJ52" s="107" t="n"/>
      <c r="AK52" s="107" t="n"/>
      <c r="AL52" s="107" t="n"/>
      <c r="AM52" s="116" t="inlineStr">
        <is>
          <t>N</t>
        </is>
      </c>
      <c r="AN52" s="109">
        <f>IFERROR(INDEX(NOV!I$8:I$73,MATCH($A52,NOV!$A$8:$A$73,0))&amp;"","")</f>
        <v/>
      </c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SUMPRODUCT(($F52:$L52="M")*6+($F52:$L52="T")*6+($F52:$L52="D")*12+($F52:$L52="N")*12+($F52:$L52="NT")*6+($F52:$L52="C")*10+($F52:$L52="A")*8+($F52:$L52="J")*5+($F52:$L52="E")*4+($F52:$L52="P")*6+($F52:$L52="R")*6)</f>
        <v/>
      </c>
      <c r="BF52" s="110">
        <f>SUMPRODUCT(($M52:$S52="M")*6+($M52:$S52="T")*6+($M52:$S52="D")*12+($M52:$S52="N")*12+($M52:$S52="NT")*6+($M52:$S52="C")*10+($M52:$S52="A")*8+($M52:$S52="J")*5+($M52:$S52="E")*4+($M52:$S52="P")*6+($M52:$S52="R")*6)</f>
        <v/>
      </c>
      <c r="BG52" s="110">
        <f>SUMPRODUCT(($T52:$Z52="M")*6+($T52:$Z52="T")*6+($T52:$Z52="D")*12+($T52:$Z52="N")*12+($T52:$Z52="NT")*6+($T52:$Z52="C")*10+($T52:$Z52="A")*8+($T52:$Z52="J")*5+($T52:$Z52="E")*4+($T52:$Z52="P")*6+($T52:$Z52="R")*6)</f>
        <v/>
      </c>
      <c r="BH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I52" s="110">
        <f>SUMPRODUCT(($AH52:$AM52="M")*6+($AH52:$AM52="T")*6+($AH52:$AM52="D")*12+($AH52:$AM52="N")*12+($AH52:$AM52="NT")*6+($AH52:$AM52="C")*10+($AH52:$AM52="A")*8+($AH52:$AM52="J")*5+($AH52:$AM52="E")*4+($AH52:$AM52="P")*6+($AH52:$AM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3">
        <f>IFERROR(INDEX(SET!AJ$8:AJ$73,MATCH($A53,SET!$A$8:$A$73,0))&amp;"","")</f>
        <v/>
      </c>
      <c r="G53" s="123">
        <f>IFERROR(INDEX(SET!AK$8:AK$73,MATCH($A53,SET!$A$8:$A$73,0))&amp;"","")</f>
        <v/>
      </c>
      <c r="H53" s="123">
        <f>IFERROR(INDEX(SET!AL$8:AL$73,MATCH($A53,SET!$A$8:$A$73,0))&amp;"","")</f>
        <v/>
      </c>
      <c r="I53" s="107" t="n"/>
      <c r="J53" s="107" t="n"/>
      <c r="K53" s="107" t="n"/>
      <c r="L53" s="107" t="n"/>
      <c r="M53" s="107" t="n"/>
      <c r="N53" s="116" t="inlineStr">
        <is>
          <t>N</t>
        </is>
      </c>
      <c r="O53" s="107" t="n"/>
      <c r="P53" s="107" t="n"/>
      <c r="Q53" s="107" t="n"/>
      <c r="R53" s="107" t="n"/>
      <c r="S53" s="116" t="inlineStr">
        <is>
          <t>N</t>
        </is>
      </c>
      <c r="T53" s="107" t="n"/>
      <c r="U53" s="116" t="inlineStr">
        <is>
          <t>N</t>
        </is>
      </c>
      <c r="V53" s="107" t="n"/>
      <c r="W53" s="107" t="n"/>
      <c r="X53" s="116" t="inlineStr">
        <is>
          <t>N</t>
        </is>
      </c>
      <c r="Y53" s="107" t="n"/>
      <c r="Z53" s="107" t="n"/>
      <c r="AA53" s="116" t="inlineStr">
        <is>
          <t>N</t>
        </is>
      </c>
      <c r="AB53" s="107" t="n"/>
      <c r="AC53" s="107" t="n"/>
      <c r="AD53" s="107" t="n"/>
      <c r="AE53" s="107" t="n"/>
      <c r="AF53" s="107" t="n"/>
      <c r="AG53" s="116" t="inlineStr">
        <is>
          <t>N</t>
        </is>
      </c>
      <c r="AH53" s="116" t="inlineStr">
        <is>
          <t>N</t>
        </is>
      </c>
      <c r="AI53" s="107" t="n"/>
      <c r="AJ53" s="107" t="n"/>
      <c r="AK53" s="107" t="n"/>
      <c r="AL53" s="107" t="n"/>
      <c r="AM53" s="107" t="n"/>
      <c r="AN53" s="109">
        <f>IFERROR(INDEX(NOV!I$8:I$73,MATCH($A53,NOV!$A$8:$A$73,0))&amp;"","")</f>
        <v/>
      </c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SUMPRODUCT(($F53:$L53="M")*6+($F53:$L53="T")*6+($F53:$L53="D")*12+($F53:$L53="N")*12+($F53:$L53="NT")*6+($F53:$L53="C")*10+($F53:$L53="A")*8+($F53:$L53="J")*5+($F53:$L53="E")*4+($F53:$L53="P")*6+($F53:$L53="R")*6)</f>
        <v/>
      </c>
      <c r="BF53" s="110">
        <f>SUMPRODUCT(($M53:$S53="M")*6+($M53:$S53="T")*6+($M53:$S53="D")*12+($M53:$S53="N")*12+($M53:$S53="NT")*6+($M53:$S53="C")*10+($M53:$S53="A")*8+($M53:$S53="J")*5+($M53:$S53="E")*4+($M53:$S53="P")*6+($M53:$S53="R")*6)</f>
        <v/>
      </c>
      <c r="BG53" s="110">
        <f>SUMPRODUCT(($T53:$Z53="M")*6+($T53:$Z53="T")*6+($T53:$Z53="D")*12+($T53:$Z53="N")*12+($T53:$Z53="NT")*6+($T53:$Z53="C")*10+($T53:$Z53="A")*8+($T53:$Z53="J")*5+($T53:$Z53="E")*4+($T53:$Z53="P")*6+($T53:$Z53="R")*6)</f>
        <v/>
      </c>
      <c r="BH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I53" s="110">
        <f>SUMPRODUCT(($AH53:$AM53="M")*6+($AH53:$AM53="T")*6+($AH53:$AM53="D")*12+($AH53:$AM53="N")*12+($AH53:$AM53="NT")*6+($AH53:$AM53="C")*10+($AH53:$AM53="A")*8+($AH53:$AM53="J")*5+($AH53:$AM53="E")*4+($AH53:$AM53="P")*6+($AH53:$AM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3">
        <f>IFERROR(INDEX(SET!AJ$8:AJ$73,MATCH($A54,SET!$A$8:$A$73,0))&amp;"","")</f>
        <v/>
      </c>
      <c r="G54" s="123">
        <f>IFERROR(INDEX(SET!AK$8:AK$73,MATCH($A54,SET!$A$8:$A$73,0))&amp;"","")</f>
        <v/>
      </c>
      <c r="H54" s="123">
        <f>IFERROR(INDEX(SET!AL$8:AL$73,MATCH($A54,SET!$A$8:$A$73,0))&amp;"","")</f>
        <v/>
      </c>
      <c r="I54" s="116" t="inlineStr">
        <is>
          <t>N</t>
        </is>
      </c>
      <c r="J54" s="107" t="n"/>
      <c r="K54" s="107" t="n"/>
      <c r="L54" s="115" t="inlineStr">
        <is>
          <t>D</t>
        </is>
      </c>
      <c r="M54" s="128" t="inlineStr">
        <is>
          <t>FE</t>
        </is>
      </c>
      <c r="N54" s="128" t="inlineStr">
        <is>
          <t>FE</t>
        </is>
      </c>
      <c r="O54" s="128" t="inlineStr">
        <is>
          <t>FE</t>
        </is>
      </c>
      <c r="P54" s="128" t="inlineStr">
        <is>
          <t>FE</t>
        </is>
      </c>
      <c r="Q54" s="128" t="inlineStr">
        <is>
          <t>FE</t>
        </is>
      </c>
      <c r="R54" s="128" t="inlineStr">
        <is>
          <t>FE</t>
        </is>
      </c>
      <c r="S54" s="128" t="inlineStr">
        <is>
          <t>FE</t>
        </is>
      </c>
      <c r="T54" s="128" t="inlineStr">
        <is>
          <t>FE</t>
        </is>
      </c>
      <c r="U54" s="128" t="inlineStr">
        <is>
          <t>FE</t>
        </is>
      </c>
      <c r="V54" s="128" t="inlineStr">
        <is>
          <t>FE</t>
        </is>
      </c>
      <c r="W54" s="128" t="inlineStr">
        <is>
          <t>FE</t>
        </is>
      </c>
      <c r="X54" s="128" t="inlineStr">
        <is>
          <t>FE</t>
        </is>
      </c>
      <c r="Y54" s="128" t="inlineStr">
        <is>
          <t>FE</t>
        </is>
      </c>
      <c r="Z54" s="128" t="inlineStr">
        <is>
          <t>FE</t>
        </is>
      </c>
      <c r="AA54" s="128" t="inlineStr">
        <is>
          <t>FE</t>
        </is>
      </c>
      <c r="AB54" s="107" t="n"/>
      <c r="AC54" s="107" t="n"/>
      <c r="AD54" s="117" t="inlineStr">
        <is>
          <t>T</t>
        </is>
      </c>
      <c r="AE54" s="107" t="n"/>
      <c r="AF54" s="116" t="inlineStr">
        <is>
          <t>N</t>
        </is>
      </c>
      <c r="AG54" s="107" t="n"/>
      <c r="AH54" s="107" t="n"/>
      <c r="AI54" s="107" t="n"/>
      <c r="AJ54" s="107" t="n"/>
      <c r="AK54" s="116" t="inlineStr">
        <is>
          <t>N</t>
        </is>
      </c>
      <c r="AL54" s="116" t="inlineStr">
        <is>
          <t>N</t>
        </is>
      </c>
      <c r="AM54" s="107" t="n"/>
      <c r="AN54" s="109">
        <f>IFERROR(INDEX(NOV!I$8:I$73,MATCH($A54,NOV!$A$8:$A$73,0))&amp;"","")</f>
        <v/>
      </c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SUMPRODUCT(($F54:$L54="M")*6+($F54:$L54="T")*6+($F54:$L54="D")*12+($F54:$L54="N")*12+($F54:$L54="NT")*6+($F54:$L54="C")*10+($F54:$L54="A")*8+($F54:$L54="J")*5+($F54:$L54="E")*4+($F54:$L54="P")*6+($F54:$L54="R")*6)</f>
        <v/>
      </c>
      <c r="BF54" s="110">
        <f>SUMPRODUCT(($M54:$S54="M")*6+($M54:$S54="T")*6+($M54:$S54="D")*12+($M54:$S54="N")*12+($M54:$S54="NT")*6+($M54:$S54="C")*10+($M54:$S54="A")*8+($M54:$S54="J")*5+($M54:$S54="E")*4+($M54:$S54="P")*6+($M54:$S54="R")*6)</f>
        <v/>
      </c>
      <c r="BG54" s="110">
        <f>SUMPRODUCT(($T54:$Z54="M")*6+($T54:$Z54="T")*6+($T54:$Z54="D")*12+($T54:$Z54="N")*12+($T54:$Z54="NT")*6+($T54:$Z54="C")*10+($T54:$Z54="A")*8+($T54:$Z54="J")*5+($T54:$Z54="E")*4+($T54:$Z54="P")*6+($T54:$Z54="R")*6)</f>
        <v/>
      </c>
      <c r="BH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I54" s="110">
        <f>SUMPRODUCT(($AH54:$AM54="M")*6+($AH54:$AM54="T")*6+($AH54:$AM54="D")*12+($AH54:$AM54="N")*12+($AH54:$AM54="NT")*6+($AH54:$AM54="C")*10+($AH54:$AM54="A")*8+($AH54:$AM54="J")*5+($AH54:$AM54="E")*4+($AH54:$AM54="P")*6+($AH54:$AM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3">
        <f>IFERROR(INDEX(SET!AJ$8:AJ$73,MATCH($A55,SET!$A$8:$A$73,0))&amp;"","")</f>
        <v/>
      </c>
      <c r="G55" s="123">
        <f>IFERROR(INDEX(SET!AK$8:AK$73,MATCH($A55,SET!$A$8:$A$73,0))&amp;"","")</f>
        <v/>
      </c>
      <c r="H55" s="123">
        <f>IFERROR(INDEX(SET!AL$8:AL$73,MATCH($A55,SET!$A$8:$A$73,0))&amp;"","")</f>
        <v/>
      </c>
      <c r="I55" s="117" t="inlineStr">
        <is>
          <t>T</t>
        </is>
      </c>
      <c r="J55" s="107" t="n"/>
      <c r="K55" s="107" t="n"/>
      <c r="L55" s="117" t="inlineStr">
        <is>
          <t>T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7" t="n"/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17" t="inlineStr">
        <is>
          <t>T</t>
        </is>
      </c>
      <c r="AA55" s="117" t="inlineStr">
        <is>
          <t>T</t>
        </is>
      </c>
      <c r="AB55" s="107" t="n"/>
      <c r="AC55" s="107" t="n"/>
      <c r="AD55" s="116" t="inlineStr">
        <is>
          <t>N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7" t="n"/>
      <c r="AL55" s="107" t="n"/>
      <c r="AM55" s="108" t="inlineStr">
        <is>
          <t>M</t>
        </is>
      </c>
      <c r="AN55" s="109">
        <f>IFERROR(INDEX(NOV!I$8:I$73,MATCH($A55,NOV!$A$8:$A$73,0))&amp;"","")</f>
        <v/>
      </c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SUMPRODUCT(($F55:$L55="M")*6+($F55:$L55="T")*6+($F55:$L55="D")*12+($F55:$L55="N")*12+($F55:$L55="NT")*6+($F55:$L55="C")*10+($F55:$L55="A")*8+($F55:$L55="J")*5+($F55:$L55="E")*4+($F55:$L55="P")*6+($F55:$L55="R")*6)</f>
        <v/>
      </c>
      <c r="BF55" s="110">
        <f>SUMPRODUCT(($M55:$S55="M")*6+($M55:$S55="T")*6+($M55:$S55="D")*12+($M55:$S55="N")*12+($M55:$S55="NT")*6+($M55:$S55="C")*10+($M55:$S55="A")*8+($M55:$S55="J")*5+($M55:$S55="E")*4+($M55:$S55="P")*6+($M55:$S55="R")*6)</f>
        <v/>
      </c>
      <c r="BG55" s="110">
        <f>SUMPRODUCT(($T55:$Z55="M")*6+($T55:$Z55="T")*6+($T55:$Z55="D")*12+($T55:$Z55="N")*12+($T55:$Z55="NT")*6+($T55:$Z55="C")*10+($T55:$Z55="A")*8+($T55:$Z55="J")*5+($T55:$Z55="E")*4+($T55:$Z55="P")*6+($T55:$Z55="R")*6)</f>
        <v/>
      </c>
      <c r="BH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I55" s="110">
        <f>SUMPRODUCT(($AH55:$AM55="M")*6+($AH55:$AM55="T")*6+($AH55:$AM55="D")*12+($AH55:$AM55="N")*12+($AH55:$AM55="NT")*6+($AH55:$AM55="C")*10+($AH55:$AM55="A")*8+($AH55:$AM55="J")*5+($AH55:$AM55="E")*4+($AH55:$AM55="P")*6+($AH55:$AM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3">
        <f>IFERROR(INDEX(SET!AJ$8:AJ$73,MATCH($A56,SET!$A$8:$A$73,0))&amp;"","")</f>
        <v/>
      </c>
      <c r="G56" s="123">
        <f>IFERROR(INDEX(SET!AK$8:AK$73,MATCH($A56,SET!$A$8:$A$73,0))&amp;"","")</f>
        <v/>
      </c>
      <c r="H56" s="123">
        <f>IFERROR(INDEX(SET!AL$8:AL$73,MATCH($A56,SET!$A$8:$A$73,0))&amp;"","")</f>
        <v/>
      </c>
      <c r="I56" s="128" t="inlineStr">
        <is>
          <t>FE</t>
        </is>
      </c>
      <c r="J56" s="128" t="inlineStr">
        <is>
          <t>FE</t>
        </is>
      </c>
      <c r="K56" s="128" t="inlineStr">
        <is>
          <t>FE</t>
        </is>
      </c>
      <c r="L56" s="128" t="inlineStr">
        <is>
          <t>FE</t>
        </is>
      </c>
      <c r="M56" s="128" t="inlineStr">
        <is>
          <t>FE</t>
        </is>
      </c>
      <c r="N56" s="117" t="inlineStr">
        <is>
          <t>T</t>
        </is>
      </c>
      <c r="O56" s="115" t="inlineStr">
        <is>
          <t>D</t>
        </is>
      </c>
      <c r="P56" s="107" t="n"/>
      <c r="Q56" s="107" t="n"/>
      <c r="R56" s="107" t="n"/>
      <c r="S56" s="107" t="n"/>
      <c r="T56" s="107" t="n"/>
      <c r="U56" s="107" t="n"/>
      <c r="V56" s="107" t="n"/>
      <c r="W56" s="108" t="inlineStr">
        <is>
          <t>M</t>
        </is>
      </c>
      <c r="X56" s="107" t="n"/>
      <c r="Y56" s="115" t="inlineStr">
        <is>
          <t>D</t>
        </is>
      </c>
      <c r="Z56" s="117" t="inlineStr">
        <is>
          <t>T</t>
        </is>
      </c>
      <c r="AA56" s="107" t="n"/>
      <c r="AB56" s="115" t="inlineStr">
        <is>
          <t>D</t>
        </is>
      </c>
      <c r="AC56" s="107" t="n"/>
      <c r="AD56" s="115" t="inlineStr">
        <is>
          <t>D</t>
        </is>
      </c>
      <c r="AE56" s="107" t="n"/>
      <c r="AF56" s="107" t="n"/>
      <c r="AG56" s="107" t="n"/>
      <c r="AH56" s="107" t="n"/>
      <c r="AI56" s="107" t="n"/>
      <c r="AJ56" s="107" t="n"/>
      <c r="AK56" s="115" t="inlineStr">
        <is>
          <t>D</t>
        </is>
      </c>
      <c r="AL56" s="107" t="n"/>
      <c r="AM56" s="115" t="inlineStr">
        <is>
          <t>D</t>
        </is>
      </c>
      <c r="AN56" s="109">
        <f>IFERROR(INDEX(NOV!I$8:I$73,MATCH($A56,NOV!$A$8:$A$73,0))&amp;"","")</f>
        <v/>
      </c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SUMPRODUCT(($F56:$L56="M")*6+($F56:$L56="T")*6+($F56:$L56="D")*12+($F56:$L56="N")*12+($F56:$L56="NT")*6+($F56:$L56="C")*10+($F56:$L56="A")*8+($F56:$L56="J")*5+($F56:$L56="E")*4+($F56:$L56="P")*6+($F56:$L56="R")*6)</f>
        <v/>
      </c>
      <c r="BF56" s="110">
        <f>SUMPRODUCT(($M56:$S56="M")*6+($M56:$S56="T")*6+($M56:$S56="D")*12+($M56:$S56="N")*12+($M56:$S56="NT")*6+($M56:$S56="C")*10+($M56:$S56="A")*8+($M56:$S56="J")*5+($M56:$S56="E")*4+($M56:$S56="P")*6+($M56:$S56="R")*6)</f>
        <v/>
      </c>
      <c r="BG56" s="110">
        <f>SUMPRODUCT(($T56:$Z56="M")*6+($T56:$Z56="T")*6+($T56:$Z56="D")*12+($T56:$Z56="N")*12+($T56:$Z56="NT")*6+($T56:$Z56="C")*10+($T56:$Z56="A")*8+($T56:$Z56="J")*5+($T56:$Z56="E")*4+($T56:$Z56="P")*6+($T56:$Z56="R")*6)</f>
        <v/>
      </c>
      <c r="BH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I56" s="110">
        <f>SUMPRODUCT(($AH56:$AM56="M")*6+($AH56:$AM56="T")*6+($AH56:$AM56="D")*12+($AH56:$AM56="N")*12+($AH56:$AM56="NT")*6+($AH56:$AM56="C")*10+($AH56:$AM56="A")*8+($AH56:$AM56="J")*5+($AH56:$AM56="E")*4+($AH56:$AM56="P")*6+($AH56:$AM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3">
        <f>IFERROR(INDEX(SET!AJ$8:AJ$73,MATCH($A57,SET!$A$8:$A$73,0))&amp;"","")</f>
        <v/>
      </c>
      <c r="G57" s="123">
        <f>IFERROR(INDEX(SET!AK$8:AK$73,MATCH($A57,SET!$A$8:$A$73,0))&amp;"","")</f>
        <v/>
      </c>
      <c r="H57" s="123">
        <f>IFERROR(INDEX(SET!AL$8:AL$73,MATCH($A57,SET!$A$8:$A$73,0))&amp;"","")</f>
        <v/>
      </c>
      <c r="I57" s="107" t="n"/>
      <c r="J57" s="107" t="n"/>
      <c r="K57" s="116" t="inlineStr">
        <is>
          <t>N</t>
        </is>
      </c>
      <c r="L57" s="107" t="n"/>
      <c r="M57" s="116" t="inlineStr">
        <is>
          <t>N</t>
        </is>
      </c>
      <c r="N57" s="107" t="n"/>
      <c r="O57" s="107" t="n"/>
      <c r="P57" s="107" t="n"/>
      <c r="Q57" s="116" t="inlineStr">
        <is>
          <t>N</t>
        </is>
      </c>
      <c r="R57" s="107" t="n"/>
      <c r="S57" s="107" t="n"/>
      <c r="T57" s="116" t="inlineStr">
        <is>
          <t>N</t>
        </is>
      </c>
      <c r="U57" s="107" t="n"/>
      <c r="V57" s="116" t="inlineStr">
        <is>
          <t>N</t>
        </is>
      </c>
      <c r="W57" s="107" t="n"/>
      <c r="X57" s="107" t="n"/>
      <c r="Y57" s="107" t="n"/>
      <c r="Z57" s="107" t="n"/>
      <c r="AA57" s="116" t="inlineStr">
        <is>
          <t>N</t>
        </is>
      </c>
      <c r="AB57" s="107" t="n"/>
      <c r="AC57" s="107" t="n"/>
      <c r="AD57" s="107" t="n"/>
      <c r="AE57" s="107" t="n"/>
      <c r="AF57" s="115" t="inlineStr">
        <is>
          <t>D</t>
        </is>
      </c>
      <c r="AG57" s="107" t="n"/>
      <c r="AH57" s="116" t="inlineStr">
        <is>
          <t>N</t>
        </is>
      </c>
      <c r="AI57" s="107" t="n"/>
      <c r="AJ57" s="116" t="inlineStr">
        <is>
          <t>N</t>
        </is>
      </c>
      <c r="AK57" s="107" t="n"/>
      <c r="AL57" s="107" t="n"/>
      <c r="AM57" s="107" t="n"/>
      <c r="AN57" s="109">
        <f>IFERROR(INDEX(NOV!I$8:I$73,MATCH($A57,NOV!$A$8:$A$73,0))&amp;"","")</f>
        <v/>
      </c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SUMPRODUCT(($F57:$L57="M")*6+($F57:$L57="T")*6+($F57:$L57="D")*12+($F57:$L57="N")*12+($F57:$L57="NT")*6+($F57:$L57="C")*10+($F57:$L57="A")*8+($F57:$L57="J")*5+($F57:$L57="E")*4+($F57:$L57="P")*6+($F57:$L57="R")*6)</f>
        <v/>
      </c>
      <c r="BF57" s="110">
        <f>SUMPRODUCT(($M57:$S57="M")*6+($M57:$S57="T")*6+($M57:$S57="D")*12+($M57:$S57="N")*12+($M57:$S57="NT")*6+($M57:$S57="C")*10+($M57:$S57="A")*8+($M57:$S57="J")*5+($M57:$S57="E")*4+($M57:$S57="P")*6+($M57:$S57="R")*6)</f>
        <v/>
      </c>
      <c r="BG57" s="110">
        <f>SUMPRODUCT(($T57:$Z57="M")*6+($T57:$Z57="T")*6+($T57:$Z57="D")*12+($T57:$Z57="N")*12+($T57:$Z57="NT")*6+($T57:$Z57="C")*10+($T57:$Z57="A")*8+($T57:$Z57="J")*5+($T57:$Z57="E")*4+($T57:$Z57="P")*6+($T57:$Z57="R")*6)</f>
        <v/>
      </c>
      <c r="BH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I57" s="110">
        <f>SUMPRODUCT(($AH57:$AM57="M")*6+($AH57:$AM57="T")*6+($AH57:$AM57="D")*12+($AH57:$AM57="N")*12+($AH57:$AM57="NT")*6+($AH57:$AM57="C")*10+($AH57:$AM57="A")*8+($AH57:$AM57="J")*5+($AH57:$AM57="E")*4+($AH57:$AM57="P")*6+($AH57:$AM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3">
        <f>IFERROR(INDEX(SET!AJ$8:AJ$73,MATCH($A58,SET!$A$8:$A$73,0))&amp;"","")</f>
        <v/>
      </c>
      <c r="G58" s="123">
        <f>IFERROR(INDEX(SET!AK$8:AK$73,MATCH($A58,SET!$A$8:$A$73,0))&amp;"","")</f>
        <v/>
      </c>
      <c r="H58" s="123">
        <f>IFERROR(INDEX(SET!AL$8:AL$73,MATCH($A58,SET!$A$8:$A$73,0))&amp;"","")</f>
        <v/>
      </c>
      <c r="I58" s="107" t="n"/>
      <c r="J58" s="116" t="inlineStr">
        <is>
          <t>N</t>
        </is>
      </c>
      <c r="K58" s="107" t="n"/>
      <c r="L58" s="107" t="n"/>
      <c r="M58" s="107" t="n"/>
      <c r="N58" s="107" t="n"/>
      <c r="O58" s="116" t="inlineStr">
        <is>
          <t>N</t>
        </is>
      </c>
      <c r="P58" s="107" t="n"/>
      <c r="Q58" s="107" t="n"/>
      <c r="R58" s="107" t="n"/>
      <c r="S58" s="115" t="inlineStr">
        <is>
          <t>D</t>
        </is>
      </c>
      <c r="T58" s="107" t="n"/>
      <c r="U58" s="107" t="n"/>
      <c r="V58" s="116" t="inlineStr">
        <is>
          <t>N</t>
        </is>
      </c>
      <c r="W58" s="107" t="n"/>
      <c r="X58" s="115" t="inlineStr">
        <is>
          <t>D</t>
        </is>
      </c>
      <c r="Y58" s="107" t="n"/>
      <c r="Z58" s="107" t="n"/>
      <c r="AA58" s="115" t="inlineStr">
        <is>
          <t>D</t>
        </is>
      </c>
      <c r="AB58" s="107" t="n"/>
      <c r="AC58" s="116" t="inlineStr">
        <is>
          <t>N</t>
        </is>
      </c>
      <c r="AD58" s="107" t="n"/>
      <c r="AE58" s="107" t="n"/>
      <c r="AF58" s="107" t="n"/>
      <c r="AG58" s="107" t="n"/>
      <c r="AH58" s="107" t="n"/>
      <c r="AI58" s="107" t="n"/>
      <c r="AJ58" s="116" t="inlineStr">
        <is>
          <t>N</t>
        </is>
      </c>
      <c r="AK58" s="107" t="n"/>
      <c r="AL58" s="107" t="n"/>
      <c r="AM58" s="115" t="inlineStr">
        <is>
          <t>D</t>
        </is>
      </c>
      <c r="AN58" s="109">
        <f>IFERROR(INDEX(NOV!I$8:I$73,MATCH($A58,NOV!$A$8:$A$73,0))&amp;"","")</f>
        <v/>
      </c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SUMPRODUCT(($F58:$L58="M")*6+($F58:$L58="T")*6+($F58:$L58="D")*12+($F58:$L58="N")*12+($F58:$L58="NT")*6+($F58:$L58="C")*10+($F58:$L58="A")*8+($F58:$L58="J")*5+($F58:$L58="E")*4+($F58:$L58="P")*6+($F58:$L58="R")*6)</f>
        <v/>
      </c>
      <c r="BF58" s="110">
        <f>SUMPRODUCT(($M58:$S58="M")*6+($M58:$S58="T")*6+($M58:$S58="D")*12+($M58:$S58="N")*12+($M58:$S58="NT")*6+($M58:$S58="C")*10+($M58:$S58="A")*8+($M58:$S58="J")*5+($M58:$S58="E")*4+($M58:$S58="P")*6+($M58:$S58="R")*6)</f>
        <v/>
      </c>
      <c r="BG58" s="110">
        <f>SUMPRODUCT(($T58:$Z58="M")*6+($T58:$Z58="T")*6+($T58:$Z58="D")*12+($T58:$Z58="N")*12+($T58:$Z58="NT")*6+($T58:$Z58="C")*10+($T58:$Z58="A")*8+($T58:$Z58="J")*5+($T58:$Z58="E")*4+($T58:$Z58="P")*6+($T58:$Z58="R")*6)</f>
        <v/>
      </c>
      <c r="BH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I58" s="110">
        <f>SUMPRODUCT(($AH58:$AM58="M")*6+($AH58:$AM58="T")*6+($AH58:$AM58="D")*12+($AH58:$AM58="N")*12+($AH58:$AM58="NT")*6+($AH58:$AM58="C")*10+($AH58:$AM58="A")*8+($AH58:$AM58="J")*5+($AH58:$AM58="E")*4+($AH58:$AM58="P")*6+($AH58:$AM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3">
        <f>IFERROR(INDEX(SET!AJ$8:AJ$73,MATCH($A59,SET!$A$8:$A$73,0))&amp;"","")</f>
        <v/>
      </c>
      <c r="G59" s="123">
        <f>IFERROR(INDEX(SET!AK$8:AK$73,MATCH($A59,SET!$A$8:$A$73,0))&amp;"","")</f>
        <v/>
      </c>
      <c r="H59" s="123">
        <f>IFERROR(INDEX(SET!AL$8:AL$73,MATCH($A59,SET!$A$8:$A$73,0))&amp;"","")</f>
        <v/>
      </c>
      <c r="I59" s="107" t="n"/>
      <c r="J59" s="107" t="n"/>
      <c r="K59" s="107" t="n"/>
      <c r="L59" s="116" t="inlineStr">
        <is>
          <t>N</t>
        </is>
      </c>
      <c r="M59" s="107" t="n"/>
      <c r="N59" s="107" t="n"/>
      <c r="O59" s="116" t="inlineStr">
        <is>
          <t>N</t>
        </is>
      </c>
      <c r="P59" s="107" t="n"/>
      <c r="Q59" s="116" t="inlineStr">
        <is>
          <t>N</t>
        </is>
      </c>
      <c r="R59" s="116" t="inlineStr">
        <is>
          <t>N</t>
        </is>
      </c>
      <c r="S59" s="107" t="n"/>
      <c r="T59" s="107" t="n"/>
      <c r="U59" s="107" t="n"/>
      <c r="V59" s="116" t="inlineStr">
        <is>
          <t>N</t>
        </is>
      </c>
      <c r="W59" s="107" t="n"/>
      <c r="X59" s="115" t="inlineStr">
        <is>
          <t>D</t>
        </is>
      </c>
      <c r="Y59" s="107" t="n"/>
      <c r="Z59" s="107" t="n"/>
      <c r="AA59" s="107" t="n"/>
      <c r="AB59" s="107" t="n"/>
      <c r="AC59" s="116" t="inlineStr">
        <is>
          <t>N</t>
        </is>
      </c>
      <c r="AD59" s="107" t="n"/>
      <c r="AE59" s="107" t="n"/>
      <c r="AF59" s="116" t="inlineStr">
        <is>
          <t>N</t>
        </is>
      </c>
      <c r="AG59" s="107" t="n"/>
      <c r="AH59" s="107" t="n"/>
      <c r="AI59" s="107" t="n"/>
      <c r="AJ59" s="116" t="inlineStr">
        <is>
          <t>N</t>
        </is>
      </c>
      <c r="AK59" s="107" t="n"/>
      <c r="AL59" s="117" t="inlineStr">
        <is>
          <t>T</t>
        </is>
      </c>
      <c r="AM59" s="107" t="n"/>
      <c r="AN59" s="109">
        <f>IFERROR(INDEX(NOV!I$8:I$73,MATCH($A59,NOV!$A$8:$A$73,0))&amp;"","")</f>
        <v/>
      </c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SUMPRODUCT(($F59:$L59="M")*6+($F59:$L59="T")*6+($F59:$L59="D")*12+($F59:$L59="N")*12+($F59:$L59="NT")*6+($F59:$L59="C")*10+($F59:$L59="A")*8+($F59:$L59="J")*5+($F59:$L59="E")*4+($F59:$L59="P")*6+($F59:$L59="R")*6)</f>
        <v/>
      </c>
      <c r="BF59" s="110">
        <f>SUMPRODUCT(($M59:$S59="M")*6+($M59:$S59="T")*6+($M59:$S59="D")*12+($M59:$S59="N")*12+($M59:$S59="NT")*6+($M59:$S59="C")*10+($M59:$S59="A")*8+($M59:$S59="J")*5+($M59:$S59="E")*4+($M59:$S59="P")*6+($M59:$S59="R")*6)</f>
        <v/>
      </c>
      <c r="BG59" s="110">
        <f>SUMPRODUCT(($T59:$Z59="M")*6+($T59:$Z59="T")*6+($T59:$Z59="D")*12+($T59:$Z59="N")*12+($T59:$Z59="NT")*6+($T59:$Z59="C")*10+($T59:$Z59="A")*8+($T59:$Z59="J")*5+($T59:$Z59="E")*4+($T59:$Z59="P")*6+($T59:$Z59="R")*6)</f>
        <v/>
      </c>
      <c r="BH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I59" s="110">
        <f>SUMPRODUCT(($AH59:$AM59="M")*6+($AH59:$AM59="T")*6+($AH59:$AM59="D")*12+($AH59:$AM59="N")*12+($AH59:$AM59="NT")*6+($AH59:$AM59="C")*10+($AH59:$AM59="A")*8+($AH59:$AM59="J")*5+($AH59:$AM59="E")*4+($AH59:$AM59="P")*6+($AH59:$AM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3">
        <f>IFERROR(INDEX(SET!AJ$8:AJ$73,MATCH($A60,SET!$A$8:$A$73,0))&amp;"","")</f>
        <v/>
      </c>
      <c r="G60" s="123">
        <f>IFERROR(INDEX(SET!AK$8:AK$73,MATCH($A60,SET!$A$8:$A$73,0))&amp;"","")</f>
        <v/>
      </c>
      <c r="H60" s="123">
        <f>IFERROR(INDEX(SET!AL$8:AL$73,MATCH($A60,SET!$A$8:$A$73,0))&amp;"","")</f>
        <v/>
      </c>
      <c r="I60" s="116" t="inlineStr">
        <is>
          <t>N</t>
        </is>
      </c>
      <c r="J60" s="107" t="n"/>
      <c r="K60" s="107" t="n"/>
      <c r="L60" s="117" t="inlineStr">
        <is>
          <t>T</t>
        </is>
      </c>
      <c r="M60" s="107" t="n"/>
      <c r="N60" s="116" t="inlineStr">
        <is>
          <t>N</t>
        </is>
      </c>
      <c r="O60" s="107" t="n"/>
      <c r="P60" s="116" t="inlineStr">
        <is>
          <t>N</t>
        </is>
      </c>
      <c r="Q60" s="107" t="n"/>
      <c r="R60" s="107" t="n"/>
      <c r="S60" s="107" t="n"/>
      <c r="T60" s="107" t="n"/>
      <c r="U60" s="107" t="n"/>
      <c r="V60" s="107" t="n"/>
      <c r="W60" s="116" t="inlineStr">
        <is>
          <t>N</t>
        </is>
      </c>
      <c r="X60" s="107" t="n"/>
      <c r="Y60" s="107" t="n"/>
      <c r="Z60" s="115" t="inlineStr">
        <is>
          <t>D</t>
        </is>
      </c>
      <c r="AA60" s="107" t="n"/>
      <c r="AB60" s="107" t="n"/>
      <c r="AC60" s="107" t="n"/>
      <c r="AD60" s="116" t="inlineStr">
        <is>
          <t>N</t>
        </is>
      </c>
      <c r="AE60" s="107" t="n"/>
      <c r="AF60" s="107" t="n"/>
      <c r="AG60" s="116" t="inlineStr">
        <is>
          <t>N</t>
        </is>
      </c>
      <c r="AH60" s="107" t="n"/>
      <c r="AI60" s="107" t="n"/>
      <c r="AJ60" s="117" t="inlineStr">
        <is>
          <t>T</t>
        </is>
      </c>
      <c r="AK60" s="107" t="n"/>
      <c r="AL60" s="116" t="inlineStr">
        <is>
          <t>N</t>
        </is>
      </c>
      <c r="AM60" s="107" t="n"/>
      <c r="AN60" s="109">
        <f>IFERROR(INDEX(NOV!I$8:I$73,MATCH($A60,NOV!$A$8:$A$73,0))&amp;"","")</f>
        <v/>
      </c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SUMPRODUCT(($F60:$L60="M")*6+($F60:$L60="T")*6+($F60:$L60="D")*12+($F60:$L60="N")*12+($F60:$L60="NT")*6+($F60:$L60="C")*10+($F60:$L60="A")*8+($F60:$L60="J")*5+($F60:$L60="E")*4+($F60:$L60="P")*6+($F60:$L60="R")*6)</f>
        <v/>
      </c>
      <c r="BF60" s="110">
        <f>SUMPRODUCT(($M60:$S60="M")*6+($M60:$S60="T")*6+($M60:$S60="D")*12+($M60:$S60="N")*12+($M60:$S60="NT")*6+($M60:$S60="C")*10+($M60:$S60="A")*8+($M60:$S60="J")*5+($M60:$S60="E")*4+($M60:$S60="P")*6+($M60:$S60="R")*6)</f>
        <v/>
      </c>
      <c r="BG60" s="110">
        <f>SUMPRODUCT(($T60:$Z60="M")*6+($T60:$Z60="T")*6+($T60:$Z60="D")*12+($T60:$Z60="N")*12+($T60:$Z60="NT")*6+($T60:$Z60="C")*10+($T60:$Z60="A")*8+($T60:$Z60="J")*5+($T60:$Z60="E")*4+($T60:$Z60="P")*6+($T60:$Z60="R")*6)</f>
        <v/>
      </c>
      <c r="BH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I60" s="110">
        <f>SUMPRODUCT(($AH60:$AM60="M")*6+($AH60:$AM60="T")*6+($AH60:$AM60="D")*12+($AH60:$AM60="N")*12+($AH60:$AM60="NT")*6+($AH60:$AM60="C")*10+($AH60:$AM60="A")*8+($AH60:$AM60="J")*5+($AH60:$AM60="E")*4+($AH60:$AM60="P")*6+($AH60:$AM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3">
        <f>IFERROR(INDEX(SET!AJ$8:AJ$73,MATCH($A61,SET!$A$8:$A$73,0))&amp;"","")</f>
        <v/>
      </c>
      <c r="G61" s="123">
        <f>IFERROR(INDEX(SET!AK$8:AK$73,MATCH($A61,SET!$A$8:$A$73,0))&amp;"","")</f>
        <v/>
      </c>
      <c r="H61" s="123">
        <f>IFERROR(INDEX(SET!AL$8:AL$73,MATCH($A61,SET!$A$8:$A$73,0))&amp;"","")</f>
        <v/>
      </c>
      <c r="I61" s="107" t="n"/>
      <c r="J61" s="107" t="n"/>
      <c r="K61" s="115" t="inlineStr">
        <is>
          <t>D</t>
        </is>
      </c>
      <c r="L61" s="107" t="n"/>
      <c r="M61" s="115" t="inlineStr">
        <is>
          <t>D</t>
        </is>
      </c>
      <c r="N61" s="107" t="n"/>
      <c r="O61" s="107" t="n"/>
      <c r="P61" s="107" t="n"/>
      <c r="Q61" s="107" t="n"/>
      <c r="R61" s="107" t="n"/>
      <c r="S61" s="107" t="n"/>
      <c r="T61" s="115" t="inlineStr">
        <is>
          <t>D</t>
        </is>
      </c>
      <c r="U61" s="107" t="n"/>
      <c r="V61" s="107" t="n"/>
      <c r="W61" s="107" t="n"/>
      <c r="X61" s="107" t="n"/>
      <c r="Y61" s="107" t="n"/>
      <c r="Z61" s="116" t="inlineStr">
        <is>
          <t>N</t>
        </is>
      </c>
      <c r="AA61" s="115" t="inlineStr">
        <is>
          <t>D</t>
        </is>
      </c>
      <c r="AB61" s="107" t="n"/>
      <c r="AC61" s="107" t="n"/>
      <c r="AD61" s="115" t="inlineStr">
        <is>
          <t>D</t>
        </is>
      </c>
      <c r="AE61" s="107" t="n"/>
      <c r="AF61" s="107" t="n"/>
      <c r="AG61" s="107" t="n"/>
      <c r="AH61" s="115" t="inlineStr">
        <is>
          <t>D</t>
        </is>
      </c>
      <c r="AI61" s="107" t="n"/>
      <c r="AJ61" s="107" t="n"/>
      <c r="AK61" s="115" t="inlineStr">
        <is>
          <t>D</t>
        </is>
      </c>
      <c r="AL61" s="107" t="n"/>
      <c r="AM61" s="107" t="n"/>
      <c r="AN61" s="109">
        <f>IFERROR(INDEX(NOV!I$8:I$73,MATCH($A61,NOV!$A$8:$A$73,0))&amp;"","")</f>
        <v/>
      </c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SUMPRODUCT(($F61:$L61="M")*6+($F61:$L61="T")*6+($F61:$L61="D")*12+($F61:$L61="N")*12+($F61:$L61="NT")*6+($F61:$L61="C")*10+($F61:$L61="A")*8+($F61:$L61="J")*5+($F61:$L61="E")*4+($F61:$L61="P")*6+($F61:$L61="R")*6)</f>
        <v/>
      </c>
      <c r="BF61" s="110">
        <f>SUMPRODUCT(($M61:$S61="M")*6+($M61:$S61="T")*6+($M61:$S61="D")*12+($M61:$S61="N")*12+($M61:$S61="NT")*6+($M61:$S61="C")*10+($M61:$S61="A")*8+($M61:$S61="J")*5+($M61:$S61="E")*4+($M61:$S61="P")*6+($M61:$S61="R")*6)</f>
        <v/>
      </c>
      <c r="BG61" s="110">
        <f>SUMPRODUCT(($T61:$Z61="M")*6+($T61:$Z61="T")*6+($T61:$Z61="D")*12+($T61:$Z61="N")*12+($T61:$Z61="NT")*6+($T61:$Z61="C")*10+($T61:$Z61="A")*8+($T61:$Z61="J")*5+($T61:$Z61="E")*4+($T61:$Z61="P")*6+($T61:$Z61="R")*6)</f>
        <v/>
      </c>
      <c r="BH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I61" s="110">
        <f>SUMPRODUCT(($AH61:$AM61="M")*6+($AH61:$AM61="T")*6+($AH61:$AM61="D")*12+($AH61:$AM61="N")*12+($AH61:$AM61="NT")*6+($AH61:$AM61="C")*10+($AH61:$AM61="A")*8+($AH61:$AM61="J")*5+($AH61:$AM61="E")*4+($AH61:$AM61="P")*6+($AH61:$AM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3">
        <f>IFERROR(INDEX(SET!AJ$8:AJ$73,MATCH($A62,SET!$A$8:$A$73,0))&amp;"","")</f>
        <v/>
      </c>
      <c r="G62" s="123">
        <f>IFERROR(INDEX(SET!AK$8:AK$73,MATCH($A62,SET!$A$8:$A$73,0))&amp;"","")</f>
        <v/>
      </c>
      <c r="H62" s="123">
        <f>IFERROR(INDEX(SET!AL$8:AL$73,MATCH($A62,SET!$A$8:$A$73,0))&amp;"","")</f>
        <v/>
      </c>
      <c r="I62" s="107" t="n"/>
      <c r="J62" s="107" t="n"/>
      <c r="K62" s="115" t="inlineStr">
        <is>
          <t>D</t>
        </is>
      </c>
      <c r="L62" s="107" t="n"/>
      <c r="M62" s="107" t="n"/>
      <c r="N62" s="116" t="inlineStr">
        <is>
          <t>N</t>
        </is>
      </c>
      <c r="O62" s="107" t="n"/>
      <c r="P62" s="115" t="inlineStr">
        <is>
          <t>D</t>
        </is>
      </c>
      <c r="Q62" s="107" t="n"/>
      <c r="R62" s="107" t="n"/>
      <c r="S62" s="107" t="n"/>
      <c r="T62" s="107" t="n"/>
      <c r="U62" s="116" t="inlineStr">
        <is>
          <t>N</t>
        </is>
      </c>
      <c r="V62" s="107" t="n"/>
      <c r="W62" s="107" t="n"/>
      <c r="X62" s="107" t="n"/>
      <c r="Y62" s="115" t="inlineStr">
        <is>
          <t>D</t>
        </is>
      </c>
      <c r="Z62" s="107" t="n"/>
      <c r="AA62" s="107" t="n"/>
      <c r="AB62" s="116" t="inlineStr">
        <is>
          <t>N</t>
        </is>
      </c>
      <c r="AC62" s="107" t="n"/>
      <c r="AD62" s="107" t="n"/>
      <c r="AE62" s="115" t="inlineStr">
        <is>
          <t>D</t>
        </is>
      </c>
      <c r="AF62" s="107" t="n"/>
      <c r="AG62" s="107" t="n"/>
      <c r="AH62" s="107" t="n"/>
      <c r="AI62" s="116" t="inlineStr">
        <is>
          <t>N</t>
        </is>
      </c>
      <c r="AJ62" s="107" t="n"/>
      <c r="AK62" s="107" t="n"/>
      <c r="AL62" s="107" t="n"/>
      <c r="AM62" s="107" t="n"/>
      <c r="AN62" s="109">
        <f>IFERROR(INDEX(NOV!I$8:I$73,MATCH($A62,NOV!$A$8:$A$73,0))&amp;"","")</f>
        <v/>
      </c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SUMPRODUCT(($F62:$L62="M")*6+($F62:$L62="T")*6+($F62:$L62="D")*12+($F62:$L62="N")*12+($F62:$L62="NT")*6+($F62:$L62="C")*10+($F62:$L62="A")*8+($F62:$L62="J")*5+($F62:$L62="E")*4+($F62:$L62="P")*6+($F62:$L62="R")*6)</f>
        <v/>
      </c>
      <c r="BF62" s="110">
        <f>SUMPRODUCT(($M62:$S62="M")*6+($M62:$S62="T")*6+($M62:$S62="D")*12+($M62:$S62="N")*12+($M62:$S62="NT")*6+($M62:$S62="C")*10+($M62:$S62="A")*8+($M62:$S62="J")*5+($M62:$S62="E")*4+($M62:$S62="P")*6+($M62:$S62="R")*6)</f>
        <v/>
      </c>
      <c r="BG62" s="110">
        <f>SUMPRODUCT(($T62:$Z62="M")*6+($T62:$Z62="T")*6+($T62:$Z62="D")*12+($T62:$Z62="N")*12+($T62:$Z62="NT")*6+($T62:$Z62="C")*10+($T62:$Z62="A")*8+($T62:$Z62="J")*5+($T62:$Z62="E")*4+($T62:$Z62="P")*6+($T62:$Z62="R")*6)</f>
        <v/>
      </c>
      <c r="BH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I62" s="110">
        <f>SUMPRODUCT(($AH62:$AM62="M")*6+($AH62:$AM62="T")*6+($AH62:$AM62="D")*12+($AH62:$AM62="N")*12+($AH62:$AM62="NT")*6+($AH62:$AM62="C")*10+($AH62:$AM62="A")*8+($AH62:$AM62="J")*5+($AH62:$AM62="E")*4+($AH62:$AM62="P")*6+($AH62:$AM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3">
        <f>IFERROR(INDEX(SET!AJ$8:AJ$73,MATCH($A63,SET!$A$8:$A$73,0))&amp;"","")</f>
        <v/>
      </c>
      <c r="G63" s="123">
        <f>IFERROR(INDEX(SET!AK$8:AK$73,MATCH($A63,SET!$A$8:$A$73,0))&amp;"","")</f>
        <v/>
      </c>
      <c r="H63" s="123">
        <f>IFERROR(INDEX(SET!AL$8:AL$73,MATCH($A63,SET!$A$8:$A$73,0))&amp;"","")</f>
        <v/>
      </c>
      <c r="I63" s="107" t="n"/>
      <c r="J63" s="107" t="n"/>
      <c r="K63" s="107" t="n"/>
      <c r="L63" s="115" t="inlineStr">
        <is>
          <t>D</t>
        </is>
      </c>
      <c r="M63" s="107" t="n"/>
      <c r="N63" s="107" t="n"/>
      <c r="O63" s="115" t="inlineStr">
        <is>
          <t>D</t>
        </is>
      </c>
      <c r="P63" s="116" t="inlineStr">
        <is>
          <t>N</t>
        </is>
      </c>
      <c r="Q63" s="107" t="n"/>
      <c r="R63" s="107" t="n"/>
      <c r="S63" s="107" t="n"/>
      <c r="T63" s="107" t="n"/>
      <c r="U63" s="107" t="n"/>
      <c r="V63" s="115" t="inlineStr">
        <is>
          <t>D</t>
        </is>
      </c>
      <c r="W63" s="107" t="n"/>
      <c r="X63" s="107" t="n"/>
      <c r="Y63" s="115" t="inlineStr">
        <is>
          <t>D</t>
        </is>
      </c>
      <c r="Z63" s="107" t="n"/>
      <c r="AA63" s="107" t="n"/>
      <c r="AB63" s="107" t="n"/>
      <c r="AC63" s="115" t="inlineStr">
        <is>
          <t>D</t>
        </is>
      </c>
      <c r="AD63" s="116" t="inlineStr">
        <is>
          <t>N</t>
        </is>
      </c>
      <c r="AE63" s="107" t="n"/>
      <c r="AF63" s="107" t="n"/>
      <c r="AG63" s="107" t="n"/>
      <c r="AH63" s="117" t="inlineStr">
        <is>
          <t>T</t>
        </is>
      </c>
      <c r="AI63" s="107" t="n"/>
      <c r="AJ63" s="107" t="n"/>
      <c r="AK63" s="115" t="inlineStr">
        <is>
          <t>D</t>
        </is>
      </c>
      <c r="AL63" s="117" t="inlineStr">
        <is>
          <t>T</t>
        </is>
      </c>
      <c r="AM63" s="107" t="n"/>
      <c r="AN63" s="109">
        <f>IFERROR(INDEX(NOV!I$8:I$73,MATCH($A63,NOV!$A$8:$A$73,0))&amp;"","")</f>
        <v/>
      </c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SUMPRODUCT(($F63:$L63="M")*6+($F63:$L63="T")*6+($F63:$L63="D")*12+($F63:$L63="N")*12+($F63:$L63="NT")*6+($F63:$L63="C")*10+($F63:$L63="A")*8+($F63:$L63="J")*5+($F63:$L63="E")*4+($F63:$L63="P")*6+($F63:$L63="R")*6)</f>
        <v/>
      </c>
      <c r="BF63" s="110">
        <f>SUMPRODUCT(($M63:$S63="M")*6+($M63:$S63="T")*6+($M63:$S63="D")*12+($M63:$S63="N")*12+($M63:$S63="NT")*6+($M63:$S63="C")*10+($M63:$S63="A")*8+($M63:$S63="J")*5+($M63:$S63="E")*4+($M63:$S63="P")*6+($M63:$S63="R")*6)</f>
        <v/>
      </c>
      <c r="BG63" s="110">
        <f>SUMPRODUCT(($T63:$Z63="M")*6+($T63:$Z63="T")*6+($T63:$Z63="D")*12+($T63:$Z63="N")*12+($T63:$Z63="NT")*6+($T63:$Z63="C")*10+($T63:$Z63="A")*8+($T63:$Z63="J")*5+($T63:$Z63="E")*4+($T63:$Z63="P")*6+($T63:$Z63="R")*6)</f>
        <v/>
      </c>
      <c r="BH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I63" s="110">
        <f>SUMPRODUCT(($AH63:$AM63="M")*6+($AH63:$AM63="T")*6+($AH63:$AM63="D")*12+($AH63:$AM63="N")*12+($AH63:$AM63="NT")*6+($AH63:$AM63="C")*10+($AH63:$AM63="A")*8+($AH63:$AM63="J")*5+($AH63:$AM63="E")*4+($AH63:$AM63="P")*6+($AH63:$AM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3">
        <f>IFERROR(INDEX(SET!AJ$8:AJ$73,MATCH($A64,SET!$A$8:$A$73,0))&amp;"","")</f>
        <v/>
      </c>
      <c r="G64" s="123">
        <f>IFERROR(INDEX(SET!AK$8:AK$73,MATCH($A64,SET!$A$8:$A$73,0))&amp;"","")</f>
        <v/>
      </c>
      <c r="H64" s="123">
        <f>IFERROR(INDEX(SET!AL$8:AL$73,MATCH($A64,SET!$A$8:$A$73,0))&amp;"","")</f>
        <v/>
      </c>
      <c r="I64" s="107" t="n"/>
      <c r="J64" s="116" t="inlineStr">
        <is>
          <t>N</t>
        </is>
      </c>
      <c r="K64" s="107" t="n"/>
      <c r="L64" s="107" t="n"/>
      <c r="M64" s="117" t="inlineStr">
        <is>
          <t>T</t>
        </is>
      </c>
      <c r="N64" s="116" t="inlineStr">
        <is>
          <t>N</t>
        </is>
      </c>
      <c r="O64" s="117" t="inlineStr">
        <is>
          <t>T</t>
        </is>
      </c>
      <c r="P64" s="107" t="n"/>
      <c r="Q64" s="107" t="n"/>
      <c r="R64" s="107" t="n"/>
      <c r="S64" s="107" t="n"/>
      <c r="T64" s="107" t="n"/>
      <c r="U64" s="107" t="n"/>
      <c r="V64" s="116" t="inlineStr">
        <is>
          <t>N</t>
        </is>
      </c>
      <c r="W64" s="107" t="n"/>
      <c r="X64" s="116" t="inlineStr">
        <is>
          <t>N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6" t="inlineStr">
        <is>
          <t>N</t>
        </is>
      </c>
      <c r="AG64" s="116" t="inlineStr">
        <is>
          <t>N</t>
        </is>
      </c>
      <c r="AH64" s="117" t="inlineStr">
        <is>
          <t>T</t>
        </is>
      </c>
      <c r="AI64" s="116" t="inlineStr">
        <is>
          <t>N</t>
        </is>
      </c>
      <c r="AJ64" s="107" t="n"/>
      <c r="AK64" s="107" t="n"/>
      <c r="AL64" s="117" t="inlineStr">
        <is>
          <t>T</t>
        </is>
      </c>
      <c r="AM64" s="107" t="n"/>
      <c r="AN64" s="109">
        <f>IFERROR(INDEX(NOV!I$8:I$73,MATCH($A64,NOV!$A$8:$A$73,0))&amp;"","")</f>
        <v/>
      </c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SUMPRODUCT(($F64:$L64="M")*6+($F64:$L64="T")*6+($F64:$L64="D")*12+($F64:$L64="N")*12+($F64:$L64="NT")*6+($F64:$L64="C")*10+($F64:$L64="A")*8+($F64:$L64="J")*5+($F64:$L64="E")*4+($F64:$L64="P")*6+($F64:$L64="R")*6)</f>
        <v/>
      </c>
      <c r="BF64" s="110">
        <f>SUMPRODUCT(($M64:$S64="M")*6+($M64:$S64="T")*6+($M64:$S64="D")*12+($M64:$S64="N")*12+($M64:$S64="NT")*6+($M64:$S64="C")*10+($M64:$S64="A")*8+($M64:$S64="J")*5+($M64:$S64="E")*4+($M64:$S64="P")*6+($M64:$S64="R")*6)</f>
        <v/>
      </c>
      <c r="BG64" s="110">
        <f>SUMPRODUCT(($T64:$Z64="M")*6+($T64:$Z64="T")*6+($T64:$Z64="D")*12+($T64:$Z64="N")*12+($T64:$Z64="NT")*6+($T64:$Z64="C")*10+($T64:$Z64="A")*8+($T64:$Z64="J")*5+($T64:$Z64="E")*4+($T64:$Z64="P")*6+($T64:$Z64="R")*6)</f>
        <v/>
      </c>
      <c r="BH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I64" s="110">
        <f>SUMPRODUCT(($AH64:$AM64="M")*6+($AH64:$AM64="T")*6+($AH64:$AM64="D")*12+($AH64:$AM64="N")*12+($AH64:$AM64="NT")*6+($AH64:$AM64="C")*10+($AH64:$AM64="A")*8+($AH64:$AM64="J")*5+($AH64:$AM64="E")*4+($AH64:$AM64="P")*6+($AH64:$AM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3">
        <f>IFERROR(INDEX(SET!AJ$8:AJ$73,MATCH($A65,SET!$A$8:$A$73,0))&amp;"","")</f>
        <v/>
      </c>
      <c r="G65" s="123">
        <f>IFERROR(INDEX(SET!AK$8:AK$73,MATCH($A65,SET!$A$8:$A$73,0))&amp;"","")</f>
        <v/>
      </c>
      <c r="H65" s="123">
        <f>IFERROR(INDEX(SET!AL$8:AL$73,MATCH($A65,SET!$A$8:$A$73,0))&amp;"","")</f>
        <v/>
      </c>
      <c r="I65" s="107" t="n"/>
      <c r="J65" s="115" t="inlineStr">
        <is>
          <t>D</t>
        </is>
      </c>
      <c r="K65" s="107" t="n"/>
      <c r="L65" s="107" t="n"/>
      <c r="M65" s="107" t="n"/>
      <c r="N65" s="107" t="n"/>
      <c r="O65" s="116" t="inlineStr">
        <is>
          <t>N</t>
        </is>
      </c>
      <c r="P65" s="107" t="n"/>
      <c r="Q65" s="116" t="inlineStr">
        <is>
          <t>N</t>
        </is>
      </c>
      <c r="R65" s="107" t="n"/>
      <c r="S65" s="107" t="n"/>
      <c r="T65" s="107" t="n"/>
      <c r="U65" s="107" t="n"/>
      <c r="V65" s="115" t="inlineStr">
        <is>
          <t>D</t>
        </is>
      </c>
      <c r="W65" s="107" t="n"/>
      <c r="X65" s="107" t="n"/>
      <c r="Y65" s="115" t="inlineStr">
        <is>
          <t>D</t>
        </is>
      </c>
      <c r="Z65" s="107" t="n"/>
      <c r="AA65" s="107" t="n"/>
      <c r="AB65" s="108" t="inlineStr">
        <is>
          <t>M</t>
        </is>
      </c>
      <c r="AC65" s="117" t="inlineStr">
        <is>
          <t>T</t>
        </is>
      </c>
      <c r="AD65" s="107" t="n"/>
      <c r="AE65" s="115" t="inlineStr">
        <is>
          <t>D</t>
        </is>
      </c>
      <c r="AF65" s="107" t="n"/>
      <c r="AG65" s="107" t="n"/>
      <c r="AH65" s="107" t="n"/>
      <c r="AI65" s="107" t="n"/>
      <c r="AJ65" s="115" t="inlineStr">
        <is>
          <t>D</t>
        </is>
      </c>
      <c r="AK65" s="107" t="n"/>
      <c r="AL65" s="107" t="n"/>
      <c r="AM65" s="115" t="inlineStr">
        <is>
          <t>D</t>
        </is>
      </c>
      <c r="AN65" s="109">
        <f>IFERROR(INDEX(NOV!I$8:I$73,MATCH($A65,NOV!$A$8:$A$73,0))&amp;"","")</f>
        <v/>
      </c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SUMPRODUCT(($F65:$L65="M")*6+($F65:$L65="T")*6+($F65:$L65="D")*12+($F65:$L65="N")*12+($F65:$L65="NT")*6+($F65:$L65="C")*10+($F65:$L65="A")*8+($F65:$L65="J")*5+($F65:$L65="E")*4+($F65:$L65="P")*6+($F65:$L65="R")*6)</f>
        <v/>
      </c>
      <c r="BF65" s="110">
        <f>SUMPRODUCT(($M65:$S65="M")*6+($M65:$S65="T")*6+($M65:$S65="D")*12+($M65:$S65="N")*12+($M65:$S65="NT")*6+($M65:$S65="C")*10+($M65:$S65="A")*8+($M65:$S65="J")*5+($M65:$S65="E")*4+($M65:$S65="P")*6+($M65:$S65="R")*6)</f>
        <v/>
      </c>
      <c r="BG65" s="110">
        <f>SUMPRODUCT(($T65:$Z65="M")*6+($T65:$Z65="T")*6+($T65:$Z65="D")*12+($T65:$Z65="N")*12+($T65:$Z65="NT")*6+($T65:$Z65="C")*10+($T65:$Z65="A")*8+($T65:$Z65="J")*5+($T65:$Z65="E")*4+($T65:$Z65="P")*6+($T65:$Z65="R")*6)</f>
        <v/>
      </c>
      <c r="BH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I65" s="110">
        <f>SUMPRODUCT(($AH65:$AM65="M")*6+($AH65:$AM65="T")*6+($AH65:$AM65="D")*12+($AH65:$AM65="N")*12+($AH65:$AM65="NT")*6+($AH65:$AM65="C")*10+($AH65:$AM65="A")*8+($AH65:$AM65="J")*5+($AH65:$AM65="E")*4+($AH65:$AM65="P")*6+($AH65:$AM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3">
        <f>IFERROR(INDEX(SET!AJ$8:AJ$73,MATCH($A66,SET!$A$8:$A$73,0))&amp;"","")</f>
        <v/>
      </c>
      <c r="G66" s="123">
        <f>IFERROR(INDEX(SET!AK$8:AK$73,MATCH($A66,SET!$A$8:$A$73,0))&amp;"","")</f>
        <v/>
      </c>
      <c r="H66" s="123">
        <f>IFERROR(INDEX(SET!AL$8:AL$73,MATCH($A66,SET!$A$8:$A$73,0))&amp;"","")</f>
        <v/>
      </c>
      <c r="I66" s="116" t="inlineStr">
        <is>
          <t>N</t>
        </is>
      </c>
      <c r="J66" s="107" t="n"/>
      <c r="K66" s="116" t="inlineStr">
        <is>
          <t>N</t>
        </is>
      </c>
      <c r="L66" s="107" t="n"/>
      <c r="M66" s="116" t="inlineStr">
        <is>
          <t>N</t>
        </is>
      </c>
      <c r="N66" s="107" t="n"/>
      <c r="O66" s="107" t="n"/>
      <c r="P66" s="116" t="inlineStr">
        <is>
          <t>N</t>
        </is>
      </c>
      <c r="Q66" s="107" t="n"/>
      <c r="R66" s="107" t="n"/>
      <c r="S66" s="107" t="n"/>
      <c r="T66" s="107" t="n"/>
      <c r="U66" s="107" t="n"/>
      <c r="V66" s="107" t="n"/>
      <c r="W66" s="116" t="inlineStr">
        <is>
          <t>N</t>
        </is>
      </c>
      <c r="X66" s="107" t="n"/>
      <c r="Y66" s="107" t="n"/>
      <c r="Z66" s="116" t="inlineStr">
        <is>
          <t>N</t>
        </is>
      </c>
      <c r="AA66" s="116" t="inlineStr">
        <is>
          <t>N</t>
        </is>
      </c>
      <c r="AB66" s="107" t="n"/>
      <c r="AC66" s="107" t="n"/>
      <c r="AD66" s="107" t="n"/>
      <c r="AE66" s="116" t="inlineStr">
        <is>
          <t>N</t>
        </is>
      </c>
      <c r="AF66" s="107" t="n"/>
      <c r="AG66" s="107" t="n"/>
      <c r="AH66" s="116" t="inlineStr">
        <is>
          <t>N</t>
        </is>
      </c>
      <c r="AI66" s="107" t="n"/>
      <c r="AJ66" s="107" t="n"/>
      <c r="AK66" s="116" t="inlineStr">
        <is>
          <t>N</t>
        </is>
      </c>
      <c r="AL66" s="107" t="n"/>
      <c r="AM66" s="107" t="n"/>
      <c r="AN66" s="109">
        <f>IFERROR(INDEX(NOV!I$8:I$73,MATCH($A66,NOV!$A$8:$A$73,0))&amp;"","")</f>
        <v/>
      </c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SUMPRODUCT(($F66:$L66="M")*6+($F66:$L66="T")*6+($F66:$L66="D")*12+($F66:$L66="N")*12+($F66:$L66="NT")*6+($F66:$L66="C")*10+($F66:$L66="A")*8+($F66:$L66="J")*5+($F66:$L66="E")*4+($F66:$L66="P")*6+($F66:$L66="R")*6)</f>
        <v/>
      </c>
      <c r="BF66" s="110">
        <f>SUMPRODUCT(($M66:$S66="M")*6+($M66:$S66="T")*6+($M66:$S66="D")*12+($M66:$S66="N")*12+($M66:$S66="NT")*6+($M66:$S66="C")*10+($M66:$S66="A")*8+($M66:$S66="J")*5+($M66:$S66="E")*4+($M66:$S66="P")*6+($M66:$S66="R")*6)</f>
        <v/>
      </c>
      <c r="BG66" s="110">
        <f>SUMPRODUCT(($T66:$Z66="M")*6+($T66:$Z66="T")*6+($T66:$Z66="D")*12+($T66:$Z66="N")*12+($T66:$Z66="NT")*6+($T66:$Z66="C")*10+($T66:$Z66="A")*8+($T66:$Z66="J")*5+($T66:$Z66="E")*4+($T66:$Z66="P")*6+($T66:$Z66="R")*6)</f>
        <v/>
      </c>
      <c r="BH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I66" s="110">
        <f>SUMPRODUCT(($AH66:$AM66="M")*6+($AH66:$AM66="T")*6+($AH66:$AM66="D")*12+($AH66:$AM66="N")*12+($AH66:$AM66="NT")*6+($AH66:$AM66="C")*10+($AH66:$AM66="A")*8+($AH66:$AM66="J")*5+($AH66:$AM66="E")*4+($AH66:$AM66="P")*6+($AH66:$AM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3">
        <f>IFERROR(INDEX(SET!AJ$8:AJ$73,MATCH($A67,SET!$A$8:$A$73,0))&amp;"","")</f>
        <v/>
      </c>
      <c r="G67" s="123">
        <f>IFERROR(INDEX(SET!AK$8:AK$73,MATCH($A67,SET!$A$8:$A$73,0))&amp;"","")</f>
        <v/>
      </c>
      <c r="H67" s="123">
        <f>IFERROR(INDEX(SET!AL$8:AL$73,MATCH($A67,SET!$A$8:$A$73,0))&amp;"","")</f>
        <v/>
      </c>
      <c r="I67" s="108" t="inlineStr">
        <is>
          <t>M</t>
        </is>
      </c>
      <c r="J67" s="107" t="n"/>
      <c r="K67" s="107" t="n"/>
      <c r="L67" s="107" t="n"/>
      <c r="M67" s="128" t="inlineStr">
        <is>
          <t>FE</t>
        </is>
      </c>
      <c r="N67" s="128" t="inlineStr">
        <is>
          <t>FE</t>
        </is>
      </c>
      <c r="O67" s="128" t="inlineStr">
        <is>
          <t>FE</t>
        </is>
      </c>
      <c r="P67" s="128" t="inlineStr">
        <is>
          <t>FE</t>
        </is>
      </c>
      <c r="Q67" s="128" t="inlineStr">
        <is>
          <t>FE</t>
        </is>
      </c>
      <c r="R67" s="128" t="inlineStr">
        <is>
          <t>FE</t>
        </is>
      </c>
      <c r="S67" s="128" t="inlineStr">
        <is>
          <t>FE</t>
        </is>
      </c>
      <c r="T67" s="128" t="inlineStr">
        <is>
          <t>FE</t>
        </is>
      </c>
      <c r="U67" s="128" t="inlineStr">
        <is>
          <t>FE</t>
        </is>
      </c>
      <c r="V67" s="128" t="inlineStr">
        <is>
          <t>FE</t>
        </is>
      </c>
      <c r="W67" s="128" t="inlineStr">
        <is>
          <t>FE</t>
        </is>
      </c>
      <c r="X67" s="128" t="inlineStr">
        <is>
          <t>FE</t>
        </is>
      </c>
      <c r="Y67" s="128" t="inlineStr">
        <is>
          <t>FE</t>
        </is>
      </c>
      <c r="Z67" s="128" t="inlineStr">
        <is>
          <t>FE</t>
        </is>
      </c>
      <c r="AA67" s="128" t="inlineStr">
        <is>
          <t>FE</t>
        </is>
      </c>
      <c r="AB67" s="126" t="inlineStr">
        <is>
          <t>P</t>
        </is>
      </c>
      <c r="AC67" s="126" t="inlineStr">
        <is>
          <t>P</t>
        </is>
      </c>
      <c r="AD67" s="107" t="n"/>
      <c r="AE67" s="107" t="n"/>
      <c r="AF67" s="116" t="inlineStr">
        <is>
          <t>N</t>
        </is>
      </c>
      <c r="AG67" s="107" t="n"/>
      <c r="AH67" s="126" t="inlineStr">
        <is>
          <t>P</t>
        </is>
      </c>
      <c r="AI67" s="108" t="inlineStr">
        <is>
          <t>M</t>
        </is>
      </c>
      <c r="AJ67" s="126" t="inlineStr">
        <is>
          <t>P</t>
        </is>
      </c>
      <c r="AK67" s="107" t="n"/>
      <c r="AL67" s="117" t="inlineStr">
        <is>
          <t>T</t>
        </is>
      </c>
      <c r="AM67" s="107" t="n"/>
      <c r="AN67" s="109">
        <f>IFERROR(INDEX(NOV!I$8:I$73,MATCH($A67,NOV!$A$8:$A$73,0))&amp;"","")</f>
        <v/>
      </c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SUMPRODUCT(($F67:$L67="M")*6+($F67:$L67="T")*6+($F67:$L67="D")*12+($F67:$L67="N")*12+($F67:$L67="NT")*6+($F67:$L67="C")*10+($F67:$L67="A")*8+($F67:$L67="J")*5+($F67:$L67="E")*4+($F67:$L67="P")*6+($F67:$L67="R")*6)</f>
        <v/>
      </c>
      <c r="BF67" s="110">
        <f>SUMPRODUCT(($M67:$S67="M")*6+($M67:$S67="T")*6+($M67:$S67="D")*12+($M67:$S67="N")*12+($M67:$S67="NT")*6+($M67:$S67="C")*10+($M67:$S67="A")*8+($M67:$S67="J")*5+($M67:$S67="E")*4+($M67:$S67="P")*6+($M67:$S67="R")*6)</f>
        <v/>
      </c>
      <c r="BG67" s="110">
        <f>SUMPRODUCT(($T67:$Z67="M")*6+($T67:$Z67="T")*6+($T67:$Z67="D")*12+($T67:$Z67="N")*12+($T67:$Z67="NT")*6+($T67:$Z67="C")*10+($T67:$Z67="A")*8+($T67:$Z67="J")*5+($T67:$Z67="E")*4+($T67:$Z67="P")*6+($T67:$Z67="R")*6)</f>
        <v/>
      </c>
      <c r="BH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I67" s="110">
        <f>SUMPRODUCT(($AH67:$AM67="M")*6+($AH67:$AM67="T")*6+($AH67:$AM67="D")*12+($AH67:$AM67="N")*12+($AH67:$AM67="NT")*6+($AH67:$AM67="C")*10+($AH67:$AM67="A")*8+($AH67:$AM67="J")*5+($AH67:$AM67="E")*4+($AH67:$AM67="P")*6+($AH67:$AM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3">
        <f>IFERROR(INDEX(SET!AJ$8:AJ$73,MATCH($A68,SET!$A$8:$A$73,0))&amp;"","")</f>
        <v/>
      </c>
      <c r="G68" s="123">
        <f>IFERROR(INDEX(SET!AK$8:AK$73,MATCH($A68,SET!$A$8:$A$73,0))&amp;"","")</f>
        <v/>
      </c>
      <c r="H68" s="123">
        <f>IFERROR(INDEX(SET!AL$8:AL$73,MATCH($A68,SET!$A$8:$A$73,0))&amp;"","")</f>
        <v/>
      </c>
      <c r="I68" s="128" t="inlineStr">
        <is>
          <t>FE</t>
        </is>
      </c>
      <c r="J68" s="128" t="inlineStr">
        <is>
          <t>FE</t>
        </is>
      </c>
      <c r="K68" s="128" t="inlineStr">
        <is>
          <t>FE</t>
        </is>
      </c>
      <c r="L68" s="128" t="inlineStr">
        <is>
          <t>FE</t>
        </is>
      </c>
      <c r="M68" s="128" t="inlineStr">
        <is>
          <t>FE</t>
        </is>
      </c>
      <c r="N68" s="107" t="n"/>
      <c r="O68" s="117" t="inlineStr">
        <is>
          <t>T</t>
        </is>
      </c>
      <c r="P68" s="107" t="n"/>
      <c r="Q68" s="115" t="inlineStr">
        <is>
          <t>D</t>
        </is>
      </c>
      <c r="R68" s="117" t="inlineStr">
        <is>
          <t>T</t>
        </is>
      </c>
      <c r="S68" s="107" t="n"/>
      <c r="T68" s="115" t="inlineStr">
        <is>
          <t>D</t>
        </is>
      </c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6" t="inlineStr">
        <is>
          <t>N</t>
        </is>
      </c>
      <c r="AD68" s="107" t="n"/>
      <c r="AE68" s="115" t="inlineStr">
        <is>
          <t>D</t>
        </is>
      </c>
      <c r="AF68" s="117" t="inlineStr">
        <is>
          <t>T</t>
        </is>
      </c>
      <c r="AG68" s="107" t="n"/>
      <c r="AH68" s="107" t="n"/>
      <c r="AI68" s="107" t="n"/>
      <c r="AJ68" s="117" t="inlineStr">
        <is>
          <t>T</t>
        </is>
      </c>
      <c r="AK68" s="107" t="n"/>
      <c r="AL68" s="115" t="inlineStr">
        <is>
          <t>D</t>
        </is>
      </c>
      <c r="AM68" s="115" t="inlineStr">
        <is>
          <t>D</t>
        </is>
      </c>
      <c r="AN68" s="109">
        <f>IFERROR(INDEX(NOV!I$8:I$73,MATCH($A68,NOV!$A$8:$A$73,0))&amp;"","")</f>
        <v/>
      </c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SUMPRODUCT(($F68:$L68="M")*6+($F68:$L68="T")*6+($F68:$L68="D")*12+($F68:$L68="N")*12+($F68:$L68="NT")*6+($F68:$L68="C")*10+($F68:$L68="A")*8+($F68:$L68="J")*5+($F68:$L68="E")*4+($F68:$L68="P")*6+($F68:$L68="R")*6)</f>
        <v/>
      </c>
      <c r="BF68" s="110">
        <f>SUMPRODUCT(($M68:$S68="M")*6+($M68:$S68="T")*6+($M68:$S68="D")*12+($M68:$S68="N")*12+($M68:$S68="NT")*6+($M68:$S68="C")*10+($M68:$S68="A")*8+($M68:$S68="J")*5+($M68:$S68="E")*4+($M68:$S68="P")*6+($M68:$S68="R")*6)</f>
        <v/>
      </c>
      <c r="BG68" s="110">
        <f>SUMPRODUCT(($T68:$Z68="M")*6+($T68:$Z68="T")*6+($T68:$Z68="D")*12+($T68:$Z68="N")*12+($T68:$Z68="NT")*6+($T68:$Z68="C")*10+($T68:$Z68="A")*8+($T68:$Z68="J")*5+($T68:$Z68="E")*4+($T68:$Z68="P")*6+($T68:$Z68="R")*6)</f>
        <v/>
      </c>
      <c r="BH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I68" s="110">
        <f>SUMPRODUCT(($AH68:$AM68="M")*6+($AH68:$AM68="T")*6+($AH68:$AM68="D")*12+($AH68:$AM68="N")*12+($AH68:$AM68="NT")*6+($AH68:$AM68="C")*10+($AH68:$AM68="A")*8+($AH68:$AM68="J")*5+($AH68:$AM68="E")*4+($AH68:$AM68="P")*6+($AH68:$AM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3">
        <f>IFERROR(INDEX(SET!AJ$8:AJ$73,MATCH($A69,SET!$A$8:$A$73,0))&amp;"","")</f>
        <v/>
      </c>
      <c r="G69" s="123">
        <f>IFERROR(INDEX(SET!AK$8:AK$73,MATCH($A69,SET!$A$8:$A$73,0))&amp;"","")</f>
        <v/>
      </c>
      <c r="H69" s="123">
        <f>IFERROR(INDEX(SET!AL$8:AL$73,MATCH($A69,SET!$A$8:$A$73,0))&amp;"","")</f>
        <v/>
      </c>
      <c r="I69" s="107" t="n"/>
      <c r="J69" s="107" t="n"/>
      <c r="K69" s="115" t="inlineStr">
        <is>
          <t>D</t>
        </is>
      </c>
      <c r="L69" s="107" t="n"/>
      <c r="M69" s="116" t="inlineStr">
        <is>
          <t>N</t>
        </is>
      </c>
      <c r="N69" s="107" t="n"/>
      <c r="O69" s="108" t="inlineStr">
        <is>
          <t>M</t>
        </is>
      </c>
      <c r="P69" s="107" t="n"/>
      <c r="Q69" s="117" t="inlineStr">
        <is>
          <t>T</t>
        </is>
      </c>
      <c r="R69" s="107" t="n"/>
      <c r="S69" s="107" t="n"/>
      <c r="T69" s="107" t="n"/>
      <c r="U69" s="107" t="n"/>
      <c r="V69" s="115" t="inlineStr">
        <is>
          <t>D</t>
        </is>
      </c>
      <c r="W69" s="107" t="n"/>
      <c r="X69" s="115" t="inlineStr">
        <is>
          <t>D</t>
        </is>
      </c>
      <c r="Y69" s="107" t="n"/>
      <c r="Z69" s="107" t="n"/>
      <c r="AA69" s="107" t="n"/>
      <c r="AB69" s="107" t="n"/>
      <c r="AC69" s="116" t="inlineStr">
        <is>
          <t>N</t>
        </is>
      </c>
      <c r="AD69" s="107" t="n"/>
      <c r="AE69" s="107" t="n"/>
      <c r="AF69" s="115" t="inlineStr">
        <is>
          <t>D</t>
        </is>
      </c>
      <c r="AG69" s="107" t="n"/>
      <c r="AH69" s="107" t="n"/>
      <c r="AI69" s="107" t="n"/>
      <c r="AJ69" s="115" t="inlineStr">
        <is>
          <t>D</t>
        </is>
      </c>
      <c r="AK69" s="108" t="inlineStr">
        <is>
          <t>M</t>
        </is>
      </c>
      <c r="AL69" s="108" t="inlineStr">
        <is>
          <t>M</t>
        </is>
      </c>
      <c r="AM69" s="107" t="n"/>
      <c r="AN69" s="109">
        <f>IFERROR(INDEX(NOV!I$8:I$73,MATCH($A69,NOV!$A$8:$A$73,0))&amp;"","")</f>
        <v/>
      </c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SUMPRODUCT(($F69:$L69="M")*6+($F69:$L69="T")*6+($F69:$L69="D")*12+($F69:$L69="N")*12+($F69:$L69="NT")*6+($F69:$L69="C")*10+($F69:$L69="A")*8+($F69:$L69="J")*5+($F69:$L69="E")*4+($F69:$L69="P")*6+($F69:$L69="R")*6)</f>
        <v/>
      </c>
      <c r="BF69" s="110">
        <f>SUMPRODUCT(($M69:$S69="M")*6+($M69:$S69="T")*6+($M69:$S69="D")*12+($M69:$S69="N")*12+($M69:$S69="NT")*6+($M69:$S69="C")*10+($M69:$S69="A")*8+($M69:$S69="J")*5+($M69:$S69="E")*4+($M69:$S69="P")*6+($M69:$S69="R")*6)</f>
        <v/>
      </c>
      <c r="BG69" s="110">
        <f>SUMPRODUCT(($T69:$Z69="M")*6+($T69:$Z69="T")*6+($T69:$Z69="D")*12+($T69:$Z69="N")*12+($T69:$Z69="NT")*6+($T69:$Z69="C")*10+($T69:$Z69="A")*8+($T69:$Z69="J")*5+($T69:$Z69="E")*4+($T69:$Z69="P")*6+($T69:$Z69="R")*6)</f>
        <v/>
      </c>
      <c r="BH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I69" s="110">
        <f>SUMPRODUCT(($AH69:$AM69="M")*6+($AH69:$AM69="T")*6+($AH69:$AM69="D")*12+($AH69:$AM69="N")*12+($AH69:$AM69="NT")*6+($AH69:$AM69="C")*10+($AH69:$AM69="A")*8+($AH69:$AM69="J")*5+($AH69:$AM69="E")*4+($AH69:$AM69="P")*6+($AH69:$AM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3">
        <f>IFERROR(INDEX(SET!AJ$8:AJ$73,MATCH($A70,SET!$A$8:$A$73,0))&amp;"","")</f>
        <v/>
      </c>
      <c r="G70" s="123">
        <f>IFERROR(INDEX(SET!AK$8:AK$73,MATCH($A70,SET!$A$8:$A$73,0))&amp;"","")</f>
        <v/>
      </c>
      <c r="H70" s="123">
        <f>IFERROR(INDEX(SET!AL$8:AL$73,MATCH($A70,SET!$A$8:$A$73,0))&amp;"","")</f>
        <v/>
      </c>
      <c r="I70" s="107" t="n"/>
      <c r="J70" s="108" t="inlineStr">
        <is>
          <t>M</t>
        </is>
      </c>
      <c r="K70" s="107" t="n"/>
      <c r="L70" s="107" t="n"/>
      <c r="M70" s="107" t="n"/>
      <c r="N70" s="108" t="inlineStr">
        <is>
          <t>M</t>
        </is>
      </c>
      <c r="O70" s="116" t="inlineStr">
        <is>
          <t>N</t>
        </is>
      </c>
      <c r="P70" s="107" t="n"/>
      <c r="Q70" s="117" t="inlineStr">
        <is>
          <t>T</t>
        </is>
      </c>
      <c r="R70" s="107" t="n"/>
      <c r="S70" s="107" t="n"/>
      <c r="T70" s="108" t="inlineStr">
        <is>
          <t>M</t>
        </is>
      </c>
      <c r="U70" s="108" t="inlineStr">
        <is>
          <t>M</t>
        </is>
      </c>
      <c r="V70" s="116" t="inlineStr">
        <is>
          <t>N</t>
        </is>
      </c>
      <c r="W70" s="107" t="n"/>
      <c r="X70" s="107" t="n"/>
      <c r="Y70" s="107" t="n"/>
      <c r="Z70" s="107" t="n"/>
      <c r="AA70" s="107" t="n"/>
      <c r="AB70" s="107" t="n"/>
      <c r="AC70" s="107" t="n"/>
      <c r="AD70" s="108" t="inlineStr">
        <is>
          <t>M</t>
        </is>
      </c>
      <c r="AE70" s="108" t="inlineStr">
        <is>
          <t>M</t>
        </is>
      </c>
      <c r="AF70" s="107" t="n"/>
      <c r="AG70" s="115" t="inlineStr">
        <is>
          <t>D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07" t="n"/>
      <c r="AN70" s="109">
        <f>IFERROR(INDEX(NOV!I$8:I$73,MATCH($A70,NOV!$A$8:$A$73,0))&amp;"","")</f>
        <v/>
      </c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SUMPRODUCT(($F70:$L70="M")*6+($F70:$L70="T")*6+($F70:$L70="D")*12+($F70:$L70="N")*12+($F70:$L70="NT")*6+($F70:$L70="C")*10+($F70:$L70="A")*8+($F70:$L70="J")*5+($F70:$L70="E")*4+($F70:$L70="P")*6+($F70:$L70="R")*6)</f>
        <v/>
      </c>
      <c r="BF70" s="110">
        <f>SUMPRODUCT(($M70:$S70="M")*6+($M70:$S70="T")*6+($M70:$S70="D")*12+($M70:$S70="N")*12+($M70:$S70="NT")*6+($M70:$S70="C")*10+($M70:$S70="A")*8+($M70:$S70="J")*5+($M70:$S70="E")*4+($M70:$S70="P")*6+($M70:$S70="R")*6)</f>
        <v/>
      </c>
      <c r="BG70" s="110">
        <f>SUMPRODUCT(($T70:$Z70="M")*6+($T70:$Z70="T")*6+($T70:$Z70="D")*12+($T70:$Z70="N")*12+($T70:$Z70="NT")*6+($T70:$Z70="C")*10+($T70:$Z70="A")*8+($T70:$Z70="J")*5+($T70:$Z70="E")*4+($T70:$Z70="P")*6+($T70:$Z70="R")*6)</f>
        <v/>
      </c>
      <c r="BH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I70" s="110">
        <f>SUMPRODUCT(($AH70:$AM70="M")*6+($AH70:$AM70="T")*6+($AH70:$AM70="D")*12+($AH70:$AM70="N")*12+($AH70:$AM70="NT")*6+($AH70:$AM70="C")*10+($AH70:$AM70="A")*8+($AH70:$AM70="J")*5+($AH70:$AM70="E")*4+($AH70:$AM70="P")*6+($AH70:$AM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3">
        <f>IFERROR(INDEX(SET!AJ$8:AJ$73,MATCH($A71,SET!$A$8:$A$73,0))&amp;"","")</f>
        <v/>
      </c>
      <c r="G71" s="123">
        <f>IFERROR(INDEX(SET!AK$8:AK$73,MATCH($A71,SET!$A$8:$A$73,0))&amp;"","")</f>
        <v/>
      </c>
      <c r="H71" s="123">
        <f>IFERROR(INDEX(SET!AL$8:AL$73,MATCH($A71,SET!$A$8:$A$73,0))&amp;"","")</f>
        <v/>
      </c>
      <c r="I71" s="107" t="n"/>
      <c r="J71" s="107" t="n"/>
      <c r="K71" s="107" t="n"/>
      <c r="L71" s="107" t="n"/>
      <c r="M71" s="130" t="inlineStr">
        <is>
          <t>A</t>
        </is>
      </c>
      <c r="N71" s="107" t="n"/>
      <c r="O71" s="130" t="inlineStr">
        <is>
          <t>A</t>
        </is>
      </c>
      <c r="P71" s="107" t="n"/>
      <c r="Q71" s="130" t="inlineStr">
        <is>
          <t>A</t>
        </is>
      </c>
      <c r="R71" s="107" t="n"/>
      <c r="S71" s="107" t="n"/>
      <c r="T71" s="107" t="n"/>
      <c r="U71" s="107" t="n"/>
      <c r="V71" s="130" t="inlineStr">
        <is>
          <t>A</t>
        </is>
      </c>
      <c r="W71" s="107" t="n"/>
      <c r="X71" s="130" t="inlineStr">
        <is>
          <t>A</t>
        </is>
      </c>
      <c r="Y71" s="107" t="n"/>
      <c r="Z71" s="107" t="n"/>
      <c r="AA71" s="130" t="inlineStr">
        <is>
          <t>A</t>
        </is>
      </c>
      <c r="AB71" s="107" t="n"/>
      <c r="AC71" s="130" t="inlineStr">
        <is>
          <t>A</t>
        </is>
      </c>
      <c r="AD71" s="107" t="n"/>
      <c r="AE71" s="130" t="inlineStr">
        <is>
          <t>A</t>
        </is>
      </c>
      <c r="AF71" s="107" t="n"/>
      <c r="AG71" s="107" t="n"/>
      <c r="AH71" s="130" t="inlineStr">
        <is>
          <t>A</t>
        </is>
      </c>
      <c r="AI71" s="107" t="n"/>
      <c r="AJ71" s="130" t="inlineStr">
        <is>
          <t>A</t>
        </is>
      </c>
      <c r="AK71" s="107" t="n"/>
      <c r="AL71" s="130" t="inlineStr">
        <is>
          <t>A</t>
        </is>
      </c>
      <c r="AM71" s="107" t="n"/>
      <c r="AN71" s="109">
        <f>IFERROR(INDEX(NOV!I$8:I$73,MATCH($A71,NOV!$A$8:$A$73,0))&amp;"","")</f>
        <v/>
      </c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SUMPRODUCT(($F71:$L71="M")*6+($F71:$L71="T")*6+($F71:$L71="D")*12+($F71:$L71="N")*12+($F71:$L71="NT")*6+($F71:$L71="C")*10+($F71:$L71="A")*8+($F71:$L71="J")*5+($F71:$L71="E")*4+($F71:$L71="P")*6+($F71:$L71="R")*6)</f>
        <v/>
      </c>
      <c r="BF71" s="110">
        <f>SUMPRODUCT(($M71:$S71="M")*6+($M71:$S71="T")*6+($M71:$S71="D")*12+($M71:$S71="N")*12+($M71:$S71="NT")*6+($M71:$S71="C")*10+($M71:$S71="A")*8+($M71:$S71="J")*5+($M71:$S71="E")*4+($M71:$S71="P")*6+($M71:$S71="R")*6)</f>
        <v/>
      </c>
      <c r="BG71" s="110">
        <f>SUMPRODUCT(($T71:$Z71="M")*6+($T71:$Z71="T")*6+($T71:$Z71="D")*12+($T71:$Z71="N")*12+($T71:$Z71="NT")*6+($T71:$Z71="C")*10+($T71:$Z71="A")*8+($T71:$Z71="J")*5+($T71:$Z71="E")*4+($T71:$Z71="P")*6+($T71:$Z71="R")*6)</f>
        <v/>
      </c>
      <c r="BH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I71" s="110">
        <f>SUMPRODUCT(($AH71:$AM71="M")*6+($AH71:$AM71="T")*6+($AH71:$AM71="D")*12+($AH71:$AM71="N")*12+($AH71:$AM71="NT")*6+($AH71:$AM71="C")*10+($AH71:$AM71="A")*8+($AH71:$AM71="J")*5+($AH71:$AM71="E")*4+($AH71:$AM71="P")*6+($AH71:$AM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3">
        <f>IFERROR(INDEX(SET!AJ$8:AJ$73,MATCH($A72,SET!$A$8:$A$73,0))&amp;"","")</f>
        <v/>
      </c>
      <c r="G72" s="123">
        <f>IFERROR(INDEX(SET!AK$8:AK$73,MATCH($A72,SET!$A$8:$A$73,0))&amp;"","")</f>
        <v/>
      </c>
      <c r="H72" s="123">
        <f>IFERROR(INDEX(SET!AL$8:AL$73,MATCH($A72,SET!$A$8:$A$73,0))&amp;"","")</f>
        <v/>
      </c>
      <c r="I72" s="130" t="inlineStr">
        <is>
          <t>A</t>
        </is>
      </c>
      <c r="J72" s="130" t="inlineStr">
        <is>
          <t>A</t>
        </is>
      </c>
      <c r="K72" s="107" t="n"/>
      <c r="L72" s="107" t="n"/>
      <c r="M72" s="130" t="inlineStr">
        <is>
          <t>A</t>
        </is>
      </c>
      <c r="N72" s="130" t="inlineStr">
        <is>
          <t>A</t>
        </is>
      </c>
      <c r="O72" s="130" t="inlineStr">
        <is>
          <t>A</t>
        </is>
      </c>
      <c r="P72" s="130" t="inlineStr">
        <is>
          <t>A</t>
        </is>
      </c>
      <c r="Q72" s="107" t="n"/>
      <c r="R72" s="107" t="n"/>
      <c r="S72" s="107" t="n"/>
      <c r="T72" s="107" t="n"/>
      <c r="U72" s="130" t="inlineStr">
        <is>
          <t>A</t>
        </is>
      </c>
      <c r="V72" s="130" t="inlineStr">
        <is>
          <t>A</t>
        </is>
      </c>
      <c r="W72" s="130" t="inlineStr">
        <is>
          <t>A</t>
        </is>
      </c>
      <c r="X72" s="130" t="inlineStr">
        <is>
          <t>A</t>
        </is>
      </c>
      <c r="Y72" s="107" t="n"/>
      <c r="Z72" s="107" t="n"/>
      <c r="AA72" s="130" t="inlineStr">
        <is>
          <t>A</t>
        </is>
      </c>
      <c r="AB72" s="130" t="inlineStr">
        <is>
          <t>A</t>
        </is>
      </c>
      <c r="AC72" s="130" t="inlineStr">
        <is>
          <t>A</t>
        </is>
      </c>
      <c r="AD72" s="130" t="inlineStr">
        <is>
          <t>A</t>
        </is>
      </c>
      <c r="AE72" s="107" t="n"/>
      <c r="AF72" s="107" t="n"/>
      <c r="AG72" s="107" t="n"/>
      <c r="AH72" s="130" t="inlineStr">
        <is>
          <t>A</t>
        </is>
      </c>
      <c r="AI72" s="130" t="inlineStr">
        <is>
          <t>A</t>
        </is>
      </c>
      <c r="AJ72" s="130" t="inlineStr">
        <is>
          <t>A</t>
        </is>
      </c>
      <c r="AK72" s="130" t="inlineStr">
        <is>
          <t>A</t>
        </is>
      </c>
      <c r="AL72" s="107" t="n"/>
      <c r="AM72" s="107" t="n"/>
      <c r="AN72" s="109">
        <f>IFERROR(INDEX(NOV!I$8:I$73,MATCH($A72,NOV!$A$8:$A$73,0))&amp;"","")</f>
        <v/>
      </c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SUMPRODUCT(($F72:$L72="M")*6+($F72:$L72="T")*6+($F72:$L72="D")*12+($F72:$L72="N")*12+($F72:$L72="NT")*6+($F72:$L72="C")*10+($F72:$L72="A")*8+($F72:$L72="J")*5+($F72:$L72="E")*4+($F72:$L72="P")*6+($F72:$L72="R")*6)</f>
        <v/>
      </c>
      <c r="BF72" s="110">
        <f>SUMPRODUCT(($M72:$S72="M")*6+($M72:$S72="T")*6+($M72:$S72="D")*12+($M72:$S72="N")*12+($M72:$S72="NT")*6+($M72:$S72="C")*10+($M72:$S72="A")*8+($M72:$S72="J")*5+($M72:$S72="E")*4+($M72:$S72="P")*6+($M72:$S72="R")*6)</f>
        <v/>
      </c>
      <c r="BG72" s="110">
        <f>SUMPRODUCT(($T72:$Z72="M")*6+($T72:$Z72="T")*6+($T72:$Z72="D")*12+($T72:$Z72="N")*12+($T72:$Z72="NT")*6+($T72:$Z72="C")*10+($T72:$Z72="A")*8+($T72:$Z72="J")*5+($T72:$Z72="E")*4+($T72:$Z72="P")*6+($T72:$Z72="R")*6)</f>
        <v/>
      </c>
      <c r="BH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I72" s="110">
        <f>SUMPRODUCT(($AH72:$AM72="M")*6+($AH72:$AM72="T")*6+($AH72:$AM72="D")*12+($AH72:$AM72="N")*12+($AH72:$AM72="NT")*6+($AH72:$AM72="C")*10+($AH72:$AM72="A")*8+($AH72:$AM72="J")*5+($AH72:$AM72="E")*4+($AH72:$AM72="P")*6+($AH72:$AM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3">
        <f>IFERROR(INDEX(SET!AJ$8:AJ$73,MATCH($A73,SET!$A$8:$A$73,0))&amp;"","")</f>
        <v/>
      </c>
      <c r="G73" s="123">
        <f>IFERROR(INDEX(SET!AK$8:AK$73,MATCH($A73,SET!$A$8:$A$73,0))&amp;"","")</f>
        <v/>
      </c>
      <c r="H73" s="123">
        <f>IFERROR(INDEX(SET!AL$8:AL$73,MATCH($A73,SET!$A$8:$A$73,0))&amp;"","")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109">
        <f>IFERROR(INDEX(NOV!I$8:I$73,MATCH($A73,NOV!$A$8:$A$73,0))&amp;"","")</f>
        <v/>
      </c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SUMPRODUCT(($F73:$L73="M")*6+($F73:$L73="T")*6+($F73:$L73="D")*12+($F73:$L73="N")*12+($F73:$L73="NT")*6+($F73:$L73="C")*10+($F73:$L73="A")*8+($F73:$L73="J")*5+($F73:$L73="E")*4+($F73:$L73="P")*6+($F73:$L73="R")*6)</f>
        <v/>
      </c>
      <c r="BF73" s="110">
        <f>SUMPRODUCT(($M73:$S73="M")*6+($M73:$S73="T")*6+($M73:$S73="D")*12+($M73:$S73="N")*12+($M73:$S73="NT")*6+($M73:$S73="C")*10+($M73:$S73="A")*8+($M73:$S73="J")*5+($M73:$S73="E")*4+($M73:$S73="P")*6+($M73:$S73="R")*6)</f>
        <v/>
      </c>
      <c r="BG73" s="110">
        <f>SUMPRODUCT(($T73:$Z73="M")*6+($T73:$Z73="T")*6+($T73:$Z73="D")*12+($T73:$Z73="N")*12+($T73:$Z73="NT")*6+($T73:$Z73="C")*10+($T73:$Z73="A")*8+($T73:$Z73="J")*5+($T73:$Z73="E")*4+($T73:$Z73="P")*6+($T73:$Z73="R")*6)</f>
        <v/>
      </c>
      <c r="BH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I73" s="110">
        <f>SUMPRODUCT(($AH73:$AM73="M")*6+($AH73:$AM73="T")*6+($AH73:$AM73="D")*12+($AH73:$AM73="N")*12+($AH73:$AM73="NT")*6+($AH73:$AM73="C")*10+($AH73:$AM73="A")*8+($AH73:$AM73="J")*5+($AH73:$AM73="E")*4+($AH73:$AM73="P")*6+($AH73:$AM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122">
        <f>MAX(0,CONFIG!$B$9-F75)</f>
        <v/>
      </c>
      <c r="G78" s="122">
        <f>MAX(0,CONFIG!$B$9-G75)</f>
        <v/>
      </c>
      <c r="H78" s="122">
        <f>MAX(0,CONFIG!$B$9-H75)</f>
        <v/>
      </c>
      <c r="I78" s="122">
        <f>MAX(0,CONFIG!$B$4-I75)</f>
        <v/>
      </c>
      <c r="J78" s="122">
        <f>MAX(0,CONFIG!$B$4-J75)</f>
        <v/>
      </c>
      <c r="K78" s="122">
        <f>MAX(0,CONFIG!$B$5-K75)</f>
        <v/>
      </c>
      <c r="L78" s="122">
        <f>MAX(0,CONFIG!$B$6-L75)</f>
        <v/>
      </c>
      <c r="M78" s="122">
        <f>MAX(0,CONFIG!$B$4-M75)</f>
        <v/>
      </c>
      <c r="N78" s="122">
        <f>MAX(0,CONFIG!$B$4-N75)</f>
        <v/>
      </c>
      <c r="O78" s="122">
        <f>MAX(0,CONFIG!$B$4-O75)</f>
        <v/>
      </c>
      <c r="P78" s="122">
        <f>MAX(0,CONFIG!$B$4-P75)</f>
        <v/>
      </c>
      <c r="Q78" s="122">
        <f>MAX(0,CONFIG!$B$4-Q75)</f>
        <v/>
      </c>
      <c r="R78" s="122">
        <f>MAX(0,CONFIG!$B$5-R75)</f>
        <v/>
      </c>
      <c r="S78" s="122">
        <f>MAX(0,CONFIG!$B$6-S75)</f>
        <v/>
      </c>
      <c r="T78" s="122">
        <f>MAX(0,CONFIG!$B$4-T75)</f>
        <v/>
      </c>
      <c r="U78" s="122">
        <f>MAX(0,CONFIG!$B$4-U75)</f>
        <v/>
      </c>
      <c r="V78" s="122">
        <f>MAX(0,CONFIG!$B$4-V75)</f>
        <v/>
      </c>
      <c r="W78" s="122">
        <f>MAX(0,CONFIG!$B$4-W75)</f>
        <v/>
      </c>
      <c r="X78" s="122">
        <f>MAX(0,CONFIG!$B$4-X75)</f>
        <v/>
      </c>
      <c r="Y78" s="122">
        <f>MAX(0,CONFIG!$B$5-Y75)</f>
        <v/>
      </c>
      <c r="Z78" s="122">
        <f>MAX(0,CONFIG!$B$6-Z75)</f>
        <v/>
      </c>
      <c r="AA78" s="122">
        <f>MAX(0,CONFIG!$B$4-AA75)</f>
        <v/>
      </c>
      <c r="AB78" s="122">
        <f>MAX(0,CONFIG!$B$4-AB75)</f>
        <v/>
      </c>
      <c r="AC78" s="122">
        <f>MAX(0,CONFIG!$B$4-AC75)</f>
        <v/>
      </c>
      <c r="AD78" s="122">
        <f>MAX(0,CONFIG!$B$4-AD75)</f>
        <v/>
      </c>
      <c r="AE78" s="122">
        <f>MAX(0,CONFIG!$B$4-AE75)</f>
        <v/>
      </c>
      <c r="AF78" s="122">
        <f>MAX(0,CONFIG!$B$5-AF75)</f>
        <v/>
      </c>
      <c r="AG78" s="122">
        <f>MAX(0,CONFIG!$B$6-AG75)</f>
        <v/>
      </c>
      <c r="AH78" s="122">
        <f>MAX(0,CONFIG!$B$4-AH75)</f>
        <v/>
      </c>
      <c r="AI78" s="122">
        <f>MAX(0,CONFIG!$B$4-AI75)</f>
        <v/>
      </c>
      <c r="AJ78" s="122">
        <f>MAX(0,CONFIG!$B$4-AJ75)</f>
        <v/>
      </c>
      <c r="AK78" s="122">
        <f>MAX(0,CONFIG!$B$4-AK75)</f>
        <v/>
      </c>
      <c r="AL78" s="122">
        <f>MAX(0,CONFIG!$B$4-AL75)</f>
        <v/>
      </c>
      <c r="AM78" s="122">
        <f>MAX(0,CONFIG!$B$5-AM75)</f>
        <v/>
      </c>
      <c r="AN78" s="122">
        <f>MAX(0,CONFIG!$B$6-AN75)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122">
        <f>MAX(0,CONFIG!$C$9-F76)</f>
        <v/>
      </c>
      <c r="G79" s="122">
        <f>MAX(0,CONFIG!$C$9-G76)</f>
        <v/>
      </c>
      <c r="H79" s="122">
        <f>MAX(0,CONFIG!$C$9-H76)</f>
        <v/>
      </c>
      <c r="I79" s="122">
        <f>MAX(0,CONFIG!$C$4-I76)</f>
        <v/>
      </c>
      <c r="J79" s="122">
        <f>MAX(0,CONFIG!$C$4-J76)</f>
        <v/>
      </c>
      <c r="K79" s="122">
        <f>MAX(0,CONFIG!$C$5-K76)</f>
        <v/>
      </c>
      <c r="L79" s="122">
        <f>MAX(0,CONFIG!$C$6-L76)</f>
        <v/>
      </c>
      <c r="M79" s="122">
        <f>MAX(0,CONFIG!$C$4-M76)</f>
        <v/>
      </c>
      <c r="N79" s="122">
        <f>MAX(0,CONFIG!$C$4-N76)</f>
        <v/>
      </c>
      <c r="O79" s="122">
        <f>MAX(0,CONFIG!$C$4-O76)</f>
        <v/>
      </c>
      <c r="P79" s="122">
        <f>MAX(0,CONFIG!$C$4-P76)</f>
        <v/>
      </c>
      <c r="Q79" s="122">
        <f>MAX(0,CONFIG!$C$4-Q76)</f>
        <v/>
      </c>
      <c r="R79" s="122">
        <f>MAX(0,CONFIG!$C$5-R76)</f>
        <v/>
      </c>
      <c r="S79" s="122">
        <f>MAX(0,CONFIG!$C$6-S76)</f>
        <v/>
      </c>
      <c r="T79" s="122">
        <f>MAX(0,CONFIG!$C$4-T76)</f>
        <v/>
      </c>
      <c r="U79" s="122">
        <f>MAX(0,CONFIG!$C$4-U76)</f>
        <v/>
      </c>
      <c r="V79" s="122">
        <f>MAX(0,CONFIG!$C$4-V76)</f>
        <v/>
      </c>
      <c r="W79" s="122">
        <f>MAX(0,CONFIG!$C$4-W76)</f>
        <v/>
      </c>
      <c r="X79" s="122">
        <f>MAX(0,CONFIG!$C$4-X76)</f>
        <v/>
      </c>
      <c r="Y79" s="122">
        <f>MAX(0,CONFIG!$C$5-Y76)</f>
        <v/>
      </c>
      <c r="Z79" s="122">
        <f>MAX(0,CONFIG!$C$6-Z76)</f>
        <v/>
      </c>
      <c r="AA79" s="122">
        <f>MAX(0,CONFIG!$C$4-AA76)</f>
        <v/>
      </c>
      <c r="AB79" s="122">
        <f>MAX(0,CONFIG!$C$4-AB76)</f>
        <v/>
      </c>
      <c r="AC79" s="122">
        <f>MAX(0,CONFIG!$C$4-AC76)</f>
        <v/>
      </c>
      <c r="AD79" s="122">
        <f>MAX(0,CONFIG!$C$4-AD76)</f>
        <v/>
      </c>
      <c r="AE79" s="122">
        <f>MAX(0,CONFIG!$C$4-AE76)</f>
        <v/>
      </c>
      <c r="AF79" s="122">
        <f>MAX(0,CONFIG!$C$5-AF76)</f>
        <v/>
      </c>
      <c r="AG79" s="122">
        <f>MAX(0,CONFIG!$C$6-AG76)</f>
        <v/>
      </c>
      <c r="AH79" s="122">
        <f>MAX(0,CONFIG!$C$4-AH76)</f>
        <v/>
      </c>
      <c r="AI79" s="122">
        <f>MAX(0,CONFIG!$C$4-AI76)</f>
        <v/>
      </c>
      <c r="AJ79" s="122">
        <f>MAX(0,CONFIG!$C$4-AJ76)</f>
        <v/>
      </c>
      <c r="AK79" s="122">
        <f>MAX(0,CONFIG!$C$4-AK76)</f>
        <v/>
      </c>
      <c r="AL79" s="122">
        <f>MAX(0,CONFIG!$C$4-AL76)</f>
        <v/>
      </c>
      <c r="AM79" s="122">
        <f>MAX(0,CONFIG!$C$5-AM76)</f>
        <v/>
      </c>
      <c r="AN79" s="122">
        <f>MAX(0,CONFIG!$C$6-AN76)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122">
        <f>MAX(0,CONFIG!$D$9-F77)</f>
        <v/>
      </c>
      <c r="G80" s="122">
        <f>MAX(0,CONFIG!$D$9-G77)</f>
        <v/>
      </c>
      <c r="H80" s="122">
        <f>MAX(0,CONFIG!$D$9-H77)</f>
        <v/>
      </c>
      <c r="I80" s="122">
        <f>MAX(0,CONFIG!$D$4-I77)</f>
        <v/>
      </c>
      <c r="J80" s="122">
        <f>MAX(0,CONFIG!$D$4-J77)</f>
        <v/>
      </c>
      <c r="K80" s="122">
        <f>MAX(0,CONFIG!$D$5-K77)</f>
        <v/>
      </c>
      <c r="L80" s="122">
        <f>MAX(0,CONFIG!$D$6-L77)</f>
        <v/>
      </c>
      <c r="M80" s="122">
        <f>MAX(0,CONFIG!$D$4-M77)</f>
        <v/>
      </c>
      <c r="N80" s="122">
        <f>MAX(0,CONFIG!$D$4-N77)</f>
        <v/>
      </c>
      <c r="O80" s="122">
        <f>MAX(0,CONFIG!$D$4-O77)</f>
        <v/>
      </c>
      <c r="P80" s="122">
        <f>MAX(0,CONFIG!$D$4-P77)</f>
        <v/>
      </c>
      <c r="Q80" s="122">
        <f>MAX(0,CONFIG!$D$4-Q77)</f>
        <v/>
      </c>
      <c r="R80" s="122">
        <f>MAX(0,CONFIG!$D$5-R77)</f>
        <v/>
      </c>
      <c r="S80" s="122">
        <f>MAX(0,CONFIG!$D$6-S77)</f>
        <v/>
      </c>
      <c r="T80" s="122">
        <f>MAX(0,CONFIG!$D$4-T77)</f>
        <v/>
      </c>
      <c r="U80" s="122">
        <f>MAX(0,CONFIG!$D$4-U77)</f>
        <v/>
      </c>
      <c r="V80" s="122">
        <f>MAX(0,CONFIG!$D$4-V77)</f>
        <v/>
      </c>
      <c r="W80" s="122">
        <f>MAX(0,CONFIG!$D$4-W77)</f>
        <v/>
      </c>
      <c r="X80" s="122">
        <f>MAX(0,CONFIG!$D$4-X77)</f>
        <v/>
      </c>
      <c r="Y80" s="122">
        <f>MAX(0,CONFIG!$D$5-Y77)</f>
        <v/>
      </c>
      <c r="Z80" s="122">
        <f>MAX(0,CONFIG!$D$6-Z77)</f>
        <v/>
      </c>
      <c r="AA80" s="122">
        <f>MAX(0,CONFIG!$D$4-AA77)</f>
        <v/>
      </c>
      <c r="AB80" s="122">
        <f>MAX(0,CONFIG!$D$4-AB77)</f>
        <v/>
      </c>
      <c r="AC80" s="122">
        <f>MAX(0,CONFIG!$D$4-AC77)</f>
        <v/>
      </c>
      <c r="AD80" s="122">
        <f>MAX(0,CONFIG!$D$4-AD77)</f>
        <v/>
      </c>
      <c r="AE80" s="122">
        <f>MAX(0,CONFIG!$D$4-AE77)</f>
        <v/>
      </c>
      <c r="AF80" s="122">
        <f>MAX(0,CONFIG!$D$5-AF77)</f>
        <v/>
      </c>
      <c r="AG80" s="122">
        <f>MAX(0,CONFIG!$D$6-AG77)</f>
        <v/>
      </c>
      <c r="AH80" s="122">
        <f>MAX(0,CONFIG!$D$4-AH77)</f>
        <v/>
      </c>
      <c r="AI80" s="122">
        <f>MAX(0,CONFIG!$D$4-AI77)</f>
        <v/>
      </c>
      <c r="AJ80" s="122">
        <f>MAX(0,CONFIG!$D$4-AJ77)</f>
        <v/>
      </c>
      <c r="AK80" s="122">
        <f>MAX(0,CONFIG!$D$4-AK77)</f>
        <v/>
      </c>
      <c r="AL80" s="122">
        <f>MAX(0,CONFIG!$D$4-AL77)</f>
        <v/>
      </c>
      <c r="AM80" s="122">
        <f>MAX(0,CONFIG!$D$5-AM77)</f>
        <v/>
      </c>
      <c r="AN80" s="122">
        <f>MAX(0,CONFIG!$D$6-AN77)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G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3" customWidth="1" min="6" max="6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131" t="inlineStr">
        <is>
          <t>Dia</t>
        </is>
      </c>
      <c r="B3" s="131" t="inlineStr"/>
      <c r="C3" s="131" t="inlineStr">
        <is>
          <t>Manhã</t>
        </is>
      </c>
      <c r="D3" s="131" t="inlineStr">
        <is>
          <t>Tarde</t>
        </is>
      </c>
      <c r="E3" s="131" t="inlineStr">
        <is>
          <t>Noite</t>
        </is>
      </c>
      <c r="F3" s="131" t="inlineStr">
        <is>
          <t>Cobertura</t>
        </is>
      </c>
      <c r="G3" s="39" t="n"/>
    </row>
    <row r="4" ht="150" customHeight="1">
      <c r="A4" s="132" t="n">
        <v>1</v>
      </c>
      <c r="B4" s="133" t="inlineStr">
        <is>
          <t>qui</t>
        </is>
      </c>
      <c r="C4" s="134">
        <f>IFERROR(TEXTJOIN(CHAR(10),TRUE,FILTER(OUT!$A$8:$A$73,((OUT!I$8:I$73="M")+(OUT!I$8:I$73="D")+(OUT!I$8:I$73="C")+(OUT!I$8:I$73="J"))&gt;0)),"—")</f>
        <v/>
      </c>
      <c r="D4" s="134">
        <f>IFERROR(TEXTJOIN(CHAR(10),TRUE,FILTER(OUT!$A$8:$A$73,((OUT!I$8:I$73="T")+(OUT!I$8:I$73="D")+(OUT!I$8:I$73="C"))&gt;0)),"—")</f>
        <v/>
      </c>
      <c r="E4" s="134">
        <f>IFERROR(TEXTJOIN(CHAR(10),TRUE,FILTER(OUT!$A$8:$A$73,((OUT!I$8:I$73="N")+(OUT!I$8:I$73="NT"))&gt;0)),"—")</f>
        <v/>
      </c>
      <c r="F4" s="135">
        <f>"M"&amp;OUT!I$75&amp;" T"&amp;OUT!I$76&amp;" N"&amp;OUT!I$77&amp;IF(OUT!I$78+OUT!I$79+OUT!I$80=0," ✓"," ⚠ falta "&amp;(OUT!I$78+OUT!I$79+OUT!I$80))</f>
        <v/>
      </c>
      <c r="G4" s="39" t="n"/>
    </row>
    <row r="5" ht="150" customHeight="1">
      <c r="A5" s="132" t="n">
        <v>2</v>
      </c>
      <c r="B5" s="133" t="inlineStr">
        <is>
          <t>sex</t>
        </is>
      </c>
      <c r="C5" s="134">
        <f>IFERROR(TEXTJOIN(CHAR(10),TRUE,FILTER(OUT!$A$8:$A$73,((OUT!J$8:J$73="M")+(OUT!J$8:J$73="D")+(OUT!J$8:J$73="C")+(OUT!J$8:J$73="J"))&gt;0)),"—")</f>
        <v/>
      </c>
      <c r="D5" s="134">
        <f>IFERROR(TEXTJOIN(CHAR(10),TRUE,FILTER(OUT!$A$8:$A$73,((OUT!J$8:J$73="T")+(OUT!J$8:J$73="D")+(OUT!J$8:J$73="C"))&gt;0)),"—")</f>
        <v/>
      </c>
      <c r="E5" s="134">
        <f>IFERROR(TEXTJOIN(CHAR(10),TRUE,FILTER(OUT!$A$8:$A$73,((OUT!J$8:J$73="N")+(OUT!J$8:J$73="NT"))&gt;0)),"—")</f>
        <v/>
      </c>
      <c r="F5" s="135">
        <f>"M"&amp;OUT!J$75&amp;" T"&amp;OUT!J$76&amp;" N"&amp;OUT!J$77&amp;IF(OUT!J$78+OUT!J$79+OUT!J$80=0," ✓"," ⚠ falta "&amp;(OUT!J$78+OUT!J$79+OUT!J$80))</f>
        <v/>
      </c>
      <c r="G5" s="39" t="n"/>
    </row>
    <row r="6" ht="150" customHeight="1">
      <c r="A6" s="136" t="n">
        <v>3</v>
      </c>
      <c r="B6" s="137" t="inlineStr">
        <is>
          <t>sáb</t>
        </is>
      </c>
      <c r="C6" s="138">
        <f>IFERROR(TEXTJOIN(CHAR(10),TRUE,FILTER(OUT!$A$8:$A$73,((OUT!K$8:K$73="M")+(OUT!K$8:K$73="D")+(OUT!K$8:K$73="C")+(OUT!K$8:K$73="J"))&gt;0)),"—")</f>
        <v/>
      </c>
      <c r="D6" s="138">
        <f>IFERROR(TEXTJOIN(CHAR(10),TRUE,FILTER(OUT!$A$8:$A$73,((OUT!K$8:K$73="T")+(OUT!K$8:K$73="D")+(OUT!K$8:K$73="C"))&gt;0)),"—")</f>
        <v/>
      </c>
      <c r="E6" s="138">
        <f>IFERROR(TEXTJOIN(CHAR(10),TRUE,FILTER(OUT!$A$8:$A$73,((OUT!K$8:K$73="N")+(OUT!K$8:K$73="NT"))&gt;0)),"—")</f>
        <v/>
      </c>
      <c r="F6" s="135">
        <f>"M"&amp;OUT!K$75&amp;" T"&amp;OUT!K$76&amp;" N"&amp;OUT!K$77&amp;IF(OUT!K$78+OUT!K$79+OUT!K$80=0," ✓"," ⚠ falta "&amp;(OUT!K$78+OUT!K$79+OUT!K$80))</f>
        <v/>
      </c>
      <c r="G6" s="39" t="n"/>
    </row>
    <row r="7" ht="150" customHeight="1">
      <c r="A7" s="136" t="n">
        <v>4</v>
      </c>
      <c r="B7" s="137" t="inlineStr">
        <is>
          <t>dom</t>
        </is>
      </c>
      <c r="C7" s="138">
        <f>IFERROR(TEXTJOIN(CHAR(10),TRUE,FILTER(OUT!$A$8:$A$73,((OUT!L$8:L$73="M")+(OUT!L$8:L$73="D")+(OUT!L$8:L$73="C")+(OUT!L$8:L$73="J"))&gt;0)),"—")</f>
        <v/>
      </c>
      <c r="D7" s="138">
        <f>IFERROR(TEXTJOIN(CHAR(10),TRUE,FILTER(OUT!$A$8:$A$73,((OUT!L$8:L$73="T")+(OUT!L$8:L$73="D")+(OUT!L$8:L$73="C"))&gt;0)),"—")</f>
        <v/>
      </c>
      <c r="E7" s="138">
        <f>IFERROR(TEXTJOIN(CHAR(10),TRUE,FILTER(OUT!$A$8:$A$73,((OUT!L$8:L$73="N")+(OUT!L$8:L$73="NT"))&gt;0)),"—")</f>
        <v/>
      </c>
      <c r="F7" s="135">
        <f>"M"&amp;OUT!L$75&amp;" T"&amp;OUT!L$76&amp;" N"&amp;OUT!L$77&amp;IF(OUT!L$78+OUT!L$79+OUT!L$80=0," ✓"," ⚠ falta "&amp;(OUT!L$78+OUT!L$79+OUT!L$80))</f>
        <v/>
      </c>
      <c r="G7" s="39" t="n"/>
    </row>
    <row r="8" ht="150" customHeight="1">
      <c r="A8" s="132" t="n">
        <v>5</v>
      </c>
      <c r="B8" s="133" t="inlineStr">
        <is>
          <t>seg</t>
        </is>
      </c>
      <c r="C8" s="134">
        <f>IFERROR(TEXTJOIN(CHAR(10),TRUE,FILTER(OUT!$A$8:$A$73,((OUT!M$8:M$73="M")+(OUT!M$8:M$73="D")+(OUT!M$8:M$73="C")+(OUT!M$8:M$73="J"))&gt;0)),"—")</f>
        <v/>
      </c>
      <c r="D8" s="134">
        <f>IFERROR(TEXTJOIN(CHAR(10),TRUE,FILTER(OUT!$A$8:$A$73,((OUT!M$8:M$73="T")+(OUT!M$8:M$73="D")+(OUT!M$8:M$73="C"))&gt;0)),"—")</f>
        <v/>
      </c>
      <c r="E8" s="134">
        <f>IFERROR(TEXTJOIN(CHAR(10),TRUE,FILTER(OUT!$A$8:$A$73,((OUT!M$8:M$73="N")+(OUT!M$8:M$73="NT"))&gt;0)),"—")</f>
        <v/>
      </c>
      <c r="F8" s="135">
        <f>"M"&amp;OUT!M$75&amp;" T"&amp;OUT!M$76&amp;" N"&amp;OUT!M$77&amp;IF(OUT!M$78+OUT!M$79+OUT!M$80=0," ✓"," ⚠ falta "&amp;(OUT!M$78+OUT!M$79+OUT!M$80))</f>
        <v/>
      </c>
      <c r="G8" s="39" t="n"/>
    </row>
    <row r="9" ht="150" customHeight="1">
      <c r="A9" s="132" t="n">
        <v>6</v>
      </c>
      <c r="B9" s="133" t="inlineStr">
        <is>
          <t>ter</t>
        </is>
      </c>
      <c r="C9" s="134">
        <f>IFERROR(TEXTJOIN(CHAR(10),TRUE,FILTER(OUT!$A$8:$A$73,((OUT!N$8:N$73="M")+(OUT!N$8:N$73="D")+(OUT!N$8:N$73="C")+(OUT!N$8:N$73="J"))&gt;0)),"—")</f>
        <v/>
      </c>
      <c r="D9" s="134">
        <f>IFERROR(TEXTJOIN(CHAR(10),TRUE,FILTER(OUT!$A$8:$A$73,((OUT!N$8:N$73="T")+(OUT!N$8:N$73="D")+(OUT!N$8:N$73="C"))&gt;0)),"—")</f>
        <v/>
      </c>
      <c r="E9" s="134">
        <f>IFERROR(TEXTJOIN(CHAR(10),TRUE,FILTER(OUT!$A$8:$A$73,((OUT!N$8:N$73="N")+(OUT!N$8:N$73="NT"))&gt;0)),"—")</f>
        <v/>
      </c>
      <c r="F9" s="135">
        <f>"M"&amp;OUT!N$75&amp;" T"&amp;OUT!N$76&amp;" N"&amp;OUT!N$77&amp;IF(OUT!N$78+OUT!N$79+OUT!N$80=0," ✓"," ⚠ falta "&amp;(OUT!N$78+OUT!N$79+OUT!N$80))</f>
        <v/>
      </c>
      <c r="G9" s="39" t="n"/>
    </row>
    <row r="10" ht="150" customHeight="1">
      <c r="A10" s="132" t="n">
        <v>7</v>
      </c>
      <c r="B10" s="133" t="inlineStr">
        <is>
          <t>qua</t>
        </is>
      </c>
      <c r="C10" s="134">
        <f>IFERROR(TEXTJOIN(CHAR(10),TRUE,FILTER(OUT!$A$8:$A$73,((OUT!O$8:O$73="M")+(OUT!O$8:O$73="D")+(OUT!O$8:O$73="C")+(OUT!O$8:O$73="J"))&gt;0)),"—")</f>
        <v/>
      </c>
      <c r="D10" s="134">
        <f>IFERROR(TEXTJOIN(CHAR(10),TRUE,FILTER(OUT!$A$8:$A$73,((OUT!O$8:O$73="T")+(OUT!O$8:O$73="D")+(OUT!O$8:O$73="C"))&gt;0)),"—")</f>
        <v/>
      </c>
      <c r="E10" s="134">
        <f>IFERROR(TEXTJOIN(CHAR(10),TRUE,FILTER(OUT!$A$8:$A$73,((OUT!O$8:O$73="N")+(OUT!O$8:O$73="NT"))&gt;0)),"—")</f>
        <v/>
      </c>
      <c r="F10" s="135">
        <f>"M"&amp;OUT!O$75&amp;" T"&amp;OUT!O$76&amp;" N"&amp;OUT!O$77&amp;IF(OUT!O$78+OUT!O$79+OUT!O$80=0," ✓"," ⚠ falta "&amp;(OUT!O$78+OUT!O$79+OUT!O$80))</f>
        <v/>
      </c>
      <c r="G10" s="39" t="n"/>
    </row>
    <row r="11" ht="150" customHeight="1">
      <c r="A11" s="132" t="n">
        <v>8</v>
      </c>
      <c r="B11" s="133" t="inlineStr">
        <is>
          <t>qui</t>
        </is>
      </c>
      <c r="C11" s="134">
        <f>IFERROR(TEXTJOIN(CHAR(10),TRUE,FILTER(OUT!$A$8:$A$73,((OUT!P$8:P$73="M")+(OUT!P$8:P$73="D")+(OUT!P$8:P$73="C")+(OUT!P$8:P$73="J"))&gt;0)),"—")</f>
        <v/>
      </c>
      <c r="D11" s="134">
        <f>IFERROR(TEXTJOIN(CHAR(10),TRUE,FILTER(OUT!$A$8:$A$73,((OUT!P$8:P$73="T")+(OUT!P$8:P$73="D")+(OUT!P$8:P$73="C"))&gt;0)),"—")</f>
        <v/>
      </c>
      <c r="E11" s="134">
        <f>IFERROR(TEXTJOIN(CHAR(10),TRUE,FILTER(OUT!$A$8:$A$73,((OUT!P$8:P$73="N")+(OUT!P$8:P$73="NT"))&gt;0)),"—")</f>
        <v/>
      </c>
      <c r="F11" s="135">
        <f>"M"&amp;OUT!P$75&amp;" T"&amp;OUT!P$76&amp;" N"&amp;OUT!P$77&amp;IF(OUT!P$78+OUT!P$79+OUT!P$80=0," ✓"," ⚠ falta "&amp;(OUT!P$78+OUT!P$79+OUT!P$80))</f>
        <v/>
      </c>
      <c r="G11" s="39" t="n"/>
    </row>
    <row r="12" ht="150" customHeight="1">
      <c r="A12" s="132" t="n">
        <v>9</v>
      </c>
      <c r="B12" s="133" t="inlineStr">
        <is>
          <t>sex</t>
        </is>
      </c>
      <c r="C12" s="134">
        <f>IFERROR(TEXTJOIN(CHAR(10),TRUE,FILTER(OUT!$A$8:$A$73,((OUT!Q$8:Q$73="M")+(OUT!Q$8:Q$73="D")+(OUT!Q$8:Q$73="C")+(OUT!Q$8:Q$73="J"))&gt;0)),"—")</f>
        <v/>
      </c>
      <c r="D12" s="134">
        <f>IFERROR(TEXTJOIN(CHAR(10),TRUE,FILTER(OUT!$A$8:$A$73,((OUT!Q$8:Q$73="T")+(OUT!Q$8:Q$73="D")+(OUT!Q$8:Q$73="C"))&gt;0)),"—")</f>
        <v/>
      </c>
      <c r="E12" s="134">
        <f>IFERROR(TEXTJOIN(CHAR(10),TRUE,FILTER(OUT!$A$8:$A$73,((OUT!Q$8:Q$73="N")+(OUT!Q$8:Q$73="NT"))&gt;0)),"—")</f>
        <v/>
      </c>
      <c r="F12" s="135">
        <f>"M"&amp;OUT!Q$75&amp;" T"&amp;OUT!Q$76&amp;" N"&amp;OUT!Q$77&amp;IF(OUT!Q$78+OUT!Q$79+OUT!Q$80=0," ✓"," ⚠ falta "&amp;(OUT!Q$78+OUT!Q$79+OUT!Q$80))</f>
        <v/>
      </c>
      <c r="G12" s="39" t="n"/>
    </row>
    <row r="13" ht="150" customHeight="1">
      <c r="A13" s="136" t="n">
        <v>10</v>
      </c>
      <c r="B13" s="137" t="inlineStr">
        <is>
          <t>sáb</t>
        </is>
      </c>
      <c r="C13" s="138">
        <f>IFERROR(TEXTJOIN(CHAR(10),TRUE,FILTER(OUT!$A$8:$A$73,((OUT!R$8:R$73="M")+(OUT!R$8:R$73="D")+(OUT!R$8:R$73="C")+(OUT!R$8:R$73="J"))&gt;0)),"—")</f>
        <v/>
      </c>
      <c r="D13" s="138">
        <f>IFERROR(TEXTJOIN(CHAR(10),TRUE,FILTER(OUT!$A$8:$A$73,((OUT!R$8:R$73="T")+(OUT!R$8:R$73="D")+(OUT!R$8:R$73="C"))&gt;0)),"—")</f>
        <v/>
      </c>
      <c r="E13" s="138">
        <f>IFERROR(TEXTJOIN(CHAR(10),TRUE,FILTER(OUT!$A$8:$A$73,((OUT!R$8:R$73="N")+(OUT!R$8:R$73="NT"))&gt;0)),"—")</f>
        <v/>
      </c>
      <c r="F13" s="135">
        <f>"M"&amp;OUT!R$75&amp;" T"&amp;OUT!R$76&amp;" N"&amp;OUT!R$77&amp;IF(OUT!R$78+OUT!R$79+OUT!R$80=0," ✓"," ⚠ falta "&amp;(OUT!R$78+OUT!R$79+OUT!R$80))</f>
        <v/>
      </c>
      <c r="G13" s="39" t="n"/>
    </row>
    <row r="14" ht="150" customHeight="1">
      <c r="A14" s="136" t="n">
        <v>11</v>
      </c>
      <c r="B14" s="137" t="inlineStr">
        <is>
          <t>dom</t>
        </is>
      </c>
      <c r="C14" s="138">
        <f>IFERROR(TEXTJOIN(CHAR(10),TRUE,FILTER(OUT!$A$8:$A$73,((OUT!S$8:S$73="M")+(OUT!S$8:S$73="D")+(OUT!S$8:S$73="C")+(OUT!S$8:S$73="J"))&gt;0)),"—")</f>
        <v/>
      </c>
      <c r="D14" s="138">
        <f>IFERROR(TEXTJOIN(CHAR(10),TRUE,FILTER(OUT!$A$8:$A$73,((OUT!S$8:S$73="T")+(OUT!S$8:S$73="D")+(OUT!S$8:S$73="C"))&gt;0)),"—")</f>
        <v/>
      </c>
      <c r="E14" s="138">
        <f>IFERROR(TEXTJOIN(CHAR(10),TRUE,FILTER(OUT!$A$8:$A$73,((OUT!S$8:S$73="N")+(OUT!S$8:S$73="NT"))&gt;0)),"—")</f>
        <v/>
      </c>
      <c r="F14" s="135">
        <f>"M"&amp;OUT!S$75&amp;" T"&amp;OUT!S$76&amp;" N"&amp;OUT!S$77&amp;IF(OUT!S$78+OUT!S$79+OUT!S$80=0," ✓"," ⚠ falta "&amp;(OUT!S$78+OUT!S$79+OUT!S$80))</f>
        <v/>
      </c>
      <c r="G14" s="39" t="n"/>
    </row>
    <row r="15" ht="150" customHeight="1">
      <c r="A15" s="139" t="n">
        <v>12</v>
      </c>
      <c r="B15" s="140" t="inlineStr">
        <is>
          <t>N.Sra</t>
        </is>
      </c>
      <c r="C15" s="138">
        <f>IFERROR(TEXTJOIN(CHAR(10),TRUE,FILTER(OUT!$A$8:$A$73,((OUT!T$8:T$73="M")+(OUT!T$8:T$73="D")+(OUT!T$8:T$73="C")+(OUT!T$8:T$73="J"))&gt;0)),"—")</f>
        <v/>
      </c>
      <c r="D15" s="138">
        <f>IFERROR(TEXTJOIN(CHAR(10),TRUE,FILTER(OUT!$A$8:$A$73,((OUT!T$8:T$73="T")+(OUT!T$8:T$73="D")+(OUT!T$8:T$73="C"))&gt;0)),"—")</f>
        <v/>
      </c>
      <c r="E15" s="138">
        <f>IFERROR(TEXTJOIN(CHAR(10),TRUE,FILTER(OUT!$A$8:$A$73,((OUT!T$8:T$73="N")+(OUT!T$8:T$73="NT"))&gt;0)),"—")</f>
        <v/>
      </c>
      <c r="F15" s="135">
        <f>"M"&amp;OUT!T$75&amp;" T"&amp;OUT!T$76&amp;" N"&amp;OUT!T$77&amp;IF(OUT!T$78+OUT!T$79+OUT!T$80=0," ✓"," ⚠ falta "&amp;(OUT!T$78+OUT!T$79+OUT!T$80))</f>
        <v/>
      </c>
      <c r="G15" s="39" t="n"/>
    </row>
    <row r="16" ht="150" customHeight="1">
      <c r="A16" s="132" t="n">
        <v>13</v>
      </c>
      <c r="B16" s="133" t="inlineStr">
        <is>
          <t>ter</t>
        </is>
      </c>
      <c r="C16" s="134">
        <f>IFERROR(TEXTJOIN(CHAR(10),TRUE,FILTER(OUT!$A$8:$A$73,((OUT!U$8:U$73="M")+(OUT!U$8:U$73="D")+(OUT!U$8:U$73="C")+(OUT!U$8:U$73="J"))&gt;0)),"—")</f>
        <v/>
      </c>
      <c r="D16" s="134">
        <f>IFERROR(TEXTJOIN(CHAR(10),TRUE,FILTER(OUT!$A$8:$A$73,((OUT!U$8:U$73="T")+(OUT!U$8:U$73="D")+(OUT!U$8:U$73="C"))&gt;0)),"—")</f>
        <v/>
      </c>
      <c r="E16" s="134">
        <f>IFERROR(TEXTJOIN(CHAR(10),TRUE,FILTER(OUT!$A$8:$A$73,((OUT!U$8:U$73="N")+(OUT!U$8:U$73="NT"))&gt;0)),"—")</f>
        <v/>
      </c>
      <c r="F16" s="135">
        <f>"M"&amp;OUT!U$75&amp;" T"&amp;OUT!U$76&amp;" N"&amp;OUT!U$77&amp;IF(OUT!U$78+OUT!U$79+OUT!U$80=0," ✓"," ⚠ falta "&amp;(OUT!U$78+OUT!U$79+OUT!U$80))</f>
        <v/>
      </c>
      <c r="G16" s="39" t="n"/>
    </row>
    <row r="17" ht="150" customHeight="1">
      <c r="A17" s="132" t="n">
        <v>14</v>
      </c>
      <c r="B17" s="133" t="inlineStr">
        <is>
          <t>qua</t>
        </is>
      </c>
      <c r="C17" s="134">
        <f>IFERROR(TEXTJOIN(CHAR(10),TRUE,FILTER(OUT!$A$8:$A$73,((OUT!V$8:V$73="M")+(OUT!V$8:V$73="D")+(OUT!V$8:V$73="C")+(OUT!V$8:V$73="J"))&gt;0)),"—")</f>
        <v/>
      </c>
      <c r="D17" s="134">
        <f>IFERROR(TEXTJOIN(CHAR(10),TRUE,FILTER(OUT!$A$8:$A$73,((OUT!V$8:V$73="T")+(OUT!V$8:V$73="D")+(OUT!V$8:V$73="C"))&gt;0)),"—")</f>
        <v/>
      </c>
      <c r="E17" s="134">
        <f>IFERROR(TEXTJOIN(CHAR(10),TRUE,FILTER(OUT!$A$8:$A$73,((OUT!V$8:V$73="N")+(OUT!V$8:V$73="NT"))&gt;0)),"—")</f>
        <v/>
      </c>
      <c r="F17" s="135">
        <f>"M"&amp;OUT!V$75&amp;" T"&amp;OUT!V$76&amp;" N"&amp;OUT!V$77&amp;IF(OUT!V$78+OUT!V$79+OUT!V$80=0," ✓"," ⚠ falta "&amp;(OUT!V$78+OUT!V$79+OUT!V$80))</f>
        <v/>
      </c>
      <c r="G17" s="39" t="n"/>
    </row>
    <row r="18" ht="150" customHeight="1">
      <c r="A18" s="132" t="n">
        <v>15</v>
      </c>
      <c r="B18" s="133" t="inlineStr">
        <is>
          <t>qui</t>
        </is>
      </c>
      <c r="C18" s="134">
        <f>IFERROR(TEXTJOIN(CHAR(10),TRUE,FILTER(OUT!$A$8:$A$73,((OUT!W$8:W$73="M")+(OUT!W$8:W$73="D")+(OUT!W$8:W$73="C")+(OUT!W$8:W$73="J"))&gt;0)),"—")</f>
        <v/>
      </c>
      <c r="D18" s="134">
        <f>IFERROR(TEXTJOIN(CHAR(10),TRUE,FILTER(OUT!$A$8:$A$73,((OUT!W$8:W$73="T")+(OUT!W$8:W$73="D")+(OUT!W$8:W$73="C"))&gt;0)),"—")</f>
        <v/>
      </c>
      <c r="E18" s="134">
        <f>IFERROR(TEXTJOIN(CHAR(10),TRUE,FILTER(OUT!$A$8:$A$73,((OUT!W$8:W$73="N")+(OUT!W$8:W$73="NT"))&gt;0)),"—")</f>
        <v/>
      </c>
      <c r="F18" s="135">
        <f>"M"&amp;OUT!W$75&amp;" T"&amp;OUT!W$76&amp;" N"&amp;OUT!W$77&amp;IF(OUT!W$78+OUT!W$79+OUT!W$80=0," ✓"," ⚠ falta "&amp;(OUT!W$78+OUT!W$79+OUT!W$80))</f>
        <v/>
      </c>
      <c r="G18" s="39" t="n"/>
    </row>
    <row r="19" ht="150" customHeight="1">
      <c r="A19" s="132" t="n">
        <v>16</v>
      </c>
      <c r="B19" s="133" t="inlineStr">
        <is>
          <t>sex</t>
        </is>
      </c>
      <c r="C19" s="134">
        <f>IFERROR(TEXTJOIN(CHAR(10),TRUE,FILTER(OUT!$A$8:$A$73,((OUT!X$8:X$73="M")+(OUT!X$8:X$73="D")+(OUT!X$8:X$73="C")+(OUT!X$8:X$73="J"))&gt;0)),"—")</f>
        <v/>
      </c>
      <c r="D19" s="134">
        <f>IFERROR(TEXTJOIN(CHAR(10),TRUE,FILTER(OUT!$A$8:$A$73,((OUT!X$8:X$73="T")+(OUT!X$8:X$73="D")+(OUT!X$8:X$73="C"))&gt;0)),"—")</f>
        <v/>
      </c>
      <c r="E19" s="134">
        <f>IFERROR(TEXTJOIN(CHAR(10),TRUE,FILTER(OUT!$A$8:$A$73,((OUT!X$8:X$73="N")+(OUT!X$8:X$73="NT"))&gt;0)),"—")</f>
        <v/>
      </c>
      <c r="F19" s="135">
        <f>"M"&amp;OUT!X$75&amp;" T"&amp;OUT!X$76&amp;" N"&amp;OUT!X$77&amp;IF(OUT!X$78+OUT!X$79+OUT!X$80=0," ✓"," ⚠ falta "&amp;(OUT!X$78+OUT!X$79+OUT!X$80))</f>
        <v/>
      </c>
      <c r="G19" s="39" t="n"/>
    </row>
    <row r="20" ht="150" customHeight="1">
      <c r="A20" s="136" t="n">
        <v>17</v>
      </c>
      <c r="B20" s="137" t="inlineStr">
        <is>
          <t>sáb</t>
        </is>
      </c>
      <c r="C20" s="138">
        <f>IFERROR(TEXTJOIN(CHAR(10),TRUE,FILTER(OUT!$A$8:$A$73,((OUT!Y$8:Y$73="M")+(OUT!Y$8:Y$73="D")+(OUT!Y$8:Y$73="C")+(OUT!Y$8:Y$73="J"))&gt;0)),"—")</f>
        <v/>
      </c>
      <c r="D20" s="138">
        <f>IFERROR(TEXTJOIN(CHAR(10),TRUE,FILTER(OUT!$A$8:$A$73,((OUT!Y$8:Y$73="T")+(OUT!Y$8:Y$73="D")+(OUT!Y$8:Y$73="C"))&gt;0)),"—")</f>
        <v/>
      </c>
      <c r="E20" s="138">
        <f>IFERROR(TEXTJOIN(CHAR(10),TRUE,FILTER(OUT!$A$8:$A$73,((OUT!Y$8:Y$73="N")+(OUT!Y$8:Y$73="NT"))&gt;0)),"—")</f>
        <v/>
      </c>
      <c r="F20" s="135">
        <f>"M"&amp;OUT!Y$75&amp;" T"&amp;OUT!Y$76&amp;" N"&amp;OUT!Y$77&amp;IF(OUT!Y$78+OUT!Y$79+OUT!Y$80=0," ✓"," ⚠ falta "&amp;(OUT!Y$78+OUT!Y$79+OUT!Y$80))</f>
        <v/>
      </c>
      <c r="G20" s="39" t="n"/>
    </row>
    <row r="21" ht="150" customHeight="1">
      <c r="A21" s="136" t="n">
        <v>18</v>
      </c>
      <c r="B21" s="137" t="inlineStr">
        <is>
          <t>dom</t>
        </is>
      </c>
      <c r="C21" s="138">
        <f>IFERROR(TEXTJOIN(CHAR(10),TRUE,FILTER(OUT!$A$8:$A$73,((OUT!Z$8:Z$73="M")+(OUT!Z$8:Z$73="D")+(OUT!Z$8:Z$73="C")+(OUT!Z$8:Z$73="J"))&gt;0)),"—")</f>
        <v/>
      </c>
      <c r="D21" s="138">
        <f>IFERROR(TEXTJOIN(CHAR(10),TRUE,FILTER(OUT!$A$8:$A$73,((OUT!Z$8:Z$73="T")+(OUT!Z$8:Z$73="D")+(OUT!Z$8:Z$73="C"))&gt;0)),"—")</f>
        <v/>
      </c>
      <c r="E21" s="138">
        <f>IFERROR(TEXTJOIN(CHAR(10),TRUE,FILTER(OUT!$A$8:$A$73,((OUT!Z$8:Z$73="N")+(OUT!Z$8:Z$73="NT"))&gt;0)),"—")</f>
        <v/>
      </c>
      <c r="F21" s="135">
        <f>"M"&amp;OUT!Z$75&amp;" T"&amp;OUT!Z$76&amp;" N"&amp;OUT!Z$77&amp;IF(OUT!Z$78+OUT!Z$79+OUT!Z$80=0," ✓"," ⚠ falta "&amp;(OUT!Z$78+OUT!Z$79+OUT!Z$80))</f>
        <v/>
      </c>
      <c r="G21" s="39" t="n"/>
    </row>
    <row r="22" ht="150" customHeight="1">
      <c r="A22" s="132" t="n">
        <v>19</v>
      </c>
      <c r="B22" s="133" t="inlineStr">
        <is>
          <t>seg</t>
        </is>
      </c>
      <c r="C22" s="134">
        <f>IFERROR(TEXTJOIN(CHAR(10),TRUE,FILTER(OUT!$A$8:$A$73,((OUT!AA$8:AA$73="M")+(OUT!AA$8:AA$73="D")+(OUT!AA$8:AA$73="C")+(OUT!AA$8:AA$73="J"))&gt;0)),"—")</f>
        <v/>
      </c>
      <c r="D22" s="134">
        <f>IFERROR(TEXTJOIN(CHAR(10),TRUE,FILTER(OUT!$A$8:$A$73,((OUT!AA$8:AA$73="T")+(OUT!AA$8:AA$73="D")+(OUT!AA$8:AA$73="C"))&gt;0)),"—")</f>
        <v/>
      </c>
      <c r="E22" s="134">
        <f>IFERROR(TEXTJOIN(CHAR(10),TRUE,FILTER(OUT!$A$8:$A$73,((OUT!AA$8:AA$73="N")+(OUT!AA$8:AA$73="NT"))&gt;0)),"—")</f>
        <v/>
      </c>
      <c r="F22" s="135">
        <f>"M"&amp;OUT!AA$75&amp;" T"&amp;OUT!AA$76&amp;" N"&amp;OUT!AA$77&amp;IF(OUT!AA$78+OUT!AA$79+OUT!AA$80=0," ✓"," ⚠ falta "&amp;(OUT!AA$78+OUT!AA$79+OUT!AA$80))</f>
        <v/>
      </c>
      <c r="G22" s="39" t="n"/>
    </row>
    <row r="23" ht="150" customHeight="1">
      <c r="A23" s="132" t="n">
        <v>20</v>
      </c>
      <c r="B23" s="133" t="inlineStr">
        <is>
          <t>ter</t>
        </is>
      </c>
      <c r="C23" s="134">
        <f>IFERROR(TEXTJOIN(CHAR(10),TRUE,FILTER(OUT!$A$8:$A$73,((OUT!AB$8:AB$73="M")+(OUT!AB$8:AB$73="D")+(OUT!AB$8:AB$73="C")+(OUT!AB$8:AB$73="J"))&gt;0)),"—")</f>
        <v/>
      </c>
      <c r="D23" s="134">
        <f>IFERROR(TEXTJOIN(CHAR(10),TRUE,FILTER(OUT!$A$8:$A$73,((OUT!AB$8:AB$73="T")+(OUT!AB$8:AB$73="D")+(OUT!AB$8:AB$73="C"))&gt;0)),"—")</f>
        <v/>
      </c>
      <c r="E23" s="134">
        <f>IFERROR(TEXTJOIN(CHAR(10),TRUE,FILTER(OUT!$A$8:$A$73,((OUT!AB$8:AB$73="N")+(OUT!AB$8:AB$73="NT"))&gt;0)),"—")</f>
        <v/>
      </c>
      <c r="F23" s="135">
        <f>"M"&amp;OUT!AB$75&amp;" T"&amp;OUT!AB$76&amp;" N"&amp;OUT!AB$77&amp;IF(OUT!AB$78+OUT!AB$79+OUT!AB$80=0," ✓"," ⚠ falta "&amp;(OUT!AB$78+OUT!AB$79+OUT!AB$80))</f>
        <v/>
      </c>
      <c r="G23" s="39" t="n"/>
    </row>
    <row r="24" ht="150" customHeight="1">
      <c r="A24" s="132" t="n">
        <v>21</v>
      </c>
      <c r="B24" s="133" t="inlineStr">
        <is>
          <t>qua</t>
        </is>
      </c>
      <c r="C24" s="134">
        <f>IFERROR(TEXTJOIN(CHAR(10),TRUE,FILTER(OUT!$A$8:$A$73,((OUT!AC$8:AC$73="M")+(OUT!AC$8:AC$73="D")+(OUT!AC$8:AC$73="C")+(OUT!AC$8:AC$73="J"))&gt;0)),"—")</f>
        <v/>
      </c>
      <c r="D24" s="134">
        <f>IFERROR(TEXTJOIN(CHAR(10),TRUE,FILTER(OUT!$A$8:$A$73,((OUT!AC$8:AC$73="T")+(OUT!AC$8:AC$73="D")+(OUT!AC$8:AC$73="C"))&gt;0)),"—")</f>
        <v/>
      </c>
      <c r="E24" s="134">
        <f>IFERROR(TEXTJOIN(CHAR(10),TRUE,FILTER(OUT!$A$8:$A$73,((OUT!AC$8:AC$73="N")+(OUT!AC$8:AC$73="NT"))&gt;0)),"—")</f>
        <v/>
      </c>
      <c r="F24" s="135">
        <f>"M"&amp;OUT!AC$75&amp;" T"&amp;OUT!AC$76&amp;" N"&amp;OUT!AC$77&amp;IF(OUT!AC$78+OUT!AC$79+OUT!AC$80=0," ✓"," ⚠ falta "&amp;(OUT!AC$78+OUT!AC$79+OUT!AC$80))</f>
        <v/>
      </c>
      <c r="G24" s="39" t="n"/>
    </row>
    <row r="25" ht="150" customHeight="1">
      <c r="A25" s="132" t="n">
        <v>22</v>
      </c>
      <c r="B25" s="133" t="inlineStr">
        <is>
          <t>qui</t>
        </is>
      </c>
      <c r="C25" s="134">
        <f>IFERROR(TEXTJOIN(CHAR(10),TRUE,FILTER(OUT!$A$8:$A$73,((OUT!AD$8:AD$73="M")+(OUT!AD$8:AD$73="D")+(OUT!AD$8:AD$73="C")+(OUT!AD$8:AD$73="J"))&gt;0)),"—")</f>
        <v/>
      </c>
      <c r="D25" s="134">
        <f>IFERROR(TEXTJOIN(CHAR(10),TRUE,FILTER(OUT!$A$8:$A$73,((OUT!AD$8:AD$73="T")+(OUT!AD$8:AD$73="D")+(OUT!AD$8:AD$73="C"))&gt;0)),"—")</f>
        <v/>
      </c>
      <c r="E25" s="134">
        <f>IFERROR(TEXTJOIN(CHAR(10),TRUE,FILTER(OUT!$A$8:$A$73,((OUT!AD$8:AD$73="N")+(OUT!AD$8:AD$73="NT"))&gt;0)),"—")</f>
        <v/>
      </c>
      <c r="F25" s="135">
        <f>"M"&amp;OUT!AD$75&amp;" T"&amp;OUT!AD$76&amp;" N"&amp;OUT!AD$77&amp;IF(OUT!AD$78+OUT!AD$79+OUT!AD$80=0," ✓"," ⚠ falta "&amp;(OUT!AD$78+OUT!AD$79+OUT!AD$80))</f>
        <v/>
      </c>
      <c r="G25" s="39" t="n"/>
    </row>
    <row r="26" ht="150" customHeight="1">
      <c r="A26" s="132" t="n">
        <v>23</v>
      </c>
      <c r="B26" s="133" t="inlineStr">
        <is>
          <t>sex</t>
        </is>
      </c>
      <c r="C26" s="134">
        <f>IFERROR(TEXTJOIN(CHAR(10),TRUE,FILTER(OUT!$A$8:$A$73,((OUT!AE$8:AE$73="M")+(OUT!AE$8:AE$73="D")+(OUT!AE$8:AE$73="C")+(OUT!AE$8:AE$73="J"))&gt;0)),"—")</f>
        <v/>
      </c>
      <c r="D26" s="134">
        <f>IFERROR(TEXTJOIN(CHAR(10),TRUE,FILTER(OUT!$A$8:$A$73,((OUT!AE$8:AE$73="T")+(OUT!AE$8:AE$73="D")+(OUT!AE$8:AE$73="C"))&gt;0)),"—")</f>
        <v/>
      </c>
      <c r="E26" s="134">
        <f>IFERROR(TEXTJOIN(CHAR(10),TRUE,FILTER(OUT!$A$8:$A$73,((OUT!AE$8:AE$73="N")+(OUT!AE$8:AE$73="NT"))&gt;0)),"—")</f>
        <v/>
      </c>
      <c r="F26" s="135">
        <f>"M"&amp;OUT!AE$75&amp;" T"&amp;OUT!AE$76&amp;" N"&amp;OUT!AE$77&amp;IF(OUT!AE$78+OUT!AE$79+OUT!AE$80=0," ✓"," ⚠ falta "&amp;(OUT!AE$78+OUT!AE$79+OUT!AE$80))</f>
        <v/>
      </c>
      <c r="G26" s="39" t="n"/>
    </row>
    <row r="27" ht="150" customHeight="1">
      <c r="A27" s="136" t="n">
        <v>24</v>
      </c>
      <c r="B27" s="137" t="inlineStr">
        <is>
          <t>sáb</t>
        </is>
      </c>
      <c r="C27" s="138">
        <f>IFERROR(TEXTJOIN(CHAR(10),TRUE,FILTER(OUT!$A$8:$A$73,((OUT!AF$8:AF$73="M")+(OUT!AF$8:AF$73="D")+(OUT!AF$8:AF$73="C")+(OUT!AF$8:AF$73="J"))&gt;0)),"—")</f>
        <v/>
      </c>
      <c r="D27" s="138">
        <f>IFERROR(TEXTJOIN(CHAR(10),TRUE,FILTER(OUT!$A$8:$A$73,((OUT!AF$8:AF$73="T")+(OUT!AF$8:AF$73="D")+(OUT!AF$8:AF$73="C"))&gt;0)),"—")</f>
        <v/>
      </c>
      <c r="E27" s="138">
        <f>IFERROR(TEXTJOIN(CHAR(10),TRUE,FILTER(OUT!$A$8:$A$73,((OUT!AF$8:AF$73="N")+(OUT!AF$8:AF$73="NT"))&gt;0)),"—")</f>
        <v/>
      </c>
      <c r="F27" s="135">
        <f>"M"&amp;OUT!AF$75&amp;" T"&amp;OUT!AF$76&amp;" N"&amp;OUT!AF$77&amp;IF(OUT!AF$78+OUT!AF$79+OUT!AF$80=0," ✓"," ⚠ falta "&amp;(OUT!AF$78+OUT!AF$79+OUT!AF$80))</f>
        <v/>
      </c>
      <c r="G27" s="39" t="n"/>
    </row>
    <row r="28" ht="150" customHeight="1">
      <c r="A28" s="136" t="n">
        <v>25</v>
      </c>
      <c r="B28" s="137" t="inlineStr">
        <is>
          <t>dom</t>
        </is>
      </c>
      <c r="C28" s="138">
        <f>IFERROR(TEXTJOIN(CHAR(10),TRUE,FILTER(OUT!$A$8:$A$73,((OUT!AG$8:AG$73="M")+(OUT!AG$8:AG$73="D")+(OUT!AG$8:AG$73="C")+(OUT!AG$8:AG$73="J"))&gt;0)),"—")</f>
        <v/>
      </c>
      <c r="D28" s="138">
        <f>IFERROR(TEXTJOIN(CHAR(10),TRUE,FILTER(OUT!$A$8:$A$73,((OUT!AG$8:AG$73="T")+(OUT!AG$8:AG$73="D")+(OUT!AG$8:AG$73="C"))&gt;0)),"—")</f>
        <v/>
      </c>
      <c r="E28" s="138">
        <f>IFERROR(TEXTJOIN(CHAR(10),TRUE,FILTER(OUT!$A$8:$A$73,((OUT!AG$8:AG$73="N")+(OUT!AG$8:AG$73="NT"))&gt;0)),"—")</f>
        <v/>
      </c>
      <c r="F28" s="135">
        <f>"M"&amp;OUT!AG$75&amp;" T"&amp;OUT!AG$76&amp;" N"&amp;OUT!AG$77&amp;IF(OUT!AG$78+OUT!AG$79+OUT!AG$80=0," ✓"," ⚠ falta "&amp;(OUT!AG$78+OUT!AG$79+OUT!AG$80))</f>
        <v/>
      </c>
      <c r="G28" s="39" t="n"/>
    </row>
    <row r="29" ht="150" customHeight="1">
      <c r="A29" s="132" t="n">
        <v>26</v>
      </c>
      <c r="B29" s="133" t="inlineStr">
        <is>
          <t>seg</t>
        </is>
      </c>
      <c r="C29" s="134">
        <f>IFERROR(TEXTJOIN(CHAR(10),TRUE,FILTER(OUT!$A$8:$A$73,((OUT!AH$8:AH$73="M")+(OUT!AH$8:AH$73="D")+(OUT!AH$8:AH$73="C")+(OUT!AH$8:AH$73="J"))&gt;0)),"—")</f>
        <v/>
      </c>
      <c r="D29" s="134">
        <f>IFERROR(TEXTJOIN(CHAR(10),TRUE,FILTER(OUT!$A$8:$A$73,((OUT!AH$8:AH$73="T")+(OUT!AH$8:AH$73="D")+(OUT!AH$8:AH$73="C"))&gt;0)),"—")</f>
        <v/>
      </c>
      <c r="E29" s="134">
        <f>IFERROR(TEXTJOIN(CHAR(10),TRUE,FILTER(OUT!$A$8:$A$73,((OUT!AH$8:AH$73="N")+(OUT!AH$8:AH$73="NT"))&gt;0)),"—")</f>
        <v/>
      </c>
      <c r="F29" s="135">
        <f>"M"&amp;OUT!AH$75&amp;" T"&amp;OUT!AH$76&amp;" N"&amp;OUT!AH$77&amp;IF(OUT!AH$78+OUT!AH$79+OUT!AH$80=0," ✓"," ⚠ falta "&amp;(OUT!AH$78+OUT!AH$79+OUT!AH$80))</f>
        <v/>
      </c>
      <c r="G29" s="39" t="n"/>
    </row>
    <row r="30" ht="150" customHeight="1">
      <c r="A30" s="132" t="n">
        <v>27</v>
      </c>
      <c r="B30" s="133" t="inlineStr">
        <is>
          <t>ter</t>
        </is>
      </c>
      <c r="C30" s="134">
        <f>IFERROR(TEXTJOIN(CHAR(10),TRUE,FILTER(OUT!$A$8:$A$73,((OUT!AI$8:AI$73="M")+(OUT!AI$8:AI$73="D")+(OUT!AI$8:AI$73="C")+(OUT!AI$8:AI$73="J"))&gt;0)),"—")</f>
        <v/>
      </c>
      <c r="D30" s="134">
        <f>IFERROR(TEXTJOIN(CHAR(10),TRUE,FILTER(OUT!$A$8:$A$73,((OUT!AI$8:AI$73="T")+(OUT!AI$8:AI$73="D")+(OUT!AI$8:AI$73="C"))&gt;0)),"—")</f>
        <v/>
      </c>
      <c r="E30" s="134">
        <f>IFERROR(TEXTJOIN(CHAR(10),TRUE,FILTER(OUT!$A$8:$A$73,((OUT!AI$8:AI$73="N")+(OUT!AI$8:AI$73="NT"))&gt;0)),"—")</f>
        <v/>
      </c>
      <c r="F30" s="135">
        <f>"M"&amp;OUT!AI$75&amp;" T"&amp;OUT!AI$76&amp;" N"&amp;OUT!AI$77&amp;IF(OUT!AI$78+OUT!AI$79+OUT!AI$80=0," ✓"," ⚠ falta "&amp;(OUT!AI$78+OUT!AI$79+OUT!AI$80))</f>
        <v/>
      </c>
      <c r="G30" s="39" t="n"/>
    </row>
    <row r="31" ht="150" customHeight="1">
      <c r="A31" s="132" t="n">
        <v>28</v>
      </c>
      <c r="B31" s="133" t="inlineStr">
        <is>
          <t>qua</t>
        </is>
      </c>
      <c r="C31" s="134">
        <f>IFERROR(TEXTJOIN(CHAR(10),TRUE,FILTER(OUT!$A$8:$A$73,((OUT!AJ$8:AJ$73="M")+(OUT!AJ$8:AJ$73="D")+(OUT!AJ$8:AJ$73="C")+(OUT!AJ$8:AJ$73="J"))&gt;0)),"—")</f>
        <v/>
      </c>
      <c r="D31" s="134">
        <f>IFERROR(TEXTJOIN(CHAR(10),TRUE,FILTER(OUT!$A$8:$A$73,((OUT!AJ$8:AJ$73="T")+(OUT!AJ$8:AJ$73="D")+(OUT!AJ$8:AJ$73="C"))&gt;0)),"—")</f>
        <v/>
      </c>
      <c r="E31" s="134">
        <f>IFERROR(TEXTJOIN(CHAR(10),TRUE,FILTER(OUT!$A$8:$A$73,((OUT!AJ$8:AJ$73="N")+(OUT!AJ$8:AJ$73="NT"))&gt;0)),"—")</f>
        <v/>
      </c>
      <c r="F31" s="135">
        <f>"M"&amp;OUT!AJ$75&amp;" T"&amp;OUT!AJ$76&amp;" N"&amp;OUT!AJ$77&amp;IF(OUT!AJ$78+OUT!AJ$79+OUT!AJ$80=0," ✓"," ⚠ falta "&amp;(OUT!AJ$78+OUT!AJ$79+OUT!AJ$80))</f>
        <v/>
      </c>
      <c r="G31" s="39" t="n"/>
    </row>
    <row r="32" ht="150" customHeight="1">
      <c r="A32" s="132" t="n">
        <v>29</v>
      </c>
      <c r="B32" s="133" t="inlineStr">
        <is>
          <t>qui</t>
        </is>
      </c>
      <c r="C32" s="134">
        <f>IFERROR(TEXTJOIN(CHAR(10),TRUE,FILTER(OUT!$A$8:$A$73,((OUT!AK$8:AK$73="M")+(OUT!AK$8:AK$73="D")+(OUT!AK$8:AK$73="C")+(OUT!AK$8:AK$73="J"))&gt;0)),"—")</f>
        <v/>
      </c>
      <c r="D32" s="134">
        <f>IFERROR(TEXTJOIN(CHAR(10),TRUE,FILTER(OUT!$A$8:$A$73,((OUT!AK$8:AK$73="T")+(OUT!AK$8:AK$73="D")+(OUT!AK$8:AK$73="C"))&gt;0)),"—")</f>
        <v/>
      </c>
      <c r="E32" s="134">
        <f>IFERROR(TEXTJOIN(CHAR(10),TRUE,FILTER(OUT!$A$8:$A$73,((OUT!AK$8:AK$73="N")+(OUT!AK$8:AK$73="NT"))&gt;0)),"—")</f>
        <v/>
      </c>
      <c r="F32" s="135">
        <f>"M"&amp;OUT!AK$75&amp;" T"&amp;OUT!AK$76&amp;" N"&amp;OUT!AK$77&amp;IF(OUT!AK$78+OUT!AK$79+OUT!AK$80=0," ✓"," ⚠ falta "&amp;(OUT!AK$78+OUT!AK$79+OUT!AK$80))</f>
        <v/>
      </c>
      <c r="G32" s="39" t="n"/>
    </row>
    <row r="33" ht="150" customHeight="1">
      <c r="A33" s="132" t="n">
        <v>30</v>
      </c>
      <c r="B33" s="133" t="inlineStr">
        <is>
          <t>sex</t>
        </is>
      </c>
      <c r="C33" s="134">
        <f>IFERROR(TEXTJOIN(CHAR(10),TRUE,FILTER(OUT!$A$8:$A$73,((OUT!AL$8:AL$73="M")+(OUT!AL$8:AL$73="D")+(OUT!AL$8:AL$73="C")+(OUT!AL$8:AL$73="J"))&gt;0)),"—")</f>
        <v/>
      </c>
      <c r="D33" s="134">
        <f>IFERROR(TEXTJOIN(CHAR(10),TRUE,FILTER(OUT!$A$8:$A$73,((OUT!AL$8:AL$73="T")+(OUT!AL$8:AL$73="D")+(OUT!AL$8:AL$73="C"))&gt;0)),"—")</f>
        <v/>
      </c>
      <c r="E33" s="134">
        <f>IFERROR(TEXTJOIN(CHAR(10),TRUE,FILTER(OUT!$A$8:$A$73,((OUT!AL$8:AL$73="N")+(OUT!AL$8:AL$73="NT"))&gt;0)),"—")</f>
        <v/>
      </c>
      <c r="F33" s="135">
        <f>"M"&amp;OUT!AL$75&amp;" T"&amp;OUT!AL$76&amp;" N"&amp;OUT!AL$77&amp;IF(OUT!AL$78+OUT!AL$79+OUT!AL$80=0," ✓"," ⚠ falta "&amp;(OUT!AL$78+OUT!AL$79+OUT!AL$80))</f>
        <v/>
      </c>
      <c r="G33" s="39" t="n"/>
    </row>
    <row r="34" ht="150" customHeight="1">
      <c r="A34" s="136" t="n">
        <v>31</v>
      </c>
      <c r="B34" s="137" t="inlineStr">
        <is>
          <t>sáb</t>
        </is>
      </c>
      <c r="C34" s="138">
        <f>IFERROR(TEXTJOIN(CHAR(10),TRUE,FILTER(OUT!$A$8:$A$73,((OUT!AM$8:AM$73="M")+(OUT!AM$8:AM$73="D")+(OUT!AM$8:AM$73="C")+(OUT!AM$8:AM$73="J"))&gt;0)),"—")</f>
        <v/>
      </c>
      <c r="D34" s="138">
        <f>IFERROR(TEXTJOIN(CHAR(10),TRUE,FILTER(OUT!$A$8:$A$73,((OUT!AM$8:AM$73="T")+(OUT!AM$8:AM$73="D")+(OUT!AM$8:AM$73="C"))&gt;0)),"—")</f>
        <v/>
      </c>
      <c r="E34" s="138">
        <f>IFERROR(TEXTJOIN(CHAR(10),TRUE,FILTER(OUT!$A$8:$A$73,((OUT!AM$8:AM$73="N")+(OUT!AM$8:AM$73="NT"))&gt;0)),"—")</f>
        <v/>
      </c>
      <c r="F34" s="135">
        <f>"M"&amp;OUT!AM$75&amp;" T"&amp;OUT!AM$76&amp;" N"&amp;OUT!AM$77&amp;IF(OUT!AM$78+OUT!AM$79+OUT!AM$80=0," ✓"," ⚠ falta "&amp;(OUT!AM$78+OUT!AM$79+OUT!AM$80))</f>
        <v/>
      </c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39" t="n"/>
      <c r="B36" s="39" t="n"/>
      <c r="C36" s="39" t="n"/>
      <c r="D36" s="39" t="n"/>
      <c r="E36" s="39" t="n"/>
      <c r="F36" s="39" t="n"/>
      <c r="G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A85A"/>
    <outlinePr summaryBelow="1" summaryRight="1"/>
    <pageSetUpPr/>
  </sheetPr>
  <dimension ref="A1:BI8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  <col width="4.5" customWidth="1" min="59" max="59"/>
  </cols>
  <sheetData>
    <row r="1">
      <c r="A1" s="94" t="inlineStr">
        <is>
          <t>Outubro · Esboço da escalista (verificação)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Transcrito do PDF de 23/08 — 01/10 a 01/11. Compare com a aba OUT; a linha Falta mostra onde o esboço não bate o mínimo.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41" t="inlineStr">
        <is>
          <t>01/11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105" t="inlineStr">
        <is>
          <t>Nº</t>
        </is>
      </c>
      <c r="BH7" s="39" t="n"/>
      <c r="BI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3">
        <f>IF(SET!AJ8="","",SET!AJ8)</f>
        <v/>
      </c>
      <c r="G8" s="123">
        <f>IF(SET!AK8="","",SET!AK8)</f>
        <v/>
      </c>
      <c r="H8" s="123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42" t="n"/>
      <c r="L8" s="142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42" t="n"/>
      <c r="S8" s="142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42" t="n"/>
      <c r="Z8" s="142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42" t="n"/>
      <c r="AG8" s="142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42" t="n"/>
      <c r="AN8" s="142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+SUMPRODUCT(($AN8:$AN8="M")*6+($AN8:$AN8="T")*6+($AN8:$AN8="D")*12+($AN8:$AN8="N")*12+($AN8:$AN8="NT")*6+($AN8:$AN8="C")*10+($AN8:$AN8="A")*8+($AN8:$AN8="J")*5+($AN8:$AN8="E")*4+($AN8:$AN8="P")*6+($AN8:$AN8="R")*6)</f>
        <v/>
      </c>
      <c r="BE8" s="110" t="n"/>
      <c r="BF8" s="113" t="inlineStr">
        <is>
          <t>1 · coordenação</t>
        </is>
      </c>
      <c r="BG8" s="114" t="n">
        <v>1</v>
      </c>
      <c r="BH8" s="39" t="n"/>
      <c r="BI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3">
        <f>IF(SET!AJ9="","",SET!AJ9)</f>
        <v/>
      </c>
      <c r="G9" s="123">
        <f>IF(SET!AK9="","",SET!AK9)</f>
        <v/>
      </c>
      <c r="H9" s="123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42" t="n"/>
      <c r="L9" s="142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42" t="n"/>
      <c r="S9" s="142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42" t="n"/>
      <c r="Z9" s="142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42" t="n"/>
      <c r="AG9" s="142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42" t="n"/>
      <c r="AN9" s="142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+SUMPRODUCT(($AN9:$AN9="M")*6+($AN9:$AN9="T")*6+($AN9:$AN9="D")*12+($AN9:$AN9="N")*12+($AN9:$AN9="NT")*6+($AN9:$AN9="C")*10+($AN9:$AN9="A")*8+($AN9:$AN9="J")*5+($AN9:$AN9="E")*4+($AN9:$AN9="P")*6+($AN9:$AN9="R")*6)</f>
        <v/>
      </c>
      <c r="BE9" s="110" t="n"/>
      <c r="BF9" s="113" t="inlineStr">
        <is>
          <t>1 · coordenação</t>
        </is>
      </c>
      <c r="BG9" s="114" t="n">
        <v>2</v>
      </c>
      <c r="BH9" s="39" t="n"/>
      <c r="BI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3">
        <f>IF(SET!AJ10="","",SET!AJ10)</f>
        <v/>
      </c>
      <c r="G10" s="123">
        <f>IF(SET!AK10="","",SET!AK10)</f>
        <v/>
      </c>
      <c r="H10" s="123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42" t="n"/>
      <c r="L10" s="142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42" t="n"/>
      <c r="S10" s="142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42" t="n"/>
      <c r="Z10" s="142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42" t="n"/>
      <c r="AG10" s="142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42" t="n"/>
      <c r="AN10" s="142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E10" s="110" t="n"/>
      <c r="BF10" s="113" t="inlineStr">
        <is>
          <t>2 · rotina</t>
        </is>
      </c>
      <c r="BG10" s="114" t="n">
        <v>3</v>
      </c>
      <c r="BH10" s="39" t="n"/>
      <c r="BI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3">
        <f>IF(SET!AJ11="","",SET!AJ11)</f>
        <v/>
      </c>
      <c r="G11" s="123">
        <f>IF(SET!AK11="","",SET!AK11)</f>
        <v/>
      </c>
      <c r="H11" s="123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42" t="n"/>
      <c r="L11" s="116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5" t="inlineStr">
        <is>
          <t>D</t>
        </is>
      </c>
      <c r="Q11" s="108" t="inlineStr">
        <is>
          <t>M</t>
        </is>
      </c>
      <c r="R11" s="142" t="n"/>
      <c r="S11" s="142" t="n"/>
      <c r="T11" s="142" t="n"/>
      <c r="U11" s="108" t="inlineStr">
        <is>
          <t>M</t>
        </is>
      </c>
      <c r="V11" s="108" t="inlineStr">
        <is>
          <t>M</t>
        </is>
      </c>
      <c r="W11" s="115" t="inlineStr">
        <is>
          <t>D</t>
        </is>
      </c>
      <c r="X11" s="108" t="inlineStr">
        <is>
          <t>M</t>
        </is>
      </c>
      <c r="Y11" s="142" t="n"/>
      <c r="Z11" s="116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5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42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5" t="inlineStr">
        <is>
          <t>D</t>
        </is>
      </c>
      <c r="AL11" s="108" t="inlineStr">
        <is>
          <t>M</t>
        </is>
      </c>
      <c r="AM11" s="142" t="n"/>
      <c r="AN11" s="142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E11" s="110" t="n"/>
      <c r="BF11" s="113" t="inlineStr">
        <is>
          <t>2 · rotina</t>
        </is>
      </c>
      <c r="BG11" s="114" t="n">
        <v>4</v>
      </c>
      <c r="BH11" s="39" t="n"/>
      <c r="BI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3">
        <f>IF(SET!AJ12="","",SET!AJ12)</f>
        <v/>
      </c>
      <c r="G12" s="123">
        <f>IF(SET!AK12="","",SET!AK12)</f>
        <v/>
      </c>
      <c r="H12" s="123">
        <f>IF(SET!AL12="","",SET!AL12)</f>
        <v/>
      </c>
      <c r="I12" s="142" t="n"/>
      <c r="J12" s="142" t="n"/>
      <c r="K12" s="142" t="n"/>
      <c r="L12" s="142" t="n"/>
      <c r="M12" s="142" t="n"/>
      <c r="N12" s="142" t="n"/>
      <c r="O12" s="142" t="n"/>
      <c r="P12" s="142" t="n"/>
      <c r="Q12" s="142" t="n"/>
      <c r="R12" s="115" t="inlineStr">
        <is>
          <t>D</t>
        </is>
      </c>
      <c r="S12" s="142" t="n"/>
      <c r="T12" s="117" t="inlineStr">
        <is>
          <t>T</t>
        </is>
      </c>
      <c r="U12" s="142" t="n"/>
      <c r="V12" s="142" t="n"/>
      <c r="W12" s="142" t="n"/>
      <c r="X12" s="142" t="n"/>
      <c r="Y12" s="142" t="n"/>
      <c r="Z12" s="142" t="n"/>
      <c r="AA12" s="142" t="n"/>
      <c r="AB12" s="142" t="n"/>
      <c r="AC12" s="142" t="n"/>
      <c r="AD12" s="142" t="n"/>
      <c r="AE12" s="142" t="n"/>
      <c r="AF12" s="142" t="n"/>
      <c r="AG12" s="115" t="inlineStr">
        <is>
          <t>D</t>
        </is>
      </c>
      <c r="AH12" s="142" t="n"/>
      <c r="AI12" s="142" t="n"/>
      <c r="AJ12" s="142" t="n"/>
      <c r="AK12" s="142" t="n"/>
      <c r="AL12" s="142" t="n"/>
      <c r="AM12" s="142" t="n"/>
      <c r="AN12" s="142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E12" s="110" t="n"/>
      <c r="BF12" s="113" t="inlineStr">
        <is>
          <t>2 · rotina</t>
        </is>
      </c>
      <c r="BG12" s="114" t="n">
        <v>5</v>
      </c>
      <c r="BH12" s="39" t="n"/>
      <c r="BI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3">
        <f>IF(SET!AJ13="","",SET!AJ13)</f>
        <v/>
      </c>
      <c r="G13" s="123">
        <f>IF(SET!AK13="","",SET!AK13)</f>
        <v/>
      </c>
      <c r="H13" s="123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16" t="inlineStr">
        <is>
          <t>N</t>
        </is>
      </c>
      <c r="L13" s="142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42" t="n"/>
      <c r="S13" s="142" t="n"/>
      <c r="T13" s="142" t="n"/>
      <c r="U13" s="142" t="n"/>
      <c r="V13" s="142" t="n"/>
      <c r="W13" s="142" t="n"/>
      <c r="X13" s="142" t="n"/>
      <c r="Y13" s="142" t="n"/>
      <c r="Z13" s="142" t="n"/>
      <c r="AA13" s="142" t="n"/>
      <c r="AB13" s="142" t="n"/>
      <c r="AC13" s="142" t="n"/>
      <c r="AD13" s="142" t="n"/>
      <c r="AE13" s="142" t="n"/>
      <c r="AF13" s="142" t="n"/>
      <c r="AG13" s="142" t="n"/>
      <c r="AH13" s="142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6" t="inlineStr">
        <is>
          <t>N</t>
        </is>
      </c>
      <c r="AN13" s="142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E13" s="110" t="n"/>
      <c r="BF13" s="113" t="inlineStr">
        <is>
          <t>2 · rotina</t>
        </is>
      </c>
      <c r="BG13" s="114" t="n">
        <v>6</v>
      </c>
      <c r="BH13" s="39" t="n"/>
      <c r="BI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3">
        <f>IF(SET!AJ14="","",SET!AJ14)</f>
        <v/>
      </c>
      <c r="G14" s="123">
        <f>IF(SET!AK14="","",SET!AK14)</f>
        <v/>
      </c>
      <c r="H14" s="123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15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5" t="inlineStr">
        <is>
          <t>D</t>
        </is>
      </c>
      <c r="O14" s="142" t="n"/>
      <c r="P14" s="108" t="inlineStr">
        <is>
          <t>M</t>
        </is>
      </c>
      <c r="Q14" s="142" t="n"/>
      <c r="R14" s="115" t="inlineStr">
        <is>
          <t>D</t>
        </is>
      </c>
      <c r="S14" s="142" t="n"/>
      <c r="T14" s="115" t="inlineStr">
        <is>
          <t>D</t>
        </is>
      </c>
      <c r="U14" s="142" t="n"/>
      <c r="V14" s="142" t="n"/>
      <c r="W14" s="108" t="inlineStr">
        <is>
          <t>M</t>
        </is>
      </c>
      <c r="X14" s="115" t="inlineStr">
        <is>
          <t>D</t>
        </is>
      </c>
      <c r="Y14" s="115" t="inlineStr">
        <is>
          <t>D</t>
        </is>
      </c>
      <c r="Z14" s="115" t="inlineStr">
        <is>
          <t>D</t>
        </is>
      </c>
      <c r="AA14" s="108" t="inlineStr">
        <is>
          <t>M</t>
        </is>
      </c>
      <c r="AB14" s="115" t="inlineStr">
        <is>
          <t>D</t>
        </is>
      </c>
      <c r="AC14" s="142" t="n"/>
      <c r="AD14" s="108" t="inlineStr">
        <is>
          <t>M</t>
        </is>
      </c>
      <c r="AE14" s="108" t="inlineStr">
        <is>
          <t>M</t>
        </is>
      </c>
      <c r="AF14" s="142" t="n"/>
      <c r="AG14" s="142" t="n"/>
      <c r="AH14" s="142" t="n"/>
      <c r="AI14" s="142" t="n"/>
      <c r="AJ14" s="142" t="n"/>
      <c r="AK14" s="142" t="n"/>
      <c r="AL14" s="142" t="n"/>
      <c r="AM14" s="142" t="n"/>
      <c r="AN14" s="142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E14" s="110" t="n"/>
      <c r="BF14" s="113" t="inlineStr">
        <is>
          <t>2 · rotina</t>
        </is>
      </c>
      <c r="BG14" s="114" t="n">
        <v>7</v>
      </c>
      <c r="BH14" s="39" t="n"/>
      <c r="BI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3">
        <f>IF(SET!AJ15="","",SET!AJ15)</f>
        <v/>
      </c>
      <c r="G15" s="123">
        <f>IF(SET!AK15="","",SET!AK15)</f>
        <v/>
      </c>
      <c r="H15" s="123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16" t="inlineStr">
        <is>
          <t>N</t>
        </is>
      </c>
      <c r="L15" s="142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5" t="inlineStr">
        <is>
          <t>D</t>
        </is>
      </c>
      <c r="R15" s="142" t="n"/>
      <c r="S15" s="142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6" t="inlineStr">
        <is>
          <t>N</t>
        </is>
      </c>
      <c r="Z15" s="142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5" t="inlineStr">
        <is>
          <t>D</t>
        </is>
      </c>
      <c r="AF15" s="142" t="n"/>
      <c r="AG15" s="142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6" t="inlineStr">
        <is>
          <t>N</t>
        </is>
      </c>
      <c r="AN15" s="142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E15" s="110" t="n"/>
      <c r="BF15" s="113" t="inlineStr">
        <is>
          <t>2 · rotina</t>
        </is>
      </c>
      <c r="BG15" s="114" t="n">
        <v>8</v>
      </c>
      <c r="BH15" s="39" t="n"/>
      <c r="BI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3">
        <f>IF(SET!AJ16="","",SET!AJ16)</f>
        <v/>
      </c>
      <c r="G16" s="123">
        <f>IF(SET!AK16="","",SET!AK16)</f>
        <v/>
      </c>
      <c r="H16" s="123">
        <f>IF(SET!AL16="","",SET!AL16)</f>
        <v/>
      </c>
      <c r="I16" s="129" t="inlineStr">
        <is>
          <t>J</t>
        </is>
      </c>
      <c r="J16" s="129" t="inlineStr">
        <is>
          <t>J</t>
        </is>
      </c>
      <c r="K16" s="129" t="inlineStr">
        <is>
          <t>J</t>
        </is>
      </c>
      <c r="L16" s="142" t="n"/>
      <c r="M16" s="129" t="inlineStr">
        <is>
          <t>J</t>
        </is>
      </c>
      <c r="N16" s="129" t="inlineStr">
        <is>
          <t>J</t>
        </is>
      </c>
      <c r="O16" s="129" t="inlineStr">
        <is>
          <t>J</t>
        </is>
      </c>
      <c r="P16" s="129" t="inlineStr">
        <is>
          <t>J</t>
        </is>
      </c>
      <c r="Q16" s="129" t="inlineStr">
        <is>
          <t>J</t>
        </is>
      </c>
      <c r="R16" s="129" t="inlineStr">
        <is>
          <t>J</t>
        </is>
      </c>
      <c r="S16" s="142" t="n"/>
      <c r="T16" s="129" t="inlineStr">
        <is>
          <t>J</t>
        </is>
      </c>
      <c r="U16" s="129" t="inlineStr">
        <is>
          <t>J</t>
        </is>
      </c>
      <c r="V16" s="142" t="n"/>
      <c r="W16" s="129" t="inlineStr">
        <is>
          <t>J</t>
        </is>
      </c>
      <c r="X16" s="129" t="inlineStr">
        <is>
          <t>J</t>
        </is>
      </c>
      <c r="Y16" s="129" t="inlineStr">
        <is>
          <t>J</t>
        </is>
      </c>
      <c r="Z16" s="142" t="n"/>
      <c r="AA16" s="129" t="inlineStr">
        <is>
          <t>J</t>
        </is>
      </c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29" t="inlineStr">
        <is>
          <t>J</t>
        </is>
      </c>
      <c r="AF16" s="129" t="inlineStr">
        <is>
          <t>J</t>
        </is>
      </c>
      <c r="AG16" s="142" t="n"/>
      <c r="AH16" s="129" t="inlineStr">
        <is>
          <t>J</t>
        </is>
      </c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29" t="inlineStr">
        <is>
          <t>J</t>
        </is>
      </c>
      <c r="AM16" s="129" t="inlineStr">
        <is>
          <t>J</t>
        </is>
      </c>
      <c r="AN16" s="142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E16" s="110" t="n"/>
      <c r="BF16" s="113" t="inlineStr">
        <is>
          <t>3 · staff</t>
        </is>
      </c>
      <c r="BG16" s="114" t="n">
        <v>9</v>
      </c>
      <c r="BH16" s="39" t="n"/>
      <c r="BI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3">
        <f>IF(SET!AJ17="","",SET!AJ17)</f>
        <v/>
      </c>
      <c r="G17" s="123">
        <f>IF(SET!AK17="","",SET!AK17)</f>
        <v/>
      </c>
      <c r="H17" s="123">
        <f>IF(SET!AL17="","",SET!AL17)</f>
        <v/>
      </c>
      <c r="I17" s="142" t="n"/>
      <c r="J17" s="116" t="inlineStr">
        <is>
          <t>N</t>
        </is>
      </c>
      <c r="K17" s="117" t="inlineStr">
        <is>
          <t>T</t>
        </is>
      </c>
      <c r="L17" s="142" t="n"/>
      <c r="M17" s="116" t="inlineStr">
        <is>
          <t>N</t>
        </is>
      </c>
      <c r="N17" s="125" t="inlineStr">
        <is>
          <t>E</t>
        </is>
      </c>
      <c r="O17" s="117" t="inlineStr">
        <is>
          <t>T</t>
        </is>
      </c>
      <c r="P17" s="117" t="inlineStr">
        <is>
          <t>T</t>
        </is>
      </c>
      <c r="Q17" s="142" t="n"/>
      <c r="R17" s="116" t="inlineStr">
        <is>
          <t>N</t>
        </is>
      </c>
      <c r="S17" s="142" t="n"/>
      <c r="T17" s="116" t="inlineStr">
        <is>
          <t>N</t>
        </is>
      </c>
      <c r="U17" s="125" t="inlineStr">
        <is>
          <t>E</t>
        </is>
      </c>
      <c r="V17" s="115" t="inlineStr">
        <is>
          <t>D</t>
        </is>
      </c>
      <c r="W17" s="116" t="inlineStr">
        <is>
          <t>N</t>
        </is>
      </c>
      <c r="X17" s="142" t="n"/>
      <c r="Y17" s="142" t="n"/>
      <c r="Z17" s="142" t="n"/>
      <c r="AA17" s="142" t="n"/>
      <c r="AB17" s="142" t="n"/>
      <c r="AC17" s="142" t="n"/>
      <c r="AD17" s="142" t="n"/>
      <c r="AE17" s="142" t="n"/>
      <c r="AF17" s="142" t="n"/>
      <c r="AG17" s="142" t="n"/>
      <c r="AH17" s="142" t="n"/>
      <c r="AI17" s="142" t="n"/>
      <c r="AJ17" s="142" t="n"/>
      <c r="AK17" s="142" t="n"/>
      <c r="AL17" s="142" t="n"/>
      <c r="AM17" s="142" t="n"/>
      <c r="AN17" s="142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E17" s="110" t="n"/>
      <c r="BF17" s="113" t="inlineStr">
        <is>
          <t>3 · staff</t>
        </is>
      </c>
      <c r="BG17" s="114" t="n">
        <v>10</v>
      </c>
      <c r="BH17" s="39" t="n"/>
      <c r="BI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3">
        <f>IF(SET!AJ18="","",SET!AJ18)</f>
        <v/>
      </c>
      <c r="G18" s="123">
        <f>IF(SET!AK18="","",SET!AK18)</f>
        <v/>
      </c>
      <c r="H18" s="123">
        <f>IF(SET!AL18="","",SET!AL18)</f>
        <v/>
      </c>
      <c r="I18" s="117" t="inlineStr">
        <is>
          <t>T</t>
        </is>
      </c>
      <c r="J18" s="115" t="inlineStr">
        <is>
          <t>D</t>
        </is>
      </c>
      <c r="K18" s="142" t="n"/>
      <c r="L18" s="142" t="n"/>
      <c r="M18" s="117" t="inlineStr">
        <is>
          <t>T</t>
        </is>
      </c>
      <c r="N18" s="117" t="inlineStr">
        <is>
          <t>T</t>
        </is>
      </c>
      <c r="O18" s="117" t="inlineStr">
        <is>
          <t>T</t>
        </is>
      </c>
      <c r="P18" s="142" t="n"/>
      <c r="Q18" s="117" t="inlineStr">
        <is>
          <t>T</t>
        </is>
      </c>
      <c r="R18" s="142" t="n"/>
      <c r="S18" s="115" t="inlineStr">
        <is>
          <t>D</t>
        </is>
      </c>
      <c r="T18" s="115" t="inlineStr">
        <is>
          <t>D</t>
        </is>
      </c>
      <c r="U18" s="117" t="inlineStr">
        <is>
          <t>T</t>
        </is>
      </c>
      <c r="V18" s="115" t="inlineStr">
        <is>
          <t>D</t>
        </is>
      </c>
      <c r="W18" s="117" t="inlineStr">
        <is>
          <t>T</t>
        </is>
      </c>
      <c r="X18" s="142" t="n"/>
      <c r="Y18" s="142" t="n"/>
      <c r="Z18" s="142" t="n"/>
      <c r="AA18" s="117" t="inlineStr">
        <is>
          <t>T</t>
        </is>
      </c>
      <c r="AB18" s="117" t="inlineStr">
        <is>
          <t>T</t>
        </is>
      </c>
      <c r="AC18" s="117" t="inlineStr">
        <is>
          <t>T</t>
        </is>
      </c>
      <c r="AD18" s="142" t="n"/>
      <c r="AE18" s="117" t="inlineStr">
        <is>
          <t>T</t>
        </is>
      </c>
      <c r="AF18" s="142" t="n"/>
      <c r="AG18" s="115" t="inlineStr">
        <is>
          <t>D</t>
        </is>
      </c>
      <c r="AH18" s="117" t="inlineStr">
        <is>
          <t>T</t>
        </is>
      </c>
      <c r="AI18" s="117" t="inlineStr">
        <is>
          <t>T</t>
        </is>
      </c>
      <c r="AJ18" s="117" t="inlineStr">
        <is>
          <t>T</t>
        </is>
      </c>
      <c r="AK18" s="142" t="n"/>
      <c r="AL18" s="142" t="n"/>
      <c r="AM18" s="116" t="inlineStr">
        <is>
          <t>N</t>
        </is>
      </c>
      <c r="AN18" s="117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E18" s="110" t="n"/>
      <c r="BF18" s="113" t="inlineStr">
        <is>
          <t>3 · staff</t>
        </is>
      </c>
      <c r="BG18" s="114" t="n">
        <v>11</v>
      </c>
      <c r="BH18" s="39" t="n"/>
      <c r="BI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3">
        <f>IF(SET!AJ19="","",SET!AJ19)</f>
        <v/>
      </c>
      <c r="G19" s="123">
        <f>IF(SET!AK19="","",SET!AK19)</f>
        <v/>
      </c>
      <c r="H19" s="123">
        <f>IF(SET!AL19="","",SET!AL19)</f>
        <v/>
      </c>
      <c r="I19" s="116" t="inlineStr">
        <is>
          <t>N</t>
        </is>
      </c>
      <c r="J19" s="142" t="n"/>
      <c r="K19" s="142" t="n"/>
      <c r="L19" s="116" t="inlineStr">
        <is>
          <t>N</t>
        </is>
      </c>
      <c r="M19" s="142" t="n"/>
      <c r="N19" s="142" t="n"/>
      <c r="O19" s="116" t="inlineStr">
        <is>
          <t>N</t>
        </is>
      </c>
      <c r="P19" s="116" t="inlineStr">
        <is>
          <t>N</t>
        </is>
      </c>
      <c r="Q19" s="142" t="n"/>
      <c r="R19" s="142" t="n"/>
      <c r="S19" s="116" t="inlineStr">
        <is>
          <t>N</t>
        </is>
      </c>
      <c r="T19" s="142" t="n"/>
      <c r="U19" s="142" t="n"/>
      <c r="V19" s="116" t="inlineStr">
        <is>
          <t>N</t>
        </is>
      </c>
      <c r="W19" s="116" t="inlineStr">
        <is>
          <t>N</t>
        </is>
      </c>
      <c r="X19" s="142" t="n"/>
      <c r="Y19" s="142" t="n"/>
      <c r="Z19" s="116" t="inlineStr">
        <is>
          <t>N</t>
        </is>
      </c>
      <c r="AA19" s="142" t="n"/>
      <c r="AB19" s="116" t="inlineStr">
        <is>
          <t>N</t>
        </is>
      </c>
      <c r="AC19" s="116" t="inlineStr">
        <is>
          <t>N</t>
        </is>
      </c>
      <c r="AD19" s="142" t="n"/>
      <c r="AE19" s="116" t="inlineStr">
        <is>
          <t>N</t>
        </is>
      </c>
      <c r="AF19" s="142" t="n"/>
      <c r="AG19" s="142" t="n"/>
      <c r="AH19" s="142" t="n"/>
      <c r="AI19" s="142" t="n"/>
      <c r="AJ19" s="116" t="inlineStr">
        <is>
          <t>N</t>
        </is>
      </c>
      <c r="AK19" s="116" t="inlineStr">
        <is>
          <t>N</t>
        </is>
      </c>
      <c r="AL19" s="142" t="n"/>
      <c r="AM19" s="142" t="n"/>
      <c r="AN19" s="115" t="inlineStr">
        <is>
          <t>D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E19" s="110" t="n"/>
      <c r="BF19" s="113" t="inlineStr">
        <is>
          <t>3 · staff</t>
        </is>
      </c>
      <c r="BG19" s="114" t="n">
        <v>12</v>
      </c>
      <c r="BH19" s="39" t="n"/>
      <c r="BI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3">
        <f>IF(SET!AJ20="","",SET!AJ20)</f>
        <v/>
      </c>
      <c r="G20" s="123">
        <f>IF(SET!AK20="","",SET!AK20)</f>
        <v/>
      </c>
      <c r="H20" s="123">
        <f>IF(SET!AL20="","",SET!AL20)</f>
        <v/>
      </c>
      <c r="I20" s="116" t="inlineStr">
        <is>
          <t>N</t>
        </is>
      </c>
      <c r="J20" s="142" t="n"/>
      <c r="K20" s="142" t="n"/>
      <c r="L20" s="142" t="n"/>
      <c r="M20" s="142" t="n"/>
      <c r="N20" s="116" t="inlineStr">
        <is>
          <t>N</t>
        </is>
      </c>
      <c r="O20" s="142" t="n"/>
      <c r="P20" s="116" t="inlineStr">
        <is>
          <t>N</t>
        </is>
      </c>
      <c r="Q20" s="142" t="n"/>
      <c r="R20" s="116" t="inlineStr">
        <is>
          <t>N</t>
        </is>
      </c>
      <c r="S20" s="142" t="n"/>
      <c r="T20" s="142" t="n"/>
      <c r="U20" s="116" t="inlineStr">
        <is>
          <t>N</t>
        </is>
      </c>
      <c r="V20" s="142" t="n"/>
      <c r="W20" s="116" t="inlineStr">
        <is>
          <t>N</t>
        </is>
      </c>
      <c r="X20" s="142" t="n"/>
      <c r="Y20" s="142" t="n"/>
      <c r="Z20" s="116" t="inlineStr">
        <is>
          <t>N</t>
        </is>
      </c>
      <c r="AA20" s="142" t="n"/>
      <c r="AB20" s="116" t="inlineStr">
        <is>
          <t>N</t>
        </is>
      </c>
      <c r="AC20" s="116" t="inlineStr">
        <is>
          <t>N</t>
        </is>
      </c>
      <c r="AD20" s="116" t="inlineStr">
        <is>
          <t>N</t>
        </is>
      </c>
      <c r="AE20" s="142" t="n"/>
      <c r="AF20" s="142" t="n"/>
      <c r="AG20" s="142" t="n"/>
      <c r="AH20" s="142" t="n"/>
      <c r="AI20" s="142" t="n"/>
      <c r="AJ20" s="116" t="inlineStr">
        <is>
          <t>N</t>
        </is>
      </c>
      <c r="AK20" s="116" t="inlineStr">
        <is>
          <t>N</t>
        </is>
      </c>
      <c r="AL20" s="142" t="n"/>
      <c r="AM20" s="142" t="n"/>
      <c r="AN20" s="116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E20" s="110" t="n"/>
      <c r="BF20" s="113" t="inlineStr">
        <is>
          <t>3 · staff</t>
        </is>
      </c>
      <c r="BG20" s="114" t="n">
        <v>13</v>
      </c>
      <c r="BH20" s="39" t="n"/>
      <c r="BI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3">
        <f>IF(SET!AJ21="","",SET!AJ21)</f>
        <v/>
      </c>
      <c r="G21" s="123">
        <f>IF(SET!AK21="","",SET!AK21)</f>
        <v/>
      </c>
      <c r="H21" s="123">
        <f>IF(SET!AL21="","",SET!AL21)</f>
        <v/>
      </c>
      <c r="I21" s="117" t="inlineStr">
        <is>
          <t>T</t>
        </is>
      </c>
      <c r="J21" s="142" t="n"/>
      <c r="K21" s="142" t="n"/>
      <c r="L21" s="116" t="inlineStr">
        <is>
          <t>N</t>
        </is>
      </c>
      <c r="M21" s="117" t="inlineStr">
        <is>
          <t>T</t>
        </is>
      </c>
      <c r="N21" s="142" t="n"/>
      <c r="O21" s="117" t="inlineStr">
        <is>
          <t>T</t>
        </is>
      </c>
      <c r="P21" s="115" t="inlineStr">
        <is>
          <t>D</t>
        </is>
      </c>
      <c r="Q21" s="142" t="n"/>
      <c r="R21" s="108" t="inlineStr">
        <is>
          <t>M</t>
        </is>
      </c>
      <c r="S21" s="108" t="inlineStr">
        <is>
          <t>M</t>
        </is>
      </c>
      <c r="T21" s="117" t="inlineStr">
        <is>
          <t>T</t>
        </is>
      </c>
      <c r="U21" s="142" t="n"/>
      <c r="V21" s="115" t="inlineStr">
        <is>
          <t>D</t>
        </is>
      </c>
      <c r="W21" s="115" t="inlineStr">
        <is>
          <t>D</t>
        </is>
      </c>
      <c r="X21" s="117" t="inlineStr">
        <is>
          <t>T</t>
        </is>
      </c>
      <c r="Y21" s="142" t="n"/>
      <c r="Z21" s="142" t="n"/>
      <c r="AA21" s="142" t="n"/>
      <c r="AB21" s="142" t="n"/>
      <c r="AC21" s="115" t="inlineStr">
        <is>
          <t>D</t>
        </is>
      </c>
      <c r="AD21" s="142" t="n"/>
      <c r="AE21" s="116" t="inlineStr">
        <is>
          <t>N</t>
        </is>
      </c>
      <c r="AF21" s="142" t="n"/>
      <c r="AG21" s="116" t="inlineStr">
        <is>
          <t>N</t>
        </is>
      </c>
      <c r="AH21" s="116" t="inlineStr">
        <is>
          <t>N</t>
        </is>
      </c>
      <c r="AI21" s="142" t="n"/>
      <c r="AJ21" s="115" t="inlineStr">
        <is>
          <t>D</t>
        </is>
      </c>
      <c r="AK21" s="117" t="inlineStr">
        <is>
          <t>T</t>
        </is>
      </c>
      <c r="AL21" s="117" t="inlineStr">
        <is>
          <t>T</t>
        </is>
      </c>
      <c r="AM21" s="142" t="n"/>
      <c r="AN21" s="142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E21" s="110" t="n"/>
      <c r="BF21" s="113" t="inlineStr">
        <is>
          <t>3 · staff</t>
        </is>
      </c>
      <c r="BG21" s="114" t="n">
        <v>14</v>
      </c>
      <c r="BH21" s="39" t="n"/>
      <c r="BI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3">
        <f>IF(SET!AJ22="","",SET!AJ22)</f>
        <v/>
      </c>
      <c r="G22" s="123">
        <f>IF(SET!AK22="","",SET!AK22)</f>
        <v/>
      </c>
      <c r="H22" s="123">
        <f>IF(SET!AL22="","",SET!AL22)</f>
        <v/>
      </c>
      <c r="I22" s="115" t="inlineStr">
        <is>
          <t>D</t>
        </is>
      </c>
      <c r="J22" s="142" t="n"/>
      <c r="K22" s="142" t="n"/>
      <c r="L22" s="117" t="inlineStr">
        <is>
          <t>T</t>
        </is>
      </c>
      <c r="M22" s="142" t="n"/>
      <c r="N22" s="115" t="inlineStr">
        <is>
          <t>D</t>
        </is>
      </c>
      <c r="O22" s="142" t="n"/>
      <c r="P22" s="142" t="n"/>
      <c r="Q22" s="142" t="n"/>
      <c r="R22" s="117" t="inlineStr">
        <is>
          <t>T</t>
        </is>
      </c>
      <c r="S22" s="115" t="inlineStr">
        <is>
          <t>D</t>
        </is>
      </c>
      <c r="T22" s="116" t="inlineStr">
        <is>
          <t>N</t>
        </is>
      </c>
      <c r="U22" s="142" t="n"/>
      <c r="V22" s="108" t="inlineStr">
        <is>
          <t>M</t>
        </is>
      </c>
      <c r="W22" s="142" t="n"/>
      <c r="X22" s="142" t="n"/>
      <c r="Y22" s="115" t="inlineStr">
        <is>
          <t>D</t>
        </is>
      </c>
      <c r="Z22" s="142" t="n"/>
      <c r="AA22" s="142" t="n"/>
      <c r="AB22" s="115" t="inlineStr">
        <is>
          <t>D</t>
        </is>
      </c>
      <c r="AC22" s="108" t="inlineStr">
        <is>
          <t>M</t>
        </is>
      </c>
      <c r="AD22" s="115" t="inlineStr">
        <is>
          <t>D</t>
        </is>
      </c>
      <c r="AE22" s="142" t="n"/>
      <c r="AF22" s="142" t="n"/>
      <c r="AG22" s="142" t="n"/>
      <c r="AH22" s="142" t="n"/>
      <c r="AI22" s="115" t="inlineStr">
        <is>
          <t>D</t>
        </is>
      </c>
      <c r="AJ22" s="142" t="n"/>
      <c r="AK22" s="108" t="inlineStr">
        <is>
          <t>M</t>
        </is>
      </c>
      <c r="AL22" s="115" t="inlineStr">
        <is>
          <t>D</t>
        </is>
      </c>
      <c r="AM22" s="142" t="n"/>
      <c r="AN22" s="142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E22" s="110" t="n"/>
      <c r="BF22" s="113" t="inlineStr">
        <is>
          <t>3 · staff</t>
        </is>
      </c>
      <c r="BG22" s="114" t="n">
        <v>15</v>
      </c>
      <c r="BH22" s="39" t="n"/>
      <c r="BI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3">
        <f>IF(SET!AJ23="","",SET!AJ23)</f>
        <v/>
      </c>
      <c r="G23" s="123">
        <f>IF(SET!AK23="","",SET!AK23)</f>
        <v/>
      </c>
      <c r="H23" s="123">
        <f>IF(SET!AL23="","",SET!AL23)</f>
        <v/>
      </c>
      <c r="I23" s="142" t="n"/>
      <c r="J23" s="142" t="n"/>
      <c r="K23" s="115" t="inlineStr">
        <is>
          <t>D</t>
        </is>
      </c>
      <c r="L23" s="115" t="inlineStr">
        <is>
          <t>D</t>
        </is>
      </c>
      <c r="M23" s="115" t="inlineStr">
        <is>
          <t>D</t>
        </is>
      </c>
      <c r="N23" s="115" t="inlineStr">
        <is>
          <t>D</t>
        </is>
      </c>
      <c r="O23" s="142" t="n"/>
      <c r="P23" s="115" t="inlineStr">
        <is>
          <t>D</t>
        </is>
      </c>
      <c r="Q23" s="142" t="n"/>
      <c r="R23" s="142" t="n"/>
      <c r="S23" s="142" t="n"/>
      <c r="T23" s="142" t="n"/>
      <c r="U23" s="115" t="inlineStr">
        <is>
          <t>D</t>
        </is>
      </c>
      <c r="V23" s="142" t="n"/>
      <c r="W23" s="115" t="inlineStr">
        <is>
          <t>D</t>
        </is>
      </c>
      <c r="X23" s="142" t="n"/>
      <c r="Y23" s="115" t="inlineStr">
        <is>
          <t>D</t>
        </is>
      </c>
      <c r="Z23" s="142" t="n"/>
      <c r="AA23" s="115" t="inlineStr">
        <is>
          <t>D</t>
        </is>
      </c>
      <c r="AB23" s="115" t="inlineStr">
        <is>
          <t>D</t>
        </is>
      </c>
      <c r="AC23" s="142" t="n"/>
      <c r="AD23" s="115" t="inlineStr">
        <is>
          <t>D</t>
        </is>
      </c>
      <c r="AE23" s="142" t="n"/>
      <c r="AF23" s="142" t="n"/>
      <c r="AG23" s="142" t="n"/>
      <c r="AH23" s="115" t="inlineStr">
        <is>
          <t>D</t>
        </is>
      </c>
      <c r="AI23" s="115" t="inlineStr">
        <is>
          <t>D</t>
        </is>
      </c>
      <c r="AJ23" s="142" t="n"/>
      <c r="AK23" s="108" t="inlineStr">
        <is>
          <t>M</t>
        </is>
      </c>
      <c r="AL23" s="142" t="n"/>
      <c r="AM23" s="142" t="n"/>
      <c r="AN23" s="108" t="inlineStr">
        <is>
          <t>M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E23" s="110" t="n"/>
      <c r="BF23" s="113" t="inlineStr">
        <is>
          <t>3 · staff</t>
        </is>
      </c>
      <c r="BG23" s="114" t="n">
        <v>16</v>
      </c>
      <c r="BH23" s="39" t="n"/>
      <c r="BI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3">
        <f>IF(SET!AJ24="","",SET!AJ24)</f>
        <v/>
      </c>
      <c r="G24" s="123">
        <f>IF(SET!AK24="","",SET!AK24)</f>
        <v/>
      </c>
      <c r="H24" s="123">
        <f>IF(SET!AL24="","",SET!AL24)</f>
        <v/>
      </c>
      <c r="I24" s="117" t="inlineStr">
        <is>
          <t>T</t>
        </is>
      </c>
      <c r="J24" s="142" t="n"/>
      <c r="K24" s="116" t="inlineStr">
        <is>
          <t>N</t>
        </is>
      </c>
      <c r="L24" s="142" t="n"/>
      <c r="M24" s="142" t="n"/>
      <c r="N24" s="115" t="inlineStr">
        <is>
          <t>D</t>
        </is>
      </c>
      <c r="O24" s="108" t="inlineStr">
        <is>
          <t>M</t>
        </is>
      </c>
      <c r="P24" s="115" t="inlineStr">
        <is>
          <t>D</t>
        </is>
      </c>
      <c r="Q24" s="108" t="inlineStr">
        <is>
          <t>M</t>
        </is>
      </c>
      <c r="R24" s="142" t="n"/>
      <c r="S24" s="142" t="n"/>
      <c r="T24" s="142" t="n"/>
      <c r="U24" s="115" t="inlineStr">
        <is>
          <t>D</t>
        </is>
      </c>
      <c r="V24" s="142" t="n"/>
      <c r="W24" s="115" t="inlineStr">
        <is>
          <t>D</t>
        </is>
      </c>
      <c r="X24" s="116" t="inlineStr">
        <is>
          <t>N</t>
        </is>
      </c>
      <c r="Y24" s="142" t="n"/>
      <c r="Z24" s="142" t="n"/>
      <c r="AA24" s="142" t="n"/>
      <c r="AB24" s="115" t="inlineStr">
        <is>
          <t>D</t>
        </is>
      </c>
      <c r="AC24" s="142" t="n"/>
      <c r="AD24" s="115" t="inlineStr">
        <is>
          <t>D</t>
        </is>
      </c>
      <c r="AE24" s="142" t="n"/>
      <c r="AF24" s="115" t="inlineStr">
        <is>
          <t>D</t>
        </is>
      </c>
      <c r="AG24" s="142" t="n"/>
      <c r="AH24" s="142" t="n"/>
      <c r="AI24" s="115" t="inlineStr">
        <is>
          <t>D</t>
        </is>
      </c>
      <c r="AJ24" s="142" t="n"/>
      <c r="AK24" s="115" t="inlineStr">
        <is>
          <t>D</t>
        </is>
      </c>
      <c r="AL24" s="142" t="n"/>
      <c r="AM24" s="116" t="inlineStr">
        <is>
          <t>N</t>
        </is>
      </c>
      <c r="AN24" s="142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E24" s="110" t="n"/>
      <c r="BF24" s="113" t="inlineStr">
        <is>
          <t>3 · staff</t>
        </is>
      </c>
      <c r="BG24" s="114" t="n">
        <v>17</v>
      </c>
      <c r="BH24" s="39" t="n"/>
      <c r="BI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3">
        <f>IF(SET!AJ25="","",SET!AJ25)</f>
        <v/>
      </c>
      <c r="G25" s="123">
        <f>IF(SET!AK25="","",SET!AK25)</f>
        <v/>
      </c>
      <c r="H25" s="123">
        <f>IF(SET!AL25="","",SET!AL25)</f>
        <v/>
      </c>
      <c r="I25" s="142" t="n"/>
      <c r="J25" s="142" t="n"/>
      <c r="K25" s="142" t="n"/>
      <c r="L25" s="116" t="inlineStr">
        <is>
          <t>N</t>
        </is>
      </c>
      <c r="M25" s="142" t="n"/>
      <c r="N25" s="116" t="inlineStr">
        <is>
          <t>N</t>
        </is>
      </c>
      <c r="O25" s="116" t="inlineStr">
        <is>
          <t>N</t>
        </is>
      </c>
      <c r="P25" s="142" t="n"/>
      <c r="Q25" s="142" t="n"/>
      <c r="R25" s="142" t="n"/>
      <c r="S25" s="116" t="inlineStr">
        <is>
          <t>N</t>
        </is>
      </c>
      <c r="T25" s="142" t="n"/>
      <c r="U25" s="116" t="inlineStr">
        <is>
          <t>N</t>
        </is>
      </c>
      <c r="V25" s="116" t="inlineStr">
        <is>
          <t>N</t>
        </is>
      </c>
      <c r="W25" s="142" t="n"/>
      <c r="X25" s="142" t="n"/>
      <c r="Y25" s="142" t="n"/>
      <c r="Z25" s="142" t="n"/>
      <c r="AA25" s="142" t="n"/>
      <c r="AB25" s="142" t="n"/>
      <c r="AC25" s="142" t="n"/>
      <c r="AD25" s="142" t="n"/>
      <c r="AE25" s="142" t="n"/>
      <c r="AF25" s="142" t="n"/>
      <c r="AG25" s="142" t="n"/>
      <c r="AH25" s="142" t="n"/>
      <c r="AI25" s="142" t="n"/>
      <c r="AJ25" s="142" t="n"/>
      <c r="AK25" s="142" t="n"/>
      <c r="AL25" s="142" t="n"/>
      <c r="AM25" s="142" t="n"/>
      <c r="AN25" s="142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E25" s="110" t="n"/>
      <c r="BF25" s="113" t="inlineStr">
        <is>
          <t>3 · staff</t>
        </is>
      </c>
      <c r="BG25" s="114" t="n">
        <v>18</v>
      </c>
      <c r="BH25" s="39" t="n"/>
      <c r="BI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3">
        <f>IF(SET!AJ26="","",SET!AJ26)</f>
        <v/>
      </c>
      <c r="G26" s="123">
        <f>IF(SET!AK26="","",SET!AK26)</f>
        <v/>
      </c>
      <c r="H26" s="123">
        <f>IF(SET!AL26="","",SET!AL26)</f>
        <v/>
      </c>
      <c r="I26" s="117" t="inlineStr">
        <is>
          <t>T</t>
        </is>
      </c>
      <c r="J26" s="108" t="inlineStr">
        <is>
          <t>M</t>
        </is>
      </c>
      <c r="K26" s="142" t="n"/>
      <c r="L26" s="116" t="inlineStr">
        <is>
          <t>N</t>
        </is>
      </c>
      <c r="M26" s="117" t="inlineStr">
        <is>
          <t>T</t>
        </is>
      </c>
      <c r="N26" s="116" t="inlineStr">
        <is>
          <t>N</t>
        </is>
      </c>
      <c r="O26" s="142" t="n"/>
      <c r="P26" s="117" t="inlineStr">
        <is>
          <t>T</t>
        </is>
      </c>
      <c r="Q26" s="115" t="inlineStr">
        <is>
          <t>D</t>
        </is>
      </c>
      <c r="R26" s="142" t="n"/>
      <c r="S26" s="142" t="n"/>
      <c r="T26" s="142" t="n"/>
      <c r="U26" s="115" t="inlineStr">
        <is>
          <t>D</t>
        </is>
      </c>
      <c r="V26" s="117" t="inlineStr">
        <is>
          <t>T</t>
        </is>
      </c>
      <c r="W26" s="142" t="n"/>
      <c r="X26" s="117" t="inlineStr">
        <is>
          <t>T</t>
        </is>
      </c>
      <c r="Y26" s="142" t="n"/>
      <c r="Z26" s="116" t="inlineStr">
        <is>
          <t>N</t>
        </is>
      </c>
      <c r="AA26" s="142" t="n"/>
      <c r="AB26" s="116" t="inlineStr">
        <is>
          <t>N</t>
        </is>
      </c>
      <c r="AC26" s="117" t="inlineStr">
        <is>
          <t>T</t>
        </is>
      </c>
      <c r="AD26" s="142" t="n"/>
      <c r="AE26" s="115" t="inlineStr">
        <is>
          <t>D</t>
        </is>
      </c>
      <c r="AF26" s="142" t="n"/>
      <c r="AG26" s="108" t="inlineStr">
        <is>
          <t>M</t>
        </is>
      </c>
      <c r="AH26" s="142" t="n"/>
      <c r="AI26" s="116" t="inlineStr">
        <is>
          <t>N</t>
        </is>
      </c>
      <c r="AJ26" s="142" t="n"/>
      <c r="AK26" s="115" t="inlineStr">
        <is>
          <t>D</t>
        </is>
      </c>
      <c r="AL26" s="142" t="n"/>
      <c r="AM26" s="142" t="n"/>
      <c r="AN26" s="116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E26" s="110" t="n"/>
      <c r="BF26" s="113" t="inlineStr">
        <is>
          <t>3 · staff</t>
        </is>
      </c>
      <c r="BG26" s="114" t="n">
        <v>19</v>
      </c>
      <c r="BH26" s="39" t="n"/>
      <c r="BI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3">
        <f>IF(SET!AJ27="","",SET!AJ27)</f>
        <v/>
      </c>
      <c r="G27" s="123">
        <f>IF(SET!AK27="","",SET!AK27)</f>
        <v/>
      </c>
      <c r="H27" s="123">
        <f>IF(SET!AL27="","",SET!AL27)</f>
        <v/>
      </c>
      <c r="I27" s="116" t="inlineStr">
        <is>
          <t>N</t>
        </is>
      </c>
      <c r="J27" s="126" t="inlineStr">
        <is>
          <t>R</t>
        </is>
      </c>
      <c r="K27" s="142" t="n"/>
      <c r="L27" s="142" t="n"/>
      <c r="M27" s="142" t="n"/>
      <c r="N27" s="116" t="inlineStr">
        <is>
          <t>N</t>
        </is>
      </c>
      <c r="O27" s="142" t="n"/>
      <c r="P27" s="116" t="inlineStr">
        <is>
          <t>N</t>
        </is>
      </c>
      <c r="Q27" s="142" t="n"/>
      <c r="R27" s="116" t="inlineStr">
        <is>
          <t>N</t>
        </is>
      </c>
      <c r="S27" s="142" t="n"/>
      <c r="T27" s="142" t="n"/>
      <c r="U27" s="116" t="inlineStr">
        <is>
          <t>N</t>
        </is>
      </c>
      <c r="V27" s="142" t="n"/>
      <c r="W27" s="116" t="inlineStr">
        <is>
          <t>N</t>
        </is>
      </c>
      <c r="X27" s="142" t="n"/>
      <c r="Y27" s="116" t="inlineStr">
        <is>
          <t>N</t>
        </is>
      </c>
      <c r="Z27" s="142" t="n"/>
      <c r="AA27" s="142" t="n"/>
      <c r="AB27" s="116" t="inlineStr">
        <is>
          <t>N</t>
        </is>
      </c>
      <c r="AC27" s="142" t="n"/>
      <c r="AD27" s="116" t="inlineStr">
        <is>
          <t>N</t>
        </is>
      </c>
      <c r="AE27" s="126" t="inlineStr">
        <is>
          <t>R</t>
        </is>
      </c>
      <c r="AF27" s="142" t="n"/>
      <c r="AG27" s="142" t="n"/>
      <c r="AH27" s="142" t="n"/>
      <c r="AI27" s="116" t="inlineStr">
        <is>
          <t>N</t>
        </is>
      </c>
      <c r="AJ27" s="142" t="n"/>
      <c r="AK27" s="142" t="n"/>
      <c r="AL27" s="142" t="n"/>
      <c r="AM27" s="116" t="inlineStr">
        <is>
          <t>N</t>
        </is>
      </c>
      <c r="AN27" s="142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E27" s="110" t="n"/>
      <c r="BF27" s="113" t="inlineStr">
        <is>
          <t>3 · staff</t>
        </is>
      </c>
      <c r="BG27" s="114" t="n">
        <v>20</v>
      </c>
      <c r="BH27" s="39" t="n"/>
      <c r="BI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3">
        <f>IF(SET!AJ28="","",SET!AJ28)</f>
        <v/>
      </c>
      <c r="G28" s="123">
        <f>IF(SET!AK28="","",SET!AK28)</f>
        <v/>
      </c>
      <c r="H28" s="123">
        <f>IF(SET!AL28="","",SET!AL28)</f>
        <v/>
      </c>
      <c r="I28" s="142" t="n"/>
      <c r="J28" s="142" t="n"/>
      <c r="K28" s="142" t="n"/>
      <c r="L28" s="142" t="n"/>
      <c r="M28" s="142" t="n"/>
      <c r="N28" s="142" t="n"/>
      <c r="O28" s="142" t="n"/>
      <c r="P28" s="142" t="n"/>
      <c r="Q28" s="142" t="n"/>
      <c r="R28" s="142" t="n"/>
      <c r="S28" s="142" t="n"/>
      <c r="T28" s="142" t="n"/>
      <c r="U28" s="115" t="inlineStr">
        <is>
          <t>D</t>
        </is>
      </c>
      <c r="V28" s="117" t="inlineStr">
        <is>
          <t>T</t>
        </is>
      </c>
      <c r="W28" s="142" t="n"/>
      <c r="X28" s="142" t="n"/>
      <c r="Y28" s="142" t="n"/>
      <c r="Z28" s="117" t="inlineStr">
        <is>
          <t>T</t>
        </is>
      </c>
      <c r="AA28" s="116" t="inlineStr">
        <is>
          <t>N</t>
        </is>
      </c>
      <c r="AB28" s="142" t="n"/>
      <c r="AC28" s="142" t="n"/>
      <c r="AD28" s="142" t="n"/>
      <c r="AE28" s="117" t="inlineStr">
        <is>
          <t>T</t>
        </is>
      </c>
      <c r="AF28" s="142" t="n"/>
      <c r="AG28" s="115" t="inlineStr">
        <is>
          <t>D</t>
        </is>
      </c>
      <c r="AH28" s="142" t="n"/>
      <c r="AI28" s="115" t="inlineStr">
        <is>
          <t>D</t>
        </is>
      </c>
      <c r="AJ28" s="142" t="n"/>
      <c r="AK28" s="117" t="inlineStr">
        <is>
          <t>T</t>
        </is>
      </c>
      <c r="AL28" s="116" t="inlineStr">
        <is>
          <t>N</t>
        </is>
      </c>
      <c r="AM28" s="117" t="inlineStr">
        <is>
          <t>T</t>
        </is>
      </c>
      <c r="AN28" s="117" t="inlineStr">
        <is>
          <t>T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E28" s="110" t="n"/>
      <c r="BF28" s="113" t="inlineStr">
        <is>
          <t>3 · staff</t>
        </is>
      </c>
      <c r="BG28" s="114" t="n">
        <v>21</v>
      </c>
      <c r="BH28" s="39" t="n"/>
      <c r="BI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3">
        <f>IF(SET!AJ29="","",SET!AJ29)</f>
        <v/>
      </c>
      <c r="G29" s="123">
        <f>IF(SET!AK29="","",SET!AK29)</f>
        <v/>
      </c>
      <c r="H29" s="123">
        <f>IF(SET!AL29="","",SET!AL29)</f>
        <v/>
      </c>
      <c r="I29" s="108" t="inlineStr">
        <is>
          <t>M</t>
        </is>
      </c>
      <c r="J29" s="142" t="n"/>
      <c r="K29" s="108" t="inlineStr">
        <is>
          <t>M</t>
        </is>
      </c>
      <c r="L29" s="108" t="inlineStr">
        <is>
          <t>M</t>
        </is>
      </c>
      <c r="M29" s="116" t="inlineStr">
        <is>
          <t>N</t>
        </is>
      </c>
      <c r="N29" s="142" t="n"/>
      <c r="O29" s="108" t="inlineStr">
        <is>
          <t>M</t>
        </is>
      </c>
      <c r="P29" s="108" t="inlineStr">
        <is>
          <t>M</t>
        </is>
      </c>
      <c r="Q29" s="142" t="n"/>
      <c r="R29" s="108" t="inlineStr">
        <is>
          <t>M</t>
        </is>
      </c>
      <c r="S29" s="142" t="n"/>
      <c r="T29" s="116" t="inlineStr">
        <is>
          <t>N</t>
        </is>
      </c>
      <c r="U29" s="142" t="n"/>
      <c r="V29" s="108" t="inlineStr">
        <is>
          <t>M</t>
        </is>
      </c>
      <c r="W29" s="108" t="inlineStr">
        <is>
          <t>M</t>
        </is>
      </c>
      <c r="X29" s="142" t="n"/>
      <c r="Y29" s="142" t="n"/>
      <c r="Z29" s="142" t="n"/>
      <c r="AA29" s="116" t="inlineStr">
        <is>
          <t>N</t>
        </is>
      </c>
      <c r="AB29" s="142" t="n"/>
      <c r="AC29" s="108" t="inlineStr">
        <is>
          <t>M</t>
        </is>
      </c>
      <c r="AD29" s="142" t="n"/>
      <c r="AE29" s="116" t="inlineStr">
        <is>
          <t>N</t>
        </is>
      </c>
      <c r="AF29" s="142" t="n"/>
      <c r="AG29" s="108" t="inlineStr">
        <is>
          <t>M</t>
        </is>
      </c>
      <c r="AH29" s="116" t="inlineStr">
        <is>
          <t>N</t>
        </is>
      </c>
      <c r="AI29" s="142" t="n"/>
      <c r="AJ29" s="108" t="inlineStr">
        <is>
          <t>M</t>
        </is>
      </c>
      <c r="AK29" s="108" t="inlineStr">
        <is>
          <t>M</t>
        </is>
      </c>
      <c r="AL29" s="142" t="n"/>
      <c r="AM29" s="108" t="inlineStr">
        <is>
          <t>M</t>
        </is>
      </c>
      <c r="AN29" s="142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E29" s="110" t="n"/>
      <c r="BF29" s="113" t="inlineStr">
        <is>
          <t>3 · staff</t>
        </is>
      </c>
      <c r="BG29" s="114" t="n">
        <v>22</v>
      </c>
      <c r="BH29" s="39" t="n"/>
      <c r="BI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3">
        <f>IF(SET!AJ30="","",SET!AJ30)</f>
        <v/>
      </c>
      <c r="G30" s="123">
        <f>IF(SET!AK30="","",SET!AK30)</f>
        <v/>
      </c>
      <c r="H30" s="123">
        <f>IF(SET!AL30="","",SET!AL30)</f>
        <v/>
      </c>
      <c r="I30" s="142" t="n"/>
      <c r="J30" s="142" t="n"/>
      <c r="K30" s="142" t="n"/>
      <c r="L30" s="142" t="n"/>
      <c r="M30" s="142" t="n"/>
      <c r="N30" s="142" t="n"/>
      <c r="O30" s="142" t="n"/>
      <c r="P30" s="142" t="n"/>
      <c r="Q30" s="142" t="n"/>
      <c r="R30" s="142" t="n"/>
      <c r="S30" s="116" t="inlineStr">
        <is>
          <t>N</t>
        </is>
      </c>
      <c r="T30" s="142" t="n"/>
      <c r="U30" s="142" t="n"/>
      <c r="V30" s="142" t="n"/>
      <c r="W30" s="142" t="n"/>
      <c r="X30" s="142" t="n"/>
      <c r="Y30" s="142" t="n"/>
      <c r="Z30" s="116" t="inlineStr">
        <is>
          <t>N</t>
        </is>
      </c>
      <c r="AA30" s="142" t="n"/>
      <c r="AB30" s="142" t="n"/>
      <c r="AC30" s="142" t="n"/>
      <c r="AD30" s="142" t="n"/>
      <c r="AE30" s="142" t="n"/>
      <c r="AF30" s="142" t="n"/>
      <c r="AG30" s="117" t="inlineStr">
        <is>
          <t>T</t>
        </is>
      </c>
      <c r="AH30" s="142" t="n"/>
      <c r="AI30" s="142" t="n"/>
      <c r="AJ30" s="142" t="n"/>
      <c r="AK30" s="142" t="n"/>
      <c r="AL30" s="142" t="n"/>
      <c r="AM30" s="142" t="n"/>
      <c r="AN30" s="142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E30" s="110" t="n"/>
      <c r="BF30" s="113" t="inlineStr">
        <is>
          <t>3 · staff</t>
        </is>
      </c>
      <c r="BG30" s="114" t="n">
        <v>23</v>
      </c>
      <c r="BH30" s="39" t="n"/>
      <c r="BI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3">
        <f>IF(SET!AJ31="","",SET!AJ31)</f>
        <v/>
      </c>
      <c r="G31" s="123">
        <f>IF(SET!AK31="","",SET!AK31)</f>
        <v/>
      </c>
      <c r="H31" s="123">
        <f>IF(SET!AL31="","",SET!AL31)</f>
        <v/>
      </c>
      <c r="I31" s="108" t="inlineStr">
        <is>
          <t>M</t>
        </is>
      </c>
      <c r="J31" s="108" t="inlineStr">
        <is>
          <t>M</t>
        </is>
      </c>
      <c r="K31" s="142" t="n"/>
      <c r="L31" s="142" t="n"/>
      <c r="M31" s="142" t="n"/>
      <c r="N31" s="117" t="inlineStr">
        <is>
          <t>T</t>
        </is>
      </c>
      <c r="O31" s="108" t="inlineStr">
        <is>
          <t>M</t>
        </is>
      </c>
      <c r="P31" s="142" t="n"/>
      <c r="Q31" s="108" t="inlineStr">
        <is>
          <t>M</t>
        </is>
      </c>
      <c r="R31" s="142" t="n"/>
      <c r="S31" s="116" t="inlineStr">
        <is>
          <t>N</t>
        </is>
      </c>
      <c r="T31" s="142" t="n"/>
      <c r="U31" s="117" t="inlineStr">
        <is>
          <t>T</t>
        </is>
      </c>
      <c r="V31" s="108" t="inlineStr">
        <is>
          <t>M</t>
        </is>
      </c>
      <c r="W31" s="117" t="inlineStr">
        <is>
          <t>T</t>
        </is>
      </c>
      <c r="X31" s="116" t="inlineStr">
        <is>
          <t>N</t>
        </is>
      </c>
      <c r="Y31" s="142" t="n"/>
      <c r="Z31" s="142" t="n"/>
      <c r="AA31" s="142" t="n"/>
      <c r="AB31" s="117" t="inlineStr">
        <is>
          <t>T</t>
        </is>
      </c>
      <c r="AC31" s="142" t="n"/>
      <c r="AD31" s="142" t="n"/>
      <c r="AE31" s="108" t="inlineStr">
        <is>
          <t>M</t>
        </is>
      </c>
      <c r="AF31" s="108" t="inlineStr">
        <is>
          <t>M</t>
        </is>
      </c>
      <c r="AG31" s="116" t="inlineStr">
        <is>
          <t>N</t>
        </is>
      </c>
      <c r="AH31" s="142" t="n"/>
      <c r="AI31" s="117" t="inlineStr">
        <is>
          <t>T</t>
        </is>
      </c>
      <c r="AJ31" s="115" t="inlineStr">
        <is>
          <t>D</t>
        </is>
      </c>
      <c r="AK31" s="117" t="inlineStr">
        <is>
          <t>T</t>
        </is>
      </c>
      <c r="AL31" s="108" t="inlineStr">
        <is>
          <t>M</t>
        </is>
      </c>
      <c r="AM31" s="142" t="n"/>
      <c r="AN31" s="142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E31" s="110" t="n"/>
      <c r="BF31" s="113" t="inlineStr">
        <is>
          <t>3 · staff</t>
        </is>
      </c>
      <c r="BG31" s="114" t="n">
        <v>24</v>
      </c>
      <c r="BH31" s="39" t="n"/>
      <c r="BI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3">
        <f>IF(SET!AJ32="","",SET!AJ32)</f>
        <v/>
      </c>
      <c r="G32" s="123">
        <f>IF(SET!AK32="","",SET!AK32)</f>
        <v/>
      </c>
      <c r="H32" s="123">
        <f>IF(SET!AL32="","",SET!AL32)</f>
        <v/>
      </c>
      <c r="I32" s="142" t="n"/>
      <c r="J32" s="142" t="n"/>
      <c r="K32" s="142" t="n"/>
      <c r="L32" s="142" t="n"/>
      <c r="M32" s="142" t="n"/>
      <c r="N32" s="142" t="n"/>
      <c r="O32" s="142" t="n"/>
      <c r="P32" s="142" t="n"/>
      <c r="Q32" s="142" t="n"/>
      <c r="R32" s="108" t="inlineStr">
        <is>
          <t>M</t>
        </is>
      </c>
      <c r="S32" s="116" t="inlineStr">
        <is>
          <t>N</t>
        </is>
      </c>
      <c r="T32" s="142" t="n"/>
      <c r="U32" s="142" t="n"/>
      <c r="V32" s="142" t="n"/>
      <c r="W32" s="142" t="n"/>
      <c r="X32" s="142" t="n"/>
      <c r="Y32" s="142" t="n"/>
      <c r="Z32" s="142" t="n"/>
      <c r="AA32" s="108" t="inlineStr">
        <is>
          <t>M</t>
        </is>
      </c>
      <c r="AB32" s="142" t="n"/>
      <c r="AC32" s="142" t="n"/>
      <c r="AD32" s="142" t="n"/>
      <c r="AE32" s="116" t="inlineStr">
        <is>
          <t>N</t>
        </is>
      </c>
      <c r="AF32" s="142" t="n"/>
      <c r="AG32" s="115" t="inlineStr">
        <is>
          <t>D</t>
        </is>
      </c>
      <c r="AH32" s="115" t="inlineStr">
        <is>
          <t>D</t>
        </is>
      </c>
      <c r="AI32" s="142" t="n"/>
      <c r="AJ32" s="142" t="n"/>
      <c r="AK32" s="115" t="inlineStr">
        <is>
          <t>D</t>
        </is>
      </c>
      <c r="AL32" s="108" t="inlineStr">
        <is>
          <t>M</t>
        </is>
      </c>
      <c r="AM32" s="142" t="n"/>
      <c r="AN32" s="142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E32" s="110" t="n"/>
      <c r="BF32" s="113" t="inlineStr">
        <is>
          <t>3 · staff</t>
        </is>
      </c>
      <c r="BG32" s="114" t="n">
        <v>25</v>
      </c>
      <c r="BH32" s="39" t="n"/>
      <c r="BI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3">
        <f>IF(SET!AJ33="","",SET!AJ33)</f>
        <v/>
      </c>
      <c r="G33" s="123">
        <f>IF(SET!AK33="","",SET!AK33)</f>
        <v/>
      </c>
      <c r="H33" s="123">
        <f>IF(SET!AL33="","",SET!AL33)</f>
        <v/>
      </c>
      <c r="I33" s="142" t="n"/>
      <c r="J33" s="117" t="inlineStr">
        <is>
          <t>T</t>
        </is>
      </c>
      <c r="K33" s="108" t="inlineStr">
        <is>
          <t>M</t>
        </is>
      </c>
      <c r="L33" s="142" t="n"/>
      <c r="M33" s="115" t="inlineStr">
        <is>
          <t>D</t>
        </is>
      </c>
      <c r="N33" s="142" t="n"/>
      <c r="O33" s="142" t="n"/>
      <c r="P33" s="142" t="n"/>
      <c r="Q33" s="142" t="n"/>
      <c r="R33" s="115" t="inlineStr">
        <is>
          <t>D</t>
        </is>
      </c>
      <c r="S33" s="142" t="n"/>
      <c r="T33" s="108" t="inlineStr">
        <is>
          <t>M</t>
        </is>
      </c>
      <c r="U33" s="142" t="n"/>
      <c r="V33" s="142" t="n"/>
      <c r="W33" s="142" t="n"/>
      <c r="X33" s="115" t="inlineStr">
        <is>
          <t>D</t>
        </is>
      </c>
      <c r="Y33" s="108" t="inlineStr">
        <is>
          <t>M</t>
        </is>
      </c>
      <c r="Z33" s="142" t="n"/>
      <c r="AA33" s="115" t="inlineStr">
        <is>
          <t>D</t>
        </is>
      </c>
      <c r="AB33" s="142" t="n"/>
      <c r="AC33" s="142" t="n"/>
      <c r="AD33" s="142" t="n"/>
      <c r="AE33" s="115" t="inlineStr">
        <is>
          <t>D</t>
        </is>
      </c>
      <c r="AF33" s="142" t="n"/>
      <c r="AG33" s="142" t="n"/>
      <c r="AH33" s="115" t="inlineStr">
        <is>
          <t>D</t>
        </is>
      </c>
      <c r="AI33" s="142" t="n"/>
      <c r="AJ33" s="142" t="n"/>
      <c r="AK33" s="142" t="n"/>
      <c r="AL33" s="116" t="inlineStr">
        <is>
          <t>N</t>
        </is>
      </c>
      <c r="AM33" s="142" t="n"/>
      <c r="AN33" s="142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E33" s="110" t="n"/>
      <c r="BF33" s="113" t="inlineStr">
        <is>
          <t>3 · staff</t>
        </is>
      </c>
      <c r="BG33" s="114" t="n">
        <v>26</v>
      </c>
      <c r="BH33" s="39" t="n"/>
      <c r="BI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3">
        <f>IF(SET!AJ34="","",SET!AJ34)</f>
        <v/>
      </c>
      <c r="G34" s="123">
        <f>IF(SET!AK34="","",SET!AK34)</f>
        <v/>
      </c>
      <c r="H34" s="123">
        <f>IF(SET!AL34="","",SET!AL34)</f>
        <v/>
      </c>
      <c r="I34" s="142" t="n"/>
      <c r="J34" s="142" t="n"/>
      <c r="K34" s="115" t="inlineStr">
        <is>
          <t>D</t>
        </is>
      </c>
      <c r="L34" s="108" t="inlineStr">
        <is>
          <t>M</t>
        </is>
      </c>
      <c r="M34" s="142" t="n"/>
      <c r="N34" s="115" t="inlineStr">
        <is>
          <t>D</t>
        </is>
      </c>
      <c r="O34" s="108" t="inlineStr">
        <is>
          <t>M</t>
        </is>
      </c>
      <c r="P34" s="142" t="n"/>
      <c r="Q34" s="142" t="n"/>
      <c r="R34" s="115" t="inlineStr">
        <is>
          <t>D</t>
        </is>
      </c>
      <c r="S34" s="142" t="n"/>
      <c r="T34" s="108" t="inlineStr">
        <is>
          <t>M</t>
        </is>
      </c>
      <c r="U34" s="142" t="n"/>
      <c r="V34" s="108" t="inlineStr">
        <is>
          <t>M</t>
        </is>
      </c>
      <c r="W34" s="142" t="n"/>
      <c r="X34" s="116" t="inlineStr">
        <is>
          <t>N</t>
        </is>
      </c>
      <c r="Y34" s="142" t="n"/>
      <c r="Z34" s="142" t="n"/>
      <c r="AA34" s="115" t="inlineStr">
        <is>
          <t>D</t>
        </is>
      </c>
      <c r="AB34" s="108" t="inlineStr">
        <is>
          <t>M</t>
        </is>
      </c>
      <c r="AC34" s="115" t="inlineStr">
        <is>
          <t>D</t>
        </is>
      </c>
      <c r="AD34" s="142" t="n"/>
      <c r="AE34" s="142" t="n"/>
      <c r="AF34" s="142" t="n"/>
      <c r="AG34" s="142" t="n"/>
      <c r="AH34" s="142" t="n"/>
      <c r="AI34" s="115" t="inlineStr">
        <is>
          <t>D</t>
        </is>
      </c>
      <c r="AJ34" s="115" t="inlineStr">
        <is>
          <t>D</t>
        </is>
      </c>
      <c r="AK34" s="108" t="inlineStr">
        <is>
          <t>M</t>
        </is>
      </c>
      <c r="AL34" s="142" t="n"/>
      <c r="AM34" s="142" t="n"/>
      <c r="AN34" s="142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E34" s="110" t="n"/>
      <c r="BF34" s="113" t="inlineStr">
        <is>
          <t>3 · staff</t>
        </is>
      </c>
      <c r="BG34" s="114" t="n">
        <v>27</v>
      </c>
      <c r="BH34" s="39" t="n"/>
      <c r="BI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3">
        <f>IF(SET!AJ35="","",SET!AJ35)</f>
        <v/>
      </c>
      <c r="G35" s="123">
        <f>IF(SET!AK35="","",SET!AK35)</f>
        <v/>
      </c>
      <c r="H35" s="123">
        <f>IF(SET!AL35="","",SET!AL35)</f>
        <v/>
      </c>
      <c r="I35" s="116" t="inlineStr">
        <is>
          <t>N</t>
        </is>
      </c>
      <c r="J35" s="117" t="inlineStr">
        <is>
          <t>T</t>
        </is>
      </c>
      <c r="K35" s="142" t="n"/>
      <c r="L35" s="142" t="n"/>
      <c r="M35" s="142" t="n"/>
      <c r="N35" s="142" t="n"/>
      <c r="O35" s="142" t="n"/>
      <c r="P35" s="142" t="n"/>
      <c r="Q35" s="116" t="inlineStr">
        <is>
          <t>N</t>
        </is>
      </c>
      <c r="R35" s="116" t="inlineStr">
        <is>
          <t>N</t>
        </is>
      </c>
      <c r="S35" s="117" t="inlineStr">
        <is>
          <t>T</t>
        </is>
      </c>
      <c r="T35" s="116" t="inlineStr">
        <is>
          <t>N</t>
        </is>
      </c>
      <c r="U35" s="142" t="n"/>
      <c r="V35" s="142" t="n"/>
      <c r="W35" s="117" t="inlineStr">
        <is>
          <t>T</t>
        </is>
      </c>
      <c r="X35" s="142" t="n"/>
      <c r="Y35" s="142" t="n"/>
      <c r="Z35" s="115" t="inlineStr">
        <is>
          <t>D</t>
        </is>
      </c>
      <c r="AA35" s="116" t="inlineStr">
        <is>
          <t>N</t>
        </is>
      </c>
      <c r="AB35" s="142" t="n"/>
      <c r="AC35" s="117" t="inlineStr">
        <is>
          <t>T</t>
        </is>
      </c>
      <c r="AD35" s="142" t="n"/>
      <c r="AE35" s="115" t="inlineStr">
        <is>
          <t>D</t>
        </is>
      </c>
      <c r="AF35" s="142" t="n"/>
      <c r="AG35" s="142" t="n"/>
      <c r="AH35" s="116" t="inlineStr">
        <is>
          <t>N</t>
        </is>
      </c>
      <c r="AI35" s="142" t="n"/>
      <c r="AJ35" s="117" t="inlineStr">
        <is>
          <t>T</t>
        </is>
      </c>
      <c r="AK35" s="142" t="n"/>
      <c r="AL35" s="115" t="inlineStr">
        <is>
          <t>D</t>
        </is>
      </c>
      <c r="AM35" s="142" t="n"/>
      <c r="AN35" s="142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E35" s="110" t="n"/>
      <c r="BF35" s="113" t="inlineStr">
        <is>
          <t>3 · staff</t>
        </is>
      </c>
      <c r="BG35" s="114" t="n">
        <v>28</v>
      </c>
      <c r="BH35" s="39" t="n"/>
      <c r="BI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3">
        <f>IF(SET!AJ36="","",SET!AJ36)</f>
        <v/>
      </c>
      <c r="G36" s="123">
        <f>IF(SET!AK36="","",SET!AK36)</f>
        <v/>
      </c>
      <c r="H36" s="123">
        <f>IF(SET!AL36="","",SET!AL36)</f>
        <v/>
      </c>
      <c r="I36" s="142" t="n"/>
      <c r="J36" s="115" t="inlineStr">
        <is>
          <t>D</t>
        </is>
      </c>
      <c r="K36" s="142" t="n"/>
      <c r="L36" s="117" t="inlineStr">
        <is>
          <t>T</t>
        </is>
      </c>
      <c r="M36" s="108" t="inlineStr">
        <is>
          <t>M</t>
        </is>
      </c>
      <c r="N36" s="116" t="inlineStr">
        <is>
          <t>N</t>
        </is>
      </c>
      <c r="O36" s="142" t="n"/>
      <c r="P36" s="142" t="n"/>
      <c r="Q36" s="142" t="n"/>
      <c r="R36" s="115" t="inlineStr">
        <is>
          <t>D</t>
        </is>
      </c>
      <c r="S36" s="142" t="n"/>
      <c r="T36" s="142" t="n"/>
      <c r="U36" s="116" t="inlineStr">
        <is>
          <t>N</t>
        </is>
      </c>
      <c r="V36" s="142" t="n"/>
      <c r="W36" s="117" t="inlineStr">
        <is>
          <t>T</t>
        </is>
      </c>
      <c r="X36" s="115" t="inlineStr">
        <is>
          <t>D</t>
        </is>
      </c>
      <c r="Y36" s="115" t="inlineStr">
        <is>
          <t>D</t>
        </is>
      </c>
      <c r="Z36" s="142" t="n"/>
      <c r="AA36" s="115" t="inlineStr">
        <is>
          <t>D</t>
        </is>
      </c>
      <c r="AB36" s="116" t="inlineStr">
        <is>
          <t>N</t>
        </is>
      </c>
      <c r="AC36" s="142" t="n"/>
      <c r="AD36" s="142" t="n"/>
      <c r="AE36" s="142" t="n"/>
      <c r="AF36" s="142" t="n"/>
      <c r="AG36" s="108" t="inlineStr">
        <is>
          <t>M</t>
        </is>
      </c>
      <c r="AH36" s="142" t="n"/>
      <c r="AI36" s="115" t="inlineStr">
        <is>
          <t>D</t>
        </is>
      </c>
      <c r="AJ36" s="142" t="n"/>
      <c r="AK36" s="142" t="n"/>
      <c r="AL36" s="117" t="inlineStr">
        <is>
          <t>T</t>
        </is>
      </c>
      <c r="AM36" s="142" t="n"/>
      <c r="AN36" s="115" t="inlineStr">
        <is>
          <t>D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E36" s="110" t="n"/>
      <c r="BF36" s="113" t="inlineStr">
        <is>
          <t>3 · staff</t>
        </is>
      </c>
      <c r="BG36" s="114" t="n">
        <v>29</v>
      </c>
      <c r="BH36" s="39" t="n"/>
      <c r="BI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3">
        <f>IF(SET!AJ37="","",SET!AJ37)</f>
        <v/>
      </c>
      <c r="G37" s="123">
        <f>IF(SET!AK37="","",SET!AK37)</f>
        <v/>
      </c>
      <c r="H37" s="123">
        <f>IF(SET!AL37="","",SET!AL37)</f>
        <v/>
      </c>
      <c r="I37" s="142" t="n"/>
      <c r="J37" s="142" t="n"/>
      <c r="K37" s="142" t="n"/>
      <c r="L37" s="142" t="n"/>
      <c r="M37" s="142" t="n"/>
      <c r="N37" s="142" t="n"/>
      <c r="O37" s="142" t="n"/>
      <c r="P37" s="142" t="n"/>
      <c r="Q37" s="142" t="n"/>
      <c r="R37" s="142" t="n"/>
      <c r="S37" s="142" t="n"/>
      <c r="T37" s="142" t="n"/>
      <c r="U37" s="142" t="n"/>
      <c r="V37" s="142" t="n"/>
      <c r="W37" s="142" t="n"/>
      <c r="X37" s="142" t="n"/>
      <c r="Y37" s="115" t="inlineStr">
        <is>
          <t>D</t>
        </is>
      </c>
      <c r="Z37" s="116" t="inlineStr">
        <is>
          <t>N</t>
        </is>
      </c>
      <c r="AA37" s="142" t="n"/>
      <c r="AB37" s="117" t="inlineStr">
        <is>
          <t>T</t>
        </is>
      </c>
      <c r="AC37" s="142" t="n"/>
      <c r="AD37" s="142" t="n"/>
      <c r="AE37" s="142" t="n"/>
      <c r="AF37" s="117" t="inlineStr">
        <is>
          <t>T</t>
        </is>
      </c>
      <c r="AG37" s="142" t="n"/>
      <c r="AH37" s="142" t="n"/>
      <c r="AI37" s="115" t="inlineStr">
        <is>
          <t>D</t>
        </is>
      </c>
      <c r="AJ37" s="117" t="inlineStr">
        <is>
          <t>T</t>
        </is>
      </c>
      <c r="AK37" s="117" t="inlineStr">
        <is>
          <t>T</t>
        </is>
      </c>
      <c r="AL37" s="108" t="inlineStr">
        <is>
          <t>M</t>
        </is>
      </c>
      <c r="AM37" s="142" t="n"/>
      <c r="AN37" s="142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E37" s="110" t="n"/>
      <c r="BF37" s="113" t="inlineStr">
        <is>
          <t>3 · staff</t>
        </is>
      </c>
      <c r="BG37" s="114" t="n">
        <v>30</v>
      </c>
      <c r="BH37" s="39" t="n"/>
      <c r="BI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3">
        <f>IF(SET!AJ38="","",SET!AJ38)</f>
        <v/>
      </c>
      <c r="G38" s="123">
        <f>IF(SET!AK38="","",SET!AK38)</f>
        <v/>
      </c>
      <c r="H38" s="123">
        <f>IF(SET!AL38="","",SET!AL38)</f>
        <v/>
      </c>
      <c r="I38" s="142" t="n"/>
      <c r="J38" s="116" t="inlineStr">
        <is>
          <t>N</t>
        </is>
      </c>
      <c r="K38" s="142" t="n"/>
      <c r="L38" s="142" t="n"/>
      <c r="M38" s="115" t="inlineStr">
        <is>
          <t>D</t>
        </is>
      </c>
      <c r="N38" s="142" t="n"/>
      <c r="O38" s="142" t="n"/>
      <c r="P38" s="116" t="inlineStr">
        <is>
          <t>N</t>
        </is>
      </c>
      <c r="Q38" s="142" t="n"/>
      <c r="R38" s="142" t="n"/>
      <c r="S38" s="142" t="n"/>
      <c r="T38" s="142" t="n"/>
      <c r="U38" s="115" t="inlineStr">
        <is>
          <t>D</t>
        </is>
      </c>
      <c r="V38" s="142" t="n"/>
      <c r="W38" s="142" t="n"/>
      <c r="X38" s="115" t="inlineStr">
        <is>
          <t>D</t>
        </is>
      </c>
      <c r="Y38" s="116" t="inlineStr">
        <is>
          <t>N</t>
        </is>
      </c>
      <c r="Z38" s="142" t="n"/>
      <c r="AA38" s="108" t="inlineStr">
        <is>
          <t>M</t>
        </is>
      </c>
      <c r="AB38" s="108" t="inlineStr">
        <is>
          <t>M</t>
        </is>
      </c>
      <c r="AC38" s="142" t="n"/>
      <c r="AD38" s="142" t="n"/>
      <c r="AE38" s="142" t="n"/>
      <c r="AF38" s="116" t="inlineStr">
        <is>
          <t>N</t>
        </is>
      </c>
      <c r="AG38" s="142" t="n"/>
      <c r="AH38" s="142" t="n"/>
      <c r="AI38" s="142" t="n"/>
      <c r="AJ38" s="142" t="n"/>
      <c r="AK38" s="116" t="inlineStr">
        <is>
          <t>N</t>
        </is>
      </c>
      <c r="AL38" s="142" t="n"/>
      <c r="AM38" s="115" t="inlineStr">
        <is>
          <t>D</t>
        </is>
      </c>
      <c r="AN38" s="142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E38" s="110" t="n"/>
      <c r="BF38" s="113" t="inlineStr">
        <is>
          <t>3 · staff</t>
        </is>
      </c>
      <c r="BG38" s="114" t="n">
        <v>31</v>
      </c>
      <c r="BH38" s="39" t="n"/>
      <c r="BI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3">
        <f>IF(SET!AJ39="","",SET!AJ39)</f>
        <v/>
      </c>
      <c r="G39" s="123">
        <f>IF(SET!AK39="","",SET!AK39)</f>
        <v/>
      </c>
      <c r="H39" s="123">
        <f>IF(SET!AL39="","",SET!AL39)</f>
        <v/>
      </c>
      <c r="I39" s="142" t="n"/>
      <c r="J39" s="142" t="n"/>
      <c r="K39" s="116" t="inlineStr">
        <is>
          <t>N</t>
        </is>
      </c>
      <c r="L39" s="142" t="n"/>
      <c r="M39" s="117" t="inlineStr">
        <is>
          <t>T</t>
        </is>
      </c>
      <c r="N39" s="142" t="n"/>
      <c r="O39" s="115" t="inlineStr">
        <is>
          <t>D</t>
        </is>
      </c>
      <c r="P39" s="142" t="n"/>
      <c r="Q39" s="108" t="inlineStr">
        <is>
          <t>M</t>
        </is>
      </c>
      <c r="R39" s="142" t="n"/>
      <c r="S39" s="142" t="n"/>
      <c r="T39" s="117" t="inlineStr">
        <is>
          <t>T</t>
        </is>
      </c>
      <c r="U39" s="142" t="n"/>
      <c r="V39" s="115" t="inlineStr">
        <is>
          <t>D</t>
        </is>
      </c>
      <c r="W39" s="142" t="n"/>
      <c r="X39" s="108" t="inlineStr">
        <is>
          <t>M</t>
        </is>
      </c>
      <c r="Y39" s="116" t="inlineStr">
        <is>
          <t>N</t>
        </is>
      </c>
      <c r="Z39" s="142" t="n"/>
      <c r="AA39" s="117" t="inlineStr">
        <is>
          <t>T</t>
        </is>
      </c>
      <c r="AB39" s="142" t="n"/>
      <c r="AC39" s="115" t="inlineStr">
        <is>
          <t>D</t>
        </is>
      </c>
      <c r="AD39" s="142" t="n"/>
      <c r="AE39" s="108" t="inlineStr">
        <is>
          <t>M</t>
        </is>
      </c>
      <c r="AF39" s="142" t="n"/>
      <c r="AG39" s="142" t="n"/>
      <c r="AH39" s="142" t="n"/>
      <c r="AI39" s="142" t="n"/>
      <c r="AJ39" s="142" t="n"/>
      <c r="AK39" s="142" t="n"/>
      <c r="AL39" s="116" t="inlineStr">
        <is>
          <t>N</t>
        </is>
      </c>
      <c r="AM39" s="116" t="inlineStr">
        <is>
          <t>N</t>
        </is>
      </c>
      <c r="AN39" s="142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E39" s="110" t="n"/>
      <c r="BF39" s="113" t="inlineStr">
        <is>
          <t>3 · staff</t>
        </is>
      </c>
      <c r="BG39" s="114" t="n">
        <v>32</v>
      </c>
      <c r="BH39" s="39" t="n"/>
      <c r="BI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3">
        <f>IF(SET!AJ40="","",SET!AJ40)</f>
        <v/>
      </c>
      <c r="G40" s="123">
        <f>IF(SET!AK40="","",SET!AK40)</f>
        <v/>
      </c>
      <c r="H40" s="123">
        <f>IF(SET!AL40="","",SET!AL40)</f>
        <v/>
      </c>
      <c r="I40" s="142" t="n"/>
      <c r="J40" s="142" t="n"/>
      <c r="K40" s="142" t="n"/>
      <c r="L40" s="142" t="n"/>
      <c r="M40" s="142" t="n"/>
      <c r="N40" s="142" t="n"/>
      <c r="O40" s="142" t="n"/>
      <c r="P40" s="142" t="n"/>
      <c r="Q40" s="142" t="n"/>
      <c r="R40" s="142" t="n"/>
      <c r="S40" s="142" t="n"/>
      <c r="T40" s="142" t="n"/>
      <c r="U40" s="142" t="n"/>
      <c r="V40" s="142" t="n"/>
      <c r="W40" s="142" t="n"/>
      <c r="X40" s="142" t="n"/>
      <c r="Y40" s="142" t="n"/>
      <c r="Z40" s="142" t="n"/>
      <c r="AA40" s="142" t="n"/>
      <c r="AB40" s="142" t="n"/>
      <c r="AC40" s="142" t="n"/>
      <c r="AD40" s="142" t="n"/>
      <c r="AE40" s="142" t="n"/>
      <c r="AF40" s="142" t="n"/>
      <c r="AG40" s="142" t="n"/>
      <c r="AH40" s="142" t="n"/>
      <c r="AI40" s="116" t="inlineStr">
        <is>
          <t>N</t>
        </is>
      </c>
      <c r="AJ40" s="142" t="n"/>
      <c r="AK40" s="116" t="inlineStr">
        <is>
          <t>N</t>
        </is>
      </c>
      <c r="AL40" s="142" t="n"/>
      <c r="AM40" s="142" t="n"/>
      <c r="AN40" s="116" t="inlineStr">
        <is>
          <t>N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E40" s="110" t="n"/>
      <c r="BF40" s="113" t="inlineStr">
        <is>
          <t>3 · staff</t>
        </is>
      </c>
      <c r="BG40" s="114" t="n">
        <v>33</v>
      </c>
      <c r="BH40" s="39" t="n"/>
      <c r="BI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3">
        <f>IF(SET!AJ41="","",SET!AJ41)</f>
        <v/>
      </c>
      <c r="G41" s="123">
        <f>IF(SET!AK41="","",SET!AK41)</f>
        <v/>
      </c>
      <c r="H41" s="123">
        <f>IF(SET!AL41="","",SET!AL41)</f>
        <v/>
      </c>
      <c r="I41" s="142" t="n"/>
      <c r="J41" s="117" t="inlineStr">
        <is>
          <t>T</t>
        </is>
      </c>
      <c r="K41" s="115" t="inlineStr">
        <is>
          <t>D</t>
        </is>
      </c>
      <c r="L41" s="116" t="inlineStr">
        <is>
          <t>N</t>
        </is>
      </c>
      <c r="M41" s="115" t="inlineStr">
        <is>
          <t>D</t>
        </is>
      </c>
      <c r="N41" s="142" t="n"/>
      <c r="O41" s="142" t="n"/>
      <c r="P41" s="115" t="inlineStr">
        <is>
          <t>D</t>
        </is>
      </c>
      <c r="Q41" s="142" t="n"/>
      <c r="R41" s="142" t="n"/>
      <c r="S41" s="142" t="n"/>
      <c r="T41" s="115" t="inlineStr">
        <is>
          <t>D</t>
        </is>
      </c>
      <c r="U41" s="115" t="inlineStr">
        <is>
          <t>D</t>
        </is>
      </c>
      <c r="V41" s="142" t="n"/>
      <c r="W41" s="142" t="n"/>
      <c r="X41" s="142" t="n"/>
      <c r="Y41" s="142" t="n"/>
      <c r="Z41" s="142" t="n"/>
      <c r="AA41" s="142" t="n"/>
      <c r="AB41" s="142" t="n"/>
      <c r="AC41" s="142" t="n"/>
      <c r="AD41" s="115" t="inlineStr">
        <is>
          <t>D</t>
        </is>
      </c>
      <c r="AE41" s="142" t="n"/>
      <c r="AF41" s="115" t="inlineStr">
        <is>
          <t>D</t>
        </is>
      </c>
      <c r="AG41" s="142" t="n"/>
      <c r="AH41" s="115" t="inlineStr">
        <is>
          <t>D</t>
        </is>
      </c>
      <c r="AI41" s="142" t="n"/>
      <c r="AJ41" s="142" t="n"/>
      <c r="AK41" s="142" t="n"/>
      <c r="AL41" s="116" t="inlineStr">
        <is>
          <t>N</t>
        </is>
      </c>
      <c r="AM41" s="142" t="n"/>
      <c r="AN41" s="142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E41" s="110" t="n"/>
      <c r="BF41" s="113" t="inlineStr">
        <is>
          <t>3 · staff</t>
        </is>
      </c>
      <c r="BG41" s="114" t="n">
        <v>34</v>
      </c>
      <c r="BH41" s="39" t="n"/>
      <c r="BI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3">
        <f>IF(SET!AJ42="","",SET!AJ42)</f>
        <v/>
      </c>
      <c r="G42" s="123">
        <f>IF(SET!AK42="","",SET!AK42)</f>
        <v/>
      </c>
      <c r="H42" s="123">
        <f>IF(SET!AL42="","",SET!AL42)</f>
        <v/>
      </c>
      <c r="I42" s="116" t="inlineStr">
        <is>
          <t>N</t>
        </is>
      </c>
      <c r="J42" s="142" t="n"/>
      <c r="K42" s="142" t="n"/>
      <c r="L42" s="142" t="n"/>
      <c r="M42" s="142" t="n"/>
      <c r="N42" s="142" t="n"/>
      <c r="O42" s="116" t="inlineStr">
        <is>
          <t>N</t>
        </is>
      </c>
      <c r="P42" s="142" t="n"/>
      <c r="Q42" s="142" t="n"/>
      <c r="R42" s="116" t="inlineStr">
        <is>
          <t>N</t>
        </is>
      </c>
      <c r="S42" s="142" t="n"/>
      <c r="T42" s="115" t="inlineStr">
        <is>
          <t>D</t>
        </is>
      </c>
      <c r="U42" s="142" t="n"/>
      <c r="V42" s="142" t="n"/>
      <c r="W42" s="142" t="n"/>
      <c r="X42" s="116" t="inlineStr">
        <is>
          <t>N</t>
        </is>
      </c>
      <c r="Y42" s="142" t="n"/>
      <c r="Z42" s="142" t="n"/>
      <c r="AA42" s="142" t="n"/>
      <c r="AB42" s="142" t="n"/>
      <c r="AC42" s="142" t="n"/>
      <c r="AD42" s="142" t="n"/>
      <c r="AE42" s="142" t="n"/>
      <c r="AF42" s="142" t="n"/>
      <c r="AG42" s="142" t="n"/>
      <c r="AH42" s="142" t="n"/>
      <c r="AI42" s="142" t="n"/>
      <c r="AJ42" s="142" t="n"/>
      <c r="AK42" s="142" t="n"/>
      <c r="AL42" s="142" t="n"/>
      <c r="AM42" s="142" t="n"/>
      <c r="AN42" s="142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E42" s="110" t="n"/>
      <c r="BF42" s="113" t="inlineStr">
        <is>
          <t>3 · staff</t>
        </is>
      </c>
      <c r="BG42" s="114" t="n">
        <v>35</v>
      </c>
      <c r="BH42" s="39" t="n"/>
      <c r="BI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3">
        <f>IF(SET!AJ43="","",SET!AJ43)</f>
        <v/>
      </c>
      <c r="G43" s="123">
        <f>IF(SET!AK43="","",SET!AK43)</f>
        <v/>
      </c>
      <c r="H43" s="123">
        <f>IF(SET!AL43="","",SET!AL43)</f>
        <v/>
      </c>
      <c r="I43" s="142" t="n"/>
      <c r="J43" s="116" t="inlineStr">
        <is>
          <t>N</t>
        </is>
      </c>
      <c r="K43" s="142" t="n"/>
      <c r="L43" s="142" t="n"/>
      <c r="M43" s="116" t="inlineStr">
        <is>
          <t>N</t>
        </is>
      </c>
      <c r="N43" s="142" t="n"/>
      <c r="O43" s="116" t="inlineStr">
        <is>
          <t>N</t>
        </is>
      </c>
      <c r="P43" s="142" t="n"/>
      <c r="Q43" s="142" t="n"/>
      <c r="R43" s="142" t="n"/>
      <c r="S43" s="142" t="n"/>
      <c r="T43" s="142" t="n"/>
      <c r="U43" s="142" t="n"/>
      <c r="V43" s="142" t="n"/>
      <c r="W43" s="116" t="inlineStr">
        <is>
          <t>N</t>
        </is>
      </c>
      <c r="X43" s="142" t="n"/>
      <c r="Y43" s="116" t="inlineStr">
        <is>
          <t>N</t>
        </is>
      </c>
      <c r="Z43" s="142" t="n"/>
      <c r="AA43" s="142" t="n"/>
      <c r="AB43" s="142" t="n"/>
      <c r="AC43" s="142" t="n"/>
      <c r="AD43" s="116" t="inlineStr">
        <is>
          <t>N</t>
        </is>
      </c>
      <c r="AE43" s="142" t="n"/>
      <c r="AF43" s="116" t="inlineStr">
        <is>
          <t>N</t>
        </is>
      </c>
      <c r="AG43" s="142" t="n"/>
      <c r="AH43" s="116" t="inlineStr">
        <is>
          <t>N</t>
        </is>
      </c>
      <c r="AI43" s="142" t="n"/>
      <c r="AJ43" s="142" t="n"/>
      <c r="AK43" s="116" t="inlineStr">
        <is>
          <t>N</t>
        </is>
      </c>
      <c r="AL43" s="142" t="n"/>
      <c r="AM43" s="142" t="n"/>
      <c r="AN43" s="142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E43" s="110" t="n"/>
      <c r="BF43" s="113" t="inlineStr">
        <is>
          <t>3 · staff</t>
        </is>
      </c>
      <c r="BG43" s="114" t="n">
        <v>36</v>
      </c>
      <c r="BH43" s="39" t="n"/>
      <c r="BI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3">
        <f>IF(SET!AJ44="","",SET!AJ44)</f>
        <v/>
      </c>
      <c r="G44" s="123">
        <f>IF(SET!AK44="","",SET!AK44)</f>
        <v/>
      </c>
      <c r="H44" s="123">
        <f>IF(SET!AL44="","",SET!AL44)</f>
        <v/>
      </c>
      <c r="I44" s="142" t="n"/>
      <c r="J44" s="115" t="inlineStr">
        <is>
          <t>D</t>
        </is>
      </c>
      <c r="K44" s="142" t="n"/>
      <c r="L44" s="142" t="n"/>
      <c r="M44" s="142" t="n"/>
      <c r="N44" s="142" t="n"/>
      <c r="O44" s="142" t="n"/>
      <c r="P44" s="142" t="n"/>
      <c r="Q44" s="142" t="n"/>
      <c r="R44" s="142" t="n"/>
      <c r="S44" s="142" t="n"/>
      <c r="T44" s="142" t="n"/>
      <c r="U44" s="142" t="n"/>
      <c r="V44" s="142" t="n"/>
      <c r="W44" s="142" t="n"/>
      <c r="X44" s="142" t="n"/>
      <c r="Y44" s="142" t="n"/>
      <c r="Z44" s="115" t="inlineStr">
        <is>
          <t>D</t>
        </is>
      </c>
      <c r="AA44" s="142" t="n"/>
      <c r="AB44" s="142" t="n"/>
      <c r="AC44" s="142" t="n"/>
      <c r="AD44" s="142" t="n"/>
      <c r="AE44" s="142" t="n"/>
      <c r="AF44" s="115" t="inlineStr">
        <is>
          <t>D</t>
        </is>
      </c>
      <c r="AG44" s="142" t="n"/>
      <c r="AH44" s="142" t="n"/>
      <c r="AI44" s="142" t="n"/>
      <c r="AJ44" s="142" t="n"/>
      <c r="AK44" s="142" t="n"/>
      <c r="AL44" s="142" t="n"/>
      <c r="AM44" s="142" t="n"/>
      <c r="AN44" s="142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E44" s="110" t="n"/>
      <c r="BF44" s="113" t="inlineStr">
        <is>
          <t>3 · staff</t>
        </is>
      </c>
      <c r="BG44" s="114" t="n">
        <v>37</v>
      </c>
      <c r="BH44" s="39" t="n"/>
      <c r="BI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3">
        <f>IF(SET!AJ45="","",SET!AJ45)</f>
        <v/>
      </c>
      <c r="G45" s="123">
        <f>IF(SET!AK45="","",SET!AK45)</f>
        <v/>
      </c>
      <c r="H45" s="123">
        <f>IF(SET!AL45="","",SET!AL45)</f>
        <v/>
      </c>
      <c r="I45" s="108" t="inlineStr">
        <is>
          <t>M</t>
        </is>
      </c>
      <c r="J45" s="142" t="n"/>
      <c r="K45" s="116" t="inlineStr">
        <is>
          <t>N</t>
        </is>
      </c>
      <c r="L45" s="142" t="n"/>
      <c r="M45" s="108" t="inlineStr">
        <is>
          <t>M</t>
        </is>
      </c>
      <c r="N45" s="108" t="inlineStr">
        <is>
          <t>M</t>
        </is>
      </c>
      <c r="O45" s="142" t="n"/>
      <c r="P45" s="108" t="inlineStr">
        <is>
          <t>M</t>
        </is>
      </c>
      <c r="Q45" s="117" t="inlineStr">
        <is>
          <t>T</t>
        </is>
      </c>
      <c r="R45" s="142" t="n"/>
      <c r="S45" s="142" t="n"/>
      <c r="T45" s="108" t="inlineStr">
        <is>
          <t>M</t>
        </is>
      </c>
      <c r="U45" s="108" t="inlineStr">
        <is>
          <t>M</t>
        </is>
      </c>
      <c r="V45" s="116" t="inlineStr">
        <is>
          <t>N</t>
        </is>
      </c>
      <c r="W45" s="142" t="n"/>
      <c r="X45" s="142" t="n"/>
      <c r="Y45" s="142" t="n"/>
      <c r="Z45" s="142" t="n"/>
      <c r="AA45" s="142" t="n"/>
      <c r="AB45" s="108" t="inlineStr">
        <is>
          <t>M</t>
        </is>
      </c>
      <c r="AC45" s="142" t="n"/>
      <c r="AD45" s="108" t="inlineStr">
        <is>
          <t>M</t>
        </is>
      </c>
      <c r="AE45" s="142" t="n"/>
      <c r="AF45" s="116" t="inlineStr">
        <is>
          <t>N</t>
        </is>
      </c>
      <c r="AG45" s="142" t="n"/>
      <c r="AH45" s="108" t="inlineStr">
        <is>
          <t>M</t>
        </is>
      </c>
      <c r="AI45" s="108" t="inlineStr">
        <is>
          <t>M</t>
        </is>
      </c>
      <c r="AJ45" s="142" t="n"/>
      <c r="AK45" s="108" t="inlineStr">
        <is>
          <t>M</t>
        </is>
      </c>
      <c r="AL45" s="108" t="inlineStr">
        <is>
          <t>M</t>
        </is>
      </c>
      <c r="AM45" s="142" t="n"/>
      <c r="AN45" s="142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E45" s="110" t="n"/>
      <c r="BF45" s="113" t="inlineStr">
        <is>
          <t>3 · staff</t>
        </is>
      </c>
      <c r="BG45" s="114" t="n">
        <v>38</v>
      </c>
      <c r="BH45" s="39" t="n"/>
      <c r="BI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3">
        <f>IF(SET!AJ46="","",SET!AJ46)</f>
        <v/>
      </c>
      <c r="G46" s="123">
        <f>IF(SET!AK46="","",SET!AK46)</f>
        <v/>
      </c>
      <c r="H46" s="123">
        <f>IF(SET!AL46="","",SET!AL46)</f>
        <v/>
      </c>
      <c r="I46" s="142" t="n"/>
      <c r="J46" s="142" t="n"/>
      <c r="K46" s="142" t="n"/>
      <c r="L46" s="116" t="inlineStr">
        <is>
          <t>N</t>
        </is>
      </c>
      <c r="M46" s="142" t="n"/>
      <c r="N46" s="142" t="n"/>
      <c r="O46" s="115" t="inlineStr">
        <is>
          <t>D</t>
        </is>
      </c>
      <c r="P46" s="142" t="n"/>
      <c r="Q46" s="116" t="inlineStr">
        <is>
          <t>N</t>
        </is>
      </c>
      <c r="R46" s="142" t="n"/>
      <c r="S46" s="142" t="n"/>
      <c r="T46" s="142" t="n"/>
      <c r="U46" s="142" t="n"/>
      <c r="V46" s="115" t="inlineStr">
        <is>
          <t>D</t>
        </is>
      </c>
      <c r="W46" s="142" t="n"/>
      <c r="X46" s="142" t="n"/>
      <c r="Y46" s="142" t="n"/>
      <c r="Z46" s="115" t="inlineStr">
        <is>
          <t>D</t>
        </is>
      </c>
      <c r="AA46" s="142" t="n"/>
      <c r="AB46" s="142" t="n"/>
      <c r="AC46" s="115" t="inlineStr">
        <is>
          <t>D</t>
        </is>
      </c>
      <c r="AD46" s="142" t="n"/>
      <c r="AE46" s="116" t="inlineStr">
        <is>
          <t>N</t>
        </is>
      </c>
      <c r="AF46" s="142" t="n"/>
      <c r="AG46" s="116" t="inlineStr">
        <is>
          <t>N</t>
        </is>
      </c>
      <c r="AH46" s="142" t="n"/>
      <c r="AI46" s="142" t="n"/>
      <c r="AJ46" s="115" t="inlineStr">
        <is>
          <t>D</t>
        </is>
      </c>
      <c r="AK46" s="142" t="n"/>
      <c r="AL46" s="117" t="inlineStr">
        <is>
          <t>T</t>
        </is>
      </c>
      <c r="AM46" s="142" t="n"/>
      <c r="AN46" s="108" t="inlineStr">
        <is>
          <t>M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E46" s="110" t="n"/>
      <c r="BF46" s="113" t="inlineStr">
        <is>
          <t>3 · staff</t>
        </is>
      </c>
      <c r="BG46" s="114" t="n">
        <v>39</v>
      </c>
      <c r="BH46" s="39" t="n"/>
      <c r="BI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3">
        <f>IF(SET!AJ47="","",SET!AJ47)</f>
        <v/>
      </c>
      <c r="G47" s="123">
        <f>IF(SET!AK47="","",SET!AK47)</f>
        <v/>
      </c>
      <c r="H47" s="123">
        <f>IF(SET!AL47="","",SET!AL47)</f>
        <v/>
      </c>
      <c r="I47" s="115" t="inlineStr">
        <is>
          <t>D</t>
        </is>
      </c>
      <c r="J47" s="142" t="n"/>
      <c r="K47" s="142" t="n"/>
      <c r="L47" s="142" t="n"/>
      <c r="M47" s="116" t="inlineStr">
        <is>
          <t>N</t>
        </is>
      </c>
      <c r="N47" s="142" t="n"/>
      <c r="O47" s="142" t="n"/>
      <c r="P47" s="115" t="inlineStr">
        <is>
          <t>D</t>
        </is>
      </c>
      <c r="Q47" s="142" t="n"/>
      <c r="R47" s="142" t="n"/>
      <c r="S47" s="142" t="n"/>
      <c r="T47" s="142" t="n"/>
      <c r="U47" s="116" t="inlineStr">
        <is>
          <t>N</t>
        </is>
      </c>
      <c r="V47" s="142" t="n"/>
      <c r="W47" s="142" t="n"/>
      <c r="X47" s="116" t="inlineStr">
        <is>
          <t>N</t>
        </is>
      </c>
      <c r="Y47" s="142" t="n"/>
      <c r="Z47" s="142" t="n"/>
      <c r="AA47" s="142" t="n"/>
      <c r="AB47" s="142" t="n"/>
      <c r="AC47" s="142" t="n"/>
      <c r="AD47" s="142" t="n"/>
      <c r="AE47" s="142" t="n"/>
      <c r="AF47" s="115" t="inlineStr">
        <is>
          <t>D</t>
        </is>
      </c>
      <c r="AG47" s="115" t="inlineStr">
        <is>
          <t>D</t>
        </is>
      </c>
      <c r="AH47" s="142" t="n"/>
      <c r="AI47" s="142" t="n"/>
      <c r="AJ47" s="142" t="n"/>
      <c r="AK47" s="142" t="n"/>
      <c r="AL47" s="142" t="n"/>
      <c r="AM47" s="142" t="n"/>
      <c r="AN47" s="142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E47" s="110" t="n"/>
      <c r="BF47" s="113" t="inlineStr">
        <is>
          <t>3 · staff</t>
        </is>
      </c>
      <c r="BG47" s="114" t="n">
        <v>40</v>
      </c>
      <c r="BH47" s="39" t="n"/>
      <c r="BI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3">
        <f>IF(SET!AJ48="","",SET!AJ48)</f>
        <v/>
      </c>
      <c r="G48" s="123">
        <f>IF(SET!AK48="","",SET!AK48)</f>
        <v/>
      </c>
      <c r="H48" s="123">
        <f>IF(SET!AL48="","",SET!AL48)</f>
        <v/>
      </c>
      <c r="I48" s="142" t="n"/>
      <c r="J48" s="116" t="inlineStr">
        <is>
          <t>N</t>
        </is>
      </c>
      <c r="K48" s="142" t="n"/>
      <c r="L48" s="108" t="inlineStr">
        <is>
          <t>M</t>
        </is>
      </c>
      <c r="M48" s="142" t="n"/>
      <c r="N48" s="108" t="inlineStr">
        <is>
          <t>M</t>
        </is>
      </c>
      <c r="O48" s="142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42" t="n"/>
      <c r="T48" s="142" t="n"/>
      <c r="U48" s="108" t="inlineStr">
        <is>
          <t>M</t>
        </is>
      </c>
      <c r="V48" s="142" t="n"/>
      <c r="W48" s="108" t="inlineStr">
        <is>
          <t>M</t>
        </is>
      </c>
      <c r="X48" s="117" t="inlineStr">
        <is>
          <t>T</t>
        </is>
      </c>
      <c r="Y48" s="108" t="inlineStr">
        <is>
          <t>M</t>
        </is>
      </c>
      <c r="Z48" s="142" t="n"/>
      <c r="AA48" s="142" t="n"/>
      <c r="AB48" s="108" t="inlineStr">
        <is>
          <t>M</t>
        </is>
      </c>
      <c r="AC48" s="142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42" t="n"/>
      <c r="AH48" s="142" t="n"/>
      <c r="AI48" s="108" t="inlineStr">
        <is>
          <t>M</t>
        </is>
      </c>
      <c r="AJ48" s="142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42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E48" s="110" t="n"/>
      <c r="BF48" s="113" t="inlineStr">
        <is>
          <t>3 · staff</t>
        </is>
      </c>
      <c r="BG48" s="114" t="n">
        <v>41</v>
      </c>
      <c r="BH48" s="39" t="n"/>
      <c r="BI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3">
        <f>IF(SET!AJ49="","",SET!AJ49)</f>
        <v/>
      </c>
      <c r="G49" s="123">
        <f>IF(SET!AK49="","",SET!AK49)</f>
        <v/>
      </c>
      <c r="H49" s="123">
        <f>IF(SET!AL49="","",SET!AL49)</f>
        <v/>
      </c>
      <c r="I49" s="142" t="n"/>
      <c r="J49" s="142" t="n"/>
      <c r="K49" s="142" t="n"/>
      <c r="L49" s="117" t="inlineStr">
        <is>
          <t>T</t>
        </is>
      </c>
      <c r="M49" s="142" t="n"/>
      <c r="N49" s="142" t="n"/>
      <c r="O49" s="115" t="inlineStr">
        <is>
          <t>D</t>
        </is>
      </c>
      <c r="P49" s="142" t="n"/>
      <c r="Q49" s="142" t="n"/>
      <c r="R49" s="142" t="n"/>
      <c r="S49" s="115" t="inlineStr">
        <is>
          <t>D</t>
        </is>
      </c>
      <c r="T49" s="108" t="inlineStr">
        <is>
          <t>M</t>
        </is>
      </c>
      <c r="U49" s="142" t="n"/>
      <c r="V49" s="115" t="inlineStr">
        <is>
          <t>D</t>
        </is>
      </c>
      <c r="W49" s="142" t="n"/>
      <c r="X49" s="142" t="n"/>
      <c r="Y49" s="142" t="n"/>
      <c r="Z49" s="108" t="inlineStr">
        <is>
          <t>M</t>
        </is>
      </c>
      <c r="AA49" s="142" t="n"/>
      <c r="AB49" s="142" t="n"/>
      <c r="AC49" s="115" t="inlineStr">
        <is>
          <t>D</t>
        </is>
      </c>
      <c r="AD49" s="142" t="n"/>
      <c r="AE49" s="116" t="inlineStr">
        <is>
          <t>N</t>
        </is>
      </c>
      <c r="AF49" s="142" t="n"/>
      <c r="AG49" s="142" t="n"/>
      <c r="AH49" s="115" t="inlineStr">
        <is>
          <t>D</t>
        </is>
      </c>
      <c r="AI49" s="142" t="n"/>
      <c r="AJ49" s="115" t="inlineStr">
        <is>
          <t>D</t>
        </is>
      </c>
      <c r="AK49" s="142" t="n"/>
      <c r="AL49" s="142" t="n"/>
      <c r="AM49" s="142" t="n"/>
      <c r="AN49" s="142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E49" s="110" t="n"/>
      <c r="BF49" s="113" t="inlineStr">
        <is>
          <t>3 · staff</t>
        </is>
      </c>
      <c r="BG49" s="114" t="n">
        <v>42</v>
      </c>
      <c r="BH49" s="39" t="n"/>
      <c r="BI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3">
        <f>IF(SET!AJ50="","",SET!AJ50)</f>
        <v/>
      </c>
      <c r="G50" s="123">
        <f>IF(SET!AK50="","",SET!AK50)</f>
        <v/>
      </c>
      <c r="H50" s="123">
        <f>IF(SET!AL50="","",SET!AL50)</f>
        <v/>
      </c>
      <c r="I50" s="142" t="n"/>
      <c r="J50" s="142" t="n"/>
      <c r="K50" s="116" t="inlineStr">
        <is>
          <t>N</t>
        </is>
      </c>
      <c r="L50" s="142" t="n"/>
      <c r="M50" s="142" t="n"/>
      <c r="N50" s="115" t="inlineStr">
        <is>
          <t>D</t>
        </is>
      </c>
      <c r="O50" s="117" t="inlineStr">
        <is>
          <t>T</t>
        </is>
      </c>
      <c r="P50" s="117" t="inlineStr">
        <is>
          <t>T</t>
        </is>
      </c>
      <c r="Q50" s="142" t="n"/>
      <c r="R50" s="142" t="n"/>
      <c r="S50" s="142" t="n"/>
      <c r="T50" s="142" t="n"/>
      <c r="U50" s="115" t="inlineStr">
        <is>
          <t>D</t>
        </is>
      </c>
      <c r="V50" s="142" t="n"/>
      <c r="W50" s="142" t="n"/>
      <c r="X50" s="116" t="inlineStr">
        <is>
          <t>N</t>
        </is>
      </c>
      <c r="Y50" s="142" t="n"/>
      <c r="Z50" s="142" t="n"/>
      <c r="AA50" s="142" t="n"/>
      <c r="AB50" s="142" t="n"/>
      <c r="AC50" s="116" t="inlineStr">
        <is>
          <t>N</t>
        </is>
      </c>
      <c r="AD50" s="142" t="n"/>
      <c r="AE50" s="142" t="n"/>
      <c r="AF50" s="142" t="n"/>
      <c r="AG50" s="116" t="inlineStr">
        <is>
          <t>N</t>
        </is>
      </c>
      <c r="AH50" s="142" t="n"/>
      <c r="AI50" s="142" t="n"/>
      <c r="AJ50" s="142" t="n"/>
      <c r="AK50" s="142" t="n"/>
      <c r="AL50" s="142" t="n"/>
      <c r="AM50" s="142" t="n"/>
      <c r="AN50" s="142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E50" s="110" t="n"/>
      <c r="BF50" s="113" t="inlineStr">
        <is>
          <t>3 · staff</t>
        </is>
      </c>
      <c r="BG50" s="114" t="n">
        <v>43</v>
      </c>
      <c r="BH50" s="39" t="n"/>
      <c r="BI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3">
        <f>IF(SET!AJ51="","",SET!AJ51)</f>
        <v/>
      </c>
      <c r="G51" s="123">
        <f>IF(SET!AK51="","",SET!AK51)</f>
        <v/>
      </c>
      <c r="H51" s="123">
        <f>IF(SET!AL51="","",SET!AL51)</f>
        <v/>
      </c>
      <c r="I51" s="142" t="n"/>
      <c r="J51" s="142" t="n"/>
      <c r="K51" s="117" t="inlineStr">
        <is>
          <t>T</t>
        </is>
      </c>
      <c r="L51" s="108" t="inlineStr">
        <is>
          <t>M</t>
        </is>
      </c>
      <c r="M51" s="142" t="n"/>
      <c r="N51" s="115" t="inlineStr">
        <is>
          <t>D</t>
        </is>
      </c>
      <c r="O51" s="142" t="n"/>
      <c r="P51" s="142" t="n"/>
      <c r="Q51" s="142" t="n"/>
      <c r="R51" s="142" t="n"/>
      <c r="S51" s="115" t="inlineStr">
        <is>
          <t>D</t>
        </is>
      </c>
      <c r="T51" s="142" t="n"/>
      <c r="U51" s="115" t="inlineStr">
        <is>
          <t>D</t>
        </is>
      </c>
      <c r="V51" s="142" t="n"/>
      <c r="W51" s="142" t="n"/>
      <c r="X51" s="115" t="inlineStr">
        <is>
          <t>D</t>
        </is>
      </c>
      <c r="Y51" s="142" t="n"/>
      <c r="Z51" s="142" t="n"/>
      <c r="AA51" s="142" t="n"/>
      <c r="AB51" s="115" t="inlineStr">
        <is>
          <t>D</t>
        </is>
      </c>
      <c r="AC51" s="142" t="n"/>
      <c r="AD51" s="116" t="inlineStr">
        <is>
          <t>N</t>
        </is>
      </c>
      <c r="AE51" s="142" t="n"/>
      <c r="AF51" s="142" t="n"/>
      <c r="AG51" s="142" t="n"/>
      <c r="AH51" s="142" t="n"/>
      <c r="AI51" s="142" t="n"/>
      <c r="AJ51" s="115" t="inlineStr">
        <is>
          <t>D</t>
        </is>
      </c>
      <c r="AK51" s="142" t="n"/>
      <c r="AL51" s="115" t="inlineStr">
        <is>
          <t>D</t>
        </is>
      </c>
      <c r="AM51" s="142" t="n"/>
      <c r="AN51" s="142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E51" s="110" t="n"/>
      <c r="BF51" s="113" t="inlineStr">
        <is>
          <t>3 · staff</t>
        </is>
      </c>
      <c r="BG51" s="114" t="n">
        <v>44</v>
      </c>
      <c r="BH51" s="39" t="n"/>
      <c r="BI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3">
        <f>IF(SET!AJ52="","",SET!AJ52)</f>
        <v/>
      </c>
      <c r="G52" s="123">
        <f>IF(SET!AK52="","",SET!AK52)</f>
        <v/>
      </c>
      <c r="H52" s="123">
        <f>IF(SET!AL52="","",SET!AL52)</f>
        <v/>
      </c>
      <c r="I52" s="142" t="n"/>
      <c r="J52" s="116" t="inlineStr">
        <is>
          <t>N</t>
        </is>
      </c>
      <c r="K52" s="142" t="n"/>
      <c r="L52" s="142" t="n"/>
      <c r="M52" s="116" t="inlineStr">
        <is>
          <t>N</t>
        </is>
      </c>
      <c r="N52" s="142" t="n"/>
      <c r="O52" s="142" t="n"/>
      <c r="P52" s="142" t="n"/>
      <c r="Q52" s="142" t="n"/>
      <c r="R52" s="116" t="inlineStr">
        <is>
          <t>N</t>
        </is>
      </c>
      <c r="S52" s="142" t="n"/>
      <c r="T52" s="116" t="inlineStr">
        <is>
          <t>N</t>
        </is>
      </c>
      <c r="U52" s="142" t="n"/>
      <c r="V52" s="142" t="n"/>
      <c r="W52" s="116" t="inlineStr">
        <is>
          <t>N</t>
        </is>
      </c>
      <c r="X52" s="142" t="n"/>
      <c r="Y52" s="142" t="n"/>
      <c r="Z52" s="142" t="n"/>
      <c r="AA52" s="116" t="inlineStr">
        <is>
          <t>N</t>
        </is>
      </c>
      <c r="AB52" s="142" t="n"/>
      <c r="AC52" s="116" t="inlineStr">
        <is>
          <t>N</t>
        </is>
      </c>
      <c r="AD52" s="142" t="n"/>
      <c r="AE52" s="142" t="n"/>
      <c r="AF52" s="142" t="n"/>
      <c r="AG52" s="142" t="n"/>
      <c r="AH52" s="116" t="inlineStr">
        <is>
          <t>N</t>
        </is>
      </c>
      <c r="AI52" s="142" t="n"/>
      <c r="AJ52" s="142" t="n"/>
      <c r="AK52" s="142" t="n"/>
      <c r="AL52" s="142" t="n"/>
      <c r="AM52" s="116" t="inlineStr">
        <is>
          <t>N</t>
        </is>
      </c>
      <c r="AN52" s="142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E52" s="110" t="n"/>
      <c r="BF52" s="113" t="inlineStr">
        <is>
          <t>3 · staff</t>
        </is>
      </c>
      <c r="BG52" s="114" t="n">
        <v>45</v>
      </c>
      <c r="BH52" s="39" t="n"/>
      <c r="BI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3">
        <f>IF(SET!AJ53="","",SET!AJ53)</f>
        <v/>
      </c>
      <c r="G53" s="123">
        <f>IF(SET!AK53="","",SET!AK53)</f>
        <v/>
      </c>
      <c r="H53" s="123">
        <f>IF(SET!AL53="","",SET!AL53)</f>
        <v/>
      </c>
      <c r="I53" s="142" t="n"/>
      <c r="J53" s="142" t="n"/>
      <c r="K53" s="142" t="n"/>
      <c r="L53" s="142" t="n"/>
      <c r="M53" s="142" t="n"/>
      <c r="N53" s="116" t="inlineStr">
        <is>
          <t>N</t>
        </is>
      </c>
      <c r="O53" s="142" t="n"/>
      <c r="P53" s="142" t="n"/>
      <c r="Q53" s="142" t="n"/>
      <c r="R53" s="142" t="n"/>
      <c r="S53" s="116" t="inlineStr">
        <is>
          <t>N</t>
        </is>
      </c>
      <c r="T53" s="142" t="n"/>
      <c r="U53" s="116" t="inlineStr">
        <is>
          <t>N</t>
        </is>
      </c>
      <c r="V53" s="142" t="n"/>
      <c r="W53" s="142" t="n"/>
      <c r="X53" s="116" t="inlineStr">
        <is>
          <t>N</t>
        </is>
      </c>
      <c r="Y53" s="142" t="n"/>
      <c r="Z53" s="142" t="n"/>
      <c r="AA53" s="116" t="inlineStr">
        <is>
          <t>N</t>
        </is>
      </c>
      <c r="AB53" s="142" t="n"/>
      <c r="AC53" s="142" t="n"/>
      <c r="AD53" s="142" t="n"/>
      <c r="AE53" s="142" t="n"/>
      <c r="AF53" s="116" t="inlineStr">
        <is>
          <t>N</t>
        </is>
      </c>
      <c r="AG53" s="142" t="n"/>
      <c r="AH53" s="116" t="inlineStr">
        <is>
          <t>N</t>
        </is>
      </c>
      <c r="AI53" s="142" t="n"/>
      <c r="AJ53" s="142" t="n"/>
      <c r="AK53" s="142" t="n"/>
      <c r="AL53" s="142" t="n"/>
      <c r="AM53" s="142" t="n"/>
      <c r="AN53" s="115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E53" s="110" t="n"/>
      <c r="BF53" s="113" t="inlineStr">
        <is>
          <t>3 · staff</t>
        </is>
      </c>
      <c r="BG53" s="114" t="n">
        <v>46</v>
      </c>
      <c r="BH53" s="39" t="n"/>
      <c r="BI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3">
        <f>IF(SET!AJ54="","",SET!AJ54)</f>
        <v/>
      </c>
      <c r="G54" s="123">
        <f>IF(SET!AK54="","",SET!AK54)</f>
        <v/>
      </c>
      <c r="H54" s="123">
        <f>IF(SET!AL54="","",SET!AL54)</f>
        <v/>
      </c>
      <c r="I54" s="116" t="inlineStr">
        <is>
          <t>N</t>
        </is>
      </c>
      <c r="J54" s="142" t="n"/>
      <c r="K54" s="142" t="n"/>
      <c r="L54" s="115" t="inlineStr">
        <is>
          <t>D</t>
        </is>
      </c>
      <c r="M54" s="142" t="n"/>
      <c r="N54" s="142" t="n"/>
      <c r="O54" s="142" t="n"/>
      <c r="P54" s="142" t="n"/>
      <c r="Q54" s="142" t="n"/>
      <c r="R54" s="142" t="n"/>
      <c r="S54" s="142" t="n"/>
      <c r="T54" s="142" t="n"/>
      <c r="U54" s="142" t="n"/>
      <c r="V54" s="142" t="n"/>
      <c r="W54" s="142" t="n"/>
      <c r="X54" s="142" t="n"/>
      <c r="Y54" s="142" t="n"/>
      <c r="Z54" s="142" t="n"/>
      <c r="AA54" s="142" t="n"/>
      <c r="AB54" s="142" t="n"/>
      <c r="AC54" s="142" t="n"/>
      <c r="AD54" s="117" t="inlineStr">
        <is>
          <t>T</t>
        </is>
      </c>
      <c r="AE54" s="142" t="n"/>
      <c r="AF54" s="116" t="inlineStr">
        <is>
          <t>N</t>
        </is>
      </c>
      <c r="AG54" s="142" t="n"/>
      <c r="AH54" s="142" t="n"/>
      <c r="AI54" s="142" t="n"/>
      <c r="AJ54" s="142" t="n"/>
      <c r="AK54" s="116" t="inlineStr">
        <is>
          <t>N</t>
        </is>
      </c>
      <c r="AL54" s="116" t="inlineStr">
        <is>
          <t>N</t>
        </is>
      </c>
      <c r="AM54" s="142" t="n"/>
      <c r="AN54" s="142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E54" s="110" t="n"/>
      <c r="BF54" s="113" t="inlineStr">
        <is>
          <t>3 · staff</t>
        </is>
      </c>
      <c r="BG54" s="114" t="n">
        <v>47</v>
      </c>
      <c r="BH54" s="39" t="n"/>
      <c r="BI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3">
        <f>IF(SET!AJ55="","",SET!AJ55)</f>
        <v/>
      </c>
      <c r="G55" s="123">
        <f>IF(SET!AK55="","",SET!AK55)</f>
        <v/>
      </c>
      <c r="H55" s="123">
        <f>IF(SET!AL55="","",SET!AL55)</f>
        <v/>
      </c>
      <c r="I55" s="142" t="n"/>
      <c r="J55" s="142" t="n"/>
      <c r="K55" s="142" t="n"/>
      <c r="L55" s="142" t="n"/>
      <c r="M55" s="142" t="n"/>
      <c r="N55" s="142" t="n"/>
      <c r="O55" s="142" t="n"/>
      <c r="P55" s="142" t="n"/>
      <c r="Q55" s="142" t="n"/>
      <c r="R55" s="142" t="n"/>
      <c r="S55" s="142" t="n"/>
      <c r="T55" s="142" t="n"/>
      <c r="U55" s="142" t="n"/>
      <c r="V55" s="142" t="n"/>
      <c r="W55" s="142" t="n"/>
      <c r="X55" s="142" t="n"/>
      <c r="Y55" s="142" t="n"/>
      <c r="Z55" s="142" t="n"/>
      <c r="AA55" s="142" t="n"/>
      <c r="AB55" s="142" t="n"/>
      <c r="AC55" s="142" t="n"/>
      <c r="AD55" s="142" t="n"/>
      <c r="AE55" s="142" t="n"/>
      <c r="AF55" s="142" t="n"/>
      <c r="AG55" s="142" t="n"/>
      <c r="AH55" s="142" t="n"/>
      <c r="AI55" s="142" t="n"/>
      <c r="AJ55" s="142" t="n"/>
      <c r="AK55" s="142" t="n"/>
      <c r="AL55" s="142" t="n"/>
      <c r="AM55" s="142" t="n"/>
      <c r="AN55" s="142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E55" s="110" t="n"/>
      <c r="BF55" s="113" t="inlineStr">
        <is>
          <t>3 · staff</t>
        </is>
      </c>
      <c r="BG55" s="114" t="n">
        <v>48</v>
      </c>
      <c r="BH55" s="39" t="n"/>
      <c r="BI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3">
        <f>IF(SET!AJ56="","",SET!AJ56)</f>
        <v/>
      </c>
      <c r="G56" s="123">
        <f>IF(SET!AK56="","",SET!AK56)</f>
        <v/>
      </c>
      <c r="H56" s="123">
        <f>IF(SET!AL56="","",SET!AL56)</f>
        <v/>
      </c>
      <c r="I56" s="142" t="n"/>
      <c r="J56" s="142" t="n"/>
      <c r="K56" s="142" t="n"/>
      <c r="L56" s="142" t="n"/>
      <c r="M56" s="142" t="n"/>
      <c r="N56" s="142" t="n"/>
      <c r="O56" s="142" t="n"/>
      <c r="P56" s="142" t="n"/>
      <c r="Q56" s="142" t="n"/>
      <c r="R56" s="142" t="n"/>
      <c r="S56" s="142" t="n"/>
      <c r="T56" s="142" t="n"/>
      <c r="U56" s="142" t="n"/>
      <c r="V56" s="142" t="n"/>
      <c r="W56" s="108" t="inlineStr">
        <is>
          <t>M</t>
        </is>
      </c>
      <c r="X56" s="142" t="n"/>
      <c r="Y56" s="115" t="inlineStr">
        <is>
          <t>D</t>
        </is>
      </c>
      <c r="Z56" s="108" t="inlineStr">
        <is>
          <t>M</t>
        </is>
      </c>
      <c r="AA56" s="142" t="n"/>
      <c r="AB56" s="115" t="inlineStr">
        <is>
          <t>D</t>
        </is>
      </c>
      <c r="AC56" s="142" t="n"/>
      <c r="AD56" s="115" t="inlineStr">
        <is>
          <t>D</t>
        </is>
      </c>
      <c r="AE56" s="142" t="n"/>
      <c r="AF56" s="142" t="n"/>
      <c r="AG56" s="142" t="n"/>
      <c r="AH56" s="142" t="n"/>
      <c r="AI56" s="142" t="n"/>
      <c r="AJ56" s="142" t="n"/>
      <c r="AK56" s="115" t="inlineStr">
        <is>
          <t>D</t>
        </is>
      </c>
      <c r="AL56" s="142" t="n"/>
      <c r="AM56" s="115" t="inlineStr">
        <is>
          <t>D</t>
        </is>
      </c>
      <c r="AN56" s="108" t="inlineStr">
        <is>
          <t>M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E56" s="110" t="n"/>
      <c r="BF56" s="113" t="inlineStr">
        <is>
          <t>3 · staff</t>
        </is>
      </c>
      <c r="BG56" s="114" t="n">
        <v>49</v>
      </c>
      <c r="BH56" s="39" t="n"/>
      <c r="BI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3">
        <f>IF(SET!AJ57="","",SET!AJ57)</f>
        <v/>
      </c>
      <c r="G57" s="123">
        <f>IF(SET!AK57="","",SET!AK57)</f>
        <v/>
      </c>
      <c r="H57" s="123">
        <f>IF(SET!AL57="","",SET!AL57)</f>
        <v/>
      </c>
      <c r="I57" s="142" t="n"/>
      <c r="J57" s="142" t="n"/>
      <c r="K57" s="116" t="inlineStr">
        <is>
          <t>N</t>
        </is>
      </c>
      <c r="L57" s="142" t="n"/>
      <c r="M57" s="116" t="inlineStr">
        <is>
          <t>N</t>
        </is>
      </c>
      <c r="N57" s="142" t="n"/>
      <c r="O57" s="142" t="n"/>
      <c r="P57" s="142" t="n"/>
      <c r="Q57" s="116" t="inlineStr">
        <is>
          <t>N</t>
        </is>
      </c>
      <c r="R57" s="142" t="n"/>
      <c r="S57" s="142" t="n"/>
      <c r="T57" s="116" t="inlineStr">
        <is>
          <t>N</t>
        </is>
      </c>
      <c r="U57" s="142" t="n"/>
      <c r="V57" s="116" t="inlineStr">
        <is>
          <t>N</t>
        </is>
      </c>
      <c r="W57" s="142" t="n"/>
      <c r="X57" s="142" t="n"/>
      <c r="Y57" s="142" t="n"/>
      <c r="Z57" s="142" t="n"/>
      <c r="AA57" s="116" t="inlineStr">
        <is>
          <t>N</t>
        </is>
      </c>
      <c r="AB57" s="142" t="n"/>
      <c r="AC57" s="142" t="n"/>
      <c r="AD57" s="142" t="n"/>
      <c r="AE57" s="142" t="n"/>
      <c r="AF57" s="115" t="inlineStr">
        <is>
          <t>D</t>
        </is>
      </c>
      <c r="AG57" s="142" t="n"/>
      <c r="AH57" s="116" t="inlineStr">
        <is>
          <t>N</t>
        </is>
      </c>
      <c r="AI57" s="142" t="n"/>
      <c r="AJ57" s="116" t="inlineStr">
        <is>
          <t>N</t>
        </is>
      </c>
      <c r="AK57" s="142" t="n"/>
      <c r="AL57" s="142" t="n"/>
      <c r="AM57" s="142" t="n"/>
      <c r="AN57" s="142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E57" s="110" t="n"/>
      <c r="BF57" s="113" t="inlineStr">
        <is>
          <t>3 · staff</t>
        </is>
      </c>
      <c r="BG57" s="114" t="n">
        <v>50</v>
      </c>
      <c r="BH57" s="39" t="n"/>
      <c r="BI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3">
        <f>IF(SET!AJ58="","",SET!AJ58)</f>
        <v/>
      </c>
      <c r="G58" s="123">
        <f>IF(SET!AK58="","",SET!AK58)</f>
        <v/>
      </c>
      <c r="H58" s="123">
        <f>IF(SET!AL58="","",SET!AL58)</f>
        <v/>
      </c>
      <c r="I58" s="142" t="n"/>
      <c r="J58" s="142" t="n"/>
      <c r="K58" s="142" t="n"/>
      <c r="L58" s="142" t="n"/>
      <c r="M58" s="142" t="n"/>
      <c r="N58" s="142" t="n"/>
      <c r="O58" s="142" t="n"/>
      <c r="P58" s="142" t="n"/>
      <c r="Q58" s="142" t="n"/>
      <c r="R58" s="142" t="n"/>
      <c r="S58" s="115" t="inlineStr">
        <is>
          <t>D</t>
        </is>
      </c>
      <c r="T58" s="142" t="n"/>
      <c r="U58" s="142" t="n"/>
      <c r="V58" s="142" t="n"/>
      <c r="W58" s="142" t="n"/>
      <c r="X58" s="142" t="n"/>
      <c r="Y58" s="142" t="n"/>
      <c r="Z58" s="142" t="n"/>
      <c r="AA58" s="142" t="n"/>
      <c r="AB58" s="142" t="n"/>
      <c r="AC58" s="142" t="n"/>
      <c r="AD58" s="142" t="n"/>
      <c r="AE58" s="142" t="n"/>
      <c r="AF58" s="142" t="n"/>
      <c r="AG58" s="142" t="n"/>
      <c r="AH58" s="142" t="n"/>
      <c r="AI58" s="142" t="n"/>
      <c r="AJ58" s="142" t="n"/>
      <c r="AK58" s="142" t="n"/>
      <c r="AL58" s="142" t="n"/>
      <c r="AM58" s="115" t="inlineStr">
        <is>
          <t>D</t>
        </is>
      </c>
      <c r="AN58" s="142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E58" s="110" t="n"/>
      <c r="BF58" s="113" t="inlineStr">
        <is>
          <t>3 · staff</t>
        </is>
      </c>
      <c r="BG58" s="114" t="n">
        <v>51</v>
      </c>
      <c r="BH58" s="39" t="n"/>
      <c r="BI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3">
        <f>IF(SET!AJ59="","",SET!AJ59)</f>
        <v/>
      </c>
      <c r="G59" s="123">
        <f>IF(SET!AK59="","",SET!AK59)</f>
        <v/>
      </c>
      <c r="H59" s="123">
        <f>IF(SET!AL59="","",SET!AL59)</f>
        <v/>
      </c>
      <c r="I59" s="142" t="n"/>
      <c r="J59" s="116" t="inlineStr">
        <is>
          <t>N</t>
        </is>
      </c>
      <c r="K59" s="116" t="inlineStr">
        <is>
          <t>N</t>
        </is>
      </c>
      <c r="L59" s="142" t="n"/>
      <c r="M59" s="142" t="n"/>
      <c r="N59" s="142" t="n"/>
      <c r="O59" s="116" t="inlineStr">
        <is>
          <t>N</t>
        </is>
      </c>
      <c r="P59" s="142" t="n"/>
      <c r="Q59" s="142" t="n"/>
      <c r="R59" s="116" t="inlineStr">
        <is>
          <t>N</t>
        </is>
      </c>
      <c r="S59" s="142" t="n"/>
      <c r="T59" s="142" t="n"/>
      <c r="U59" s="142" t="n"/>
      <c r="V59" s="116" t="inlineStr">
        <is>
          <t>N</t>
        </is>
      </c>
      <c r="W59" s="142" t="n"/>
      <c r="X59" s="116" t="inlineStr">
        <is>
          <t>N</t>
        </is>
      </c>
      <c r="Y59" s="142" t="n"/>
      <c r="Z59" s="142" t="n"/>
      <c r="AA59" s="142" t="n"/>
      <c r="AB59" s="142" t="n"/>
      <c r="AC59" s="116" t="inlineStr">
        <is>
          <t>N</t>
        </is>
      </c>
      <c r="AD59" s="142" t="n"/>
      <c r="AE59" s="142" t="n"/>
      <c r="AF59" s="116" t="inlineStr">
        <is>
          <t>N</t>
        </is>
      </c>
      <c r="AG59" s="142" t="n"/>
      <c r="AH59" s="142" t="n"/>
      <c r="AI59" s="142" t="n"/>
      <c r="AJ59" s="116" t="inlineStr">
        <is>
          <t>N</t>
        </is>
      </c>
      <c r="AK59" s="142" t="n"/>
      <c r="AL59" s="142" t="n"/>
      <c r="AM59" s="142" t="n"/>
      <c r="AN59" s="142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E59" s="110" t="n"/>
      <c r="BF59" s="113" t="inlineStr">
        <is>
          <t>3 · staff</t>
        </is>
      </c>
      <c r="BG59" s="114" t="n">
        <v>52</v>
      </c>
      <c r="BH59" s="39" t="n"/>
      <c r="BI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3">
        <f>IF(SET!AJ60="","",SET!AJ60)</f>
        <v/>
      </c>
      <c r="G60" s="123">
        <f>IF(SET!AK60="","",SET!AK60)</f>
        <v/>
      </c>
      <c r="H60" s="123">
        <f>IF(SET!AL60="","",SET!AL60)</f>
        <v/>
      </c>
      <c r="I60" s="142" t="n"/>
      <c r="J60" s="116" t="inlineStr">
        <is>
          <t>N</t>
        </is>
      </c>
      <c r="K60" s="142" t="n"/>
      <c r="L60" s="117" t="inlineStr">
        <is>
          <t>T</t>
        </is>
      </c>
      <c r="M60" s="142" t="n"/>
      <c r="N60" s="116" t="inlineStr">
        <is>
          <t>N</t>
        </is>
      </c>
      <c r="O60" s="142" t="n"/>
      <c r="P60" s="116" t="inlineStr">
        <is>
          <t>N</t>
        </is>
      </c>
      <c r="Q60" s="142" t="n"/>
      <c r="R60" s="142" t="n"/>
      <c r="S60" s="142" t="n"/>
      <c r="T60" s="142" t="n"/>
      <c r="U60" s="116" t="inlineStr">
        <is>
          <t>N</t>
        </is>
      </c>
      <c r="V60" s="142" t="n"/>
      <c r="W60" s="116" t="inlineStr">
        <is>
          <t>N</t>
        </is>
      </c>
      <c r="X60" s="142" t="n"/>
      <c r="Y60" s="142" t="n"/>
      <c r="Z60" s="115" t="inlineStr">
        <is>
          <t>D</t>
        </is>
      </c>
      <c r="AA60" s="142" t="n"/>
      <c r="AB60" s="142" t="n"/>
      <c r="AC60" s="142" t="n"/>
      <c r="AD60" s="142" t="n"/>
      <c r="AE60" s="142" t="n"/>
      <c r="AF60" s="142" t="n"/>
      <c r="AG60" s="116" t="inlineStr">
        <is>
          <t>N</t>
        </is>
      </c>
      <c r="AH60" s="142" t="n"/>
      <c r="AI60" s="142" t="n"/>
      <c r="AJ60" s="117" t="inlineStr">
        <is>
          <t>T</t>
        </is>
      </c>
      <c r="AK60" s="116" t="inlineStr">
        <is>
          <t>N</t>
        </is>
      </c>
      <c r="AL60" s="116" t="inlineStr">
        <is>
          <t>N</t>
        </is>
      </c>
      <c r="AM60" s="142" t="n"/>
      <c r="AN60" s="142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E60" s="110" t="n"/>
      <c r="BF60" s="113" t="inlineStr">
        <is>
          <t>3 · staff</t>
        </is>
      </c>
      <c r="BG60" s="114" t="n">
        <v>53</v>
      </c>
      <c r="BH60" s="39" t="n"/>
      <c r="BI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3">
        <f>IF(SET!AJ61="","",SET!AJ61)</f>
        <v/>
      </c>
      <c r="G61" s="123">
        <f>IF(SET!AK61="","",SET!AK61)</f>
        <v/>
      </c>
      <c r="H61" s="123">
        <f>IF(SET!AL61="","",SET!AL61)</f>
        <v/>
      </c>
      <c r="I61" s="142" t="n"/>
      <c r="J61" s="142" t="n"/>
      <c r="K61" s="115" t="inlineStr">
        <is>
          <t>D</t>
        </is>
      </c>
      <c r="L61" s="115" t="inlineStr">
        <is>
          <t>D</t>
        </is>
      </c>
      <c r="M61" s="142" t="n"/>
      <c r="N61" s="142" t="n"/>
      <c r="O61" s="142" t="n"/>
      <c r="P61" s="142" t="n"/>
      <c r="Q61" s="142" t="n"/>
      <c r="R61" s="142" t="n"/>
      <c r="S61" s="142" t="n"/>
      <c r="T61" s="142" t="n"/>
      <c r="U61" s="142" t="n"/>
      <c r="V61" s="142" t="n"/>
      <c r="W61" s="142" t="n"/>
      <c r="X61" s="142" t="n"/>
      <c r="Y61" s="142" t="n"/>
      <c r="Z61" s="142" t="n"/>
      <c r="AA61" s="142" t="n"/>
      <c r="AB61" s="142" t="n"/>
      <c r="AC61" s="142" t="n"/>
      <c r="AD61" s="142" t="n"/>
      <c r="AE61" s="142" t="n"/>
      <c r="AF61" s="142" t="n"/>
      <c r="AG61" s="142" t="n"/>
      <c r="AH61" s="142" t="n"/>
      <c r="AI61" s="142" t="n"/>
      <c r="AJ61" s="142" t="n"/>
      <c r="AK61" s="142" t="n"/>
      <c r="AL61" s="142" t="n"/>
      <c r="AM61" s="142" t="n"/>
      <c r="AN61" s="142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E61" s="110" t="n"/>
      <c r="BF61" s="113" t="inlineStr">
        <is>
          <t>3 · staff</t>
        </is>
      </c>
      <c r="BG61" s="114" t="n">
        <v>54</v>
      </c>
      <c r="BH61" s="39" t="n"/>
      <c r="BI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3">
        <f>IF(SET!AJ62="","",SET!AJ62)</f>
        <v/>
      </c>
      <c r="G62" s="123">
        <f>IF(SET!AK62="","",SET!AK62)</f>
        <v/>
      </c>
      <c r="H62" s="123">
        <f>IF(SET!AL62="","",SET!AL62)</f>
        <v/>
      </c>
      <c r="I62" s="142" t="n"/>
      <c r="J62" s="142" t="n"/>
      <c r="K62" s="142" t="n"/>
      <c r="L62" s="115" t="inlineStr">
        <is>
          <t>D</t>
        </is>
      </c>
      <c r="M62" s="142" t="n"/>
      <c r="N62" s="116" t="inlineStr">
        <is>
          <t>N</t>
        </is>
      </c>
      <c r="O62" s="142" t="n"/>
      <c r="P62" s="115" t="inlineStr">
        <is>
          <t>D</t>
        </is>
      </c>
      <c r="Q62" s="142" t="n"/>
      <c r="R62" s="142" t="n"/>
      <c r="S62" s="142" t="n"/>
      <c r="T62" s="142" t="n"/>
      <c r="U62" s="116" t="inlineStr">
        <is>
          <t>N</t>
        </is>
      </c>
      <c r="V62" s="142" t="n"/>
      <c r="W62" s="142" t="n"/>
      <c r="X62" s="142" t="n"/>
      <c r="Y62" s="115" t="inlineStr">
        <is>
          <t>D</t>
        </is>
      </c>
      <c r="Z62" s="142" t="n"/>
      <c r="AA62" s="142" t="n"/>
      <c r="AB62" s="116" t="inlineStr">
        <is>
          <t>N</t>
        </is>
      </c>
      <c r="AC62" s="142" t="n"/>
      <c r="AD62" s="142" t="n"/>
      <c r="AE62" s="115" t="inlineStr">
        <is>
          <t>D</t>
        </is>
      </c>
      <c r="AF62" s="142" t="n"/>
      <c r="AG62" s="142" t="n"/>
      <c r="AH62" s="142" t="n"/>
      <c r="AI62" s="116" t="inlineStr">
        <is>
          <t>N</t>
        </is>
      </c>
      <c r="AJ62" s="142" t="n"/>
      <c r="AK62" s="142" t="n"/>
      <c r="AL62" s="142" t="n"/>
      <c r="AM62" s="142" t="n"/>
      <c r="AN62" s="115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E62" s="110" t="n"/>
      <c r="BF62" s="113" t="inlineStr">
        <is>
          <t>3 · staff</t>
        </is>
      </c>
      <c r="BG62" s="114" t="n">
        <v>55</v>
      </c>
      <c r="BH62" s="39" t="n"/>
      <c r="BI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3">
        <f>IF(SET!AJ63="","",SET!AJ63)</f>
        <v/>
      </c>
      <c r="G63" s="123">
        <f>IF(SET!AK63="","",SET!AK63)</f>
        <v/>
      </c>
      <c r="H63" s="123">
        <f>IF(SET!AL63="","",SET!AL63)</f>
        <v/>
      </c>
      <c r="I63" s="142" t="n"/>
      <c r="J63" s="142" t="n"/>
      <c r="K63" s="142" t="n"/>
      <c r="L63" s="115" t="inlineStr">
        <is>
          <t>D</t>
        </is>
      </c>
      <c r="M63" s="142" t="n"/>
      <c r="N63" s="142" t="n"/>
      <c r="O63" s="115" t="inlineStr">
        <is>
          <t>D</t>
        </is>
      </c>
      <c r="P63" s="115" t="inlineStr">
        <is>
          <t>D</t>
        </is>
      </c>
      <c r="Q63" s="142" t="n"/>
      <c r="R63" s="142" t="n"/>
      <c r="S63" s="115" t="inlineStr">
        <is>
          <t>D</t>
        </is>
      </c>
      <c r="T63" s="142" t="n"/>
      <c r="U63" s="142" t="n"/>
      <c r="V63" s="115" t="inlineStr">
        <is>
          <t>D</t>
        </is>
      </c>
      <c r="W63" s="142" t="n"/>
      <c r="X63" s="142" t="n"/>
      <c r="Y63" s="115" t="inlineStr">
        <is>
          <t>D</t>
        </is>
      </c>
      <c r="Z63" s="142" t="n"/>
      <c r="AA63" s="142" t="n"/>
      <c r="AB63" s="142" t="n"/>
      <c r="AC63" s="115" t="inlineStr">
        <is>
          <t>D</t>
        </is>
      </c>
      <c r="AD63" s="115" t="inlineStr">
        <is>
          <t>D</t>
        </is>
      </c>
      <c r="AE63" s="142" t="n"/>
      <c r="AF63" s="142" t="n"/>
      <c r="AG63" s="142" t="n"/>
      <c r="AH63" s="142" t="n"/>
      <c r="AI63" s="142" t="n"/>
      <c r="AJ63" s="142" t="n"/>
      <c r="AK63" s="115" t="inlineStr">
        <is>
          <t>D</t>
        </is>
      </c>
      <c r="AL63" s="116" t="inlineStr">
        <is>
          <t>N</t>
        </is>
      </c>
      <c r="AM63" s="142" t="n"/>
      <c r="AN63" s="142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E63" s="110" t="n"/>
      <c r="BF63" s="113" t="inlineStr">
        <is>
          <t>3 · staff</t>
        </is>
      </c>
      <c r="BG63" s="114" t="n">
        <v>56</v>
      </c>
      <c r="BH63" s="39" t="n"/>
      <c r="BI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3">
        <f>IF(SET!AJ64="","",SET!AJ64)</f>
        <v/>
      </c>
      <c r="G64" s="123">
        <f>IF(SET!AK64="","",SET!AK64)</f>
        <v/>
      </c>
      <c r="H64" s="123">
        <f>IF(SET!AL64="","",SET!AL64)</f>
        <v/>
      </c>
      <c r="I64" s="142" t="n"/>
      <c r="J64" s="142" t="n"/>
      <c r="K64" s="142" t="n"/>
      <c r="L64" s="142" t="n"/>
      <c r="M64" s="142" t="n"/>
      <c r="N64" s="142" t="n"/>
      <c r="O64" s="142" t="n"/>
      <c r="P64" s="142" t="n"/>
      <c r="Q64" s="142" t="n"/>
      <c r="R64" s="142" t="n"/>
      <c r="S64" s="142" t="n"/>
      <c r="T64" s="142" t="n"/>
      <c r="U64" s="142" t="n"/>
      <c r="V64" s="142" t="n"/>
      <c r="W64" s="142" t="n"/>
      <c r="X64" s="142" t="n"/>
      <c r="Y64" s="142" t="n"/>
      <c r="Z64" s="142" t="n"/>
      <c r="AA64" s="142" t="n"/>
      <c r="AB64" s="142" t="n"/>
      <c r="AC64" s="142" t="n"/>
      <c r="AD64" s="142" t="n"/>
      <c r="AE64" s="142" t="n"/>
      <c r="AF64" s="116" t="inlineStr">
        <is>
          <t>N</t>
        </is>
      </c>
      <c r="AG64" s="116" t="inlineStr">
        <is>
          <t>N</t>
        </is>
      </c>
      <c r="AH64" s="142" t="n"/>
      <c r="AI64" s="142" t="n"/>
      <c r="AJ64" s="142" t="n"/>
      <c r="AK64" s="142" t="n"/>
      <c r="AL64" s="142" t="n"/>
      <c r="AM64" s="142" t="n"/>
      <c r="AN64" s="142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E64" s="110" t="n"/>
      <c r="BF64" s="113" t="inlineStr">
        <is>
          <t>3 · staff</t>
        </is>
      </c>
      <c r="BG64" s="114" t="n">
        <v>57</v>
      </c>
      <c r="BH64" s="39" t="n"/>
      <c r="BI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3">
        <f>IF(SET!AJ65="","",SET!AJ65)</f>
        <v/>
      </c>
      <c r="G65" s="123">
        <f>IF(SET!AK65="","",SET!AK65)</f>
        <v/>
      </c>
      <c r="H65" s="123">
        <f>IF(SET!AL65="","",SET!AL65)</f>
        <v/>
      </c>
      <c r="I65" s="142" t="n"/>
      <c r="J65" s="115" t="inlineStr">
        <is>
          <t>D</t>
        </is>
      </c>
      <c r="K65" s="142" t="n"/>
      <c r="L65" s="142" t="n"/>
      <c r="M65" s="142" t="n"/>
      <c r="N65" s="108" t="inlineStr">
        <is>
          <t>M</t>
        </is>
      </c>
      <c r="O65" s="117" t="inlineStr">
        <is>
          <t>T</t>
        </is>
      </c>
      <c r="P65" s="142" t="n"/>
      <c r="Q65" s="115" t="inlineStr">
        <is>
          <t>D</t>
        </is>
      </c>
      <c r="R65" s="142" t="n"/>
      <c r="S65" s="142" t="n"/>
      <c r="T65" s="142" t="n"/>
      <c r="U65" s="142" t="n"/>
      <c r="V65" s="142" t="n"/>
      <c r="W65" s="142" t="n"/>
      <c r="X65" s="116" t="inlineStr">
        <is>
          <t>N</t>
        </is>
      </c>
      <c r="Y65" s="142" t="n"/>
      <c r="Z65" s="115" t="inlineStr">
        <is>
          <t>D</t>
        </is>
      </c>
      <c r="AA65" s="142" t="n"/>
      <c r="AB65" s="108" t="inlineStr">
        <is>
          <t>M</t>
        </is>
      </c>
      <c r="AC65" s="117" t="inlineStr">
        <is>
          <t>T</t>
        </is>
      </c>
      <c r="AD65" s="142" t="n"/>
      <c r="AE65" s="115" t="inlineStr">
        <is>
          <t>D</t>
        </is>
      </c>
      <c r="AF65" s="142" t="n"/>
      <c r="AG65" s="142" t="n"/>
      <c r="AH65" s="142" t="n"/>
      <c r="AI65" s="142" t="n"/>
      <c r="AJ65" s="142" t="n"/>
      <c r="AK65" s="142" t="n"/>
      <c r="AL65" s="115" t="inlineStr">
        <is>
          <t>D</t>
        </is>
      </c>
      <c r="AM65" s="115" t="inlineStr">
        <is>
          <t>D</t>
        </is>
      </c>
      <c r="AN65" s="142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E65" s="110" t="n"/>
      <c r="BF65" s="113" t="inlineStr">
        <is>
          <t>3 · staff</t>
        </is>
      </c>
      <c r="BG65" s="114" t="n">
        <v>58</v>
      </c>
      <c r="BH65" s="39" t="n"/>
      <c r="BI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3">
        <f>IF(SET!AJ66="","",SET!AJ66)</f>
        <v/>
      </c>
      <c r="G66" s="123">
        <f>IF(SET!AK66="","",SET!AK66)</f>
        <v/>
      </c>
      <c r="H66" s="123">
        <f>IF(SET!AL66="","",SET!AL66)</f>
        <v/>
      </c>
      <c r="I66" s="142" t="n"/>
      <c r="J66" s="142" t="n"/>
      <c r="K66" s="115" t="inlineStr">
        <is>
          <t>D</t>
        </is>
      </c>
      <c r="L66" s="142" t="n"/>
      <c r="M66" s="116" t="inlineStr">
        <is>
          <t>N</t>
        </is>
      </c>
      <c r="N66" s="142" t="n"/>
      <c r="O66" s="142" t="n"/>
      <c r="P66" s="116" t="inlineStr">
        <is>
          <t>N</t>
        </is>
      </c>
      <c r="Q66" s="142" t="n"/>
      <c r="R66" s="142" t="n"/>
      <c r="S66" s="142" t="n"/>
      <c r="T66" s="142" t="n"/>
      <c r="U66" s="142" t="n"/>
      <c r="V66" s="142" t="n"/>
      <c r="W66" s="116" t="inlineStr">
        <is>
          <t>N</t>
        </is>
      </c>
      <c r="X66" s="142" t="n"/>
      <c r="Y66" s="142" t="n"/>
      <c r="Z66" s="116" t="inlineStr">
        <is>
          <t>N</t>
        </is>
      </c>
      <c r="AA66" s="116" t="inlineStr">
        <is>
          <t>N</t>
        </is>
      </c>
      <c r="AB66" s="142" t="n"/>
      <c r="AC66" s="142" t="n"/>
      <c r="AD66" s="142" t="n"/>
      <c r="AE66" s="116" t="inlineStr">
        <is>
          <t>N</t>
        </is>
      </c>
      <c r="AF66" s="142" t="n"/>
      <c r="AG66" s="142" t="n"/>
      <c r="AH66" s="116" t="inlineStr">
        <is>
          <t>N</t>
        </is>
      </c>
      <c r="AI66" s="142" t="n"/>
      <c r="AJ66" s="142" t="n"/>
      <c r="AK66" s="116" t="inlineStr">
        <is>
          <t>N</t>
        </is>
      </c>
      <c r="AL66" s="142" t="n"/>
      <c r="AM66" s="142" t="n"/>
      <c r="AN66" s="116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E66" s="110" t="n"/>
      <c r="BF66" s="113" t="inlineStr">
        <is>
          <t>3 · staff</t>
        </is>
      </c>
      <c r="BG66" s="114" t="n">
        <v>59</v>
      </c>
      <c r="BH66" s="39" t="n"/>
      <c r="BI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3">
        <f>IF(SET!AJ67="","",SET!AJ67)</f>
        <v/>
      </c>
      <c r="G67" s="123">
        <f>IF(SET!AK67="","",SET!AK67)</f>
        <v/>
      </c>
      <c r="H67" s="123">
        <f>IF(SET!AL67="","",SET!AL67)</f>
        <v/>
      </c>
      <c r="I67" s="142" t="n"/>
      <c r="J67" s="142" t="n"/>
      <c r="K67" s="142" t="n"/>
      <c r="L67" s="142" t="n"/>
      <c r="M67" s="142" t="n"/>
      <c r="N67" s="142" t="n"/>
      <c r="O67" s="142" t="n"/>
      <c r="P67" s="142" t="n"/>
      <c r="Q67" s="142" t="n"/>
      <c r="R67" s="142" t="n"/>
      <c r="S67" s="142" t="n"/>
      <c r="T67" s="142" t="n"/>
      <c r="U67" s="142" t="n"/>
      <c r="V67" s="142" t="n"/>
      <c r="W67" s="142" t="n"/>
      <c r="X67" s="142" t="n"/>
      <c r="Y67" s="142" t="n"/>
      <c r="Z67" s="142" t="n"/>
      <c r="AA67" s="142" t="n"/>
      <c r="AB67" s="142" t="n"/>
      <c r="AC67" s="126" t="inlineStr">
        <is>
          <t>P</t>
        </is>
      </c>
      <c r="AD67" s="142" t="n"/>
      <c r="AE67" s="142" t="n"/>
      <c r="AF67" s="116" t="inlineStr">
        <is>
          <t>N</t>
        </is>
      </c>
      <c r="AG67" s="142" t="n"/>
      <c r="AH67" s="108" t="inlineStr">
        <is>
          <t>M</t>
        </is>
      </c>
      <c r="AI67" s="126" t="inlineStr">
        <is>
          <t>P</t>
        </is>
      </c>
      <c r="AJ67" s="126" t="inlineStr">
        <is>
          <t>P</t>
        </is>
      </c>
      <c r="AK67" s="142" t="n"/>
      <c r="AL67" s="117" t="inlineStr">
        <is>
          <t>T</t>
        </is>
      </c>
      <c r="AM67" s="108" t="inlineStr">
        <is>
          <t>M</t>
        </is>
      </c>
      <c r="AN67" s="142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E67" s="110" t="n"/>
      <c r="BF67" s="113" t="inlineStr">
        <is>
          <t>3 · staff</t>
        </is>
      </c>
      <c r="BG67" s="114" t="n">
        <v>60</v>
      </c>
      <c r="BH67" s="39" t="n"/>
      <c r="BI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3">
        <f>IF(SET!AJ68="","",SET!AJ68)</f>
        <v/>
      </c>
      <c r="G68" s="123">
        <f>IF(SET!AK68="","",SET!AK68)</f>
        <v/>
      </c>
      <c r="H68" s="123">
        <f>IF(SET!AL68="","",SET!AL68)</f>
        <v/>
      </c>
      <c r="I68" s="142" t="n"/>
      <c r="J68" s="142" t="n"/>
      <c r="K68" s="142" t="n"/>
      <c r="L68" s="142" t="n"/>
      <c r="M68" s="142" t="n"/>
      <c r="N68" s="142" t="n"/>
      <c r="O68" s="142" t="n"/>
      <c r="P68" s="142" t="n"/>
      <c r="Q68" s="142" t="n"/>
      <c r="R68" s="117" t="inlineStr">
        <is>
          <t>T</t>
        </is>
      </c>
      <c r="S68" s="142" t="n"/>
      <c r="T68" s="142" t="n"/>
      <c r="U68" s="142" t="n"/>
      <c r="V68" s="142" t="n"/>
      <c r="W68" s="142" t="n"/>
      <c r="X68" s="142" t="n"/>
      <c r="Y68" s="142" t="n"/>
      <c r="Z68" s="142" t="n"/>
      <c r="AA68" s="142" t="n"/>
      <c r="AB68" s="142" t="n"/>
      <c r="AC68" s="142" t="n"/>
      <c r="AD68" s="142" t="n"/>
      <c r="AE68" s="142" t="n"/>
      <c r="AF68" s="117" t="inlineStr">
        <is>
          <t>T</t>
        </is>
      </c>
      <c r="AG68" s="117" t="inlineStr">
        <is>
          <t>T</t>
        </is>
      </c>
      <c r="AH68" s="142" t="n"/>
      <c r="AI68" s="142" t="n"/>
      <c r="AJ68" s="142" t="n"/>
      <c r="AK68" s="142" t="n"/>
      <c r="AL68" s="142" t="n"/>
      <c r="AM68" s="142" t="n"/>
      <c r="AN68" s="115" t="inlineStr">
        <is>
          <t>D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E68" s="110" t="n"/>
      <c r="BF68" s="113" t="inlineStr">
        <is>
          <t>3 · staff</t>
        </is>
      </c>
      <c r="BG68" s="114" t="n">
        <v>61</v>
      </c>
      <c r="BH68" s="39" t="n"/>
      <c r="BI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3">
        <f>IF(SET!AJ69="","",SET!AJ69)</f>
        <v/>
      </c>
      <c r="G69" s="123">
        <f>IF(SET!AK69="","",SET!AK69)</f>
        <v/>
      </c>
      <c r="H69" s="123">
        <f>IF(SET!AL69="","",SET!AL69)</f>
        <v/>
      </c>
      <c r="I69" s="142" t="n"/>
      <c r="J69" s="142" t="n"/>
      <c r="K69" s="115" t="inlineStr">
        <is>
          <t>D</t>
        </is>
      </c>
      <c r="L69" s="142" t="n"/>
      <c r="M69" s="115" t="inlineStr">
        <is>
          <t>D</t>
        </is>
      </c>
      <c r="N69" s="142" t="n"/>
      <c r="O69" s="115" t="inlineStr">
        <is>
          <t>D</t>
        </is>
      </c>
      <c r="P69" s="142" t="n"/>
      <c r="Q69" s="142" t="n"/>
      <c r="R69" s="117" t="inlineStr">
        <is>
          <t>T</t>
        </is>
      </c>
      <c r="S69" s="142" t="n"/>
      <c r="T69" s="142" t="n"/>
      <c r="U69" s="142" t="n"/>
      <c r="V69" s="115" t="inlineStr">
        <is>
          <t>D</t>
        </is>
      </c>
      <c r="W69" s="142" t="n"/>
      <c r="X69" s="115" t="inlineStr">
        <is>
          <t>D</t>
        </is>
      </c>
      <c r="Y69" s="142" t="n"/>
      <c r="Z69" s="142" t="n"/>
      <c r="AA69" s="115" t="inlineStr">
        <is>
          <t>D</t>
        </is>
      </c>
      <c r="AB69" s="142" t="n"/>
      <c r="AC69" s="142" t="n"/>
      <c r="AD69" s="142" t="n"/>
      <c r="AE69" s="142" t="n"/>
      <c r="AF69" s="115" t="inlineStr">
        <is>
          <t>D</t>
        </is>
      </c>
      <c r="AG69" s="142" t="n"/>
      <c r="AH69" s="142" t="n"/>
      <c r="AI69" s="142" t="n"/>
      <c r="AJ69" s="115" t="inlineStr">
        <is>
          <t>D</t>
        </is>
      </c>
      <c r="AK69" s="142" t="n"/>
      <c r="AL69" s="115" t="inlineStr">
        <is>
          <t>D</t>
        </is>
      </c>
      <c r="AM69" s="142" t="n"/>
      <c r="AN69" s="142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E69" s="110" t="n"/>
      <c r="BF69" s="113" t="inlineStr">
        <is>
          <t>3 · staff</t>
        </is>
      </c>
      <c r="BG69" s="114" t="n">
        <v>62</v>
      </c>
      <c r="BH69" s="39" t="n"/>
      <c r="BI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3">
        <f>IF(SET!AJ70="","",SET!AJ70)</f>
        <v/>
      </c>
      <c r="G70" s="123">
        <f>IF(SET!AK70="","",SET!AK70)</f>
        <v/>
      </c>
      <c r="H70" s="123">
        <f>IF(SET!AL70="","",SET!AL70)</f>
        <v/>
      </c>
      <c r="I70" s="142" t="n"/>
      <c r="J70" s="108" t="inlineStr">
        <is>
          <t>M</t>
        </is>
      </c>
      <c r="K70" s="142" t="n"/>
      <c r="L70" s="142" t="n"/>
      <c r="M70" s="142" t="n"/>
      <c r="N70" s="108" t="inlineStr">
        <is>
          <t>M</t>
        </is>
      </c>
      <c r="O70" s="116" t="inlineStr">
        <is>
          <t>N</t>
        </is>
      </c>
      <c r="P70" s="142" t="n"/>
      <c r="Q70" s="108" t="inlineStr">
        <is>
          <t>M</t>
        </is>
      </c>
      <c r="R70" s="142" t="n"/>
      <c r="S70" s="142" t="n"/>
      <c r="T70" s="108" t="inlineStr">
        <is>
          <t>M</t>
        </is>
      </c>
      <c r="U70" s="108" t="inlineStr">
        <is>
          <t>M</t>
        </is>
      </c>
      <c r="V70" s="116" t="inlineStr">
        <is>
          <t>N</t>
        </is>
      </c>
      <c r="W70" s="142" t="n"/>
      <c r="X70" s="142" t="n"/>
      <c r="Y70" s="142" t="n"/>
      <c r="Z70" s="142" t="n"/>
      <c r="AA70" s="142" t="n"/>
      <c r="AB70" s="142" t="n"/>
      <c r="AC70" s="142" t="n"/>
      <c r="AD70" s="108" t="inlineStr">
        <is>
          <t>M</t>
        </is>
      </c>
      <c r="AE70" s="108" t="inlineStr">
        <is>
          <t>M</t>
        </is>
      </c>
      <c r="AF70" s="142" t="n"/>
      <c r="AG70" s="115" t="inlineStr">
        <is>
          <t>D</t>
        </is>
      </c>
      <c r="AH70" s="108" t="inlineStr">
        <is>
          <t>M</t>
        </is>
      </c>
      <c r="AI70" s="142" t="n"/>
      <c r="AJ70" s="108" t="inlineStr">
        <is>
          <t>M</t>
        </is>
      </c>
      <c r="AK70" s="142" t="n"/>
      <c r="AL70" s="142" t="n"/>
      <c r="AM70" s="142" t="n"/>
      <c r="AN70" s="116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E70" s="110" t="n"/>
      <c r="BF70" s="113" t="inlineStr">
        <is>
          <t>3 · staff</t>
        </is>
      </c>
      <c r="BG70" s="114" t="n">
        <v>63</v>
      </c>
      <c r="BH70" s="39" t="n"/>
      <c r="BI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3">
        <f>IF(SET!AJ71="","",SET!AJ71)</f>
        <v/>
      </c>
      <c r="G71" s="123">
        <f>IF(SET!AK71="","",SET!AK71)</f>
        <v/>
      </c>
      <c r="H71" s="123">
        <f>IF(SET!AL71="","",SET!AL71)</f>
        <v/>
      </c>
      <c r="I71" s="142" t="n"/>
      <c r="J71" s="142" t="n"/>
      <c r="K71" s="142" t="n"/>
      <c r="L71" s="142" t="n"/>
      <c r="M71" s="142" t="n"/>
      <c r="N71" s="142" t="n"/>
      <c r="O71" s="142" t="n"/>
      <c r="P71" s="142" t="n"/>
      <c r="Q71" s="142" t="n"/>
      <c r="R71" s="142" t="n"/>
      <c r="S71" s="142" t="n"/>
      <c r="T71" s="142" t="n"/>
      <c r="U71" s="142" t="n"/>
      <c r="V71" s="142" t="n"/>
      <c r="W71" s="142" t="n"/>
      <c r="X71" s="142" t="n"/>
      <c r="Y71" s="142" t="n"/>
      <c r="Z71" s="142" t="n"/>
      <c r="AA71" s="142" t="n"/>
      <c r="AB71" s="142" t="n"/>
      <c r="AC71" s="142" t="n"/>
      <c r="AD71" s="142" t="n"/>
      <c r="AE71" s="142" t="n"/>
      <c r="AF71" s="142" t="n"/>
      <c r="AG71" s="142" t="n"/>
      <c r="AH71" s="142" t="n"/>
      <c r="AI71" s="142" t="n"/>
      <c r="AJ71" s="142" t="n"/>
      <c r="AK71" s="142" t="n"/>
      <c r="AL71" s="142" t="n"/>
      <c r="AM71" s="142" t="n"/>
      <c r="AN71" s="142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E71" s="110" t="n"/>
      <c r="BF71" s="113" t="inlineStr">
        <is>
          <t>4 · administrativo</t>
        </is>
      </c>
      <c r="BG71" s="114" t="n">
        <v>64</v>
      </c>
      <c r="BH71" s="39" t="n"/>
      <c r="BI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3">
        <f>IF(SET!AJ72="","",SET!AJ72)</f>
        <v/>
      </c>
      <c r="G72" s="123">
        <f>IF(SET!AK72="","",SET!AK72)</f>
        <v/>
      </c>
      <c r="H72" s="123">
        <f>IF(SET!AL72="","",SET!AL72)</f>
        <v/>
      </c>
      <c r="I72" s="142" t="n"/>
      <c r="J72" s="142" t="n"/>
      <c r="K72" s="142" t="n"/>
      <c r="L72" s="142" t="n"/>
      <c r="M72" s="142" t="n"/>
      <c r="N72" s="142" t="n"/>
      <c r="O72" s="142" t="n"/>
      <c r="P72" s="142" t="n"/>
      <c r="Q72" s="142" t="n"/>
      <c r="R72" s="142" t="n"/>
      <c r="S72" s="142" t="n"/>
      <c r="T72" s="142" t="n"/>
      <c r="U72" s="142" t="n"/>
      <c r="V72" s="142" t="n"/>
      <c r="W72" s="142" t="n"/>
      <c r="X72" s="142" t="n"/>
      <c r="Y72" s="142" t="n"/>
      <c r="Z72" s="142" t="n"/>
      <c r="AA72" s="142" t="n"/>
      <c r="AB72" s="142" t="n"/>
      <c r="AC72" s="142" t="n"/>
      <c r="AD72" s="142" t="n"/>
      <c r="AE72" s="142" t="n"/>
      <c r="AF72" s="142" t="n"/>
      <c r="AG72" s="142" t="n"/>
      <c r="AH72" s="142" t="n"/>
      <c r="AI72" s="142" t="n"/>
      <c r="AJ72" s="142" t="n"/>
      <c r="AK72" s="142" t="n"/>
      <c r="AL72" s="142" t="n"/>
      <c r="AM72" s="142" t="n"/>
      <c r="AN72" s="142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E72" s="110" t="n"/>
      <c r="BF72" s="113" t="inlineStr">
        <is>
          <t>4 · administrativo</t>
        </is>
      </c>
      <c r="BG72" s="114" t="n">
        <v>65</v>
      </c>
      <c r="BH72" s="39" t="n"/>
      <c r="BI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3">
        <f>IF(SET!AJ73="","",SET!AJ73)</f>
        <v/>
      </c>
      <c r="G73" s="123">
        <f>IF(SET!AK73="","",SET!AK73)</f>
        <v/>
      </c>
      <c r="H73" s="123">
        <f>IF(SET!AL73="","",SET!AL73)</f>
        <v/>
      </c>
      <c r="I73" s="142" t="n"/>
      <c r="J73" s="142" t="n"/>
      <c r="K73" s="142" t="n"/>
      <c r="L73" s="142" t="n"/>
      <c r="M73" s="142" t="n"/>
      <c r="N73" s="142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  <c r="AA73" s="142" t="n"/>
      <c r="AB73" s="142" t="n"/>
      <c r="AC73" s="142" t="n"/>
      <c r="AD73" s="142" t="n"/>
      <c r="AE73" s="142" t="n"/>
      <c r="AF73" s="142" t="n"/>
      <c r="AG73" s="142" t="n"/>
      <c r="AH73" s="142" t="n"/>
      <c r="AI73" s="142" t="n"/>
      <c r="AJ73" s="142" t="n"/>
      <c r="AK73" s="142" t="n"/>
      <c r="AL73" s="142" t="n"/>
      <c r="AM73" s="142" t="n"/>
      <c r="AN73" s="142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E73" s="110" t="n"/>
      <c r="BF73" s="113" t="inlineStr">
        <is>
          <t>4 · administrativo</t>
        </is>
      </c>
      <c r="BG73" s="114" t="n">
        <v>66</v>
      </c>
      <c r="BH73" s="39" t="n"/>
      <c r="B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</row>
    <row r="78">
      <c r="A78" s="143" t="inlineStr">
        <is>
          <t>Mínimo do dia</t>
        </is>
      </c>
      <c r="B78" s="39" t="n"/>
      <c r="C78" s="39" t="n"/>
      <c r="D78" s="39" t="n"/>
      <c r="E78" s="39" t="n"/>
      <c r="F78" s="39" t="n"/>
      <c r="G78" s="39" t="n"/>
      <c r="H78" s="39" t="n"/>
      <c r="I78" s="144" t="inlineStr">
        <is>
          <t>14/10/7</t>
        </is>
      </c>
      <c r="J78" s="144" t="inlineStr">
        <is>
          <t>14/10/7</t>
        </is>
      </c>
      <c r="K78" s="144" t="inlineStr">
        <is>
          <t>10/8/7</t>
        </is>
      </c>
      <c r="L78" s="144" t="inlineStr">
        <is>
          <t>9/8/7</t>
        </is>
      </c>
      <c r="M78" s="144" t="inlineStr">
        <is>
          <t>14/10/7</t>
        </is>
      </c>
      <c r="N78" s="144" t="inlineStr">
        <is>
          <t>14/10/7</t>
        </is>
      </c>
      <c r="O78" s="144" t="inlineStr">
        <is>
          <t>14/10/7</t>
        </is>
      </c>
      <c r="P78" s="144" t="inlineStr">
        <is>
          <t>14/10/7</t>
        </is>
      </c>
      <c r="Q78" s="144" t="inlineStr">
        <is>
          <t>14/10/7</t>
        </is>
      </c>
      <c r="R78" s="144" t="inlineStr">
        <is>
          <t>10/8/7</t>
        </is>
      </c>
      <c r="S78" s="144" t="inlineStr">
        <is>
          <t>9/8/7</t>
        </is>
      </c>
      <c r="T78" s="144" t="inlineStr">
        <is>
          <t>14/10/7</t>
        </is>
      </c>
      <c r="U78" s="144" t="inlineStr">
        <is>
          <t>14/10/7</t>
        </is>
      </c>
      <c r="V78" s="144" t="inlineStr">
        <is>
          <t>14/10/7</t>
        </is>
      </c>
      <c r="W78" s="144" t="inlineStr">
        <is>
          <t>14/10/7</t>
        </is>
      </c>
      <c r="X78" s="144" t="inlineStr">
        <is>
          <t>14/10/7</t>
        </is>
      </c>
      <c r="Y78" s="144" t="inlineStr">
        <is>
          <t>10/8/7</t>
        </is>
      </c>
      <c r="Z78" s="144" t="inlineStr">
        <is>
          <t>9/8/7</t>
        </is>
      </c>
      <c r="AA78" s="144" t="inlineStr">
        <is>
          <t>14/10/7</t>
        </is>
      </c>
      <c r="AB78" s="144" t="inlineStr">
        <is>
          <t>14/10/7</t>
        </is>
      </c>
      <c r="AC78" s="144" t="inlineStr">
        <is>
          <t>14/10/7</t>
        </is>
      </c>
      <c r="AD78" s="144" t="inlineStr">
        <is>
          <t>14/10/7</t>
        </is>
      </c>
      <c r="AE78" s="144" t="inlineStr">
        <is>
          <t>14/10/7</t>
        </is>
      </c>
      <c r="AF78" s="144" t="inlineStr">
        <is>
          <t>10/8/7</t>
        </is>
      </c>
      <c r="AG78" s="144" t="inlineStr">
        <is>
          <t>9/8/7</t>
        </is>
      </c>
      <c r="AH78" s="144" t="inlineStr">
        <is>
          <t>14/10/7</t>
        </is>
      </c>
      <c r="AI78" s="144" t="inlineStr">
        <is>
          <t>14/10/7</t>
        </is>
      </c>
      <c r="AJ78" s="144" t="inlineStr">
        <is>
          <t>14/10/7</t>
        </is>
      </c>
      <c r="AK78" s="144" t="inlineStr">
        <is>
          <t>14/10/7</t>
        </is>
      </c>
      <c r="AL78" s="144" t="inlineStr">
        <is>
          <t>14/10/7</t>
        </is>
      </c>
      <c r="AM78" s="144" t="inlineStr">
        <is>
          <t>10/8/7</t>
        </is>
      </c>
      <c r="AN78" s="144" t="inlineStr">
        <is>
          <t>9/8/7</t>
        </is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</row>
    <row r="79">
      <c r="A79" s="121" t="inlineStr">
        <is>
          <t>Falta manhã</t>
        </is>
      </c>
      <c r="B79" s="39" t="n"/>
      <c r="C79" s="39" t="n"/>
      <c r="D79" s="39" t="n"/>
      <c r="E79" s="39" t="n"/>
      <c r="F79" s="39" t="n"/>
      <c r="G79" s="39" t="n"/>
      <c r="H79" s="39" t="n"/>
      <c r="I79" s="122">
        <f>MAX(0,14-I75)</f>
        <v/>
      </c>
      <c r="J79" s="122">
        <f>MAX(0,14-J75)</f>
        <v/>
      </c>
      <c r="K79" s="122">
        <f>MAX(0,10-K75)</f>
        <v/>
      </c>
      <c r="L79" s="122">
        <f>MAX(0,9-L75)</f>
        <v/>
      </c>
      <c r="M79" s="122">
        <f>MAX(0,14-M75)</f>
        <v/>
      </c>
      <c r="N79" s="122">
        <f>MAX(0,14-N75)</f>
        <v/>
      </c>
      <c r="O79" s="122">
        <f>MAX(0,14-O75)</f>
        <v/>
      </c>
      <c r="P79" s="122">
        <f>MAX(0,14-P75)</f>
        <v/>
      </c>
      <c r="Q79" s="122">
        <f>MAX(0,14-Q75)</f>
        <v/>
      </c>
      <c r="R79" s="122">
        <f>MAX(0,10-R75)</f>
        <v/>
      </c>
      <c r="S79" s="122">
        <f>MAX(0,9-S75)</f>
        <v/>
      </c>
      <c r="T79" s="122">
        <f>MAX(0,14-T75)</f>
        <v/>
      </c>
      <c r="U79" s="122">
        <f>MAX(0,14-U75)</f>
        <v/>
      </c>
      <c r="V79" s="122">
        <f>MAX(0,14-V75)</f>
        <v/>
      </c>
      <c r="W79" s="122">
        <f>MAX(0,14-W75)</f>
        <v/>
      </c>
      <c r="X79" s="122">
        <f>MAX(0,14-X75)</f>
        <v/>
      </c>
      <c r="Y79" s="122">
        <f>MAX(0,10-Y75)</f>
        <v/>
      </c>
      <c r="Z79" s="122">
        <f>MAX(0,9-Z75)</f>
        <v/>
      </c>
      <c r="AA79" s="122">
        <f>MAX(0,14-AA75)</f>
        <v/>
      </c>
      <c r="AB79" s="122">
        <f>MAX(0,14-AB75)</f>
        <v/>
      </c>
      <c r="AC79" s="122">
        <f>MAX(0,14-AC75)</f>
        <v/>
      </c>
      <c r="AD79" s="122">
        <f>MAX(0,14-AD75)</f>
        <v/>
      </c>
      <c r="AE79" s="122">
        <f>MAX(0,14-AE75)</f>
        <v/>
      </c>
      <c r="AF79" s="122">
        <f>MAX(0,10-AF75)</f>
        <v/>
      </c>
      <c r="AG79" s="122">
        <f>MAX(0,9-AG75)</f>
        <v/>
      </c>
      <c r="AH79" s="122">
        <f>MAX(0,14-AH75)</f>
        <v/>
      </c>
      <c r="AI79" s="122">
        <f>MAX(0,14-AI75)</f>
        <v/>
      </c>
      <c r="AJ79" s="122">
        <f>MAX(0,14-AJ75)</f>
        <v/>
      </c>
      <c r="AK79" s="122">
        <f>MAX(0,14-AK75)</f>
        <v/>
      </c>
      <c r="AL79" s="122">
        <f>MAX(0,14-AL75)</f>
        <v/>
      </c>
      <c r="AM79" s="122">
        <f>MAX(0,10-AM75)</f>
        <v/>
      </c>
      <c r="AN79" s="122">
        <f>MAX(0,9-AN75)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</row>
    <row r="80">
      <c r="A80" s="121" t="inlineStr">
        <is>
          <t>Falta tarde</t>
        </is>
      </c>
      <c r="B80" s="39" t="n"/>
      <c r="C80" s="39" t="n"/>
      <c r="D80" s="39" t="n"/>
      <c r="E80" s="39" t="n"/>
      <c r="F80" s="39" t="n"/>
      <c r="G80" s="39" t="n"/>
      <c r="H80" s="39" t="n"/>
      <c r="I80" s="122">
        <f>MAX(0,10-I76)</f>
        <v/>
      </c>
      <c r="J80" s="122">
        <f>MAX(0,10-J76)</f>
        <v/>
      </c>
      <c r="K80" s="122">
        <f>MAX(0,8-K76)</f>
        <v/>
      </c>
      <c r="L80" s="122">
        <f>MAX(0,8-L76)</f>
        <v/>
      </c>
      <c r="M80" s="122">
        <f>MAX(0,10-M76)</f>
        <v/>
      </c>
      <c r="N80" s="122">
        <f>MAX(0,10-N76)</f>
        <v/>
      </c>
      <c r="O80" s="122">
        <f>MAX(0,10-O76)</f>
        <v/>
      </c>
      <c r="P80" s="122">
        <f>MAX(0,10-P76)</f>
        <v/>
      </c>
      <c r="Q80" s="122">
        <f>MAX(0,10-Q76)</f>
        <v/>
      </c>
      <c r="R80" s="122">
        <f>MAX(0,8-R76)</f>
        <v/>
      </c>
      <c r="S80" s="122">
        <f>MAX(0,8-S76)</f>
        <v/>
      </c>
      <c r="T80" s="122">
        <f>MAX(0,10-T76)</f>
        <v/>
      </c>
      <c r="U80" s="122">
        <f>MAX(0,10-U76)</f>
        <v/>
      </c>
      <c r="V80" s="122">
        <f>MAX(0,10-V76)</f>
        <v/>
      </c>
      <c r="W80" s="122">
        <f>MAX(0,10-W76)</f>
        <v/>
      </c>
      <c r="X80" s="122">
        <f>MAX(0,10-X76)</f>
        <v/>
      </c>
      <c r="Y80" s="122">
        <f>MAX(0,8-Y76)</f>
        <v/>
      </c>
      <c r="Z80" s="122">
        <f>MAX(0,8-Z76)</f>
        <v/>
      </c>
      <c r="AA80" s="122">
        <f>MAX(0,10-AA76)</f>
        <v/>
      </c>
      <c r="AB80" s="122">
        <f>MAX(0,10-AB76)</f>
        <v/>
      </c>
      <c r="AC80" s="122">
        <f>MAX(0,10-AC76)</f>
        <v/>
      </c>
      <c r="AD80" s="122">
        <f>MAX(0,10-AD76)</f>
        <v/>
      </c>
      <c r="AE80" s="122">
        <f>MAX(0,10-AE76)</f>
        <v/>
      </c>
      <c r="AF80" s="122">
        <f>MAX(0,8-AF76)</f>
        <v/>
      </c>
      <c r="AG80" s="122">
        <f>MAX(0,8-AG76)</f>
        <v/>
      </c>
      <c r="AH80" s="122">
        <f>MAX(0,10-AH76)</f>
        <v/>
      </c>
      <c r="AI80" s="122">
        <f>MAX(0,10-AI76)</f>
        <v/>
      </c>
      <c r="AJ80" s="122">
        <f>MAX(0,10-AJ76)</f>
        <v/>
      </c>
      <c r="AK80" s="122">
        <f>MAX(0,10-AK76)</f>
        <v/>
      </c>
      <c r="AL80" s="122">
        <f>MAX(0,10-AL76)</f>
        <v/>
      </c>
      <c r="AM80" s="122">
        <f>MAX(0,8-AM76)</f>
        <v/>
      </c>
      <c r="AN80" s="122">
        <f>MAX(0,8-AN76)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</row>
    <row r="81">
      <c r="A81" s="121" t="inlineStr">
        <is>
          <t>Falta noite</t>
        </is>
      </c>
      <c r="B81" s="39" t="n"/>
      <c r="C81" s="39" t="n"/>
      <c r="D81" s="39" t="n"/>
      <c r="E81" s="39" t="n"/>
      <c r="F81" s="39" t="n"/>
      <c r="G81" s="39" t="n"/>
      <c r="H81" s="39" t="n"/>
      <c r="I81" s="122">
        <f>MAX(0,7-I77)</f>
        <v/>
      </c>
      <c r="J81" s="122">
        <f>MAX(0,7-J77)</f>
        <v/>
      </c>
      <c r="K81" s="122">
        <f>MAX(0,7-K77)</f>
        <v/>
      </c>
      <c r="L81" s="122">
        <f>MAX(0,7-L77)</f>
        <v/>
      </c>
      <c r="M81" s="122">
        <f>MAX(0,7-M77)</f>
        <v/>
      </c>
      <c r="N81" s="122">
        <f>MAX(0,7-N77)</f>
        <v/>
      </c>
      <c r="O81" s="122">
        <f>MAX(0,7-O77)</f>
        <v/>
      </c>
      <c r="P81" s="122">
        <f>MAX(0,7-P77)</f>
        <v/>
      </c>
      <c r="Q81" s="122">
        <f>MAX(0,7-Q77)</f>
        <v/>
      </c>
      <c r="R81" s="122">
        <f>MAX(0,7-R77)</f>
        <v/>
      </c>
      <c r="S81" s="122">
        <f>MAX(0,7-S77)</f>
        <v/>
      </c>
      <c r="T81" s="122">
        <f>MAX(0,7-T77)</f>
        <v/>
      </c>
      <c r="U81" s="122">
        <f>MAX(0,7-U77)</f>
        <v/>
      </c>
      <c r="V81" s="122">
        <f>MAX(0,7-V77)</f>
        <v/>
      </c>
      <c r="W81" s="122">
        <f>MAX(0,7-W77)</f>
        <v/>
      </c>
      <c r="X81" s="122">
        <f>MAX(0,7-X77)</f>
        <v/>
      </c>
      <c r="Y81" s="122">
        <f>MAX(0,7-Y77)</f>
        <v/>
      </c>
      <c r="Z81" s="122">
        <f>MAX(0,7-Z77)</f>
        <v/>
      </c>
      <c r="AA81" s="122">
        <f>MAX(0,7-AA77)</f>
        <v/>
      </c>
      <c r="AB81" s="122">
        <f>MAX(0,7-AB77)</f>
        <v/>
      </c>
      <c r="AC81" s="122">
        <f>MAX(0,7-AC77)</f>
        <v/>
      </c>
      <c r="AD81" s="122">
        <f>MAX(0,7-AD77)</f>
        <v/>
      </c>
      <c r="AE81" s="122">
        <f>MAX(0,7-AE77)</f>
        <v/>
      </c>
      <c r="AF81" s="122">
        <f>MAX(0,7-AF77)</f>
        <v/>
      </c>
      <c r="AG81" s="122">
        <f>MAX(0,7-AG77)</f>
        <v/>
      </c>
      <c r="AH81" s="122">
        <f>MAX(0,7-AH77)</f>
        <v/>
      </c>
      <c r="AI81" s="122">
        <f>MAX(0,7-AI77)</f>
        <v/>
      </c>
      <c r="AJ81" s="122">
        <f>MAX(0,7-AJ77)</f>
        <v/>
      </c>
      <c r="AK81" s="122">
        <f>MAX(0,7-AK77)</f>
        <v/>
      </c>
      <c r="AL81" s="122">
        <f>MAX(0,7-AL77)</f>
        <v/>
      </c>
      <c r="AM81" s="122">
        <f>MAX(0,7-AM77)</f>
        <v/>
      </c>
      <c r="AN81" s="122">
        <f>MAX(0,7-AN77)</f>
        <v/>
      </c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  <c r="BH83" s="39" t="n"/>
      <c r="BI83" s="39" t="n"/>
    </row>
  </sheetData>
  <conditionalFormatting sqref="AX8:AX73">
    <cfRule type="cellIs" priority="1" operator="greaterThan" dxfId="0">
      <formula>0</formula>
    </cfRule>
  </conditionalFormatting>
  <conditionalFormatting sqref="AY8:BE73">
    <cfRule type="cellIs" priority="2" operator="greaterThan" dxfId="0">
      <formula>44</formula>
    </cfRule>
  </conditionalFormatting>
  <conditionalFormatting sqref="I79:AN79">
    <cfRule type="cellIs" priority="3" operator="greaterThan" dxfId="0">
      <formula>0</formula>
    </cfRule>
  </conditionalFormatting>
  <conditionalFormatting sqref="I80:AN80">
    <cfRule type="cellIs" priority="4" operator="greaterThan" dxfId="0">
      <formula>0</formula>
    </cfRule>
  </conditionalFormatting>
  <conditionalFormatting sqref="I81:AN81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7" t="inlineStr">
        <is>
          <t>26/10</t>
        </is>
      </c>
      <c r="D2" s="97" t="inlineStr">
        <is>
          <t>27/10</t>
        </is>
      </c>
      <c r="E2" s="97" t="inlineStr">
        <is>
          <t>28/10</t>
        </is>
      </c>
      <c r="F2" s="97" t="inlineStr">
        <is>
          <t>29/10</t>
        </is>
      </c>
      <c r="G2" s="97" t="inlineStr">
        <is>
          <t>30/10</t>
        </is>
      </c>
      <c r="H2" s="101" t="inlineStr">
        <is>
          <t>31/10</t>
        </is>
      </c>
      <c r="I2" s="100" t="n">
        <v>1</v>
      </c>
      <c r="J2" s="98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98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8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6" t="n"/>
      <c r="AN2" s="97" t="inlineStr">
        <is>
          <t>01/12</t>
        </is>
      </c>
      <c r="AO2" s="97" t="inlineStr">
        <is>
          <t>02/12</t>
        </is>
      </c>
      <c r="AP2" s="97" t="inlineStr">
        <is>
          <t>03/12</t>
        </is>
      </c>
      <c r="AQ2" s="97" t="inlineStr">
        <is>
          <t>04/12</t>
        </is>
      </c>
      <c r="AR2" s="101" t="inlineStr">
        <is>
          <t>05/12</t>
        </is>
      </c>
      <c r="AS2" s="101" t="inlineStr">
        <is>
          <t>06/12</t>
        </is>
      </c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3" t="inlineStr">
        <is>
          <t>finad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3" t="inlineStr">
        <is>
          <t>repúb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3" t="inlineStr">
        <is>
          <t>consc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96" t="n"/>
      <c r="AN3" s="102" t="inlineStr">
        <is>
          <t>ter</t>
        </is>
      </c>
      <c r="AO3" s="102" t="inlineStr">
        <is>
          <t>qua</t>
        </is>
      </c>
      <c r="AP3" s="102" t="inlineStr">
        <is>
          <t>qui</t>
        </is>
      </c>
      <c r="AQ3" s="102" t="inlineStr">
        <is>
          <t>sex</t>
        </is>
      </c>
      <c r="AR3" s="104" t="inlineStr">
        <is>
          <t>sáb</t>
        </is>
      </c>
      <c r="AS3" s="104" t="inlineStr">
        <is>
          <t>dom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1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1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123">
        <f>IFERROR(INDEX(OUT!AH$8:AH$73,MATCH($A8,OUT!$A$8:$A$73,0))&amp;"","")</f>
        <v/>
      </c>
      <c r="D8" s="123">
        <f>IFERROR(INDEX(OUT!AI$8:AI$73,MATCH($A8,OUT!$A$8:$A$73,0))&amp;"","")</f>
        <v/>
      </c>
      <c r="E8" s="123">
        <f>IFERROR(INDEX(OUT!AJ$8:AJ$73,MATCH($A8,OUT!$A$8:$A$73,0))&amp;"","")</f>
        <v/>
      </c>
      <c r="F8" s="123">
        <f>IFERROR(INDEX(OUT!AK$8:AK$73,MATCH($A8,OUT!$A$8:$A$73,0))&amp;"","")</f>
        <v/>
      </c>
      <c r="G8" s="123">
        <f>IFERROR(INDEX(OUT!AL$8:AL$73,MATCH($A8,OUT!$A$8:$A$73,0))&amp;"","")</f>
        <v/>
      </c>
      <c r="H8" s="109">
        <f>IFERROR(INDEX(OUT!AM$8:AM$73,MATCH($A8,OUT!$A$8:$A$73,0))&amp;"","")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96" t="n"/>
      <c r="AN8" s="123">
        <f>IFERROR(INDEX(DEZ!I$8:I$73,MATCH($A8,DEZ!$A$8:$A$73,0))&amp;"","")</f>
        <v/>
      </c>
      <c r="AO8" s="123">
        <f>IFERROR(INDEX(DEZ!J$8:J$73,MATCH($A8,DEZ!$A$8:$A$73,0))&amp;"","")</f>
        <v/>
      </c>
      <c r="AP8" s="123">
        <f>IFERROR(INDEX(DEZ!K$8:K$73,MATCH($A8,DEZ!$A$8:$A$73,0))&amp;"","")</f>
        <v/>
      </c>
      <c r="AQ8" s="123">
        <f>IFERROR(INDEX(DEZ!L$8:L$73,MATCH($A8,DEZ!$A$8:$A$73,0))&amp;"","")</f>
        <v/>
      </c>
      <c r="AR8" s="109">
        <f>IFERROR(INDEX(DEZ!M$8:M$73,MATCH($A8,DEZ!$A$8:$A$73,0))&amp;"","")</f>
        <v/>
      </c>
      <c r="AS8" s="109">
        <f>IFERROR(INDEX(DEZ!N$8:N$73,MATCH($A8,DEZ!$A$8:$A$73,0))&amp;"","")</f>
        <v/>
      </c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SUMPRODUCT(($C8:$I8="M")*6+($C8:$I8="T")*6+($C8:$I8="D")*12+($C8:$I8="N")*12+($C8:$I8="NT")*6+($C8:$I8="C")*10+($C8:$I8="A")*8+($C8:$I8="J")*5+($C8:$I8="E")*4+($C8:$I8="P")*6+($C8:$I8="R")*6)</f>
        <v/>
      </c>
      <c r="BF8" s="110">
        <f>SUMPRODUCT(($J8:$P8="M")*6+($J8:$P8="T")*6+($J8:$P8="D")*12+($J8:$P8="N")*12+($J8:$P8="NT")*6+($J8:$P8="C")*10+($J8:$P8="A")*8+($J8:$P8="J")*5+($J8:$P8="E")*4+($J8:$P8="P")*6+($J8:$P8="R")*6)</f>
        <v/>
      </c>
      <c r="BG8" s="110">
        <f>SUMPRODUCT(($Q8:$W8="M")*6+($Q8:$W8="T")*6+($Q8:$W8="D")*12+($Q8:$W8="N")*12+($Q8:$W8="NT")*6+($Q8:$W8="C")*10+($Q8:$W8="A")*8+($Q8:$W8="J")*5+($Q8:$W8="E")*4+($Q8:$W8="P")*6+($Q8:$W8="R")*6)</f>
        <v/>
      </c>
      <c r="BH8" s="110">
        <f>SUMPRODUCT(($X8:$AD8="M")*6+($X8:$AD8="T")*6+($X8:$AD8="D")*12+($X8:$AD8="N")*12+($X8:$AD8="NT")*6+($X8:$AD8="C")*10+($X8:$AD8="A")*8+($X8:$AD8="J")*5+($X8:$AD8="E")*4+($X8:$AD8="P")*6+($X8:$AD8="R")*6)</f>
        <v/>
      </c>
      <c r="BI8" s="110">
        <f>SUMPRODUCT(($AE8:$AK8="M")*6+($AE8:$AK8="T")*6+($AE8:$AK8="D")*12+($AE8:$AK8="N")*12+($AE8:$AK8="NT")*6+($AE8:$AK8="C")*10+($AE8:$AK8="A")*8+($AE8:$AK8="J")*5+($AE8:$AK8="E")*4+($AE8:$AK8="P")*6+($AE8:$AK8="R")*6)</f>
        <v/>
      </c>
      <c r="BJ8" s="110">
        <f>SUMPRODUCT(($AL8:$AL8="M")*6+($AL8:$AL8="T")*6+($AL8:$AL8="D")*12+($AL8:$AL8="N")*12+($AL8:$AL8="NT")*6+($AL8:$AL8="C")*10+($AL8:$AL8="A")*8+($AL8:$AL8="J")*5+($AL8:$AL8="E")*4+($AL8:$AL8="P")*6+($AL8:$AL8="R")*6)+SUMPRODUCT(($AN8:$AS8="M")*6+($AN8:$AS8="T")*6+($AN8:$AS8="D")*12+($AN8:$AS8="N")*12+($AN8:$AS8="NT")*6+($AN8:$AS8="C")*10+($AN8:$AS8="A")*8+($AN8:$AS8="J")*5+($AN8:$AS8="E")*4+($AN8:$AS8="P")*6+($AN8:$AS8="R")*6)</f>
        <v/>
      </c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123">
        <f>IFERROR(INDEX(OUT!AH$8:AH$73,MATCH($A9,OUT!$A$8:$A$73,0))&amp;"","")</f>
        <v/>
      </c>
      <c r="D9" s="123">
        <f>IFERROR(INDEX(OUT!AI$8:AI$73,MATCH($A9,OUT!$A$8:$A$73,0))&amp;"","")</f>
        <v/>
      </c>
      <c r="E9" s="123">
        <f>IFERROR(INDEX(OUT!AJ$8:AJ$73,MATCH($A9,OUT!$A$8:$A$73,0))&amp;"","")</f>
        <v/>
      </c>
      <c r="F9" s="123">
        <f>IFERROR(INDEX(OUT!AK$8:AK$73,MATCH($A9,OUT!$A$8:$A$73,0))&amp;"","")</f>
        <v/>
      </c>
      <c r="G9" s="123">
        <f>IFERROR(INDEX(OUT!AL$8:AL$73,MATCH($A9,OUT!$A$8:$A$73,0))&amp;"","")</f>
        <v/>
      </c>
      <c r="H9" s="109">
        <f>IFERROR(INDEX(OUT!AM$8:AM$73,MATCH($A9,OUT!$A$8:$A$73,0))&amp;"","")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96" t="n"/>
      <c r="AN9" s="123">
        <f>IFERROR(INDEX(DEZ!I$8:I$73,MATCH($A9,DEZ!$A$8:$A$73,0))&amp;"","")</f>
        <v/>
      </c>
      <c r="AO9" s="123">
        <f>IFERROR(INDEX(DEZ!J$8:J$73,MATCH($A9,DEZ!$A$8:$A$73,0))&amp;"","")</f>
        <v/>
      </c>
      <c r="AP9" s="123">
        <f>IFERROR(INDEX(DEZ!K$8:K$73,MATCH($A9,DEZ!$A$8:$A$73,0))&amp;"","")</f>
        <v/>
      </c>
      <c r="AQ9" s="123">
        <f>IFERROR(INDEX(DEZ!L$8:L$73,MATCH($A9,DEZ!$A$8:$A$73,0))&amp;"","")</f>
        <v/>
      </c>
      <c r="AR9" s="109">
        <f>IFERROR(INDEX(DEZ!M$8:M$73,MATCH($A9,DEZ!$A$8:$A$73,0))&amp;"","")</f>
        <v/>
      </c>
      <c r="AS9" s="109">
        <f>IFERROR(INDEX(DEZ!N$8:N$73,MATCH($A9,DEZ!$A$8:$A$73,0))&amp;"","")</f>
        <v/>
      </c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SUMPRODUCT(($C9:$I9="M")*6+($C9:$I9="T")*6+($C9:$I9="D")*12+($C9:$I9="N")*12+($C9:$I9="NT")*6+($C9:$I9="C")*10+($C9:$I9="A")*8+($C9:$I9="J")*5+($C9:$I9="E")*4+($C9:$I9="P")*6+($C9:$I9="R")*6)</f>
        <v/>
      </c>
      <c r="BF9" s="110">
        <f>SUMPRODUCT(($J9:$P9="M")*6+($J9:$P9="T")*6+($J9:$P9="D")*12+($J9:$P9="N")*12+($J9:$P9="NT")*6+($J9:$P9="C")*10+($J9:$P9="A")*8+($J9:$P9="J")*5+($J9:$P9="E")*4+($J9:$P9="P")*6+($J9:$P9="R")*6)</f>
        <v/>
      </c>
      <c r="BG9" s="110">
        <f>SUMPRODUCT(($Q9:$W9="M")*6+($Q9:$W9="T")*6+($Q9:$W9="D")*12+($Q9:$W9="N")*12+($Q9:$W9="NT")*6+($Q9:$W9="C")*10+($Q9:$W9="A")*8+($Q9:$W9="J")*5+($Q9:$W9="E")*4+($Q9:$W9="P")*6+($Q9:$W9="R")*6)</f>
        <v/>
      </c>
      <c r="BH9" s="110">
        <f>SUMPRODUCT(($X9:$AD9="M")*6+($X9:$AD9="T")*6+($X9:$AD9="D")*12+($X9:$AD9="N")*12+($X9:$AD9="NT")*6+($X9:$AD9="C")*10+($X9:$AD9="A")*8+($X9:$AD9="J")*5+($X9:$AD9="E")*4+($X9:$AD9="P")*6+($X9:$AD9="R")*6)</f>
        <v/>
      </c>
      <c r="BI9" s="110">
        <f>SUMPRODUCT(($AE9:$AK9="M")*6+($AE9:$AK9="T")*6+($AE9:$AK9="D")*12+($AE9:$AK9="N")*12+($AE9:$AK9="NT")*6+($AE9:$AK9="C")*10+($AE9:$AK9="A")*8+($AE9:$AK9="J")*5+($AE9:$AK9="E")*4+($AE9:$AK9="P")*6+($AE9:$AK9="R")*6)</f>
        <v/>
      </c>
      <c r="BJ9" s="110">
        <f>SUMPRODUCT(($AL9:$AL9="M")*6+($AL9:$AL9="T")*6+($AL9:$AL9="D")*12+($AL9:$AL9="N")*12+($AL9:$AL9="NT")*6+($AL9:$AL9="C")*10+($AL9:$AL9="A")*8+($AL9:$AL9="J")*5+($AL9:$AL9="E")*4+($AL9:$AL9="P")*6+($AL9:$AL9="R")*6)+SUMPRODUCT(($AN9:$AS9="M")*6+($AN9:$AS9="T")*6+($AN9:$AS9="D")*12+($AN9:$AS9="N")*12+($AN9:$AS9="NT")*6+($AN9:$AS9="C")*10+($AN9:$AS9="A")*8+($AN9:$AS9="J")*5+($AN9:$AS9="E")*4+($AN9:$AS9="P")*6+($AN9:$AS9="R")*6)</f>
        <v/>
      </c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123">
        <f>IFERROR(INDEX(OUT!AH$8:AH$73,MATCH($A10,OUT!$A$8:$A$73,0))&amp;"","")</f>
        <v/>
      </c>
      <c r="D10" s="123">
        <f>IFERROR(INDEX(OUT!AI$8:AI$73,MATCH($A10,OUT!$A$8:$A$73,0))&amp;"","")</f>
        <v/>
      </c>
      <c r="E10" s="123">
        <f>IFERROR(INDEX(OUT!AJ$8:AJ$73,MATCH($A10,OUT!$A$8:$A$73,0))&amp;"","")</f>
        <v/>
      </c>
      <c r="F10" s="123">
        <f>IFERROR(INDEX(OUT!AK$8:AK$73,MATCH($A10,OUT!$A$8:$A$73,0))&amp;"","")</f>
        <v/>
      </c>
      <c r="G10" s="123">
        <f>IFERROR(INDEX(OUT!AL$8:AL$73,MATCH($A10,OUT!$A$8:$A$73,0))&amp;"","")</f>
        <v/>
      </c>
      <c r="H10" s="109">
        <f>IFERROR(INDEX(OUT!AM$8:AM$73,MATCH($A10,OUT!$A$8:$A$73,0))&amp;"","")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3">
        <f>IFERROR(INDEX(DEZ!I$8:I$73,MATCH($A10,DEZ!$A$8:$A$73,0))&amp;"","")</f>
        <v/>
      </c>
      <c r="AO10" s="123">
        <f>IFERROR(INDEX(DEZ!J$8:J$73,MATCH($A10,DEZ!$A$8:$A$73,0))&amp;"","")</f>
        <v/>
      </c>
      <c r="AP10" s="123">
        <f>IFERROR(INDEX(DEZ!K$8:K$73,MATCH($A10,DEZ!$A$8:$A$73,0))&amp;"","")</f>
        <v/>
      </c>
      <c r="AQ10" s="123">
        <f>IFERROR(INDEX(DEZ!L$8:L$73,MATCH($A10,DEZ!$A$8:$A$73,0))&amp;"","")</f>
        <v/>
      </c>
      <c r="AR10" s="109">
        <f>IFERROR(INDEX(DEZ!M$8:M$73,MATCH($A10,DEZ!$A$8:$A$73,0))&amp;"","")</f>
        <v/>
      </c>
      <c r="AS10" s="109">
        <f>IFERROR(INDEX(DEZ!N$8:N$73,MATCH($A10,DEZ!$A$8:$A$73,0))&amp;"","")</f>
        <v/>
      </c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SUMPRODUCT(($C10:$I10="M")*6+($C10:$I10="T")*6+($C10:$I10="D")*12+($C10:$I10="N")*12+($C10:$I10="NT")*6+($C10:$I10="C")*10+($C10:$I10="A")*8+($C10:$I10="J")*5+($C10:$I10="E")*4+($C10:$I10="P")*6+($C10:$I10="R")*6)</f>
        <v/>
      </c>
      <c r="BF10" s="110">
        <f>SUMPRODUCT(($J10:$P10="M")*6+($J10:$P10="T")*6+($J10:$P10="D")*12+($J10:$P10="N")*12+($J10:$P10="NT")*6+($J10:$P10="C")*10+($J10:$P10="A")*8+($J10:$P10="J")*5+($J10:$P10="E")*4+($J10:$P10="P")*6+($J10:$P10="R")*6)</f>
        <v/>
      </c>
      <c r="BG10" s="110">
        <f>SUMPRODUCT(($Q10:$W10="M")*6+($Q10:$W10="T")*6+($Q10:$W10="D")*12+($Q10:$W10="N")*12+($Q10:$W10="NT")*6+($Q10:$W10="C")*10+($Q10:$W10="A")*8+($Q10:$W10="J")*5+($Q10:$W10="E")*4+($Q10:$W10="P")*6+($Q10:$W10="R")*6)</f>
        <v/>
      </c>
      <c r="BH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I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J10" s="110">
        <f>SUMPRODUCT(($AL10:$AL10="M")*6+($AL10:$AL10="T")*6+($AL10:$AL10="D")*12+($AL10:$AL10="N")*12+($AL10:$AL10="NT")*6+($AL10:$AL10="C")*10+($AL10:$AL10="A")*8+($AL10:$AL10="J")*5+($AL10:$AL10="E")*4+($AL10:$AL10="P")*6+($AL10:$AL10="R")*6)+SUMPRODUCT(($AN10:$AS10="M")*6+($AN10:$AS10="T")*6+($AN10:$AS10="D")*12+($AN10:$AS10="N")*12+($AN10:$AS10="NT")*6+($AN10:$AS10="C")*10+($AN10:$AS10="A")*8+($AN10:$AS10="J")*5+($AN10:$AS10="E")*4+($AN10:$AS10="P")*6+($AN10:$AS10="R")*6)</f>
        <v/>
      </c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123">
        <f>IFERROR(INDEX(OUT!AH$8:AH$73,MATCH($A11,OUT!$A$8:$A$73,0))&amp;"","")</f>
        <v/>
      </c>
      <c r="D11" s="123">
        <f>IFERROR(INDEX(OUT!AI$8:AI$73,MATCH($A11,OUT!$A$8:$A$73,0))&amp;"","")</f>
        <v/>
      </c>
      <c r="E11" s="123">
        <f>IFERROR(INDEX(OUT!AJ$8:AJ$73,MATCH($A11,OUT!$A$8:$A$73,0))&amp;"","")</f>
        <v/>
      </c>
      <c r="F11" s="123">
        <f>IFERROR(INDEX(OUT!AK$8:AK$73,MATCH($A11,OUT!$A$8:$A$73,0))&amp;"","")</f>
        <v/>
      </c>
      <c r="G11" s="123">
        <f>IFERROR(INDEX(OUT!AL$8:AL$73,MATCH($A11,OUT!$A$8:$A$73,0))&amp;"","")</f>
        <v/>
      </c>
      <c r="H11" s="109">
        <f>IFERROR(INDEX(OUT!AM$8:AM$73,MATCH($A11,OUT!$A$8:$A$73,0))&amp;"","")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96" t="n"/>
      <c r="AN11" s="123">
        <f>IFERROR(INDEX(DEZ!I$8:I$73,MATCH($A11,DEZ!$A$8:$A$73,0))&amp;"","")</f>
        <v/>
      </c>
      <c r="AO11" s="123">
        <f>IFERROR(INDEX(DEZ!J$8:J$73,MATCH($A11,DEZ!$A$8:$A$73,0))&amp;"","")</f>
        <v/>
      </c>
      <c r="AP11" s="123">
        <f>IFERROR(INDEX(DEZ!K$8:K$73,MATCH($A11,DEZ!$A$8:$A$73,0))&amp;"","")</f>
        <v/>
      </c>
      <c r="AQ11" s="123">
        <f>IFERROR(INDEX(DEZ!L$8:L$73,MATCH($A11,DEZ!$A$8:$A$73,0))&amp;"","")</f>
        <v/>
      </c>
      <c r="AR11" s="109">
        <f>IFERROR(INDEX(DEZ!M$8:M$73,MATCH($A11,DEZ!$A$8:$A$73,0))&amp;"","")</f>
        <v/>
      </c>
      <c r="AS11" s="109">
        <f>IFERROR(INDEX(DEZ!N$8:N$73,MATCH($A11,DEZ!$A$8:$A$73,0))&amp;"","")</f>
        <v/>
      </c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SUMPRODUCT(($C11:$I11="M")*6+($C11:$I11="T")*6+($C11:$I11="D")*12+($C11:$I11="N")*12+($C11:$I11="NT")*6+($C11:$I11="C")*10+($C11:$I11="A")*8+($C11:$I11="J")*5+($C11:$I11="E")*4+($C11:$I11="P")*6+($C11:$I11="R")*6)</f>
        <v/>
      </c>
      <c r="BF11" s="110">
        <f>SUMPRODUCT(($J11:$P11="M")*6+($J11:$P11="T")*6+($J11:$P11="D")*12+($J11:$P11="N")*12+($J11:$P11="NT")*6+($J11:$P11="C")*10+($J11:$P11="A")*8+($J11:$P11="J")*5+($J11:$P11="E")*4+($J11:$P11="P")*6+($J11:$P11="R")*6)</f>
        <v/>
      </c>
      <c r="BG11" s="110">
        <f>SUMPRODUCT(($Q11:$W11="M")*6+($Q11:$W11="T")*6+($Q11:$W11="D")*12+($Q11:$W11="N")*12+($Q11:$W11="NT")*6+($Q11:$W11="C")*10+($Q11:$W11="A")*8+($Q11:$W11="J")*5+($Q11:$W11="E")*4+($Q11:$W11="P")*6+($Q11:$W11="R")*6)</f>
        <v/>
      </c>
      <c r="BH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I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J11" s="110">
        <f>SUMPRODUCT(($AL11:$AL11="M")*6+($AL11:$AL11="T")*6+($AL11:$AL11="D")*12+($AL11:$AL11="N")*12+($AL11:$AL11="NT")*6+($AL11:$AL11="C")*10+($AL11:$AL11="A")*8+($AL11:$AL11="J")*5+($AL11:$AL11="E")*4+($AL11:$AL11="P")*6+($AL11:$AL11="R")*6)+SUMPRODUCT(($AN11:$AS11="M")*6+($AN11:$AS11="T")*6+($AN11:$AS11="D")*12+($AN11:$AS11="N")*12+($AN11:$AS11="NT")*6+($AN11:$AS11="C")*10+($AN11:$AS11="A")*8+($AN11:$AS11="J")*5+($AN11:$AS11="E")*4+($AN11:$AS11="P")*6+($AN11:$AS11="R")*6)</f>
        <v/>
      </c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123">
        <f>IFERROR(INDEX(OUT!AH$8:AH$73,MATCH($A12,OUT!$A$8:$A$73,0))&amp;"","")</f>
        <v/>
      </c>
      <c r="D12" s="123">
        <f>IFERROR(INDEX(OUT!AI$8:AI$73,MATCH($A12,OUT!$A$8:$A$73,0))&amp;"","")</f>
        <v/>
      </c>
      <c r="E12" s="123">
        <f>IFERROR(INDEX(OUT!AJ$8:AJ$73,MATCH($A12,OUT!$A$8:$A$73,0))&amp;"","")</f>
        <v/>
      </c>
      <c r="F12" s="123">
        <f>IFERROR(INDEX(OUT!AK$8:AK$73,MATCH($A12,OUT!$A$8:$A$73,0))&amp;"","")</f>
        <v/>
      </c>
      <c r="G12" s="123">
        <f>IFERROR(INDEX(OUT!AL$8:AL$73,MATCH($A12,OUT!$A$8:$A$73,0))&amp;"","")</f>
        <v/>
      </c>
      <c r="H12" s="109">
        <f>IFERROR(INDEX(OUT!AM$8:AM$73,MATCH($A12,OUT!$A$8:$A$73,0))&amp;"","")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96" t="n"/>
      <c r="AN12" s="123">
        <f>IFERROR(INDEX(DEZ!I$8:I$73,MATCH($A12,DEZ!$A$8:$A$73,0))&amp;"","")</f>
        <v/>
      </c>
      <c r="AO12" s="123">
        <f>IFERROR(INDEX(DEZ!J$8:J$73,MATCH($A12,DEZ!$A$8:$A$73,0))&amp;"","")</f>
        <v/>
      </c>
      <c r="AP12" s="123">
        <f>IFERROR(INDEX(DEZ!K$8:K$73,MATCH($A12,DEZ!$A$8:$A$73,0))&amp;"","")</f>
        <v/>
      </c>
      <c r="AQ12" s="123">
        <f>IFERROR(INDEX(DEZ!L$8:L$73,MATCH($A12,DEZ!$A$8:$A$73,0))&amp;"","")</f>
        <v/>
      </c>
      <c r="AR12" s="109">
        <f>IFERROR(INDEX(DEZ!M$8:M$73,MATCH($A12,DEZ!$A$8:$A$73,0))&amp;"","")</f>
        <v/>
      </c>
      <c r="AS12" s="109">
        <f>IFERROR(INDEX(DEZ!N$8:N$73,MATCH($A12,DEZ!$A$8:$A$73,0))&amp;"","")</f>
        <v/>
      </c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SUMPRODUCT(($C12:$I12="M")*6+($C12:$I12="T")*6+($C12:$I12="D")*12+($C12:$I12="N")*12+($C12:$I12="NT")*6+($C12:$I12="C")*10+($C12:$I12="A")*8+($C12:$I12="J")*5+($C12:$I12="E")*4+($C12:$I12="P")*6+($C12:$I12="R")*6)</f>
        <v/>
      </c>
      <c r="BF12" s="110">
        <f>SUMPRODUCT(($J12:$P12="M")*6+($J12:$P12="T")*6+($J12:$P12="D")*12+($J12:$P12="N")*12+($J12:$P12="NT")*6+($J12:$P12="C")*10+($J12:$P12="A")*8+($J12:$P12="J")*5+($J12:$P12="E")*4+($J12:$P12="P")*6+($J12:$P12="R")*6)</f>
        <v/>
      </c>
      <c r="BG12" s="110">
        <f>SUMPRODUCT(($Q12:$W12="M")*6+($Q12:$W12="T")*6+($Q12:$W12="D")*12+($Q12:$W12="N")*12+($Q12:$W12="NT")*6+($Q12:$W12="C")*10+($Q12:$W12="A")*8+($Q12:$W12="J")*5+($Q12:$W12="E")*4+($Q12:$W12="P")*6+($Q12:$W12="R")*6)</f>
        <v/>
      </c>
      <c r="BH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I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J12" s="110">
        <f>SUMPRODUCT(($AL12:$AL12="M")*6+($AL12:$AL12="T")*6+($AL12:$AL12="D")*12+($AL12:$AL12="N")*12+($AL12:$AL12="NT")*6+($AL12:$AL12="C")*10+($AL12:$AL12="A")*8+($AL12:$AL12="J")*5+($AL12:$AL12="E")*4+($AL12:$AL12="P")*6+($AL12:$AL12="R")*6)+SUMPRODUCT(($AN12:$AS12="M")*6+($AN12:$AS12="T")*6+($AN12:$AS12="D")*12+($AN12:$AS12="N")*12+($AN12:$AS12="NT")*6+($AN12:$AS12="C")*10+($AN12:$AS12="A")*8+($AN12:$AS12="J")*5+($AN12:$AS12="E")*4+($AN12:$AS12="P")*6+($AN12:$AS12="R")*6)</f>
        <v/>
      </c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123">
        <f>IFERROR(INDEX(OUT!AH$8:AH$73,MATCH($A13,OUT!$A$8:$A$73,0))&amp;"","")</f>
        <v/>
      </c>
      <c r="D13" s="123">
        <f>IFERROR(INDEX(OUT!AI$8:AI$73,MATCH($A13,OUT!$A$8:$A$73,0))&amp;"","")</f>
        <v/>
      </c>
      <c r="E13" s="123">
        <f>IFERROR(INDEX(OUT!AJ$8:AJ$73,MATCH($A13,OUT!$A$8:$A$73,0))&amp;"","")</f>
        <v/>
      </c>
      <c r="F13" s="123">
        <f>IFERROR(INDEX(OUT!AK$8:AK$73,MATCH($A13,OUT!$A$8:$A$73,0))&amp;"","")</f>
        <v/>
      </c>
      <c r="G13" s="123">
        <f>IFERROR(INDEX(OUT!AL$8:AL$73,MATCH($A13,OUT!$A$8:$A$73,0))&amp;"","")</f>
        <v/>
      </c>
      <c r="H13" s="109">
        <f>IFERROR(INDEX(OUT!AM$8:AM$73,MATCH($A13,OUT!$A$8:$A$73,0))&amp;"","")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96" t="n"/>
      <c r="AN13" s="123">
        <f>IFERROR(INDEX(DEZ!I$8:I$73,MATCH($A13,DEZ!$A$8:$A$73,0))&amp;"","")</f>
        <v/>
      </c>
      <c r="AO13" s="123">
        <f>IFERROR(INDEX(DEZ!J$8:J$73,MATCH($A13,DEZ!$A$8:$A$73,0))&amp;"","")</f>
        <v/>
      </c>
      <c r="AP13" s="123">
        <f>IFERROR(INDEX(DEZ!K$8:K$73,MATCH($A13,DEZ!$A$8:$A$73,0))&amp;"","")</f>
        <v/>
      </c>
      <c r="AQ13" s="123">
        <f>IFERROR(INDEX(DEZ!L$8:L$73,MATCH($A13,DEZ!$A$8:$A$73,0))&amp;"","")</f>
        <v/>
      </c>
      <c r="AR13" s="109">
        <f>IFERROR(INDEX(DEZ!M$8:M$73,MATCH($A13,DEZ!$A$8:$A$73,0))&amp;"","")</f>
        <v/>
      </c>
      <c r="AS13" s="109">
        <f>IFERROR(INDEX(DEZ!N$8:N$73,MATCH($A13,DEZ!$A$8:$A$73,0))&amp;"","")</f>
        <v/>
      </c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SUMPRODUCT(($C13:$I13="M")*6+($C13:$I13="T")*6+($C13:$I13="D")*12+($C13:$I13="N")*12+($C13:$I13="NT")*6+($C13:$I13="C")*10+($C13:$I13="A")*8+($C13:$I13="J")*5+($C13:$I13="E")*4+($C13:$I13="P")*6+($C13:$I13="R")*6)</f>
        <v/>
      </c>
      <c r="BF13" s="110">
        <f>SUMPRODUCT(($J13:$P13="M")*6+($J13:$P13="T")*6+($J13:$P13="D")*12+($J13:$P13="N")*12+($J13:$P13="NT")*6+($J13:$P13="C")*10+($J13:$P13="A")*8+($J13:$P13="J")*5+($J13:$P13="E")*4+($J13:$P13="P")*6+($J13:$P13="R")*6)</f>
        <v/>
      </c>
      <c r="BG13" s="110">
        <f>SUMPRODUCT(($Q13:$W13="M")*6+($Q13:$W13="T")*6+($Q13:$W13="D")*12+($Q13:$W13="N")*12+($Q13:$W13="NT")*6+($Q13:$W13="C")*10+($Q13:$W13="A")*8+($Q13:$W13="J")*5+($Q13:$W13="E")*4+($Q13:$W13="P")*6+($Q13:$W13="R")*6)</f>
        <v/>
      </c>
      <c r="BH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I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J13" s="110">
        <f>SUMPRODUCT(($AL13:$AL13="M")*6+($AL13:$AL13="T")*6+($AL13:$AL13="D")*12+($AL13:$AL13="N")*12+($AL13:$AL13="NT")*6+($AL13:$AL13="C")*10+($AL13:$AL13="A")*8+($AL13:$AL13="J")*5+($AL13:$AL13="E")*4+($AL13:$AL13="P")*6+($AL13:$AL13="R")*6)+SUMPRODUCT(($AN13:$AS13="M")*6+($AN13:$AS13="T")*6+($AN13:$AS13="D")*12+($AN13:$AS13="N")*12+($AN13:$AS13="NT")*6+($AN13:$AS13="C")*10+($AN13:$AS13="A")*8+($AN13:$AS13="J")*5+($AN13:$AS13="E")*4+($AN13:$AS13="P")*6+($AN13:$AS13="R")*6)</f>
        <v/>
      </c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123">
        <f>IFERROR(INDEX(OUT!AH$8:AH$73,MATCH($A14,OUT!$A$8:$A$73,0))&amp;"","")</f>
        <v/>
      </c>
      <c r="D14" s="123">
        <f>IFERROR(INDEX(OUT!AI$8:AI$73,MATCH($A14,OUT!$A$8:$A$73,0))&amp;"","")</f>
        <v/>
      </c>
      <c r="E14" s="123">
        <f>IFERROR(INDEX(OUT!AJ$8:AJ$73,MATCH($A14,OUT!$A$8:$A$73,0))&amp;"","")</f>
        <v/>
      </c>
      <c r="F14" s="123">
        <f>IFERROR(INDEX(OUT!AK$8:AK$73,MATCH($A14,OUT!$A$8:$A$73,0))&amp;"","")</f>
        <v/>
      </c>
      <c r="G14" s="123">
        <f>IFERROR(INDEX(OUT!AL$8:AL$73,MATCH($A14,OUT!$A$8:$A$73,0))&amp;"","")</f>
        <v/>
      </c>
      <c r="H14" s="109">
        <f>IFERROR(INDEX(OUT!AM$8:AM$73,MATCH($A14,OUT!$A$8:$A$73,0))&amp;"","")</f>
        <v/>
      </c>
      <c r="I14" s="115" t="inlineStr">
        <is>
          <t>D</t>
        </is>
      </c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96" t="n"/>
      <c r="AN14" s="123">
        <f>IFERROR(INDEX(DEZ!I$8:I$73,MATCH($A14,DEZ!$A$8:$A$73,0))&amp;"","")</f>
        <v/>
      </c>
      <c r="AO14" s="123">
        <f>IFERROR(INDEX(DEZ!J$8:J$73,MATCH($A14,DEZ!$A$8:$A$73,0))&amp;"","")</f>
        <v/>
      </c>
      <c r="AP14" s="123">
        <f>IFERROR(INDEX(DEZ!K$8:K$73,MATCH($A14,DEZ!$A$8:$A$73,0))&amp;"","")</f>
        <v/>
      </c>
      <c r="AQ14" s="123">
        <f>IFERROR(INDEX(DEZ!L$8:L$73,MATCH($A14,DEZ!$A$8:$A$73,0))&amp;"","")</f>
        <v/>
      </c>
      <c r="AR14" s="109">
        <f>IFERROR(INDEX(DEZ!M$8:M$73,MATCH($A14,DEZ!$A$8:$A$73,0))&amp;"","")</f>
        <v/>
      </c>
      <c r="AS14" s="109">
        <f>IFERROR(INDEX(DEZ!N$8:N$73,MATCH($A14,DEZ!$A$8:$A$73,0))&amp;"","")</f>
        <v/>
      </c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SUMPRODUCT(($C14:$I14="M")*6+($C14:$I14="T")*6+($C14:$I14="D")*12+($C14:$I14="N")*12+($C14:$I14="NT")*6+($C14:$I14="C")*10+($C14:$I14="A")*8+($C14:$I14="J")*5+($C14:$I14="E")*4+($C14:$I14="P")*6+($C14:$I14="R")*6)</f>
        <v/>
      </c>
      <c r="BF14" s="110">
        <f>SUMPRODUCT(($J14:$P14="M")*6+($J14:$P14="T")*6+($J14:$P14="D")*12+($J14:$P14="N")*12+($J14:$P14="NT")*6+($J14:$P14="C")*10+($J14:$P14="A")*8+($J14:$P14="J")*5+($J14:$P14="E")*4+($J14:$P14="P")*6+($J14:$P14="R")*6)</f>
        <v/>
      </c>
      <c r="BG14" s="110">
        <f>SUMPRODUCT(($Q14:$W14="M")*6+($Q14:$W14="T")*6+($Q14:$W14="D")*12+($Q14:$W14="N")*12+($Q14:$W14="NT")*6+($Q14:$W14="C")*10+($Q14:$W14="A")*8+($Q14:$W14="J")*5+($Q14:$W14="E")*4+($Q14:$W14="P")*6+($Q14:$W14="R")*6)</f>
        <v/>
      </c>
      <c r="BH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I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J14" s="110">
        <f>SUMPRODUCT(($AL14:$AL14="M")*6+($AL14:$AL14="T")*6+($AL14:$AL14="D")*12+($AL14:$AL14="N")*12+($AL14:$AL14="NT")*6+($AL14:$AL14="C")*10+($AL14:$AL14="A")*8+($AL14:$AL14="J")*5+($AL14:$AL14="E")*4+($AL14:$AL14="P")*6+($AL14:$AL14="R")*6)+SUMPRODUCT(($AN14:$AS14="M")*6+($AN14:$AS14="T")*6+($AN14:$AS14="D")*12+($AN14:$AS14="N")*12+($AN14:$AS14="NT")*6+($AN14:$AS14="C")*10+($AN14:$AS14="A")*8+($AN14:$AS14="J")*5+($AN14:$AS14="E")*4+($AN14:$AS14="P")*6+($AN14:$AS14="R")*6)</f>
        <v/>
      </c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123">
        <f>IFERROR(INDEX(OUT!AH$8:AH$73,MATCH($A15,OUT!$A$8:$A$73,0))&amp;"","")</f>
        <v/>
      </c>
      <c r="D15" s="123">
        <f>IFERROR(INDEX(OUT!AI$8:AI$73,MATCH($A15,OUT!$A$8:$A$73,0))&amp;"","")</f>
        <v/>
      </c>
      <c r="E15" s="123">
        <f>IFERROR(INDEX(OUT!AJ$8:AJ$73,MATCH($A15,OUT!$A$8:$A$73,0))&amp;"","")</f>
        <v/>
      </c>
      <c r="F15" s="123">
        <f>IFERROR(INDEX(OUT!AK$8:AK$73,MATCH($A15,OUT!$A$8:$A$73,0))&amp;"","")</f>
        <v/>
      </c>
      <c r="G15" s="123">
        <f>IFERROR(INDEX(OUT!AL$8:AL$73,MATCH($A15,OUT!$A$8:$A$73,0))&amp;"","")</f>
        <v/>
      </c>
      <c r="H15" s="109">
        <f>IFERROR(INDEX(OUT!AM$8:AM$73,MATCH($A15,OUT!$A$8:$A$73,0))&amp;"","")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96" t="n"/>
      <c r="AN15" s="123">
        <f>IFERROR(INDEX(DEZ!I$8:I$73,MATCH($A15,DEZ!$A$8:$A$73,0))&amp;"","")</f>
        <v/>
      </c>
      <c r="AO15" s="123">
        <f>IFERROR(INDEX(DEZ!J$8:J$73,MATCH($A15,DEZ!$A$8:$A$73,0))&amp;"","")</f>
        <v/>
      </c>
      <c r="AP15" s="123">
        <f>IFERROR(INDEX(DEZ!K$8:K$73,MATCH($A15,DEZ!$A$8:$A$73,0))&amp;"","")</f>
        <v/>
      </c>
      <c r="AQ15" s="123">
        <f>IFERROR(INDEX(DEZ!L$8:L$73,MATCH($A15,DEZ!$A$8:$A$73,0))&amp;"","")</f>
        <v/>
      </c>
      <c r="AR15" s="109">
        <f>IFERROR(INDEX(DEZ!M$8:M$73,MATCH($A15,DEZ!$A$8:$A$73,0))&amp;"","")</f>
        <v/>
      </c>
      <c r="AS15" s="109">
        <f>IFERROR(INDEX(DEZ!N$8:N$73,MATCH($A15,DEZ!$A$8:$A$73,0))&amp;"","")</f>
        <v/>
      </c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SUMPRODUCT(($C15:$I15="M")*6+($C15:$I15="T")*6+($C15:$I15="D")*12+($C15:$I15="N")*12+($C15:$I15="NT")*6+($C15:$I15="C")*10+($C15:$I15="A")*8+($C15:$I15="J")*5+($C15:$I15="E")*4+($C15:$I15="P")*6+($C15:$I15="R")*6)</f>
        <v/>
      </c>
      <c r="BF15" s="110">
        <f>SUMPRODUCT(($J15:$P15="M")*6+($J15:$P15="T")*6+($J15:$P15="D")*12+($J15:$P15="N")*12+($J15:$P15="NT")*6+($J15:$P15="C")*10+($J15:$P15="A")*8+($J15:$P15="J")*5+($J15:$P15="E")*4+($J15:$P15="P")*6+($J15:$P15="R")*6)</f>
        <v/>
      </c>
      <c r="BG15" s="110">
        <f>SUMPRODUCT(($Q15:$W15="M")*6+($Q15:$W15="T")*6+($Q15:$W15="D")*12+($Q15:$W15="N")*12+($Q15:$W15="NT")*6+($Q15:$W15="C")*10+($Q15:$W15="A")*8+($Q15:$W15="J")*5+($Q15:$W15="E")*4+($Q15:$W15="P")*6+($Q15:$W15="R")*6)</f>
        <v/>
      </c>
      <c r="BH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I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J15" s="110">
        <f>SUMPRODUCT(($AL15:$AL15="M")*6+($AL15:$AL15="T")*6+($AL15:$AL15="D")*12+($AL15:$AL15="N")*12+($AL15:$AL15="NT")*6+($AL15:$AL15="C")*10+($AL15:$AL15="A")*8+($AL15:$AL15="J")*5+($AL15:$AL15="E")*4+($AL15:$AL15="P")*6+($AL15:$AL15="R")*6)+SUMPRODUCT(($AN15:$AS15="M")*6+($AN15:$AS15="T")*6+($AN15:$AS15="D")*12+($AN15:$AS15="N")*12+($AN15:$AS15="NT")*6+($AN15:$AS15="C")*10+($AN15:$AS15="A")*8+($AN15:$AS15="J")*5+($AN15:$AS15="E")*4+($AN15:$AS15="P")*6+($AN15:$AS15="R")*6)</f>
        <v/>
      </c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123">
        <f>IFERROR(INDEX(OUT!AH$8:AH$73,MATCH($A16,OUT!$A$8:$A$73,0))&amp;"","")</f>
        <v/>
      </c>
      <c r="D16" s="123">
        <f>IFERROR(INDEX(OUT!AI$8:AI$73,MATCH($A16,OUT!$A$8:$A$73,0))&amp;"","")</f>
        <v/>
      </c>
      <c r="E16" s="123">
        <f>IFERROR(INDEX(OUT!AJ$8:AJ$73,MATCH($A16,OUT!$A$8:$A$73,0))&amp;"","")</f>
        <v/>
      </c>
      <c r="F16" s="123">
        <f>IFERROR(INDEX(OUT!AK$8:AK$73,MATCH($A16,OUT!$A$8:$A$73,0))&amp;"","")</f>
        <v/>
      </c>
      <c r="G16" s="123">
        <f>IFERROR(INDEX(OUT!AL$8:AL$73,MATCH($A16,OUT!$A$8:$A$73,0))&amp;"","")</f>
        <v/>
      </c>
      <c r="H16" s="109">
        <f>IFERROR(INDEX(OUT!AM$8:AM$73,MATCH($A16,OUT!$A$8:$A$73,0))&amp;"","")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96" t="n"/>
      <c r="AN16" s="123">
        <f>IFERROR(INDEX(DEZ!I$8:I$73,MATCH($A16,DEZ!$A$8:$A$73,0))&amp;"","")</f>
        <v/>
      </c>
      <c r="AO16" s="123">
        <f>IFERROR(INDEX(DEZ!J$8:J$73,MATCH($A16,DEZ!$A$8:$A$73,0))&amp;"","")</f>
        <v/>
      </c>
      <c r="AP16" s="123">
        <f>IFERROR(INDEX(DEZ!K$8:K$73,MATCH($A16,DEZ!$A$8:$A$73,0))&amp;"","")</f>
        <v/>
      </c>
      <c r="AQ16" s="123">
        <f>IFERROR(INDEX(DEZ!L$8:L$73,MATCH($A16,DEZ!$A$8:$A$73,0))&amp;"","")</f>
        <v/>
      </c>
      <c r="AR16" s="109">
        <f>IFERROR(INDEX(DEZ!M$8:M$73,MATCH($A16,DEZ!$A$8:$A$73,0))&amp;"","")</f>
        <v/>
      </c>
      <c r="AS16" s="109">
        <f>IFERROR(INDEX(DEZ!N$8:N$73,MATCH($A16,DEZ!$A$8:$A$73,0))&amp;"","")</f>
        <v/>
      </c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SUMPRODUCT(($C16:$I16="M")*6+($C16:$I16="T")*6+($C16:$I16="D")*12+($C16:$I16="N")*12+($C16:$I16="NT")*6+($C16:$I16="C")*10+($C16:$I16="A")*8+($C16:$I16="J")*5+($C16:$I16="E")*4+($C16:$I16="P")*6+($C16:$I16="R")*6)</f>
        <v/>
      </c>
      <c r="BF16" s="110">
        <f>SUMPRODUCT(($J16:$P16="M")*6+($J16:$P16="T")*6+($J16:$P16="D")*12+($J16:$P16="N")*12+($J16:$P16="NT")*6+($J16:$P16="C")*10+($J16:$P16="A")*8+($J16:$P16="J")*5+($J16:$P16="E")*4+($J16:$P16="P")*6+($J16:$P16="R")*6)</f>
        <v/>
      </c>
      <c r="BG16" s="110">
        <f>SUMPRODUCT(($Q16:$W16="M")*6+($Q16:$W16="T")*6+($Q16:$W16="D")*12+($Q16:$W16="N")*12+($Q16:$W16="NT")*6+($Q16:$W16="C")*10+($Q16:$W16="A")*8+($Q16:$W16="J")*5+($Q16:$W16="E")*4+($Q16:$W16="P")*6+($Q16:$W16="R")*6)</f>
        <v/>
      </c>
      <c r="BH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I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J16" s="110">
        <f>SUMPRODUCT(($AL16:$AL16="M")*6+($AL16:$AL16="T")*6+($AL16:$AL16="D")*12+($AL16:$AL16="N")*12+($AL16:$AL16="NT")*6+($AL16:$AL16="C")*10+($AL16:$AL16="A")*8+($AL16:$AL16="J")*5+($AL16:$AL16="E")*4+($AL16:$AL16="P")*6+($AL16:$AL16="R")*6)+SUMPRODUCT(($AN16:$AS16="M")*6+($AN16:$AS16="T")*6+($AN16:$AS16="D")*12+($AN16:$AS16="N")*12+($AN16:$AS16="NT")*6+($AN16:$AS16="C")*10+($AN16:$AS16="A")*8+($AN16:$AS16="J")*5+($AN16:$AS16="E")*4+($AN16:$AS16="P")*6+($AN16:$AS16="R")*6)</f>
        <v/>
      </c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123">
        <f>IFERROR(INDEX(OUT!AH$8:AH$73,MATCH($A17,OUT!$A$8:$A$73,0))&amp;"","")</f>
        <v/>
      </c>
      <c r="D17" s="123">
        <f>IFERROR(INDEX(OUT!AI$8:AI$73,MATCH($A17,OUT!$A$8:$A$73,0))&amp;"","")</f>
        <v/>
      </c>
      <c r="E17" s="123">
        <f>IFERROR(INDEX(OUT!AJ$8:AJ$73,MATCH($A17,OUT!$A$8:$A$73,0))&amp;"","")</f>
        <v/>
      </c>
      <c r="F17" s="123">
        <f>IFERROR(INDEX(OUT!AK$8:AK$73,MATCH($A17,OUT!$A$8:$A$73,0))&amp;"","")</f>
        <v/>
      </c>
      <c r="G17" s="123">
        <f>IFERROR(INDEX(OUT!AL$8:AL$73,MATCH($A17,OUT!$A$8:$A$73,0))&amp;"","")</f>
        <v/>
      </c>
      <c r="H17" s="109">
        <f>IFERROR(INDEX(OUT!AM$8:AM$73,MATCH($A17,OUT!$A$8:$A$73,0))&amp;"","")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96" t="n"/>
      <c r="AN17" s="123">
        <f>IFERROR(INDEX(DEZ!I$8:I$73,MATCH($A17,DEZ!$A$8:$A$73,0))&amp;"","")</f>
        <v/>
      </c>
      <c r="AO17" s="123">
        <f>IFERROR(INDEX(DEZ!J$8:J$73,MATCH($A17,DEZ!$A$8:$A$73,0))&amp;"","")</f>
        <v/>
      </c>
      <c r="AP17" s="123">
        <f>IFERROR(INDEX(DEZ!K$8:K$73,MATCH($A17,DEZ!$A$8:$A$73,0))&amp;"","")</f>
        <v/>
      </c>
      <c r="AQ17" s="123">
        <f>IFERROR(INDEX(DEZ!L$8:L$73,MATCH($A17,DEZ!$A$8:$A$73,0))&amp;"","")</f>
        <v/>
      </c>
      <c r="AR17" s="109">
        <f>IFERROR(INDEX(DEZ!M$8:M$73,MATCH($A17,DEZ!$A$8:$A$73,0))&amp;"","")</f>
        <v/>
      </c>
      <c r="AS17" s="109">
        <f>IFERROR(INDEX(DEZ!N$8:N$73,MATCH($A17,DEZ!$A$8:$A$73,0))&amp;"","")</f>
        <v/>
      </c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SUMPRODUCT(($C17:$I17="M")*6+($C17:$I17="T")*6+($C17:$I17="D")*12+($C17:$I17="N")*12+($C17:$I17="NT")*6+($C17:$I17="C")*10+($C17:$I17="A")*8+($C17:$I17="J")*5+($C17:$I17="E")*4+($C17:$I17="P")*6+($C17:$I17="R")*6)</f>
        <v/>
      </c>
      <c r="BF17" s="110">
        <f>SUMPRODUCT(($J17:$P17="M")*6+($J17:$P17="T")*6+($J17:$P17="D")*12+($J17:$P17="N")*12+($J17:$P17="NT")*6+($J17:$P17="C")*10+($J17:$P17="A")*8+($J17:$P17="J")*5+($J17:$P17="E")*4+($J17:$P17="P")*6+($J17:$P17="R")*6)</f>
        <v/>
      </c>
      <c r="BG17" s="110">
        <f>SUMPRODUCT(($Q17:$W17="M")*6+($Q17:$W17="T")*6+($Q17:$W17="D")*12+($Q17:$W17="N")*12+($Q17:$W17="NT")*6+($Q17:$W17="C")*10+($Q17:$W17="A")*8+($Q17:$W17="J")*5+($Q17:$W17="E")*4+($Q17:$W17="P")*6+($Q17:$W17="R")*6)</f>
        <v/>
      </c>
      <c r="BH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I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J17" s="110">
        <f>SUMPRODUCT(($AL17:$AL17="M")*6+($AL17:$AL17="T")*6+($AL17:$AL17="D")*12+($AL17:$AL17="N")*12+($AL17:$AL17="NT")*6+($AL17:$AL17="C")*10+($AL17:$AL17="A")*8+($AL17:$AL17="J")*5+($AL17:$AL17="E")*4+($AL17:$AL17="P")*6+($AL17:$AL17="R")*6)+SUMPRODUCT(($AN17:$AS17="M")*6+($AN17:$AS17="T")*6+($AN17:$AS17="D")*12+($AN17:$AS17="N")*12+($AN17:$AS17="NT")*6+($AN17:$AS17="C")*10+($AN17:$AS17="A")*8+($AN17:$AS17="J")*5+($AN17:$AS17="E")*4+($AN17:$AS17="P")*6+($AN17:$AS17="R")*6)</f>
        <v/>
      </c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123">
        <f>IFERROR(INDEX(OUT!AH$8:AH$73,MATCH($A18,OUT!$A$8:$A$73,0))&amp;"","")</f>
        <v/>
      </c>
      <c r="D18" s="123">
        <f>IFERROR(INDEX(OUT!AI$8:AI$73,MATCH($A18,OUT!$A$8:$A$73,0))&amp;"","")</f>
        <v/>
      </c>
      <c r="E18" s="123">
        <f>IFERROR(INDEX(OUT!AJ$8:AJ$73,MATCH($A18,OUT!$A$8:$A$73,0))&amp;"","")</f>
        <v/>
      </c>
      <c r="F18" s="123">
        <f>IFERROR(INDEX(OUT!AK$8:AK$73,MATCH($A18,OUT!$A$8:$A$73,0))&amp;"","")</f>
        <v/>
      </c>
      <c r="G18" s="123">
        <f>IFERROR(INDEX(OUT!AL$8:AL$73,MATCH($A18,OUT!$A$8:$A$73,0))&amp;"","")</f>
        <v/>
      </c>
      <c r="H18" s="109">
        <f>IFERROR(INDEX(OUT!AM$8:AM$73,MATCH($A18,OUT!$A$8:$A$73,0))&amp;"","")</f>
        <v/>
      </c>
      <c r="I18" s="117" t="inlineStr">
        <is>
          <t>T</t>
        </is>
      </c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96" t="n"/>
      <c r="AN18" s="123">
        <f>IFERROR(INDEX(DEZ!I$8:I$73,MATCH($A18,DEZ!$A$8:$A$73,0))&amp;"","")</f>
        <v/>
      </c>
      <c r="AO18" s="123">
        <f>IFERROR(INDEX(DEZ!J$8:J$73,MATCH($A18,DEZ!$A$8:$A$73,0))&amp;"","")</f>
        <v/>
      </c>
      <c r="AP18" s="123">
        <f>IFERROR(INDEX(DEZ!K$8:K$73,MATCH($A18,DEZ!$A$8:$A$73,0))&amp;"","")</f>
        <v/>
      </c>
      <c r="AQ18" s="123">
        <f>IFERROR(INDEX(DEZ!L$8:L$73,MATCH($A18,DEZ!$A$8:$A$73,0))&amp;"","")</f>
        <v/>
      </c>
      <c r="AR18" s="109">
        <f>IFERROR(INDEX(DEZ!M$8:M$73,MATCH($A18,DEZ!$A$8:$A$73,0))&amp;"","")</f>
        <v/>
      </c>
      <c r="AS18" s="109">
        <f>IFERROR(INDEX(DEZ!N$8:N$73,MATCH($A18,DEZ!$A$8:$A$73,0))&amp;"","")</f>
        <v/>
      </c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SUMPRODUCT(($C18:$I18="M")*6+($C18:$I18="T")*6+($C18:$I18="D")*12+($C18:$I18="N")*12+($C18:$I18="NT")*6+($C18:$I18="C")*10+($C18:$I18="A")*8+($C18:$I18="J")*5+($C18:$I18="E")*4+($C18:$I18="P")*6+($C18:$I18="R")*6)</f>
        <v/>
      </c>
      <c r="BF18" s="110">
        <f>SUMPRODUCT(($J18:$P18="M")*6+($J18:$P18="T")*6+($J18:$P18="D")*12+($J18:$P18="N")*12+($J18:$P18="NT")*6+($J18:$P18="C")*10+($J18:$P18="A")*8+($J18:$P18="J")*5+($J18:$P18="E")*4+($J18:$P18="P")*6+($J18:$P18="R")*6)</f>
        <v/>
      </c>
      <c r="BG18" s="110">
        <f>SUMPRODUCT(($Q18:$W18="M")*6+($Q18:$W18="T")*6+($Q18:$W18="D")*12+($Q18:$W18="N")*12+($Q18:$W18="NT")*6+($Q18:$W18="C")*10+($Q18:$W18="A")*8+($Q18:$W18="J")*5+($Q18:$W18="E")*4+($Q18:$W18="P")*6+($Q18:$W18="R")*6)</f>
        <v/>
      </c>
      <c r="BH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I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J18" s="110">
        <f>SUMPRODUCT(($AL18:$AL18="M")*6+($AL18:$AL18="T")*6+($AL18:$AL18="D")*12+($AL18:$AL18="N")*12+($AL18:$AL18="NT")*6+($AL18:$AL18="C")*10+($AL18:$AL18="A")*8+($AL18:$AL18="J")*5+($AL18:$AL18="E")*4+($AL18:$AL18="P")*6+($AL18:$AL18="R")*6)+SUMPRODUCT(($AN18:$AS18="M")*6+($AN18:$AS18="T")*6+($AN18:$AS18="D")*12+($AN18:$AS18="N")*12+($AN18:$AS18="NT")*6+($AN18:$AS18="C")*10+($AN18:$AS18="A")*8+($AN18:$AS18="J")*5+($AN18:$AS18="E")*4+($AN18:$AS18="P")*6+($AN18:$AS18="R")*6)</f>
        <v/>
      </c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123">
        <f>IFERROR(INDEX(OUT!AH$8:AH$73,MATCH($A19,OUT!$A$8:$A$73,0))&amp;"","")</f>
        <v/>
      </c>
      <c r="D19" s="123">
        <f>IFERROR(INDEX(OUT!AI$8:AI$73,MATCH($A19,OUT!$A$8:$A$73,0))&amp;"","")</f>
        <v/>
      </c>
      <c r="E19" s="123">
        <f>IFERROR(INDEX(OUT!AJ$8:AJ$73,MATCH($A19,OUT!$A$8:$A$73,0))&amp;"","")</f>
        <v/>
      </c>
      <c r="F19" s="123">
        <f>IFERROR(INDEX(OUT!AK$8:AK$73,MATCH($A19,OUT!$A$8:$A$73,0))&amp;"","")</f>
        <v/>
      </c>
      <c r="G19" s="123">
        <f>IFERROR(INDEX(OUT!AL$8:AL$73,MATCH($A19,OUT!$A$8:$A$73,0))&amp;"","")</f>
        <v/>
      </c>
      <c r="H19" s="109">
        <f>IFERROR(INDEX(OUT!AM$8:AM$73,MATCH($A19,OUT!$A$8:$A$73,0))&amp;"","")</f>
        <v/>
      </c>
      <c r="I19" s="115" t="inlineStr">
        <is>
          <t>D</t>
        </is>
      </c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96" t="n"/>
      <c r="AN19" s="123">
        <f>IFERROR(INDEX(DEZ!I$8:I$73,MATCH($A19,DEZ!$A$8:$A$73,0))&amp;"","")</f>
        <v/>
      </c>
      <c r="AO19" s="123">
        <f>IFERROR(INDEX(DEZ!J$8:J$73,MATCH($A19,DEZ!$A$8:$A$73,0))&amp;"","")</f>
        <v/>
      </c>
      <c r="AP19" s="123">
        <f>IFERROR(INDEX(DEZ!K$8:K$73,MATCH($A19,DEZ!$A$8:$A$73,0))&amp;"","")</f>
        <v/>
      </c>
      <c r="AQ19" s="123">
        <f>IFERROR(INDEX(DEZ!L$8:L$73,MATCH($A19,DEZ!$A$8:$A$73,0))&amp;"","")</f>
        <v/>
      </c>
      <c r="AR19" s="109">
        <f>IFERROR(INDEX(DEZ!M$8:M$73,MATCH($A19,DEZ!$A$8:$A$73,0))&amp;"","")</f>
        <v/>
      </c>
      <c r="AS19" s="109">
        <f>IFERROR(INDEX(DEZ!N$8:N$73,MATCH($A19,DEZ!$A$8:$A$73,0))&amp;"","")</f>
        <v/>
      </c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SUMPRODUCT(($C19:$I19="M")*6+($C19:$I19="T")*6+($C19:$I19="D")*12+($C19:$I19="N")*12+($C19:$I19="NT")*6+($C19:$I19="C")*10+($C19:$I19="A")*8+($C19:$I19="J")*5+($C19:$I19="E")*4+($C19:$I19="P")*6+($C19:$I19="R")*6)</f>
        <v/>
      </c>
      <c r="BF19" s="110">
        <f>SUMPRODUCT(($J19:$P19="M")*6+($J19:$P19="T")*6+($J19:$P19="D")*12+($J19:$P19="N")*12+($J19:$P19="NT")*6+($J19:$P19="C")*10+($J19:$P19="A")*8+($J19:$P19="J")*5+($J19:$P19="E")*4+($J19:$P19="P")*6+($J19:$P19="R")*6)</f>
        <v/>
      </c>
      <c r="BG19" s="110">
        <f>SUMPRODUCT(($Q19:$W19="M")*6+($Q19:$W19="T")*6+($Q19:$W19="D")*12+($Q19:$W19="N")*12+($Q19:$W19="NT")*6+($Q19:$W19="C")*10+($Q19:$W19="A")*8+($Q19:$W19="J")*5+($Q19:$W19="E")*4+($Q19:$W19="P")*6+($Q19:$W19="R")*6)</f>
        <v/>
      </c>
      <c r="BH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I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J19" s="110">
        <f>SUMPRODUCT(($AL19:$AL19="M")*6+($AL19:$AL19="T")*6+($AL19:$AL19="D")*12+($AL19:$AL19="N")*12+($AL19:$AL19="NT")*6+($AL19:$AL19="C")*10+($AL19:$AL19="A")*8+($AL19:$AL19="J")*5+($AL19:$AL19="E")*4+($AL19:$AL19="P")*6+($AL19:$AL19="R")*6)+SUMPRODUCT(($AN19:$AS19="M")*6+($AN19:$AS19="T")*6+($AN19:$AS19="D")*12+($AN19:$AS19="N")*12+($AN19:$AS19="NT")*6+($AN19:$AS19="C")*10+($AN19:$AS19="A")*8+($AN19:$AS19="J")*5+($AN19:$AS19="E")*4+($AN19:$AS19="P")*6+($AN19:$AS19="R")*6)</f>
        <v/>
      </c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123">
        <f>IFERROR(INDEX(OUT!AH$8:AH$73,MATCH($A20,OUT!$A$8:$A$73,0))&amp;"","")</f>
        <v/>
      </c>
      <c r="D20" s="123">
        <f>IFERROR(INDEX(OUT!AI$8:AI$73,MATCH($A20,OUT!$A$8:$A$73,0))&amp;"","")</f>
        <v/>
      </c>
      <c r="E20" s="123">
        <f>IFERROR(INDEX(OUT!AJ$8:AJ$73,MATCH($A20,OUT!$A$8:$A$73,0))&amp;"","")</f>
        <v/>
      </c>
      <c r="F20" s="123">
        <f>IFERROR(INDEX(OUT!AK$8:AK$73,MATCH($A20,OUT!$A$8:$A$73,0))&amp;"","")</f>
        <v/>
      </c>
      <c r="G20" s="123">
        <f>IFERROR(INDEX(OUT!AL$8:AL$73,MATCH($A20,OUT!$A$8:$A$73,0))&amp;"","")</f>
        <v/>
      </c>
      <c r="H20" s="109">
        <f>IFERROR(INDEX(OUT!AM$8:AM$73,MATCH($A20,OUT!$A$8:$A$73,0))&amp;"","")</f>
        <v/>
      </c>
      <c r="I20" s="116" t="inlineStr">
        <is>
          <t>N</t>
        </is>
      </c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96" t="n"/>
      <c r="AN20" s="123">
        <f>IFERROR(INDEX(DEZ!I$8:I$73,MATCH($A20,DEZ!$A$8:$A$73,0))&amp;"","")</f>
        <v/>
      </c>
      <c r="AO20" s="123">
        <f>IFERROR(INDEX(DEZ!J$8:J$73,MATCH($A20,DEZ!$A$8:$A$73,0))&amp;"","")</f>
        <v/>
      </c>
      <c r="AP20" s="123">
        <f>IFERROR(INDEX(DEZ!K$8:K$73,MATCH($A20,DEZ!$A$8:$A$73,0))&amp;"","")</f>
        <v/>
      </c>
      <c r="AQ20" s="123">
        <f>IFERROR(INDEX(DEZ!L$8:L$73,MATCH($A20,DEZ!$A$8:$A$73,0))&amp;"","")</f>
        <v/>
      </c>
      <c r="AR20" s="109">
        <f>IFERROR(INDEX(DEZ!M$8:M$73,MATCH($A20,DEZ!$A$8:$A$73,0))&amp;"","")</f>
        <v/>
      </c>
      <c r="AS20" s="109">
        <f>IFERROR(INDEX(DEZ!N$8:N$73,MATCH($A20,DEZ!$A$8:$A$73,0))&amp;"","")</f>
        <v/>
      </c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SUMPRODUCT(($C20:$I20="M")*6+($C20:$I20="T")*6+($C20:$I20="D")*12+($C20:$I20="N")*12+($C20:$I20="NT")*6+($C20:$I20="C")*10+($C20:$I20="A")*8+($C20:$I20="J")*5+($C20:$I20="E")*4+($C20:$I20="P")*6+($C20:$I20="R")*6)</f>
        <v/>
      </c>
      <c r="BF20" s="110">
        <f>SUMPRODUCT(($J20:$P20="M")*6+($J20:$P20="T")*6+($J20:$P20="D")*12+($J20:$P20="N")*12+($J20:$P20="NT")*6+($J20:$P20="C")*10+($J20:$P20="A")*8+($J20:$P20="J")*5+($J20:$P20="E")*4+($J20:$P20="P")*6+($J20:$P20="R")*6)</f>
        <v/>
      </c>
      <c r="BG20" s="110">
        <f>SUMPRODUCT(($Q20:$W20="M")*6+($Q20:$W20="T")*6+($Q20:$W20="D")*12+($Q20:$W20="N")*12+($Q20:$W20="NT")*6+($Q20:$W20="C")*10+($Q20:$W20="A")*8+($Q20:$W20="J")*5+($Q20:$W20="E")*4+($Q20:$W20="P")*6+($Q20:$W20="R")*6)</f>
        <v/>
      </c>
      <c r="BH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I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J20" s="110">
        <f>SUMPRODUCT(($AL20:$AL20="M")*6+($AL20:$AL20="T")*6+($AL20:$AL20="D")*12+($AL20:$AL20="N")*12+($AL20:$AL20="NT")*6+($AL20:$AL20="C")*10+($AL20:$AL20="A")*8+($AL20:$AL20="J")*5+($AL20:$AL20="E")*4+($AL20:$AL20="P")*6+($AL20:$AL20="R")*6)+SUMPRODUCT(($AN20:$AS20="M")*6+($AN20:$AS20="T")*6+($AN20:$AS20="D")*12+($AN20:$AS20="N")*12+($AN20:$AS20="NT")*6+($AN20:$AS20="C")*10+($AN20:$AS20="A")*8+($AN20:$AS20="J")*5+($AN20:$AS20="E")*4+($AN20:$AS20="P")*6+($AN20:$AS20="R")*6)</f>
        <v/>
      </c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123">
        <f>IFERROR(INDEX(OUT!AH$8:AH$73,MATCH($A21,OUT!$A$8:$A$73,0))&amp;"","")</f>
        <v/>
      </c>
      <c r="D21" s="123">
        <f>IFERROR(INDEX(OUT!AI$8:AI$73,MATCH($A21,OUT!$A$8:$A$73,0))&amp;"","")</f>
        <v/>
      </c>
      <c r="E21" s="123">
        <f>IFERROR(INDEX(OUT!AJ$8:AJ$73,MATCH($A21,OUT!$A$8:$A$73,0))&amp;"","")</f>
        <v/>
      </c>
      <c r="F21" s="123">
        <f>IFERROR(INDEX(OUT!AK$8:AK$73,MATCH($A21,OUT!$A$8:$A$73,0))&amp;"","")</f>
        <v/>
      </c>
      <c r="G21" s="123">
        <f>IFERROR(INDEX(OUT!AL$8:AL$73,MATCH($A21,OUT!$A$8:$A$73,0))&amp;"","")</f>
        <v/>
      </c>
      <c r="H21" s="109">
        <f>IFERROR(INDEX(OUT!AM$8:AM$73,MATCH($A21,OUT!$A$8:$A$73,0))&amp;"","")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23">
        <f>IFERROR(INDEX(DEZ!I$8:I$73,MATCH($A21,DEZ!$A$8:$A$73,0))&amp;"","")</f>
        <v/>
      </c>
      <c r="AO21" s="123">
        <f>IFERROR(INDEX(DEZ!J$8:J$73,MATCH($A21,DEZ!$A$8:$A$73,0))&amp;"","")</f>
        <v/>
      </c>
      <c r="AP21" s="123">
        <f>IFERROR(INDEX(DEZ!K$8:K$73,MATCH($A21,DEZ!$A$8:$A$73,0))&amp;"","")</f>
        <v/>
      </c>
      <c r="AQ21" s="123">
        <f>IFERROR(INDEX(DEZ!L$8:L$73,MATCH($A21,DEZ!$A$8:$A$73,0))&amp;"","")</f>
        <v/>
      </c>
      <c r="AR21" s="109">
        <f>IFERROR(INDEX(DEZ!M$8:M$73,MATCH($A21,DEZ!$A$8:$A$73,0))&amp;"","")</f>
        <v/>
      </c>
      <c r="AS21" s="109">
        <f>IFERROR(INDEX(DEZ!N$8:N$73,MATCH($A21,DEZ!$A$8:$A$73,0))&amp;"","")</f>
        <v/>
      </c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SUMPRODUCT(($C21:$I21="M")*6+($C21:$I21="T")*6+($C21:$I21="D")*12+($C21:$I21="N")*12+($C21:$I21="NT")*6+($C21:$I21="C")*10+($C21:$I21="A")*8+($C21:$I21="J")*5+($C21:$I21="E")*4+($C21:$I21="P")*6+($C21:$I21="R")*6)</f>
        <v/>
      </c>
      <c r="BF21" s="110">
        <f>SUMPRODUCT(($J21:$P21="M")*6+($J21:$P21="T")*6+($J21:$P21="D")*12+($J21:$P21="N")*12+($J21:$P21="NT")*6+($J21:$P21="C")*10+($J21:$P21="A")*8+($J21:$P21="J")*5+($J21:$P21="E")*4+($J21:$P21="P")*6+($J21:$P21="R")*6)</f>
        <v/>
      </c>
      <c r="BG21" s="110">
        <f>SUMPRODUCT(($Q21:$W21="M")*6+($Q21:$W21="T")*6+($Q21:$W21="D")*12+($Q21:$W21="N")*12+($Q21:$W21="NT")*6+($Q21:$W21="C")*10+($Q21:$W21="A")*8+($Q21:$W21="J")*5+($Q21:$W21="E")*4+($Q21:$W21="P")*6+($Q21:$W21="R")*6)</f>
        <v/>
      </c>
      <c r="BH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I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J21" s="110">
        <f>SUMPRODUCT(($AL21:$AL21="M")*6+($AL21:$AL21="T")*6+($AL21:$AL21="D")*12+($AL21:$AL21="N")*12+($AL21:$AL21="NT")*6+($AL21:$AL21="C")*10+($AL21:$AL21="A")*8+($AL21:$AL21="J")*5+($AL21:$AL21="E")*4+($AL21:$AL21="P")*6+($AL21:$AL21="R")*6)+SUMPRODUCT(($AN21:$AS21="M")*6+($AN21:$AS21="T")*6+($AN21:$AS21="D")*12+($AN21:$AS21="N")*12+($AN21:$AS21="NT")*6+($AN21:$AS21="C")*10+($AN21:$AS21="A")*8+($AN21:$AS21="J")*5+($AN21:$AS21="E")*4+($AN21:$AS21="P")*6+($AN21:$AS21="R")*6)</f>
        <v/>
      </c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123">
        <f>IFERROR(INDEX(OUT!AH$8:AH$73,MATCH($A22,OUT!$A$8:$A$73,0))&amp;"","")</f>
        <v/>
      </c>
      <c r="D22" s="123">
        <f>IFERROR(INDEX(OUT!AI$8:AI$73,MATCH($A22,OUT!$A$8:$A$73,0))&amp;"","")</f>
        <v/>
      </c>
      <c r="E22" s="123">
        <f>IFERROR(INDEX(OUT!AJ$8:AJ$73,MATCH($A22,OUT!$A$8:$A$73,0))&amp;"","")</f>
        <v/>
      </c>
      <c r="F22" s="123">
        <f>IFERROR(INDEX(OUT!AK$8:AK$73,MATCH($A22,OUT!$A$8:$A$73,0))&amp;"","")</f>
        <v/>
      </c>
      <c r="G22" s="123">
        <f>IFERROR(INDEX(OUT!AL$8:AL$73,MATCH($A22,OUT!$A$8:$A$73,0))&amp;"","")</f>
        <v/>
      </c>
      <c r="H22" s="109">
        <f>IFERROR(INDEX(OUT!AM$8:AM$73,MATCH($A22,OUT!$A$8:$A$73,0))&amp;"","")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96" t="n"/>
      <c r="AN22" s="123">
        <f>IFERROR(INDEX(DEZ!I$8:I$73,MATCH($A22,DEZ!$A$8:$A$73,0))&amp;"","")</f>
        <v/>
      </c>
      <c r="AO22" s="123">
        <f>IFERROR(INDEX(DEZ!J$8:J$73,MATCH($A22,DEZ!$A$8:$A$73,0))&amp;"","")</f>
        <v/>
      </c>
      <c r="AP22" s="123">
        <f>IFERROR(INDEX(DEZ!K$8:K$73,MATCH($A22,DEZ!$A$8:$A$73,0))&amp;"","")</f>
        <v/>
      </c>
      <c r="AQ22" s="123">
        <f>IFERROR(INDEX(DEZ!L$8:L$73,MATCH($A22,DEZ!$A$8:$A$73,0))&amp;"","")</f>
        <v/>
      </c>
      <c r="AR22" s="109">
        <f>IFERROR(INDEX(DEZ!M$8:M$73,MATCH($A22,DEZ!$A$8:$A$73,0))&amp;"","")</f>
        <v/>
      </c>
      <c r="AS22" s="109">
        <f>IFERROR(INDEX(DEZ!N$8:N$73,MATCH($A22,DEZ!$A$8:$A$73,0))&amp;"","")</f>
        <v/>
      </c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SUMPRODUCT(($C22:$I22="M")*6+($C22:$I22="T")*6+($C22:$I22="D")*12+($C22:$I22="N")*12+($C22:$I22="NT")*6+($C22:$I22="C")*10+($C22:$I22="A")*8+($C22:$I22="J")*5+($C22:$I22="E")*4+($C22:$I22="P")*6+($C22:$I22="R")*6)</f>
        <v/>
      </c>
      <c r="BF22" s="110">
        <f>SUMPRODUCT(($J22:$P22="M")*6+($J22:$P22="T")*6+($J22:$P22="D")*12+($J22:$P22="N")*12+($J22:$P22="NT")*6+($J22:$P22="C")*10+($J22:$P22="A")*8+($J22:$P22="J")*5+($J22:$P22="E")*4+($J22:$P22="P")*6+($J22:$P22="R")*6)</f>
        <v/>
      </c>
      <c r="BG22" s="110">
        <f>SUMPRODUCT(($Q22:$W22="M")*6+($Q22:$W22="T")*6+($Q22:$W22="D")*12+($Q22:$W22="N")*12+($Q22:$W22="NT")*6+($Q22:$W22="C")*10+($Q22:$W22="A")*8+($Q22:$W22="J")*5+($Q22:$W22="E")*4+($Q22:$W22="P")*6+($Q22:$W22="R")*6)</f>
        <v/>
      </c>
      <c r="BH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I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J22" s="110">
        <f>SUMPRODUCT(($AL22:$AL22="M")*6+($AL22:$AL22="T")*6+($AL22:$AL22="D")*12+($AL22:$AL22="N")*12+($AL22:$AL22="NT")*6+($AL22:$AL22="C")*10+($AL22:$AL22="A")*8+($AL22:$AL22="J")*5+($AL22:$AL22="E")*4+($AL22:$AL22="P")*6+($AL22:$AL22="R")*6)+SUMPRODUCT(($AN22:$AS22="M")*6+($AN22:$AS22="T")*6+($AN22:$AS22="D")*12+($AN22:$AS22="N")*12+($AN22:$AS22="NT")*6+($AN22:$AS22="C")*10+($AN22:$AS22="A")*8+($AN22:$AS22="J")*5+($AN22:$AS22="E")*4+($AN22:$AS22="P")*6+($AN22:$AS22="R")*6)</f>
        <v/>
      </c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123">
        <f>IFERROR(INDEX(OUT!AH$8:AH$73,MATCH($A23,OUT!$A$8:$A$73,0))&amp;"","")</f>
        <v/>
      </c>
      <c r="D23" s="123">
        <f>IFERROR(INDEX(OUT!AI$8:AI$73,MATCH($A23,OUT!$A$8:$A$73,0))&amp;"","")</f>
        <v/>
      </c>
      <c r="E23" s="123">
        <f>IFERROR(INDEX(OUT!AJ$8:AJ$73,MATCH($A23,OUT!$A$8:$A$73,0))&amp;"","")</f>
        <v/>
      </c>
      <c r="F23" s="123">
        <f>IFERROR(INDEX(OUT!AK$8:AK$73,MATCH($A23,OUT!$A$8:$A$73,0))&amp;"","")</f>
        <v/>
      </c>
      <c r="G23" s="123">
        <f>IFERROR(INDEX(OUT!AL$8:AL$73,MATCH($A23,OUT!$A$8:$A$73,0))&amp;"","")</f>
        <v/>
      </c>
      <c r="H23" s="109">
        <f>IFERROR(INDEX(OUT!AM$8:AM$73,MATCH($A23,OUT!$A$8:$A$73,0))&amp;"","")</f>
        <v/>
      </c>
      <c r="I23" s="108" t="inlineStr">
        <is>
          <t>M</t>
        </is>
      </c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96" t="n"/>
      <c r="AN23" s="123">
        <f>IFERROR(INDEX(DEZ!I$8:I$73,MATCH($A23,DEZ!$A$8:$A$73,0))&amp;"","")</f>
        <v/>
      </c>
      <c r="AO23" s="123">
        <f>IFERROR(INDEX(DEZ!J$8:J$73,MATCH($A23,DEZ!$A$8:$A$73,0))&amp;"","")</f>
        <v/>
      </c>
      <c r="AP23" s="123">
        <f>IFERROR(INDEX(DEZ!K$8:K$73,MATCH($A23,DEZ!$A$8:$A$73,0))&amp;"","")</f>
        <v/>
      </c>
      <c r="AQ23" s="123">
        <f>IFERROR(INDEX(DEZ!L$8:L$73,MATCH($A23,DEZ!$A$8:$A$73,0))&amp;"","")</f>
        <v/>
      </c>
      <c r="AR23" s="109">
        <f>IFERROR(INDEX(DEZ!M$8:M$73,MATCH($A23,DEZ!$A$8:$A$73,0))&amp;"","")</f>
        <v/>
      </c>
      <c r="AS23" s="109">
        <f>IFERROR(INDEX(DEZ!N$8:N$73,MATCH($A23,DEZ!$A$8:$A$73,0))&amp;"","")</f>
        <v/>
      </c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SUMPRODUCT(($C23:$I23="M")*6+($C23:$I23="T")*6+($C23:$I23="D")*12+($C23:$I23="N")*12+($C23:$I23="NT")*6+($C23:$I23="C")*10+($C23:$I23="A")*8+($C23:$I23="J")*5+($C23:$I23="E")*4+($C23:$I23="P")*6+($C23:$I23="R")*6)</f>
        <v/>
      </c>
      <c r="BF23" s="110">
        <f>SUMPRODUCT(($J23:$P23="M")*6+($J23:$P23="T")*6+($J23:$P23="D")*12+($J23:$P23="N")*12+($J23:$P23="NT")*6+($J23:$P23="C")*10+($J23:$P23="A")*8+($J23:$P23="J")*5+($J23:$P23="E")*4+($J23:$P23="P")*6+($J23:$P23="R")*6)</f>
        <v/>
      </c>
      <c r="BG23" s="110">
        <f>SUMPRODUCT(($Q23:$W23="M")*6+($Q23:$W23="T")*6+($Q23:$W23="D")*12+($Q23:$W23="N")*12+($Q23:$W23="NT")*6+($Q23:$W23="C")*10+($Q23:$W23="A")*8+($Q23:$W23="J")*5+($Q23:$W23="E")*4+($Q23:$W23="P")*6+($Q23:$W23="R")*6)</f>
        <v/>
      </c>
      <c r="BH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I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J23" s="110">
        <f>SUMPRODUCT(($AL23:$AL23="M")*6+($AL23:$AL23="T")*6+($AL23:$AL23="D")*12+($AL23:$AL23="N")*12+($AL23:$AL23="NT")*6+($AL23:$AL23="C")*10+($AL23:$AL23="A")*8+($AL23:$AL23="J")*5+($AL23:$AL23="E")*4+($AL23:$AL23="P")*6+($AL23:$AL23="R")*6)+SUMPRODUCT(($AN23:$AS23="M")*6+($AN23:$AS23="T")*6+($AN23:$AS23="D")*12+($AN23:$AS23="N")*12+($AN23:$AS23="NT")*6+($AN23:$AS23="C")*10+($AN23:$AS23="A")*8+($AN23:$AS23="J")*5+($AN23:$AS23="E")*4+($AN23:$AS23="P")*6+($AN23:$AS23="R")*6)</f>
        <v/>
      </c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123">
        <f>IFERROR(INDEX(OUT!AH$8:AH$73,MATCH($A24,OUT!$A$8:$A$73,0))&amp;"","")</f>
        <v/>
      </c>
      <c r="D24" s="123">
        <f>IFERROR(INDEX(OUT!AI$8:AI$73,MATCH($A24,OUT!$A$8:$A$73,0))&amp;"","")</f>
        <v/>
      </c>
      <c r="E24" s="123">
        <f>IFERROR(INDEX(OUT!AJ$8:AJ$73,MATCH($A24,OUT!$A$8:$A$73,0))&amp;"","")</f>
        <v/>
      </c>
      <c r="F24" s="123">
        <f>IFERROR(INDEX(OUT!AK$8:AK$73,MATCH($A24,OUT!$A$8:$A$73,0))&amp;"","")</f>
        <v/>
      </c>
      <c r="G24" s="123">
        <f>IFERROR(INDEX(OUT!AL$8:AL$73,MATCH($A24,OUT!$A$8:$A$73,0))&amp;"","")</f>
        <v/>
      </c>
      <c r="H24" s="109">
        <f>IFERROR(INDEX(OUT!AM$8:AM$73,MATCH($A24,OUT!$A$8:$A$73,0))&amp;"","")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96" t="n"/>
      <c r="AN24" s="123">
        <f>IFERROR(INDEX(DEZ!I$8:I$73,MATCH($A24,DEZ!$A$8:$A$73,0))&amp;"","")</f>
        <v/>
      </c>
      <c r="AO24" s="123">
        <f>IFERROR(INDEX(DEZ!J$8:J$73,MATCH($A24,DEZ!$A$8:$A$73,0))&amp;"","")</f>
        <v/>
      </c>
      <c r="AP24" s="123">
        <f>IFERROR(INDEX(DEZ!K$8:K$73,MATCH($A24,DEZ!$A$8:$A$73,0))&amp;"","")</f>
        <v/>
      </c>
      <c r="AQ24" s="123">
        <f>IFERROR(INDEX(DEZ!L$8:L$73,MATCH($A24,DEZ!$A$8:$A$73,0))&amp;"","")</f>
        <v/>
      </c>
      <c r="AR24" s="109">
        <f>IFERROR(INDEX(DEZ!M$8:M$73,MATCH($A24,DEZ!$A$8:$A$73,0))&amp;"","")</f>
        <v/>
      </c>
      <c r="AS24" s="109">
        <f>IFERROR(INDEX(DEZ!N$8:N$73,MATCH($A24,DEZ!$A$8:$A$73,0))&amp;"","")</f>
        <v/>
      </c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SUMPRODUCT(($C24:$I24="M")*6+($C24:$I24="T")*6+($C24:$I24="D")*12+($C24:$I24="N")*12+($C24:$I24="NT")*6+($C24:$I24="C")*10+($C24:$I24="A")*8+($C24:$I24="J")*5+($C24:$I24="E")*4+($C24:$I24="P")*6+($C24:$I24="R")*6)</f>
        <v/>
      </c>
      <c r="BF24" s="110">
        <f>SUMPRODUCT(($J24:$P24="M")*6+($J24:$P24="T")*6+($J24:$P24="D")*12+($J24:$P24="N")*12+($J24:$P24="NT")*6+($J24:$P24="C")*10+($J24:$P24="A")*8+($J24:$P24="J")*5+($J24:$P24="E")*4+($J24:$P24="P")*6+($J24:$P24="R")*6)</f>
        <v/>
      </c>
      <c r="BG24" s="110">
        <f>SUMPRODUCT(($Q24:$W24="M")*6+($Q24:$W24="T")*6+($Q24:$W24="D")*12+($Q24:$W24="N")*12+($Q24:$W24="NT")*6+($Q24:$W24="C")*10+($Q24:$W24="A")*8+($Q24:$W24="J")*5+($Q24:$W24="E")*4+($Q24:$W24="P")*6+($Q24:$W24="R")*6)</f>
        <v/>
      </c>
      <c r="BH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I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J24" s="110">
        <f>SUMPRODUCT(($AL24:$AL24="M")*6+($AL24:$AL24="T")*6+($AL24:$AL24="D")*12+($AL24:$AL24="N")*12+($AL24:$AL24="NT")*6+($AL24:$AL24="C")*10+($AL24:$AL24="A")*8+($AL24:$AL24="J")*5+($AL24:$AL24="E")*4+($AL24:$AL24="P")*6+($AL24:$AL24="R")*6)+SUMPRODUCT(($AN24:$AS24="M")*6+($AN24:$AS24="T")*6+($AN24:$AS24="D")*12+($AN24:$AS24="N")*12+($AN24:$AS24="NT")*6+($AN24:$AS24="C")*10+($AN24:$AS24="A")*8+($AN24:$AS24="J")*5+($AN24:$AS24="E")*4+($AN24:$AS24="P")*6+($AN24:$AS24="R")*6)</f>
        <v/>
      </c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123">
        <f>IFERROR(INDEX(OUT!AH$8:AH$73,MATCH($A25,OUT!$A$8:$A$73,0))&amp;"","")</f>
        <v/>
      </c>
      <c r="D25" s="123">
        <f>IFERROR(INDEX(OUT!AI$8:AI$73,MATCH($A25,OUT!$A$8:$A$73,0))&amp;"","")</f>
        <v/>
      </c>
      <c r="E25" s="123">
        <f>IFERROR(INDEX(OUT!AJ$8:AJ$73,MATCH($A25,OUT!$A$8:$A$73,0))&amp;"","")</f>
        <v/>
      </c>
      <c r="F25" s="123">
        <f>IFERROR(INDEX(OUT!AK$8:AK$73,MATCH($A25,OUT!$A$8:$A$73,0))&amp;"","")</f>
        <v/>
      </c>
      <c r="G25" s="123">
        <f>IFERROR(INDEX(OUT!AL$8:AL$73,MATCH($A25,OUT!$A$8:$A$73,0))&amp;"","")</f>
        <v/>
      </c>
      <c r="H25" s="109">
        <f>IFERROR(INDEX(OUT!AM$8:AM$73,MATCH($A25,OUT!$A$8:$A$73,0))&amp;"","")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96" t="n"/>
      <c r="AN25" s="123">
        <f>IFERROR(INDEX(DEZ!I$8:I$73,MATCH($A25,DEZ!$A$8:$A$73,0))&amp;"","")</f>
        <v/>
      </c>
      <c r="AO25" s="123">
        <f>IFERROR(INDEX(DEZ!J$8:J$73,MATCH($A25,DEZ!$A$8:$A$73,0))&amp;"","")</f>
        <v/>
      </c>
      <c r="AP25" s="123">
        <f>IFERROR(INDEX(DEZ!K$8:K$73,MATCH($A25,DEZ!$A$8:$A$73,0))&amp;"","")</f>
        <v/>
      </c>
      <c r="AQ25" s="123">
        <f>IFERROR(INDEX(DEZ!L$8:L$73,MATCH($A25,DEZ!$A$8:$A$73,0))&amp;"","")</f>
        <v/>
      </c>
      <c r="AR25" s="109">
        <f>IFERROR(INDEX(DEZ!M$8:M$73,MATCH($A25,DEZ!$A$8:$A$73,0))&amp;"","")</f>
        <v/>
      </c>
      <c r="AS25" s="109">
        <f>IFERROR(INDEX(DEZ!N$8:N$73,MATCH($A25,DEZ!$A$8:$A$73,0))&amp;"","")</f>
        <v/>
      </c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SUMPRODUCT(($C25:$I25="M")*6+($C25:$I25="T")*6+($C25:$I25="D")*12+($C25:$I25="N")*12+($C25:$I25="NT")*6+($C25:$I25="C")*10+($C25:$I25="A")*8+($C25:$I25="J")*5+($C25:$I25="E")*4+($C25:$I25="P")*6+($C25:$I25="R")*6)</f>
        <v/>
      </c>
      <c r="BF25" s="110">
        <f>SUMPRODUCT(($J25:$P25="M")*6+($J25:$P25="T")*6+($J25:$P25="D")*12+($J25:$P25="N")*12+($J25:$P25="NT")*6+($J25:$P25="C")*10+($J25:$P25="A")*8+($J25:$P25="J")*5+($J25:$P25="E")*4+($J25:$P25="P")*6+($J25:$P25="R")*6)</f>
        <v/>
      </c>
      <c r="BG25" s="110">
        <f>SUMPRODUCT(($Q25:$W25="M")*6+($Q25:$W25="T")*6+($Q25:$W25="D")*12+($Q25:$W25="N")*12+($Q25:$W25="NT")*6+($Q25:$W25="C")*10+($Q25:$W25="A")*8+($Q25:$W25="J")*5+($Q25:$W25="E")*4+($Q25:$W25="P")*6+($Q25:$W25="R")*6)</f>
        <v/>
      </c>
      <c r="BH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I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J25" s="110">
        <f>SUMPRODUCT(($AL25:$AL25="M")*6+($AL25:$AL25="T")*6+($AL25:$AL25="D")*12+($AL25:$AL25="N")*12+($AL25:$AL25="NT")*6+($AL25:$AL25="C")*10+($AL25:$AL25="A")*8+($AL25:$AL25="J")*5+($AL25:$AL25="E")*4+($AL25:$AL25="P")*6+($AL25:$AL25="R")*6)+SUMPRODUCT(($AN25:$AS25="M")*6+($AN25:$AS25="T")*6+($AN25:$AS25="D")*12+($AN25:$AS25="N")*12+($AN25:$AS25="NT")*6+($AN25:$AS25="C")*10+($AN25:$AS25="A")*8+($AN25:$AS25="J")*5+($AN25:$AS25="E")*4+($AN25:$AS25="P")*6+($AN25:$AS25="R")*6)</f>
        <v/>
      </c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123">
        <f>IFERROR(INDEX(OUT!AH$8:AH$73,MATCH($A26,OUT!$A$8:$A$73,0))&amp;"","")</f>
        <v/>
      </c>
      <c r="D26" s="123">
        <f>IFERROR(INDEX(OUT!AI$8:AI$73,MATCH($A26,OUT!$A$8:$A$73,0))&amp;"","")</f>
        <v/>
      </c>
      <c r="E26" s="123">
        <f>IFERROR(INDEX(OUT!AJ$8:AJ$73,MATCH($A26,OUT!$A$8:$A$73,0))&amp;"","")</f>
        <v/>
      </c>
      <c r="F26" s="123">
        <f>IFERROR(INDEX(OUT!AK$8:AK$73,MATCH($A26,OUT!$A$8:$A$73,0))&amp;"","")</f>
        <v/>
      </c>
      <c r="G26" s="123">
        <f>IFERROR(INDEX(OUT!AL$8:AL$73,MATCH($A26,OUT!$A$8:$A$73,0))&amp;"","")</f>
        <v/>
      </c>
      <c r="H26" s="109">
        <f>IFERROR(INDEX(OUT!AM$8:AM$73,MATCH($A26,OUT!$A$8:$A$73,0))&amp;"","")</f>
        <v/>
      </c>
      <c r="I26" s="116" t="inlineStr">
        <is>
          <t>N</t>
        </is>
      </c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96" t="n"/>
      <c r="AN26" s="123">
        <f>IFERROR(INDEX(DEZ!I$8:I$73,MATCH($A26,DEZ!$A$8:$A$73,0))&amp;"","")</f>
        <v/>
      </c>
      <c r="AO26" s="123">
        <f>IFERROR(INDEX(DEZ!J$8:J$73,MATCH($A26,DEZ!$A$8:$A$73,0))&amp;"","")</f>
        <v/>
      </c>
      <c r="AP26" s="123">
        <f>IFERROR(INDEX(DEZ!K$8:K$73,MATCH($A26,DEZ!$A$8:$A$73,0))&amp;"","")</f>
        <v/>
      </c>
      <c r="AQ26" s="123">
        <f>IFERROR(INDEX(DEZ!L$8:L$73,MATCH($A26,DEZ!$A$8:$A$73,0))&amp;"","")</f>
        <v/>
      </c>
      <c r="AR26" s="109">
        <f>IFERROR(INDEX(DEZ!M$8:M$73,MATCH($A26,DEZ!$A$8:$A$73,0))&amp;"","")</f>
        <v/>
      </c>
      <c r="AS26" s="109">
        <f>IFERROR(INDEX(DEZ!N$8:N$73,MATCH($A26,DEZ!$A$8:$A$73,0))&amp;"","")</f>
        <v/>
      </c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SUMPRODUCT(($C26:$I26="M")*6+($C26:$I26="T")*6+($C26:$I26="D")*12+($C26:$I26="N")*12+($C26:$I26="NT")*6+($C26:$I26="C")*10+($C26:$I26="A")*8+($C26:$I26="J")*5+($C26:$I26="E")*4+($C26:$I26="P")*6+($C26:$I26="R")*6)</f>
        <v/>
      </c>
      <c r="BF26" s="110">
        <f>SUMPRODUCT(($J26:$P26="M")*6+($J26:$P26="T")*6+($J26:$P26="D")*12+($J26:$P26="N")*12+($J26:$P26="NT")*6+($J26:$P26="C")*10+($J26:$P26="A")*8+($J26:$P26="J")*5+($J26:$P26="E")*4+($J26:$P26="P")*6+($J26:$P26="R")*6)</f>
        <v/>
      </c>
      <c r="BG26" s="110">
        <f>SUMPRODUCT(($Q26:$W26="M")*6+($Q26:$W26="T")*6+($Q26:$W26="D")*12+($Q26:$W26="N")*12+($Q26:$W26="NT")*6+($Q26:$W26="C")*10+($Q26:$W26="A")*8+($Q26:$W26="J")*5+($Q26:$W26="E")*4+($Q26:$W26="P")*6+($Q26:$W26="R")*6)</f>
        <v/>
      </c>
      <c r="BH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I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J26" s="110">
        <f>SUMPRODUCT(($AL26:$AL26="M")*6+($AL26:$AL26="T")*6+($AL26:$AL26="D")*12+($AL26:$AL26="N")*12+($AL26:$AL26="NT")*6+($AL26:$AL26="C")*10+($AL26:$AL26="A")*8+($AL26:$AL26="J")*5+($AL26:$AL26="E")*4+($AL26:$AL26="P")*6+($AL26:$AL26="R")*6)+SUMPRODUCT(($AN26:$AS26="M")*6+($AN26:$AS26="T")*6+($AN26:$AS26="D")*12+($AN26:$AS26="N")*12+($AN26:$AS26="NT")*6+($AN26:$AS26="C")*10+($AN26:$AS26="A")*8+($AN26:$AS26="J")*5+($AN26:$AS26="E")*4+($AN26:$AS26="P")*6+($AN26:$AS26="R")*6)</f>
        <v/>
      </c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123">
        <f>IFERROR(INDEX(OUT!AH$8:AH$73,MATCH($A27,OUT!$A$8:$A$73,0))&amp;"","")</f>
        <v/>
      </c>
      <c r="D27" s="123">
        <f>IFERROR(INDEX(OUT!AI$8:AI$73,MATCH($A27,OUT!$A$8:$A$73,0))&amp;"","")</f>
        <v/>
      </c>
      <c r="E27" s="123">
        <f>IFERROR(INDEX(OUT!AJ$8:AJ$73,MATCH($A27,OUT!$A$8:$A$73,0))&amp;"","")</f>
        <v/>
      </c>
      <c r="F27" s="123">
        <f>IFERROR(INDEX(OUT!AK$8:AK$73,MATCH($A27,OUT!$A$8:$A$73,0))&amp;"","")</f>
        <v/>
      </c>
      <c r="G27" s="123">
        <f>IFERROR(INDEX(OUT!AL$8:AL$73,MATCH($A27,OUT!$A$8:$A$73,0))&amp;"","")</f>
        <v/>
      </c>
      <c r="H27" s="109">
        <f>IFERROR(INDEX(OUT!AM$8:AM$73,MATCH($A27,OUT!$A$8:$A$73,0))&amp;"","")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96" t="n"/>
      <c r="AN27" s="123">
        <f>IFERROR(INDEX(DEZ!I$8:I$73,MATCH($A27,DEZ!$A$8:$A$73,0))&amp;"","")</f>
        <v/>
      </c>
      <c r="AO27" s="123">
        <f>IFERROR(INDEX(DEZ!J$8:J$73,MATCH($A27,DEZ!$A$8:$A$73,0))&amp;"","")</f>
        <v/>
      </c>
      <c r="AP27" s="123">
        <f>IFERROR(INDEX(DEZ!K$8:K$73,MATCH($A27,DEZ!$A$8:$A$73,0))&amp;"","")</f>
        <v/>
      </c>
      <c r="AQ27" s="123">
        <f>IFERROR(INDEX(DEZ!L$8:L$73,MATCH($A27,DEZ!$A$8:$A$73,0))&amp;"","")</f>
        <v/>
      </c>
      <c r="AR27" s="109">
        <f>IFERROR(INDEX(DEZ!M$8:M$73,MATCH($A27,DEZ!$A$8:$A$73,0))&amp;"","")</f>
        <v/>
      </c>
      <c r="AS27" s="109">
        <f>IFERROR(INDEX(DEZ!N$8:N$73,MATCH($A27,DEZ!$A$8:$A$73,0))&amp;"","")</f>
        <v/>
      </c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SUMPRODUCT(($C27:$I27="M")*6+($C27:$I27="T")*6+($C27:$I27="D")*12+($C27:$I27="N")*12+($C27:$I27="NT")*6+($C27:$I27="C")*10+($C27:$I27="A")*8+($C27:$I27="J")*5+($C27:$I27="E")*4+($C27:$I27="P")*6+($C27:$I27="R")*6)</f>
        <v/>
      </c>
      <c r="BF27" s="110">
        <f>SUMPRODUCT(($J27:$P27="M")*6+($J27:$P27="T")*6+($J27:$P27="D")*12+($J27:$P27="N")*12+($J27:$P27="NT")*6+($J27:$P27="C")*10+($J27:$P27="A")*8+($J27:$P27="J")*5+($J27:$P27="E")*4+($J27:$P27="P")*6+($J27:$P27="R")*6)</f>
        <v/>
      </c>
      <c r="BG27" s="110">
        <f>SUMPRODUCT(($Q27:$W27="M")*6+($Q27:$W27="T")*6+($Q27:$W27="D")*12+($Q27:$W27="N")*12+($Q27:$W27="NT")*6+($Q27:$W27="C")*10+($Q27:$W27="A")*8+($Q27:$W27="J")*5+($Q27:$W27="E")*4+($Q27:$W27="P")*6+($Q27:$W27="R")*6)</f>
        <v/>
      </c>
      <c r="BH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I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J27" s="110">
        <f>SUMPRODUCT(($AL27:$AL27="M")*6+($AL27:$AL27="T")*6+($AL27:$AL27="D")*12+($AL27:$AL27="N")*12+($AL27:$AL27="NT")*6+($AL27:$AL27="C")*10+($AL27:$AL27="A")*8+($AL27:$AL27="J")*5+($AL27:$AL27="E")*4+($AL27:$AL27="P")*6+($AL27:$AL27="R")*6)+SUMPRODUCT(($AN27:$AS27="M")*6+($AN27:$AS27="T")*6+($AN27:$AS27="D")*12+($AN27:$AS27="N")*12+($AN27:$AS27="NT")*6+($AN27:$AS27="C")*10+($AN27:$AS27="A")*8+($AN27:$AS27="J")*5+($AN27:$AS27="E")*4+($AN27:$AS27="P")*6+($AN27:$AS27="R")*6)</f>
        <v/>
      </c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123">
        <f>IFERROR(INDEX(OUT!AH$8:AH$73,MATCH($A28,OUT!$A$8:$A$73,0))&amp;"","")</f>
        <v/>
      </c>
      <c r="D28" s="123">
        <f>IFERROR(INDEX(OUT!AI$8:AI$73,MATCH($A28,OUT!$A$8:$A$73,0))&amp;"","")</f>
        <v/>
      </c>
      <c r="E28" s="123">
        <f>IFERROR(INDEX(OUT!AJ$8:AJ$73,MATCH($A28,OUT!$A$8:$A$73,0))&amp;"","")</f>
        <v/>
      </c>
      <c r="F28" s="123">
        <f>IFERROR(INDEX(OUT!AK$8:AK$73,MATCH($A28,OUT!$A$8:$A$73,0))&amp;"","")</f>
        <v/>
      </c>
      <c r="G28" s="123">
        <f>IFERROR(INDEX(OUT!AL$8:AL$73,MATCH($A28,OUT!$A$8:$A$73,0))&amp;"","")</f>
        <v/>
      </c>
      <c r="H28" s="109">
        <f>IFERROR(INDEX(OUT!AM$8:AM$73,MATCH($A28,OUT!$A$8:$A$73,0))&amp;"","")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23">
        <f>IFERROR(INDEX(DEZ!I$8:I$73,MATCH($A28,DEZ!$A$8:$A$73,0))&amp;"","")</f>
        <v/>
      </c>
      <c r="AO28" s="123">
        <f>IFERROR(INDEX(DEZ!J$8:J$73,MATCH($A28,DEZ!$A$8:$A$73,0))&amp;"","")</f>
        <v/>
      </c>
      <c r="AP28" s="123">
        <f>IFERROR(INDEX(DEZ!K$8:K$73,MATCH($A28,DEZ!$A$8:$A$73,0))&amp;"","")</f>
        <v/>
      </c>
      <c r="AQ28" s="123">
        <f>IFERROR(INDEX(DEZ!L$8:L$73,MATCH($A28,DEZ!$A$8:$A$73,0))&amp;"","")</f>
        <v/>
      </c>
      <c r="AR28" s="109">
        <f>IFERROR(INDEX(DEZ!M$8:M$73,MATCH($A28,DEZ!$A$8:$A$73,0))&amp;"","")</f>
        <v/>
      </c>
      <c r="AS28" s="109">
        <f>IFERROR(INDEX(DEZ!N$8:N$73,MATCH($A28,DEZ!$A$8:$A$73,0))&amp;"","")</f>
        <v/>
      </c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SUMPRODUCT(($C28:$I28="M")*6+($C28:$I28="T")*6+($C28:$I28="D")*12+($C28:$I28="N")*12+($C28:$I28="NT")*6+($C28:$I28="C")*10+($C28:$I28="A")*8+($C28:$I28="J")*5+($C28:$I28="E")*4+($C28:$I28="P")*6+($C28:$I28="R")*6)</f>
        <v/>
      </c>
      <c r="BF28" s="110">
        <f>SUMPRODUCT(($J28:$P28="M")*6+($J28:$P28="T")*6+($J28:$P28="D")*12+($J28:$P28="N")*12+($J28:$P28="NT")*6+($J28:$P28="C")*10+($J28:$P28="A")*8+($J28:$P28="J")*5+($J28:$P28="E")*4+($J28:$P28="P")*6+($J28:$P28="R")*6)</f>
        <v/>
      </c>
      <c r="BG28" s="110">
        <f>SUMPRODUCT(($Q28:$W28="M")*6+($Q28:$W28="T")*6+($Q28:$W28="D")*12+($Q28:$W28="N")*12+($Q28:$W28="NT")*6+($Q28:$W28="C")*10+($Q28:$W28="A")*8+($Q28:$W28="J")*5+($Q28:$W28="E")*4+($Q28:$W28="P")*6+($Q28:$W28="R")*6)</f>
        <v/>
      </c>
      <c r="BH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I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J28" s="110">
        <f>SUMPRODUCT(($AL28:$AL28="M")*6+($AL28:$AL28="T")*6+($AL28:$AL28="D")*12+($AL28:$AL28="N")*12+($AL28:$AL28="NT")*6+($AL28:$AL28="C")*10+($AL28:$AL28="A")*8+($AL28:$AL28="J")*5+($AL28:$AL28="E")*4+($AL28:$AL28="P")*6+($AL28:$AL28="R")*6)+SUMPRODUCT(($AN28:$AS28="M")*6+($AN28:$AS28="T")*6+($AN28:$AS28="D")*12+($AN28:$AS28="N")*12+($AN28:$AS28="NT")*6+($AN28:$AS28="C")*10+($AN28:$AS28="A")*8+($AN28:$AS28="J")*5+($AN28:$AS28="E")*4+($AN28:$AS28="P")*6+($AN28:$AS28="R")*6)</f>
        <v/>
      </c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123">
        <f>IFERROR(INDEX(OUT!AH$8:AH$73,MATCH($A29,OUT!$A$8:$A$73,0))&amp;"","")</f>
        <v/>
      </c>
      <c r="D29" s="123">
        <f>IFERROR(INDEX(OUT!AI$8:AI$73,MATCH($A29,OUT!$A$8:$A$73,0))&amp;"","")</f>
        <v/>
      </c>
      <c r="E29" s="123">
        <f>IFERROR(INDEX(OUT!AJ$8:AJ$73,MATCH($A29,OUT!$A$8:$A$73,0))&amp;"","")</f>
        <v/>
      </c>
      <c r="F29" s="123">
        <f>IFERROR(INDEX(OUT!AK$8:AK$73,MATCH($A29,OUT!$A$8:$A$73,0))&amp;"","")</f>
        <v/>
      </c>
      <c r="G29" s="123">
        <f>IFERROR(INDEX(OUT!AL$8:AL$73,MATCH($A29,OUT!$A$8:$A$73,0))&amp;"","")</f>
        <v/>
      </c>
      <c r="H29" s="109">
        <f>IFERROR(INDEX(OUT!AM$8:AM$73,MATCH($A29,OUT!$A$8:$A$73,0))&amp;"","")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96" t="n"/>
      <c r="AN29" s="123">
        <f>IFERROR(INDEX(DEZ!I$8:I$73,MATCH($A29,DEZ!$A$8:$A$73,0))&amp;"","")</f>
        <v/>
      </c>
      <c r="AO29" s="123">
        <f>IFERROR(INDEX(DEZ!J$8:J$73,MATCH($A29,DEZ!$A$8:$A$73,0))&amp;"","")</f>
        <v/>
      </c>
      <c r="AP29" s="123">
        <f>IFERROR(INDEX(DEZ!K$8:K$73,MATCH($A29,DEZ!$A$8:$A$73,0))&amp;"","")</f>
        <v/>
      </c>
      <c r="AQ29" s="123">
        <f>IFERROR(INDEX(DEZ!L$8:L$73,MATCH($A29,DEZ!$A$8:$A$73,0))&amp;"","")</f>
        <v/>
      </c>
      <c r="AR29" s="109">
        <f>IFERROR(INDEX(DEZ!M$8:M$73,MATCH($A29,DEZ!$A$8:$A$73,0))&amp;"","")</f>
        <v/>
      </c>
      <c r="AS29" s="109">
        <f>IFERROR(INDEX(DEZ!N$8:N$73,MATCH($A29,DEZ!$A$8:$A$73,0))&amp;"","")</f>
        <v/>
      </c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SUMPRODUCT(($C29:$I29="M")*6+($C29:$I29="T")*6+($C29:$I29="D")*12+($C29:$I29="N")*12+($C29:$I29="NT")*6+($C29:$I29="C")*10+($C29:$I29="A")*8+($C29:$I29="J")*5+($C29:$I29="E")*4+($C29:$I29="P")*6+($C29:$I29="R")*6)</f>
        <v/>
      </c>
      <c r="BF29" s="110">
        <f>SUMPRODUCT(($J29:$P29="M")*6+($J29:$P29="T")*6+($J29:$P29="D")*12+($J29:$P29="N")*12+($J29:$P29="NT")*6+($J29:$P29="C")*10+($J29:$P29="A")*8+($J29:$P29="J")*5+($J29:$P29="E")*4+($J29:$P29="P")*6+($J29:$P29="R")*6)</f>
        <v/>
      </c>
      <c r="BG29" s="110">
        <f>SUMPRODUCT(($Q29:$W29="M")*6+($Q29:$W29="T")*6+($Q29:$W29="D")*12+($Q29:$W29="N")*12+($Q29:$W29="NT")*6+($Q29:$W29="C")*10+($Q29:$W29="A")*8+($Q29:$W29="J")*5+($Q29:$W29="E")*4+($Q29:$W29="P")*6+($Q29:$W29="R")*6)</f>
        <v/>
      </c>
      <c r="BH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I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J29" s="110">
        <f>SUMPRODUCT(($AL29:$AL29="M")*6+($AL29:$AL29="T")*6+($AL29:$AL29="D")*12+($AL29:$AL29="N")*12+($AL29:$AL29="NT")*6+($AL29:$AL29="C")*10+($AL29:$AL29="A")*8+($AL29:$AL29="J")*5+($AL29:$AL29="E")*4+($AL29:$AL29="P")*6+($AL29:$AL29="R")*6)+SUMPRODUCT(($AN29:$AS29="M")*6+($AN29:$AS29="T")*6+($AN29:$AS29="D")*12+($AN29:$AS29="N")*12+($AN29:$AS29="NT")*6+($AN29:$AS29="C")*10+($AN29:$AS29="A")*8+($AN29:$AS29="J")*5+($AN29:$AS29="E")*4+($AN29:$AS29="P")*6+($AN29:$AS29="R")*6)</f>
        <v/>
      </c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123">
        <f>IFERROR(INDEX(OUT!AH$8:AH$73,MATCH($A30,OUT!$A$8:$A$73,0))&amp;"","")</f>
        <v/>
      </c>
      <c r="D30" s="123">
        <f>IFERROR(INDEX(OUT!AI$8:AI$73,MATCH($A30,OUT!$A$8:$A$73,0))&amp;"","")</f>
        <v/>
      </c>
      <c r="E30" s="123">
        <f>IFERROR(INDEX(OUT!AJ$8:AJ$73,MATCH($A30,OUT!$A$8:$A$73,0))&amp;"","")</f>
        <v/>
      </c>
      <c r="F30" s="123">
        <f>IFERROR(INDEX(OUT!AK$8:AK$73,MATCH($A30,OUT!$A$8:$A$73,0))&amp;"","")</f>
        <v/>
      </c>
      <c r="G30" s="123">
        <f>IFERROR(INDEX(OUT!AL$8:AL$73,MATCH($A30,OUT!$A$8:$A$73,0))&amp;"","")</f>
        <v/>
      </c>
      <c r="H30" s="109">
        <f>IFERROR(INDEX(OUT!AM$8:AM$73,MATCH($A30,OUT!$A$8:$A$73,0))&amp;"","")</f>
        <v/>
      </c>
      <c r="I30" s="116" t="inlineStr">
        <is>
          <t>N</t>
        </is>
      </c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96" t="n"/>
      <c r="AN30" s="123">
        <f>IFERROR(INDEX(DEZ!I$8:I$73,MATCH($A30,DEZ!$A$8:$A$73,0))&amp;"","")</f>
        <v/>
      </c>
      <c r="AO30" s="123">
        <f>IFERROR(INDEX(DEZ!J$8:J$73,MATCH($A30,DEZ!$A$8:$A$73,0))&amp;"","")</f>
        <v/>
      </c>
      <c r="AP30" s="123">
        <f>IFERROR(INDEX(DEZ!K$8:K$73,MATCH($A30,DEZ!$A$8:$A$73,0))&amp;"","")</f>
        <v/>
      </c>
      <c r="AQ30" s="123">
        <f>IFERROR(INDEX(DEZ!L$8:L$73,MATCH($A30,DEZ!$A$8:$A$73,0))&amp;"","")</f>
        <v/>
      </c>
      <c r="AR30" s="109">
        <f>IFERROR(INDEX(DEZ!M$8:M$73,MATCH($A30,DEZ!$A$8:$A$73,0))&amp;"","")</f>
        <v/>
      </c>
      <c r="AS30" s="109">
        <f>IFERROR(INDEX(DEZ!N$8:N$73,MATCH($A30,DEZ!$A$8:$A$73,0))&amp;"","")</f>
        <v/>
      </c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SUMPRODUCT(($C30:$I30="M")*6+($C30:$I30="T")*6+($C30:$I30="D")*12+($C30:$I30="N")*12+($C30:$I30="NT")*6+($C30:$I30="C")*10+($C30:$I30="A")*8+($C30:$I30="J")*5+($C30:$I30="E")*4+($C30:$I30="P")*6+($C30:$I30="R")*6)</f>
        <v/>
      </c>
      <c r="BF30" s="110">
        <f>SUMPRODUCT(($J30:$P30="M")*6+($J30:$P30="T")*6+($J30:$P30="D")*12+($J30:$P30="N")*12+($J30:$P30="NT")*6+($J30:$P30="C")*10+($J30:$P30="A")*8+($J30:$P30="J")*5+($J30:$P30="E")*4+($J30:$P30="P")*6+($J30:$P30="R")*6)</f>
        <v/>
      </c>
      <c r="BG30" s="110">
        <f>SUMPRODUCT(($Q30:$W30="M")*6+($Q30:$W30="T")*6+($Q30:$W30="D")*12+($Q30:$W30="N")*12+($Q30:$W30="NT")*6+($Q30:$W30="C")*10+($Q30:$W30="A")*8+($Q30:$W30="J")*5+($Q30:$W30="E")*4+($Q30:$W30="P")*6+($Q30:$W30="R")*6)</f>
        <v/>
      </c>
      <c r="BH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I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J30" s="110">
        <f>SUMPRODUCT(($AL30:$AL30="M")*6+($AL30:$AL30="T")*6+($AL30:$AL30="D")*12+($AL30:$AL30="N")*12+($AL30:$AL30="NT")*6+($AL30:$AL30="C")*10+($AL30:$AL30="A")*8+($AL30:$AL30="J")*5+($AL30:$AL30="E")*4+($AL30:$AL30="P")*6+($AL30:$AL30="R")*6)+SUMPRODUCT(($AN30:$AS30="M")*6+($AN30:$AS30="T")*6+($AN30:$AS30="D")*12+($AN30:$AS30="N")*12+($AN30:$AS30="NT")*6+($AN30:$AS30="C")*10+($AN30:$AS30="A")*8+($AN30:$AS30="J")*5+($AN30:$AS30="E")*4+($AN30:$AS30="P")*6+($AN30:$AS30="R")*6)</f>
        <v/>
      </c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123">
        <f>IFERROR(INDEX(OUT!AH$8:AH$73,MATCH($A31,OUT!$A$8:$A$73,0))&amp;"","")</f>
        <v/>
      </c>
      <c r="D31" s="123">
        <f>IFERROR(INDEX(OUT!AI$8:AI$73,MATCH($A31,OUT!$A$8:$A$73,0))&amp;"","")</f>
        <v/>
      </c>
      <c r="E31" s="123">
        <f>IFERROR(INDEX(OUT!AJ$8:AJ$73,MATCH($A31,OUT!$A$8:$A$73,0))&amp;"","")</f>
        <v/>
      </c>
      <c r="F31" s="123">
        <f>IFERROR(INDEX(OUT!AK$8:AK$73,MATCH($A31,OUT!$A$8:$A$73,0))&amp;"","")</f>
        <v/>
      </c>
      <c r="G31" s="123">
        <f>IFERROR(INDEX(OUT!AL$8:AL$73,MATCH($A31,OUT!$A$8:$A$73,0))&amp;"","")</f>
        <v/>
      </c>
      <c r="H31" s="109">
        <f>IFERROR(INDEX(OUT!AM$8:AM$73,MATCH($A31,OUT!$A$8:$A$73,0))&amp;"","")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96" t="n"/>
      <c r="AN31" s="123">
        <f>IFERROR(INDEX(DEZ!I$8:I$73,MATCH($A31,DEZ!$A$8:$A$73,0))&amp;"","")</f>
        <v/>
      </c>
      <c r="AO31" s="123">
        <f>IFERROR(INDEX(DEZ!J$8:J$73,MATCH($A31,DEZ!$A$8:$A$73,0))&amp;"","")</f>
        <v/>
      </c>
      <c r="AP31" s="123">
        <f>IFERROR(INDEX(DEZ!K$8:K$73,MATCH($A31,DEZ!$A$8:$A$73,0))&amp;"","")</f>
        <v/>
      </c>
      <c r="AQ31" s="123">
        <f>IFERROR(INDEX(DEZ!L$8:L$73,MATCH($A31,DEZ!$A$8:$A$73,0))&amp;"","")</f>
        <v/>
      </c>
      <c r="AR31" s="109">
        <f>IFERROR(INDEX(DEZ!M$8:M$73,MATCH($A31,DEZ!$A$8:$A$73,0))&amp;"","")</f>
        <v/>
      </c>
      <c r="AS31" s="109">
        <f>IFERROR(INDEX(DEZ!N$8:N$73,MATCH($A31,DEZ!$A$8:$A$73,0))&amp;"","")</f>
        <v/>
      </c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SUMPRODUCT(($C31:$I31="M")*6+($C31:$I31="T")*6+($C31:$I31="D")*12+($C31:$I31="N")*12+($C31:$I31="NT")*6+($C31:$I31="C")*10+($C31:$I31="A")*8+($C31:$I31="J")*5+($C31:$I31="E")*4+($C31:$I31="P")*6+($C31:$I31="R")*6)</f>
        <v/>
      </c>
      <c r="BF31" s="110">
        <f>SUMPRODUCT(($J31:$P31="M")*6+($J31:$P31="T")*6+($J31:$P31="D")*12+($J31:$P31="N")*12+($J31:$P31="NT")*6+($J31:$P31="C")*10+($J31:$P31="A")*8+($J31:$P31="J")*5+($J31:$P31="E")*4+($J31:$P31="P")*6+($J31:$P31="R")*6)</f>
        <v/>
      </c>
      <c r="BG31" s="110">
        <f>SUMPRODUCT(($Q31:$W31="M")*6+($Q31:$W31="T")*6+($Q31:$W31="D")*12+($Q31:$W31="N")*12+($Q31:$W31="NT")*6+($Q31:$W31="C")*10+($Q31:$W31="A")*8+($Q31:$W31="J")*5+($Q31:$W31="E")*4+($Q31:$W31="P")*6+($Q31:$W31="R")*6)</f>
        <v/>
      </c>
      <c r="BH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I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J31" s="110">
        <f>SUMPRODUCT(($AL31:$AL31="M")*6+($AL31:$AL31="T")*6+($AL31:$AL31="D")*12+($AL31:$AL31="N")*12+($AL31:$AL31="NT")*6+($AL31:$AL31="C")*10+($AL31:$AL31="A")*8+($AL31:$AL31="J")*5+($AL31:$AL31="E")*4+($AL31:$AL31="P")*6+($AL31:$AL31="R")*6)+SUMPRODUCT(($AN31:$AS31="M")*6+($AN31:$AS31="T")*6+($AN31:$AS31="D")*12+($AN31:$AS31="N")*12+($AN31:$AS31="NT")*6+($AN31:$AS31="C")*10+($AN31:$AS31="A")*8+($AN31:$AS31="J")*5+($AN31:$AS31="E")*4+($AN31:$AS31="P")*6+($AN31:$AS31="R")*6)</f>
        <v/>
      </c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123">
        <f>IFERROR(INDEX(OUT!AH$8:AH$73,MATCH($A32,OUT!$A$8:$A$73,0))&amp;"","")</f>
        <v/>
      </c>
      <c r="D32" s="123">
        <f>IFERROR(INDEX(OUT!AI$8:AI$73,MATCH($A32,OUT!$A$8:$A$73,0))&amp;"","")</f>
        <v/>
      </c>
      <c r="E32" s="123">
        <f>IFERROR(INDEX(OUT!AJ$8:AJ$73,MATCH($A32,OUT!$A$8:$A$73,0))&amp;"","")</f>
        <v/>
      </c>
      <c r="F32" s="123">
        <f>IFERROR(INDEX(OUT!AK$8:AK$73,MATCH($A32,OUT!$A$8:$A$73,0))&amp;"","")</f>
        <v/>
      </c>
      <c r="G32" s="123">
        <f>IFERROR(INDEX(OUT!AL$8:AL$73,MATCH($A32,OUT!$A$8:$A$73,0))&amp;"","")</f>
        <v/>
      </c>
      <c r="H32" s="109">
        <f>IFERROR(INDEX(OUT!AM$8:AM$73,MATCH($A32,OUT!$A$8:$A$73,0))&amp;"","")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96" t="n"/>
      <c r="AN32" s="123">
        <f>IFERROR(INDEX(DEZ!I$8:I$73,MATCH($A32,DEZ!$A$8:$A$73,0))&amp;"","")</f>
        <v/>
      </c>
      <c r="AO32" s="123">
        <f>IFERROR(INDEX(DEZ!J$8:J$73,MATCH($A32,DEZ!$A$8:$A$73,0))&amp;"","")</f>
        <v/>
      </c>
      <c r="AP32" s="123">
        <f>IFERROR(INDEX(DEZ!K$8:K$73,MATCH($A32,DEZ!$A$8:$A$73,0))&amp;"","")</f>
        <v/>
      </c>
      <c r="AQ32" s="123">
        <f>IFERROR(INDEX(DEZ!L$8:L$73,MATCH($A32,DEZ!$A$8:$A$73,0))&amp;"","")</f>
        <v/>
      </c>
      <c r="AR32" s="109">
        <f>IFERROR(INDEX(DEZ!M$8:M$73,MATCH($A32,DEZ!$A$8:$A$73,0))&amp;"","")</f>
        <v/>
      </c>
      <c r="AS32" s="109">
        <f>IFERROR(INDEX(DEZ!N$8:N$73,MATCH($A32,DEZ!$A$8:$A$73,0))&amp;"","")</f>
        <v/>
      </c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SUMPRODUCT(($C32:$I32="M")*6+($C32:$I32="T")*6+($C32:$I32="D")*12+($C32:$I32="N")*12+($C32:$I32="NT")*6+($C32:$I32="C")*10+($C32:$I32="A")*8+($C32:$I32="J")*5+($C32:$I32="E")*4+($C32:$I32="P")*6+($C32:$I32="R")*6)</f>
        <v/>
      </c>
      <c r="BF32" s="110">
        <f>SUMPRODUCT(($J32:$P32="M")*6+($J32:$P32="T")*6+($J32:$P32="D")*12+($J32:$P32="N")*12+($J32:$P32="NT")*6+($J32:$P32="C")*10+($J32:$P32="A")*8+($J32:$P32="J")*5+($J32:$P32="E")*4+($J32:$P32="P")*6+($J32:$P32="R")*6)</f>
        <v/>
      </c>
      <c r="BG32" s="110">
        <f>SUMPRODUCT(($Q32:$W32="M")*6+($Q32:$W32="T")*6+($Q32:$W32="D")*12+($Q32:$W32="N")*12+($Q32:$W32="NT")*6+($Q32:$W32="C")*10+($Q32:$W32="A")*8+($Q32:$W32="J")*5+($Q32:$W32="E")*4+($Q32:$W32="P")*6+($Q32:$W32="R")*6)</f>
        <v/>
      </c>
      <c r="BH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I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J32" s="110">
        <f>SUMPRODUCT(($AL32:$AL32="M")*6+($AL32:$AL32="T")*6+($AL32:$AL32="D")*12+($AL32:$AL32="N")*12+($AL32:$AL32="NT")*6+($AL32:$AL32="C")*10+($AL32:$AL32="A")*8+($AL32:$AL32="J")*5+($AL32:$AL32="E")*4+($AL32:$AL32="P")*6+($AL32:$AL32="R")*6)+SUMPRODUCT(($AN32:$AS32="M")*6+($AN32:$AS32="T")*6+($AN32:$AS32="D")*12+($AN32:$AS32="N")*12+($AN32:$AS32="NT")*6+($AN32:$AS32="C")*10+($AN32:$AS32="A")*8+($AN32:$AS32="J")*5+($AN32:$AS32="E")*4+($AN32:$AS32="P")*6+($AN32:$AS32="R")*6)</f>
        <v/>
      </c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123">
        <f>IFERROR(INDEX(OUT!AH$8:AH$73,MATCH($A33,OUT!$A$8:$A$73,0))&amp;"","")</f>
        <v/>
      </c>
      <c r="D33" s="123">
        <f>IFERROR(INDEX(OUT!AI$8:AI$73,MATCH($A33,OUT!$A$8:$A$73,0))&amp;"","")</f>
        <v/>
      </c>
      <c r="E33" s="123">
        <f>IFERROR(INDEX(OUT!AJ$8:AJ$73,MATCH($A33,OUT!$A$8:$A$73,0))&amp;"","")</f>
        <v/>
      </c>
      <c r="F33" s="123">
        <f>IFERROR(INDEX(OUT!AK$8:AK$73,MATCH($A33,OUT!$A$8:$A$73,0))&amp;"","")</f>
        <v/>
      </c>
      <c r="G33" s="123">
        <f>IFERROR(INDEX(OUT!AL$8:AL$73,MATCH($A33,OUT!$A$8:$A$73,0))&amp;"","")</f>
        <v/>
      </c>
      <c r="H33" s="109">
        <f>IFERROR(INDEX(OUT!AM$8:AM$73,MATCH($A33,OUT!$A$8:$A$73,0))&amp;"","")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3">
        <f>IFERROR(INDEX(DEZ!I$8:I$73,MATCH($A33,DEZ!$A$8:$A$73,0))&amp;"","")</f>
        <v/>
      </c>
      <c r="AO33" s="123">
        <f>IFERROR(INDEX(DEZ!J$8:J$73,MATCH($A33,DEZ!$A$8:$A$73,0))&amp;"","")</f>
        <v/>
      </c>
      <c r="AP33" s="123">
        <f>IFERROR(INDEX(DEZ!K$8:K$73,MATCH($A33,DEZ!$A$8:$A$73,0))&amp;"","")</f>
        <v/>
      </c>
      <c r="AQ33" s="123">
        <f>IFERROR(INDEX(DEZ!L$8:L$73,MATCH($A33,DEZ!$A$8:$A$73,0))&amp;"","")</f>
        <v/>
      </c>
      <c r="AR33" s="109">
        <f>IFERROR(INDEX(DEZ!M$8:M$73,MATCH($A33,DEZ!$A$8:$A$73,0))&amp;"","")</f>
        <v/>
      </c>
      <c r="AS33" s="109">
        <f>IFERROR(INDEX(DEZ!N$8:N$73,MATCH($A33,DEZ!$A$8:$A$73,0))&amp;"","")</f>
        <v/>
      </c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SUMPRODUCT(($C33:$I33="M")*6+($C33:$I33="T")*6+($C33:$I33="D")*12+($C33:$I33="N")*12+($C33:$I33="NT")*6+($C33:$I33="C")*10+($C33:$I33="A")*8+($C33:$I33="J")*5+($C33:$I33="E")*4+($C33:$I33="P")*6+($C33:$I33="R")*6)</f>
        <v/>
      </c>
      <c r="BF33" s="110">
        <f>SUMPRODUCT(($J33:$P33="M")*6+($J33:$P33="T")*6+($J33:$P33="D")*12+($J33:$P33="N")*12+($J33:$P33="NT")*6+($J33:$P33="C")*10+($J33:$P33="A")*8+($J33:$P33="J")*5+($J33:$P33="E")*4+($J33:$P33="P")*6+($J33:$P33="R")*6)</f>
        <v/>
      </c>
      <c r="BG33" s="110">
        <f>SUMPRODUCT(($Q33:$W33="M")*6+($Q33:$W33="T")*6+($Q33:$W33="D")*12+($Q33:$W33="N")*12+($Q33:$W33="NT")*6+($Q33:$W33="C")*10+($Q33:$W33="A")*8+($Q33:$W33="J")*5+($Q33:$W33="E")*4+($Q33:$W33="P")*6+($Q33:$W33="R")*6)</f>
        <v/>
      </c>
      <c r="BH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I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J33" s="110">
        <f>SUMPRODUCT(($AL33:$AL33="M")*6+($AL33:$AL33="T")*6+($AL33:$AL33="D")*12+($AL33:$AL33="N")*12+($AL33:$AL33="NT")*6+($AL33:$AL33="C")*10+($AL33:$AL33="A")*8+($AL33:$AL33="J")*5+($AL33:$AL33="E")*4+($AL33:$AL33="P")*6+($AL33:$AL33="R")*6)+SUMPRODUCT(($AN33:$AS33="M")*6+($AN33:$AS33="T")*6+($AN33:$AS33="D")*12+($AN33:$AS33="N")*12+($AN33:$AS33="NT")*6+($AN33:$AS33="C")*10+($AN33:$AS33="A")*8+($AN33:$AS33="J")*5+($AN33:$AS33="E")*4+($AN33:$AS33="P")*6+($AN33:$AS33="R")*6)</f>
        <v/>
      </c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123">
        <f>IFERROR(INDEX(OUT!AH$8:AH$73,MATCH($A34,OUT!$A$8:$A$73,0))&amp;"","")</f>
        <v/>
      </c>
      <c r="D34" s="123">
        <f>IFERROR(INDEX(OUT!AI$8:AI$73,MATCH($A34,OUT!$A$8:$A$73,0))&amp;"","")</f>
        <v/>
      </c>
      <c r="E34" s="123">
        <f>IFERROR(INDEX(OUT!AJ$8:AJ$73,MATCH($A34,OUT!$A$8:$A$73,0))&amp;"","")</f>
        <v/>
      </c>
      <c r="F34" s="123">
        <f>IFERROR(INDEX(OUT!AK$8:AK$73,MATCH($A34,OUT!$A$8:$A$73,0))&amp;"","")</f>
        <v/>
      </c>
      <c r="G34" s="123">
        <f>IFERROR(INDEX(OUT!AL$8:AL$73,MATCH($A34,OUT!$A$8:$A$73,0))&amp;"","")</f>
        <v/>
      </c>
      <c r="H34" s="109">
        <f>IFERROR(INDEX(OUT!AM$8:AM$73,MATCH($A34,OUT!$A$8:$A$73,0))&amp;"","")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96" t="n"/>
      <c r="AN34" s="123">
        <f>IFERROR(INDEX(DEZ!I$8:I$73,MATCH($A34,DEZ!$A$8:$A$73,0))&amp;"","")</f>
        <v/>
      </c>
      <c r="AO34" s="123">
        <f>IFERROR(INDEX(DEZ!J$8:J$73,MATCH($A34,DEZ!$A$8:$A$73,0))&amp;"","")</f>
        <v/>
      </c>
      <c r="AP34" s="123">
        <f>IFERROR(INDEX(DEZ!K$8:K$73,MATCH($A34,DEZ!$A$8:$A$73,0))&amp;"","")</f>
        <v/>
      </c>
      <c r="AQ34" s="123">
        <f>IFERROR(INDEX(DEZ!L$8:L$73,MATCH($A34,DEZ!$A$8:$A$73,0))&amp;"","")</f>
        <v/>
      </c>
      <c r="AR34" s="109">
        <f>IFERROR(INDEX(DEZ!M$8:M$73,MATCH($A34,DEZ!$A$8:$A$73,0))&amp;"","")</f>
        <v/>
      </c>
      <c r="AS34" s="109">
        <f>IFERROR(INDEX(DEZ!N$8:N$73,MATCH($A34,DEZ!$A$8:$A$73,0))&amp;"","")</f>
        <v/>
      </c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SUMPRODUCT(($C34:$I34="M")*6+($C34:$I34="T")*6+($C34:$I34="D")*12+($C34:$I34="N")*12+($C34:$I34="NT")*6+($C34:$I34="C")*10+($C34:$I34="A")*8+($C34:$I34="J")*5+($C34:$I34="E")*4+($C34:$I34="P")*6+($C34:$I34="R")*6)</f>
        <v/>
      </c>
      <c r="BF34" s="110">
        <f>SUMPRODUCT(($J34:$P34="M")*6+($J34:$P34="T")*6+($J34:$P34="D")*12+($J34:$P34="N")*12+($J34:$P34="NT")*6+($J34:$P34="C")*10+($J34:$P34="A")*8+($J34:$P34="J")*5+($J34:$P34="E")*4+($J34:$P34="P")*6+($J34:$P34="R")*6)</f>
        <v/>
      </c>
      <c r="BG34" s="110">
        <f>SUMPRODUCT(($Q34:$W34="M")*6+($Q34:$W34="T")*6+($Q34:$W34="D")*12+($Q34:$W34="N")*12+($Q34:$W34="NT")*6+($Q34:$W34="C")*10+($Q34:$W34="A")*8+($Q34:$W34="J")*5+($Q34:$W34="E")*4+($Q34:$W34="P")*6+($Q34:$W34="R")*6)</f>
        <v/>
      </c>
      <c r="BH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I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J34" s="110">
        <f>SUMPRODUCT(($AL34:$AL34="M")*6+($AL34:$AL34="T")*6+($AL34:$AL34="D")*12+($AL34:$AL34="N")*12+($AL34:$AL34="NT")*6+($AL34:$AL34="C")*10+($AL34:$AL34="A")*8+($AL34:$AL34="J")*5+($AL34:$AL34="E")*4+($AL34:$AL34="P")*6+($AL34:$AL34="R")*6)+SUMPRODUCT(($AN34:$AS34="M")*6+($AN34:$AS34="T")*6+($AN34:$AS34="D")*12+($AN34:$AS34="N")*12+($AN34:$AS34="NT")*6+($AN34:$AS34="C")*10+($AN34:$AS34="A")*8+($AN34:$AS34="J")*5+($AN34:$AS34="E")*4+($AN34:$AS34="P")*6+($AN34:$AS34="R")*6)</f>
        <v/>
      </c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123">
        <f>IFERROR(INDEX(OUT!AH$8:AH$73,MATCH($A35,OUT!$A$8:$A$73,0))&amp;"","")</f>
        <v/>
      </c>
      <c r="D35" s="123">
        <f>IFERROR(INDEX(OUT!AI$8:AI$73,MATCH($A35,OUT!$A$8:$A$73,0))&amp;"","")</f>
        <v/>
      </c>
      <c r="E35" s="123">
        <f>IFERROR(INDEX(OUT!AJ$8:AJ$73,MATCH($A35,OUT!$A$8:$A$73,0))&amp;"","")</f>
        <v/>
      </c>
      <c r="F35" s="123">
        <f>IFERROR(INDEX(OUT!AK$8:AK$73,MATCH($A35,OUT!$A$8:$A$73,0))&amp;"","")</f>
        <v/>
      </c>
      <c r="G35" s="123">
        <f>IFERROR(INDEX(OUT!AL$8:AL$73,MATCH($A35,OUT!$A$8:$A$73,0))&amp;"","")</f>
        <v/>
      </c>
      <c r="H35" s="109">
        <f>IFERROR(INDEX(OUT!AM$8:AM$73,MATCH($A35,OUT!$A$8:$A$73,0))&amp;"","")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96" t="n"/>
      <c r="AN35" s="123">
        <f>IFERROR(INDEX(DEZ!I$8:I$73,MATCH($A35,DEZ!$A$8:$A$73,0))&amp;"","")</f>
        <v/>
      </c>
      <c r="AO35" s="123">
        <f>IFERROR(INDEX(DEZ!J$8:J$73,MATCH($A35,DEZ!$A$8:$A$73,0))&amp;"","")</f>
        <v/>
      </c>
      <c r="AP35" s="123">
        <f>IFERROR(INDEX(DEZ!K$8:K$73,MATCH($A35,DEZ!$A$8:$A$73,0))&amp;"","")</f>
        <v/>
      </c>
      <c r="AQ35" s="123">
        <f>IFERROR(INDEX(DEZ!L$8:L$73,MATCH($A35,DEZ!$A$8:$A$73,0))&amp;"","")</f>
        <v/>
      </c>
      <c r="AR35" s="109">
        <f>IFERROR(INDEX(DEZ!M$8:M$73,MATCH($A35,DEZ!$A$8:$A$73,0))&amp;"","")</f>
        <v/>
      </c>
      <c r="AS35" s="109">
        <f>IFERROR(INDEX(DEZ!N$8:N$73,MATCH($A35,DEZ!$A$8:$A$73,0))&amp;"","")</f>
        <v/>
      </c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SUMPRODUCT(($C35:$I35="M")*6+($C35:$I35="T")*6+($C35:$I35="D")*12+($C35:$I35="N")*12+($C35:$I35="NT")*6+($C35:$I35="C")*10+($C35:$I35="A")*8+($C35:$I35="J")*5+($C35:$I35="E")*4+($C35:$I35="P")*6+($C35:$I35="R")*6)</f>
        <v/>
      </c>
      <c r="BF35" s="110">
        <f>SUMPRODUCT(($J35:$P35="M")*6+($J35:$P35="T")*6+($J35:$P35="D")*12+($J35:$P35="N")*12+($J35:$P35="NT")*6+($J35:$P35="C")*10+($J35:$P35="A")*8+($J35:$P35="J")*5+($J35:$P35="E")*4+($J35:$P35="P")*6+($J35:$P35="R")*6)</f>
        <v/>
      </c>
      <c r="BG35" s="110">
        <f>SUMPRODUCT(($Q35:$W35="M")*6+($Q35:$W35="T")*6+($Q35:$W35="D")*12+($Q35:$W35="N")*12+($Q35:$W35="NT")*6+($Q35:$W35="C")*10+($Q35:$W35="A")*8+($Q35:$W35="J")*5+($Q35:$W35="E")*4+($Q35:$W35="P")*6+($Q35:$W35="R")*6)</f>
        <v/>
      </c>
      <c r="BH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I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J35" s="110">
        <f>SUMPRODUCT(($AL35:$AL35="M")*6+($AL35:$AL35="T")*6+($AL35:$AL35="D")*12+($AL35:$AL35="N")*12+($AL35:$AL35="NT")*6+($AL35:$AL35="C")*10+($AL35:$AL35="A")*8+($AL35:$AL35="J")*5+($AL35:$AL35="E")*4+($AL35:$AL35="P")*6+($AL35:$AL35="R")*6)+SUMPRODUCT(($AN35:$AS35="M")*6+($AN35:$AS35="T")*6+($AN35:$AS35="D")*12+($AN35:$AS35="N")*12+($AN35:$AS35="NT")*6+($AN35:$AS35="C")*10+($AN35:$AS35="A")*8+($AN35:$AS35="J")*5+($AN35:$AS35="E")*4+($AN35:$AS35="P")*6+($AN35:$AS35="R")*6)</f>
        <v/>
      </c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123">
        <f>IFERROR(INDEX(OUT!AH$8:AH$73,MATCH($A36,OUT!$A$8:$A$73,0))&amp;"","")</f>
        <v/>
      </c>
      <c r="D36" s="123">
        <f>IFERROR(INDEX(OUT!AI$8:AI$73,MATCH($A36,OUT!$A$8:$A$73,0))&amp;"","")</f>
        <v/>
      </c>
      <c r="E36" s="123">
        <f>IFERROR(INDEX(OUT!AJ$8:AJ$73,MATCH($A36,OUT!$A$8:$A$73,0))&amp;"","")</f>
        <v/>
      </c>
      <c r="F36" s="123">
        <f>IFERROR(INDEX(OUT!AK$8:AK$73,MATCH($A36,OUT!$A$8:$A$73,0))&amp;"","")</f>
        <v/>
      </c>
      <c r="G36" s="123">
        <f>IFERROR(INDEX(OUT!AL$8:AL$73,MATCH($A36,OUT!$A$8:$A$73,0))&amp;"","")</f>
        <v/>
      </c>
      <c r="H36" s="109">
        <f>IFERROR(INDEX(OUT!AM$8:AM$73,MATCH($A36,OUT!$A$8:$A$73,0))&amp;"","")</f>
        <v/>
      </c>
      <c r="I36" s="115" t="inlineStr">
        <is>
          <t>D</t>
        </is>
      </c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96" t="n"/>
      <c r="AN36" s="123">
        <f>IFERROR(INDEX(DEZ!I$8:I$73,MATCH($A36,DEZ!$A$8:$A$73,0))&amp;"","")</f>
        <v/>
      </c>
      <c r="AO36" s="123">
        <f>IFERROR(INDEX(DEZ!J$8:J$73,MATCH($A36,DEZ!$A$8:$A$73,0))&amp;"","")</f>
        <v/>
      </c>
      <c r="AP36" s="123">
        <f>IFERROR(INDEX(DEZ!K$8:K$73,MATCH($A36,DEZ!$A$8:$A$73,0))&amp;"","")</f>
        <v/>
      </c>
      <c r="AQ36" s="123">
        <f>IFERROR(INDEX(DEZ!L$8:L$73,MATCH($A36,DEZ!$A$8:$A$73,0))&amp;"","")</f>
        <v/>
      </c>
      <c r="AR36" s="109">
        <f>IFERROR(INDEX(DEZ!M$8:M$73,MATCH($A36,DEZ!$A$8:$A$73,0))&amp;"","")</f>
        <v/>
      </c>
      <c r="AS36" s="109">
        <f>IFERROR(INDEX(DEZ!N$8:N$73,MATCH($A36,DEZ!$A$8:$A$73,0))&amp;"","")</f>
        <v/>
      </c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SUMPRODUCT(($C36:$I36="M")*6+($C36:$I36="T")*6+($C36:$I36="D")*12+($C36:$I36="N")*12+($C36:$I36="NT")*6+($C36:$I36="C")*10+($C36:$I36="A")*8+($C36:$I36="J")*5+($C36:$I36="E")*4+($C36:$I36="P")*6+($C36:$I36="R")*6)</f>
        <v/>
      </c>
      <c r="BF36" s="110">
        <f>SUMPRODUCT(($J36:$P36="M")*6+($J36:$P36="T")*6+($J36:$P36="D")*12+($J36:$P36="N")*12+($J36:$P36="NT")*6+($J36:$P36="C")*10+($J36:$P36="A")*8+($J36:$P36="J")*5+($J36:$P36="E")*4+($J36:$P36="P")*6+($J36:$P36="R")*6)</f>
        <v/>
      </c>
      <c r="BG36" s="110">
        <f>SUMPRODUCT(($Q36:$W36="M")*6+($Q36:$W36="T")*6+($Q36:$W36="D")*12+($Q36:$W36="N")*12+($Q36:$W36="NT")*6+($Q36:$W36="C")*10+($Q36:$W36="A")*8+($Q36:$W36="J")*5+($Q36:$W36="E")*4+($Q36:$W36="P")*6+($Q36:$W36="R")*6)</f>
        <v/>
      </c>
      <c r="BH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I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J36" s="110">
        <f>SUMPRODUCT(($AL36:$AL36="M")*6+($AL36:$AL36="T")*6+($AL36:$AL36="D")*12+($AL36:$AL36="N")*12+($AL36:$AL36="NT")*6+($AL36:$AL36="C")*10+($AL36:$AL36="A")*8+($AL36:$AL36="J")*5+($AL36:$AL36="E")*4+($AL36:$AL36="P")*6+($AL36:$AL36="R")*6)+SUMPRODUCT(($AN36:$AS36="M")*6+($AN36:$AS36="T")*6+($AN36:$AS36="D")*12+($AN36:$AS36="N")*12+($AN36:$AS36="NT")*6+($AN36:$AS36="C")*10+($AN36:$AS36="A")*8+($AN36:$AS36="J")*5+($AN36:$AS36="E")*4+($AN36:$AS36="P")*6+($AN36:$AS36="R")*6)</f>
        <v/>
      </c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123">
        <f>IFERROR(INDEX(OUT!AH$8:AH$73,MATCH($A37,OUT!$A$8:$A$73,0))&amp;"","")</f>
        <v/>
      </c>
      <c r="D37" s="123">
        <f>IFERROR(INDEX(OUT!AI$8:AI$73,MATCH($A37,OUT!$A$8:$A$73,0))&amp;"","")</f>
        <v/>
      </c>
      <c r="E37" s="123">
        <f>IFERROR(INDEX(OUT!AJ$8:AJ$73,MATCH($A37,OUT!$A$8:$A$73,0))&amp;"","")</f>
        <v/>
      </c>
      <c r="F37" s="123">
        <f>IFERROR(INDEX(OUT!AK$8:AK$73,MATCH($A37,OUT!$A$8:$A$73,0))&amp;"","")</f>
        <v/>
      </c>
      <c r="G37" s="123">
        <f>IFERROR(INDEX(OUT!AL$8:AL$73,MATCH($A37,OUT!$A$8:$A$73,0))&amp;"","")</f>
        <v/>
      </c>
      <c r="H37" s="109">
        <f>IFERROR(INDEX(OUT!AM$8:AM$73,MATCH($A37,OUT!$A$8:$A$73,0))&amp;"","")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96" t="n"/>
      <c r="AN37" s="123">
        <f>IFERROR(INDEX(DEZ!I$8:I$73,MATCH($A37,DEZ!$A$8:$A$73,0))&amp;"","")</f>
        <v/>
      </c>
      <c r="AO37" s="123">
        <f>IFERROR(INDEX(DEZ!J$8:J$73,MATCH($A37,DEZ!$A$8:$A$73,0))&amp;"","")</f>
        <v/>
      </c>
      <c r="AP37" s="123">
        <f>IFERROR(INDEX(DEZ!K$8:K$73,MATCH($A37,DEZ!$A$8:$A$73,0))&amp;"","")</f>
        <v/>
      </c>
      <c r="AQ37" s="123">
        <f>IFERROR(INDEX(DEZ!L$8:L$73,MATCH($A37,DEZ!$A$8:$A$73,0))&amp;"","")</f>
        <v/>
      </c>
      <c r="AR37" s="109">
        <f>IFERROR(INDEX(DEZ!M$8:M$73,MATCH($A37,DEZ!$A$8:$A$73,0))&amp;"","")</f>
        <v/>
      </c>
      <c r="AS37" s="109">
        <f>IFERROR(INDEX(DEZ!N$8:N$73,MATCH($A37,DEZ!$A$8:$A$73,0))&amp;"","")</f>
        <v/>
      </c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SUMPRODUCT(($C37:$I37="M")*6+($C37:$I37="T")*6+($C37:$I37="D")*12+($C37:$I37="N")*12+($C37:$I37="NT")*6+($C37:$I37="C")*10+($C37:$I37="A")*8+($C37:$I37="J")*5+($C37:$I37="E")*4+($C37:$I37="P")*6+($C37:$I37="R")*6)</f>
        <v/>
      </c>
      <c r="BF37" s="110">
        <f>SUMPRODUCT(($J37:$P37="M")*6+($J37:$P37="T")*6+($J37:$P37="D")*12+($J37:$P37="N")*12+($J37:$P37="NT")*6+($J37:$P37="C")*10+($J37:$P37="A")*8+($J37:$P37="J")*5+($J37:$P37="E")*4+($J37:$P37="P")*6+($J37:$P37="R")*6)</f>
        <v/>
      </c>
      <c r="BG37" s="110">
        <f>SUMPRODUCT(($Q37:$W37="M")*6+($Q37:$W37="T")*6+($Q37:$W37="D")*12+($Q37:$W37="N")*12+($Q37:$W37="NT")*6+($Q37:$W37="C")*10+($Q37:$W37="A")*8+($Q37:$W37="J")*5+($Q37:$W37="E")*4+($Q37:$W37="P")*6+($Q37:$W37="R")*6)</f>
        <v/>
      </c>
      <c r="BH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I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J37" s="110">
        <f>SUMPRODUCT(($AL37:$AL37="M")*6+($AL37:$AL37="T")*6+($AL37:$AL37="D")*12+($AL37:$AL37="N")*12+($AL37:$AL37="NT")*6+($AL37:$AL37="C")*10+($AL37:$AL37="A")*8+($AL37:$AL37="J")*5+($AL37:$AL37="E")*4+($AL37:$AL37="P")*6+($AL37:$AL37="R")*6)+SUMPRODUCT(($AN37:$AS37="M")*6+($AN37:$AS37="T")*6+($AN37:$AS37="D")*12+($AN37:$AS37="N")*12+($AN37:$AS37="NT")*6+($AN37:$AS37="C")*10+($AN37:$AS37="A")*8+($AN37:$AS37="J")*5+($AN37:$AS37="E")*4+($AN37:$AS37="P")*6+($AN37:$AS37="R")*6)</f>
        <v/>
      </c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123">
        <f>IFERROR(INDEX(OUT!AH$8:AH$73,MATCH($A38,OUT!$A$8:$A$73,0))&amp;"","")</f>
        <v/>
      </c>
      <c r="D38" s="123">
        <f>IFERROR(INDEX(OUT!AI$8:AI$73,MATCH($A38,OUT!$A$8:$A$73,0))&amp;"","")</f>
        <v/>
      </c>
      <c r="E38" s="123">
        <f>IFERROR(INDEX(OUT!AJ$8:AJ$73,MATCH($A38,OUT!$A$8:$A$73,0))&amp;"","")</f>
        <v/>
      </c>
      <c r="F38" s="123">
        <f>IFERROR(INDEX(OUT!AK$8:AK$73,MATCH($A38,OUT!$A$8:$A$73,0))&amp;"","")</f>
        <v/>
      </c>
      <c r="G38" s="123">
        <f>IFERROR(INDEX(OUT!AL$8:AL$73,MATCH($A38,OUT!$A$8:$A$73,0))&amp;"","")</f>
        <v/>
      </c>
      <c r="H38" s="109">
        <f>IFERROR(INDEX(OUT!AM$8:AM$73,MATCH($A38,OUT!$A$8:$A$73,0))&amp;"","")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23">
        <f>IFERROR(INDEX(DEZ!I$8:I$73,MATCH($A38,DEZ!$A$8:$A$73,0))&amp;"","")</f>
        <v/>
      </c>
      <c r="AO38" s="123">
        <f>IFERROR(INDEX(DEZ!J$8:J$73,MATCH($A38,DEZ!$A$8:$A$73,0))&amp;"","")</f>
        <v/>
      </c>
      <c r="AP38" s="123">
        <f>IFERROR(INDEX(DEZ!K$8:K$73,MATCH($A38,DEZ!$A$8:$A$73,0))&amp;"","")</f>
        <v/>
      </c>
      <c r="AQ38" s="123">
        <f>IFERROR(INDEX(DEZ!L$8:L$73,MATCH($A38,DEZ!$A$8:$A$73,0))&amp;"","")</f>
        <v/>
      </c>
      <c r="AR38" s="109">
        <f>IFERROR(INDEX(DEZ!M$8:M$73,MATCH($A38,DEZ!$A$8:$A$73,0))&amp;"","")</f>
        <v/>
      </c>
      <c r="AS38" s="109">
        <f>IFERROR(INDEX(DEZ!N$8:N$73,MATCH($A38,DEZ!$A$8:$A$73,0))&amp;"","")</f>
        <v/>
      </c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SUMPRODUCT(($C38:$I38="M")*6+($C38:$I38="T")*6+($C38:$I38="D")*12+($C38:$I38="N")*12+($C38:$I38="NT")*6+($C38:$I38="C")*10+($C38:$I38="A")*8+($C38:$I38="J")*5+($C38:$I38="E")*4+($C38:$I38="P")*6+($C38:$I38="R")*6)</f>
        <v/>
      </c>
      <c r="BF38" s="110">
        <f>SUMPRODUCT(($J38:$P38="M")*6+($J38:$P38="T")*6+($J38:$P38="D")*12+($J38:$P38="N")*12+($J38:$P38="NT")*6+($J38:$P38="C")*10+($J38:$P38="A")*8+($J38:$P38="J")*5+($J38:$P38="E")*4+($J38:$P38="P")*6+($J38:$P38="R")*6)</f>
        <v/>
      </c>
      <c r="BG38" s="110">
        <f>SUMPRODUCT(($Q38:$W38="M")*6+($Q38:$W38="T")*6+($Q38:$W38="D")*12+($Q38:$W38="N")*12+($Q38:$W38="NT")*6+($Q38:$W38="C")*10+($Q38:$W38="A")*8+($Q38:$W38="J")*5+($Q38:$W38="E")*4+($Q38:$W38="P")*6+($Q38:$W38="R")*6)</f>
        <v/>
      </c>
      <c r="BH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I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J38" s="110">
        <f>SUMPRODUCT(($AL38:$AL38="M")*6+($AL38:$AL38="T")*6+($AL38:$AL38="D")*12+($AL38:$AL38="N")*12+($AL38:$AL38="NT")*6+($AL38:$AL38="C")*10+($AL38:$AL38="A")*8+($AL38:$AL38="J")*5+($AL38:$AL38="E")*4+($AL38:$AL38="P")*6+($AL38:$AL38="R")*6)+SUMPRODUCT(($AN38:$AS38="M")*6+($AN38:$AS38="T")*6+($AN38:$AS38="D")*12+($AN38:$AS38="N")*12+($AN38:$AS38="NT")*6+($AN38:$AS38="C")*10+($AN38:$AS38="A")*8+($AN38:$AS38="J")*5+($AN38:$AS38="E")*4+($AN38:$AS38="P")*6+($AN38:$AS38="R")*6)</f>
        <v/>
      </c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123">
        <f>IFERROR(INDEX(OUT!AH$8:AH$73,MATCH($A39,OUT!$A$8:$A$73,0))&amp;"","")</f>
        <v/>
      </c>
      <c r="D39" s="123">
        <f>IFERROR(INDEX(OUT!AI$8:AI$73,MATCH($A39,OUT!$A$8:$A$73,0))&amp;"","")</f>
        <v/>
      </c>
      <c r="E39" s="123">
        <f>IFERROR(INDEX(OUT!AJ$8:AJ$73,MATCH($A39,OUT!$A$8:$A$73,0))&amp;"","")</f>
        <v/>
      </c>
      <c r="F39" s="123">
        <f>IFERROR(INDEX(OUT!AK$8:AK$73,MATCH($A39,OUT!$A$8:$A$73,0))&amp;"","")</f>
        <v/>
      </c>
      <c r="G39" s="123">
        <f>IFERROR(INDEX(OUT!AL$8:AL$73,MATCH($A39,OUT!$A$8:$A$73,0))&amp;"","")</f>
        <v/>
      </c>
      <c r="H39" s="109">
        <f>IFERROR(INDEX(OUT!AM$8:AM$73,MATCH($A39,OUT!$A$8:$A$73,0))&amp;"","")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96" t="n"/>
      <c r="AN39" s="123">
        <f>IFERROR(INDEX(DEZ!I$8:I$73,MATCH($A39,DEZ!$A$8:$A$73,0))&amp;"","")</f>
        <v/>
      </c>
      <c r="AO39" s="123">
        <f>IFERROR(INDEX(DEZ!J$8:J$73,MATCH($A39,DEZ!$A$8:$A$73,0))&amp;"","")</f>
        <v/>
      </c>
      <c r="AP39" s="123">
        <f>IFERROR(INDEX(DEZ!K$8:K$73,MATCH($A39,DEZ!$A$8:$A$73,0))&amp;"","")</f>
        <v/>
      </c>
      <c r="AQ39" s="123">
        <f>IFERROR(INDEX(DEZ!L$8:L$73,MATCH($A39,DEZ!$A$8:$A$73,0))&amp;"","")</f>
        <v/>
      </c>
      <c r="AR39" s="109">
        <f>IFERROR(INDEX(DEZ!M$8:M$73,MATCH($A39,DEZ!$A$8:$A$73,0))&amp;"","")</f>
        <v/>
      </c>
      <c r="AS39" s="109">
        <f>IFERROR(INDEX(DEZ!N$8:N$73,MATCH($A39,DEZ!$A$8:$A$73,0))&amp;"","")</f>
        <v/>
      </c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SUMPRODUCT(($C39:$I39="M")*6+($C39:$I39="T")*6+($C39:$I39="D")*12+($C39:$I39="N")*12+($C39:$I39="NT")*6+($C39:$I39="C")*10+($C39:$I39="A")*8+($C39:$I39="J")*5+($C39:$I39="E")*4+($C39:$I39="P")*6+($C39:$I39="R")*6)</f>
        <v/>
      </c>
      <c r="BF39" s="110">
        <f>SUMPRODUCT(($J39:$P39="M")*6+($J39:$P39="T")*6+($J39:$P39="D")*12+($J39:$P39="N")*12+($J39:$P39="NT")*6+($J39:$P39="C")*10+($J39:$P39="A")*8+($J39:$P39="J")*5+($J39:$P39="E")*4+($J39:$P39="P")*6+($J39:$P39="R")*6)</f>
        <v/>
      </c>
      <c r="BG39" s="110">
        <f>SUMPRODUCT(($Q39:$W39="M")*6+($Q39:$W39="T")*6+($Q39:$W39="D")*12+($Q39:$W39="N")*12+($Q39:$W39="NT")*6+($Q39:$W39="C")*10+($Q39:$W39="A")*8+($Q39:$W39="J")*5+($Q39:$W39="E")*4+($Q39:$W39="P")*6+($Q39:$W39="R")*6)</f>
        <v/>
      </c>
      <c r="BH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I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J39" s="110">
        <f>SUMPRODUCT(($AL39:$AL39="M")*6+($AL39:$AL39="T")*6+($AL39:$AL39="D")*12+($AL39:$AL39="N")*12+($AL39:$AL39="NT")*6+($AL39:$AL39="C")*10+($AL39:$AL39="A")*8+($AL39:$AL39="J")*5+($AL39:$AL39="E")*4+($AL39:$AL39="P")*6+($AL39:$AL39="R")*6)+SUMPRODUCT(($AN39:$AS39="M")*6+($AN39:$AS39="T")*6+($AN39:$AS39="D")*12+($AN39:$AS39="N")*12+($AN39:$AS39="NT")*6+($AN39:$AS39="C")*10+($AN39:$AS39="A")*8+($AN39:$AS39="J")*5+($AN39:$AS39="E")*4+($AN39:$AS39="P")*6+($AN39:$AS39="R")*6)</f>
        <v/>
      </c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123">
        <f>IFERROR(INDEX(OUT!AH$8:AH$73,MATCH($A40,OUT!$A$8:$A$73,0))&amp;"","")</f>
        <v/>
      </c>
      <c r="D40" s="123">
        <f>IFERROR(INDEX(OUT!AI$8:AI$73,MATCH($A40,OUT!$A$8:$A$73,0))&amp;"","")</f>
        <v/>
      </c>
      <c r="E40" s="123">
        <f>IFERROR(INDEX(OUT!AJ$8:AJ$73,MATCH($A40,OUT!$A$8:$A$73,0))&amp;"","")</f>
        <v/>
      </c>
      <c r="F40" s="123">
        <f>IFERROR(INDEX(OUT!AK$8:AK$73,MATCH($A40,OUT!$A$8:$A$73,0))&amp;"","")</f>
        <v/>
      </c>
      <c r="G40" s="123">
        <f>IFERROR(INDEX(OUT!AL$8:AL$73,MATCH($A40,OUT!$A$8:$A$73,0))&amp;"","")</f>
        <v/>
      </c>
      <c r="H40" s="109">
        <f>IFERROR(INDEX(OUT!AM$8:AM$73,MATCH($A40,OUT!$A$8:$A$73,0))&amp;"","")</f>
        <v/>
      </c>
      <c r="I40" s="116" t="inlineStr">
        <is>
          <t>N</t>
        </is>
      </c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23">
        <f>IFERROR(INDEX(DEZ!I$8:I$73,MATCH($A40,DEZ!$A$8:$A$73,0))&amp;"","")</f>
        <v/>
      </c>
      <c r="AO40" s="123">
        <f>IFERROR(INDEX(DEZ!J$8:J$73,MATCH($A40,DEZ!$A$8:$A$73,0))&amp;"","")</f>
        <v/>
      </c>
      <c r="AP40" s="123">
        <f>IFERROR(INDEX(DEZ!K$8:K$73,MATCH($A40,DEZ!$A$8:$A$73,0))&amp;"","")</f>
        <v/>
      </c>
      <c r="AQ40" s="123">
        <f>IFERROR(INDEX(DEZ!L$8:L$73,MATCH($A40,DEZ!$A$8:$A$73,0))&amp;"","")</f>
        <v/>
      </c>
      <c r="AR40" s="109">
        <f>IFERROR(INDEX(DEZ!M$8:M$73,MATCH($A40,DEZ!$A$8:$A$73,0))&amp;"","")</f>
        <v/>
      </c>
      <c r="AS40" s="109">
        <f>IFERROR(INDEX(DEZ!N$8:N$73,MATCH($A40,DEZ!$A$8:$A$73,0))&amp;"","")</f>
        <v/>
      </c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SUMPRODUCT(($C40:$I40="M")*6+($C40:$I40="T")*6+($C40:$I40="D")*12+($C40:$I40="N")*12+($C40:$I40="NT")*6+($C40:$I40="C")*10+($C40:$I40="A")*8+($C40:$I40="J")*5+($C40:$I40="E")*4+($C40:$I40="P")*6+($C40:$I40="R")*6)</f>
        <v/>
      </c>
      <c r="BF40" s="110">
        <f>SUMPRODUCT(($J40:$P40="M")*6+($J40:$P40="T")*6+($J40:$P40="D")*12+($J40:$P40="N")*12+($J40:$P40="NT")*6+($J40:$P40="C")*10+($J40:$P40="A")*8+($J40:$P40="J")*5+($J40:$P40="E")*4+($J40:$P40="P")*6+($J40:$P40="R")*6)</f>
        <v/>
      </c>
      <c r="BG40" s="110">
        <f>SUMPRODUCT(($Q40:$W40="M")*6+($Q40:$W40="T")*6+($Q40:$W40="D")*12+($Q40:$W40="N")*12+($Q40:$W40="NT")*6+($Q40:$W40="C")*10+($Q40:$W40="A")*8+($Q40:$W40="J")*5+($Q40:$W40="E")*4+($Q40:$W40="P")*6+($Q40:$W40="R")*6)</f>
        <v/>
      </c>
      <c r="BH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I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J40" s="110">
        <f>SUMPRODUCT(($AL40:$AL40="M")*6+($AL40:$AL40="T")*6+($AL40:$AL40="D")*12+($AL40:$AL40="N")*12+($AL40:$AL40="NT")*6+($AL40:$AL40="C")*10+($AL40:$AL40="A")*8+($AL40:$AL40="J")*5+($AL40:$AL40="E")*4+($AL40:$AL40="P")*6+($AL40:$AL40="R")*6)+SUMPRODUCT(($AN40:$AS40="M")*6+($AN40:$AS40="T")*6+($AN40:$AS40="D")*12+($AN40:$AS40="N")*12+($AN40:$AS40="NT")*6+($AN40:$AS40="C")*10+($AN40:$AS40="A")*8+($AN40:$AS40="J")*5+($AN40:$AS40="E")*4+($AN40:$AS40="P")*6+($AN40:$AS40="R")*6)</f>
        <v/>
      </c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123">
        <f>IFERROR(INDEX(OUT!AH$8:AH$73,MATCH($A41,OUT!$A$8:$A$73,0))&amp;"","")</f>
        <v/>
      </c>
      <c r="D41" s="123">
        <f>IFERROR(INDEX(OUT!AI$8:AI$73,MATCH($A41,OUT!$A$8:$A$73,0))&amp;"","")</f>
        <v/>
      </c>
      <c r="E41" s="123">
        <f>IFERROR(INDEX(OUT!AJ$8:AJ$73,MATCH($A41,OUT!$A$8:$A$73,0))&amp;"","")</f>
        <v/>
      </c>
      <c r="F41" s="123">
        <f>IFERROR(INDEX(OUT!AK$8:AK$73,MATCH($A41,OUT!$A$8:$A$73,0))&amp;"","")</f>
        <v/>
      </c>
      <c r="G41" s="123">
        <f>IFERROR(INDEX(OUT!AL$8:AL$73,MATCH($A41,OUT!$A$8:$A$73,0))&amp;"","")</f>
        <v/>
      </c>
      <c r="H41" s="109">
        <f>IFERROR(INDEX(OUT!AM$8:AM$73,MATCH($A41,OUT!$A$8:$A$73,0))&amp;"","")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96" t="n"/>
      <c r="AN41" s="123">
        <f>IFERROR(INDEX(DEZ!I$8:I$73,MATCH($A41,DEZ!$A$8:$A$73,0))&amp;"","")</f>
        <v/>
      </c>
      <c r="AO41" s="123">
        <f>IFERROR(INDEX(DEZ!J$8:J$73,MATCH($A41,DEZ!$A$8:$A$73,0))&amp;"","")</f>
        <v/>
      </c>
      <c r="AP41" s="123">
        <f>IFERROR(INDEX(DEZ!K$8:K$73,MATCH($A41,DEZ!$A$8:$A$73,0))&amp;"","")</f>
        <v/>
      </c>
      <c r="AQ41" s="123">
        <f>IFERROR(INDEX(DEZ!L$8:L$73,MATCH($A41,DEZ!$A$8:$A$73,0))&amp;"","")</f>
        <v/>
      </c>
      <c r="AR41" s="109">
        <f>IFERROR(INDEX(DEZ!M$8:M$73,MATCH($A41,DEZ!$A$8:$A$73,0))&amp;"","")</f>
        <v/>
      </c>
      <c r="AS41" s="109">
        <f>IFERROR(INDEX(DEZ!N$8:N$73,MATCH($A41,DEZ!$A$8:$A$73,0))&amp;"","")</f>
        <v/>
      </c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SUMPRODUCT(($C41:$I41="M")*6+($C41:$I41="T")*6+($C41:$I41="D")*12+($C41:$I41="N")*12+($C41:$I41="NT")*6+($C41:$I41="C")*10+($C41:$I41="A")*8+($C41:$I41="J")*5+($C41:$I41="E")*4+($C41:$I41="P")*6+($C41:$I41="R")*6)</f>
        <v/>
      </c>
      <c r="BF41" s="110">
        <f>SUMPRODUCT(($J41:$P41="M")*6+($J41:$P41="T")*6+($J41:$P41="D")*12+($J41:$P41="N")*12+($J41:$P41="NT")*6+($J41:$P41="C")*10+($J41:$P41="A")*8+($J41:$P41="J")*5+($J41:$P41="E")*4+($J41:$P41="P")*6+($J41:$P41="R")*6)</f>
        <v/>
      </c>
      <c r="BG41" s="110">
        <f>SUMPRODUCT(($Q41:$W41="M")*6+($Q41:$W41="T")*6+($Q41:$W41="D")*12+($Q41:$W41="N")*12+($Q41:$W41="NT")*6+($Q41:$W41="C")*10+($Q41:$W41="A")*8+($Q41:$W41="J")*5+($Q41:$W41="E")*4+($Q41:$W41="P")*6+($Q41:$W41="R")*6)</f>
        <v/>
      </c>
      <c r="BH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I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J41" s="110">
        <f>SUMPRODUCT(($AL41:$AL41="M")*6+($AL41:$AL41="T")*6+($AL41:$AL41="D")*12+($AL41:$AL41="N")*12+($AL41:$AL41="NT")*6+($AL41:$AL41="C")*10+($AL41:$AL41="A")*8+($AL41:$AL41="J")*5+($AL41:$AL41="E")*4+($AL41:$AL41="P")*6+($AL41:$AL41="R")*6)+SUMPRODUCT(($AN41:$AS41="M")*6+($AN41:$AS41="T")*6+($AN41:$AS41="D")*12+($AN41:$AS41="N")*12+($AN41:$AS41="NT")*6+($AN41:$AS41="C")*10+($AN41:$AS41="A")*8+($AN41:$AS41="J")*5+($AN41:$AS41="E")*4+($AN41:$AS41="P")*6+($AN41:$AS41="R")*6)</f>
        <v/>
      </c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123">
        <f>IFERROR(INDEX(OUT!AH$8:AH$73,MATCH($A42,OUT!$A$8:$A$73,0))&amp;"","")</f>
        <v/>
      </c>
      <c r="D42" s="123">
        <f>IFERROR(INDEX(OUT!AI$8:AI$73,MATCH($A42,OUT!$A$8:$A$73,0))&amp;"","")</f>
        <v/>
      </c>
      <c r="E42" s="123">
        <f>IFERROR(INDEX(OUT!AJ$8:AJ$73,MATCH($A42,OUT!$A$8:$A$73,0))&amp;"","")</f>
        <v/>
      </c>
      <c r="F42" s="123">
        <f>IFERROR(INDEX(OUT!AK$8:AK$73,MATCH($A42,OUT!$A$8:$A$73,0))&amp;"","")</f>
        <v/>
      </c>
      <c r="G42" s="123">
        <f>IFERROR(INDEX(OUT!AL$8:AL$73,MATCH($A42,OUT!$A$8:$A$73,0))&amp;"","")</f>
        <v/>
      </c>
      <c r="H42" s="109">
        <f>IFERROR(INDEX(OUT!AM$8:AM$73,MATCH($A42,OUT!$A$8:$A$73,0))&amp;"","")</f>
        <v/>
      </c>
      <c r="I42" s="128" t="inlineStr">
        <is>
          <t>FE</t>
        </is>
      </c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96" t="n"/>
      <c r="AN42" s="123">
        <f>IFERROR(INDEX(DEZ!I$8:I$73,MATCH($A42,DEZ!$A$8:$A$73,0))&amp;"","")</f>
        <v/>
      </c>
      <c r="AO42" s="123">
        <f>IFERROR(INDEX(DEZ!J$8:J$73,MATCH($A42,DEZ!$A$8:$A$73,0))&amp;"","")</f>
        <v/>
      </c>
      <c r="AP42" s="123">
        <f>IFERROR(INDEX(DEZ!K$8:K$73,MATCH($A42,DEZ!$A$8:$A$73,0))&amp;"","")</f>
        <v/>
      </c>
      <c r="AQ42" s="123">
        <f>IFERROR(INDEX(DEZ!L$8:L$73,MATCH($A42,DEZ!$A$8:$A$73,0))&amp;"","")</f>
        <v/>
      </c>
      <c r="AR42" s="109">
        <f>IFERROR(INDEX(DEZ!M$8:M$73,MATCH($A42,DEZ!$A$8:$A$73,0))&amp;"","")</f>
        <v/>
      </c>
      <c r="AS42" s="109">
        <f>IFERROR(INDEX(DEZ!N$8:N$73,MATCH($A42,DEZ!$A$8:$A$73,0))&amp;"","")</f>
        <v/>
      </c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SUMPRODUCT(($C42:$I42="M")*6+($C42:$I42="T")*6+($C42:$I42="D")*12+($C42:$I42="N")*12+($C42:$I42="NT")*6+($C42:$I42="C")*10+($C42:$I42="A")*8+($C42:$I42="J")*5+($C42:$I42="E")*4+($C42:$I42="P")*6+($C42:$I42="R")*6)</f>
        <v/>
      </c>
      <c r="BF42" s="110">
        <f>SUMPRODUCT(($J42:$P42="M")*6+($J42:$P42="T")*6+($J42:$P42="D")*12+($J42:$P42="N")*12+($J42:$P42="NT")*6+($J42:$P42="C")*10+($J42:$P42="A")*8+($J42:$P42="J")*5+($J42:$P42="E")*4+($J42:$P42="P")*6+($J42:$P42="R")*6)</f>
        <v/>
      </c>
      <c r="BG42" s="110">
        <f>SUMPRODUCT(($Q42:$W42="M")*6+($Q42:$W42="T")*6+($Q42:$W42="D")*12+($Q42:$W42="N")*12+($Q42:$W42="NT")*6+($Q42:$W42="C")*10+($Q42:$W42="A")*8+($Q42:$W42="J")*5+($Q42:$W42="E")*4+($Q42:$W42="P")*6+($Q42:$W42="R")*6)</f>
        <v/>
      </c>
      <c r="BH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I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J42" s="110">
        <f>SUMPRODUCT(($AL42:$AL42="M")*6+($AL42:$AL42="T")*6+($AL42:$AL42="D")*12+($AL42:$AL42="N")*12+($AL42:$AL42="NT")*6+($AL42:$AL42="C")*10+($AL42:$AL42="A")*8+($AL42:$AL42="J")*5+($AL42:$AL42="E")*4+($AL42:$AL42="P")*6+($AL42:$AL42="R")*6)+SUMPRODUCT(($AN42:$AS42="M")*6+($AN42:$AS42="T")*6+($AN42:$AS42="D")*12+($AN42:$AS42="N")*12+($AN42:$AS42="NT")*6+($AN42:$AS42="C")*10+($AN42:$AS42="A")*8+($AN42:$AS42="J")*5+($AN42:$AS42="E")*4+($AN42:$AS42="P")*6+($AN42:$AS42="R")*6)</f>
        <v/>
      </c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123">
        <f>IFERROR(INDEX(OUT!AH$8:AH$73,MATCH($A43,OUT!$A$8:$A$73,0))&amp;"","")</f>
        <v/>
      </c>
      <c r="D43" s="123">
        <f>IFERROR(INDEX(OUT!AI$8:AI$73,MATCH($A43,OUT!$A$8:$A$73,0))&amp;"","")</f>
        <v/>
      </c>
      <c r="E43" s="123">
        <f>IFERROR(INDEX(OUT!AJ$8:AJ$73,MATCH($A43,OUT!$A$8:$A$73,0))&amp;"","")</f>
        <v/>
      </c>
      <c r="F43" s="123">
        <f>IFERROR(INDEX(OUT!AK$8:AK$73,MATCH($A43,OUT!$A$8:$A$73,0))&amp;"","")</f>
        <v/>
      </c>
      <c r="G43" s="123">
        <f>IFERROR(INDEX(OUT!AL$8:AL$73,MATCH($A43,OUT!$A$8:$A$73,0))&amp;"","")</f>
        <v/>
      </c>
      <c r="H43" s="109">
        <f>IFERROR(INDEX(OUT!AM$8:AM$73,MATCH($A43,OUT!$A$8:$A$73,0))&amp;"","")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96" t="n"/>
      <c r="AN43" s="123">
        <f>IFERROR(INDEX(DEZ!I$8:I$73,MATCH($A43,DEZ!$A$8:$A$73,0))&amp;"","")</f>
        <v/>
      </c>
      <c r="AO43" s="123">
        <f>IFERROR(INDEX(DEZ!J$8:J$73,MATCH($A43,DEZ!$A$8:$A$73,0))&amp;"","")</f>
        <v/>
      </c>
      <c r="AP43" s="123">
        <f>IFERROR(INDEX(DEZ!K$8:K$73,MATCH($A43,DEZ!$A$8:$A$73,0))&amp;"","")</f>
        <v/>
      </c>
      <c r="AQ43" s="123">
        <f>IFERROR(INDEX(DEZ!L$8:L$73,MATCH($A43,DEZ!$A$8:$A$73,0))&amp;"","")</f>
        <v/>
      </c>
      <c r="AR43" s="109">
        <f>IFERROR(INDEX(DEZ!M$8:M$73,MATCH($A43,DEZ!$A$8:$A$73,0))&amp;"","")</f>
        <v/>
      </c>
      <c r="AS43" s="109">
        <f>IFERROR(INDEX(DEZ!N$8:N$73,MATCH($A43,DEZ!$A$8:$A$73,0))&amp;"","")</f>
        <v/>
      </c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SUMPRODUCT(($C43:$I43="M")*6+($C43:$I43="T")*6+($C43:$I43="D")*12+($C43:$I43="N")*12+($C43:$I43="NT")*6+($C43:$I43="C")*10+($C43:$I43="A")*8+($C43:$I43="J")*5+($C43:$I43="E")*4+($C43:$I43="P")*6+($C43:$I43="R")*6)</f>
        <v/>
      </c>
      <c r="BF43" s="110">
        <f>SUMPRODUCT(($J43:$P43="M")*6+($J43:$P43="T")*6+($J43:$P43="D")*12+($J43:$P43="N")*12+($J43:$P43="NT")*6+($J43:$P43="C")*10+($J43:$P43="A")*8+($J43:$P43="J")*5+($J43:$P43="E")*4+($J43:$P43="P")*6+($J43:$P43="R")*6)</f>
        <v/>
      </c>
      <c r="BG43" s="110">
        <f>SUMPRODUCT(($Q43:$W43="M")*6+($Q43:$W43="T")*6+($Q43:$W43="D")*12+($Q43:$W43="N")*12+($Q43:$W43="NT")*6+($Q43:$W43="C")*10+($Q43:$W43="A")*8+($Q43:$W43="J")*5+($Q43:$W43="E")*4+($Q43:$W43="P")*6+($Q43:$W43="R")*6)</f>
        <v/>
      </c>
      <c r="BH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I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J43" s="110">
        <f>SUMPRODUCT(($AL43:$AL43="M")*6+($AL43:$AL43="T")*6+($AL43:$AL43="D")*12+($AL43:$AL43="N")*12+($AL43:$AL43="NT")*6+($AL43:$AL43="C")*10+($AL43:$AL43="A")*8+($AL43:$AL43="J")*5+($AL43:$AL43="E")*4+($AL43:$AL43="P")*6+($AL43:$AL43="R")*6)+SUMPRODUCT(($AN43:$AS43="M")*6+($AN43:$AS43="T")*6+($AN43:$AS43="D")*12+($AN43:$AS43="N")*12+($AN43:$AS43="NT")*6+($AN43:$AS43="C")*10+($AN43:$AS43="A")*8+($AN43:$AS43="J")*5+($AN43:$AS43="E")*4+($AN43:$AS43="P")*6+($AN43:$AS43="R")*6)</f>
        <v/>
      </c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123">
        <f>IFERROR(INDEX(OUT!AH$8:AH$73,MATCH($A44,OUT!$A$8:$A$73,0))&amp;"","")</f>
        <v/>
      </c>
      <c r="D44" s="123">
        <f>IFERROR(INDEX(OUT!AI$8:AI$73,MATCH($A44,OUT!$A$8:$A$73,0))&amp;"","")</f>
        <v/>
      </c>
      <c r="E44" s="123">
        <f>IFERROR(INDEX(OUT!AJ$8:AJ$73,MATCH($A44,OUT!$A$8:$A$73,0))&amp;"","")</f>
        <v/>
      </c>
      <c r="F44" s="123">
        <f>IFERROR(INDEX(OUT!AK$8:AK$73,MATCH($A44,OUT!$A$8:$A$73,0))&amp;"","")</f>
        <v/>
      </c>
      <c r="G44" s="123">
        <f>IFERROR(INDEX(OUT!AL$8:AL$73,MATCH($A44,OUT!$A$8:$A$73,0))&amp;"","")</f>
        <v/>
      </c>
      <c r="H44" s="109">
        <f>IFERROR(INDEX(OUT!AM$8:AM$73,MATCH($A44,OUT!$A$8:$A$73,0))&amp;"","")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96" t="n"/>
      <c r="AN44" s="123">
        <f>IFERROR(INDEX(DEZ!I$8:I$73,MATCH($A44,DEZ!$A$8:$A$73,0))&amp;"","")</f>
        <v/>
      </c>
      <c r="AO44" s="123">
        <f>IFERROR(INDEX(DEZ!J$8:J$73,MATCH($A44,DEZ!$A$8:$A$73,0))&amp;"","")</f>
        <v/>
      </c>
      <c r="AP44" s="123">
        <f>IFERROR(INDEX(DEZ!K$8:K$73,MATCH($A44,DEZ!$A$8:$A$73,0))&amp;"","")</f>
        <v/>
      </c>
      <c r="AQ44" s="123">
        <f>IFERROR(INDEX(DEZ!L$8:L$73,MATCH($A44,DEZ!$A$8:$A$73,0))&amp;"","")</f>
        <v/>
      </c>
      <c r="AR44" s="109">
        <f>IFERROR(INDEX(DEZ!M$8:M$73,MATCH($A44,DEZ!$A$8:$A$73,0))&amp;"","")</f>
        <v/>
      </c>
      <c r="AS44" s="109">
        <f>IFERROR(INDEX(DEZ!N$8:N$73,MATCH($A44,DEZ!$A$8:$A$73,0))&amp;"","")</f>
        <v/>
      </c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SUMPRODUCT(($C44:$I44="M")*6+($C44:$I44="T")*6+($C44:$I44="D")*12+($C44:$I44="N")*12+($C44:$I44="NT")*6+($C44:$I44="C")*10+($C44:$I44="A")*8+($C44:$I44="J")*5+($C44:$I44="E")*4+($C44:$I44="P")*6+($C44:$I44="R")*6)</f>
        <v/>
      </c>
      <c r="BF44" s="110">
        <f>SUMPRODUCT(($J44:$P44="M")*6+($J44:$P44="T")*6+($J44:$P44="D")*12+($J44:$P44="N")*12+($J44:$P44="NT")*6+($J44:$P44="C")*10+($J44:$P44="A")*8+($J44:$P44="J")*5+($J44:$P44="E")*4+($J44:$P44="P")*6+($J44:$P44="R")*6)</f>
        <v/>
      </c>
      <c r="BG44" s="110">
        <f>SUMPRODUCT(($Q44:$W44="M")*6+($Q44:$W44="T")*6+($Q44:$W44="D")*12+($Q44:$W44="N")*12+($Q44:$W44="NT")*6+($Q44:$W44="C")*10+($Q44:$W44="A")*8+($Q44:$W44="J")*5+($Q44:$W44="E")*4+($Q44:$W44="P")*6+($Q44:$W44="R")*6)</f>
        <v/>
      </c>
      <c r="BH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I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J44" s="110">
        <f>SUMPRODUCT(($AL44:$AL44="M")*6+($AL44:$AL44="T")*6+($AL44:$AL44="D")*12+($AL44:$AL44="N")*12+($AL44:$AL44="NT")*6+($AL44:$AL44="C")*10+($AL44:$AL44="A")*8+($AL44:$AL44="J")*5+($AL44:$AL44="E")*4+($AL44:$AL44="P")*6+($AL44:$AL44="R")*6)+SUMPRODUCT(($AN44:$AS44="M")*6+($AN44:$AS44="T")*6+($AN44:$AS44="D")*12+($AN44:$AS44="N")*12+($AN44:$AS44="NT")*6+($AN44:$AS44="C")*10+($AN44:$AS44="A")*8+($AN44:$AS44="J")*5+($AN44:$AS44="E")*4+($AN44:$AS44="P")*6+($AN44:$AS44="R")*6)</f>
        <v/>
      </c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123">
        <f>IFERROR(INDEX(OUT!AH$8:AH$73,MATCH($A45,OUT!$A$8:$A$73,0))&amp;"","")</f>
        <v/>
      </c>
      <c r="D45" s="123">
        <f>IFERROR(INDEX(OUT!AI$8:AI$73,MATCH($A45,OUT!$A$8:$A$73,0))&amp;"","")</f>
        <v/>
      </c>
      <c r="E45" s="123">
        <f>IFERROR(INDEX(OUT!AJ$8:AJ$73,MATCH($A45,OUT!$A$8:$A$73,0))&amp;"","")</f>
        <v/>
      </c>
      <c r="F45" s="123">
        <f>IFERROR(INDEX(OUT!AK$8:AK$73,MATCH($A45,OUT!$A$8:$A$73,0))&amp;"","")</f>
        <v/>
      </c>
      <c r="G45" s="123">
        <f>IFERROR(INDEX(OUT!AL$8:AL$73,MATCH($A45,OUT!$A$8:$A$73,0))&amp;"","")</f>
        <v/>
      </c>
      <c r="H45" s="109">
        <f>IFERROR(INDEX(OUT!AM$8:AM$73,MATCH($A45,OUT!$A$8:$A$73,0))&amp;"","")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96" t="n"/>
      <c r="AN45" s="123">
        <f>IFERROR(INDEX(DEZ!I$8:I$73,MATCH($A45,DEZ!$A$8:$A$73,0))&amp;"","")</f>
        <v/>
      </c>
      <c r="AO45" s="123">
        <f>IFERROR(INDEX(DEZ!J$8:J$73,MATCH($A45,DEZ!$A$8:$A$73,0))&amp;"","")</f>
        <v/>
      </c>
      <c r="AP45" s="123">
        <f>IFERROR(INDEX(DEZ!K$8:K$73,MATCH($A45,DEZ!$A$8:$A$73,0))&amp;"","")</f>
        <v/>
      </c>
      <c r="AQ45" s="123">
        <f>IFERROR(INDEX(DEZ!L$8:L$73,MATCH($A45,DEZ!$A$8:$A$73,0))&amp;"","")</f>
        <v/>
      </c>
      <c r="AR45" s="109">
        <f>IFERROR(INDEX(DEZ!M$8:M$73,MATCH($A45,DEZ!$A$8:$A$73,0))&amp;"","")</f>
        <v/>
      </c>
      <c r="AS45" s="109">
        <f>IFERROR(INDEX(DEZ!N$8:N$73,MATCH($A45,DEZ!$A$8:$A$73,0))&amp;"","")</f>
        <v/>
      </c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SUMPRODUCT(($C45:$I45="M")*6+($C45:$I45="T")*6+($C45:$I45="D")*12+($C45:$I45="N")*12+($C45:$I45="NT")*6+($C45:$I45="C")*10+($C45:$I45="A")*8+($C45:$I45="J")*5+($C45:$I45="E")*4+($C45:$I45="P")*6+($C45:$I45="R")*6)</f>
        <v/>
      </c>
      <c r="BF45" s="110">
        <f>SUMPRODUCT(($J45:$P45="M")*6+($J45:$P45="T")*6+($J45:$P45="D")*12+($J45:$P45="N")*12+($J45:$P45="NT")*6+($J45:$P45="C")*10+($J45:$P45="A")*8+($J45:$P45="J")*5+($J45:$P45="E")*4+($J45:$P45="P")*6+($J45:$P45="R")*6)</f>
        <v/>
      </c>
      <c r="BG45" s="110">
        <f>SUMPRODUCT(($Q45:$W45="M")*6+($Q45:$W45="T")*6+($Q45:$W45="D")*12+($Q45:$W45="N")*12+($Q45:$W45="NT")*6+($Q45:$W45="C")*10+($Q45:$W45="A")*8+($Q45:$W45="J")*5+($Q45:$W45="E")*4+($Q45:$W45="P")*6+($Q45:$W45="R")*6)</f>
        <v/>
      </c>
      <c r="BH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I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J45" s="110">
        <f>SUMPRODUCT(($AL45:$AL45="M")*6+($AL45:$AL45="T")*6+($AL45:$AL45="D")*12+($AL45:$AL45="N")*12+($AL45:$AL45="NT")*6+($AL45:$AL45="C")*10+($AL45:$AL45="A")*8+($AL45:$AL45="J")*5+($AL45:$AL45="E")*4+($AL45:$AL45="P")*6+($AL45:$AL45="R")*6)+SUMPRODUCT(($AN45:$AS45="M")*6+($AN45:$AS45="T")*6+($AN45:$AS45="D")*12+($AN45:$AS45="N")*12+($AN45:$AS45="NT")*6+($AN45:$AS45="C")*10+($AN45:$AS45="A")*8+($AN45:$AS45="J")*5+($AN45:$AS45="E")*4+($AN45:$AS45="P")*6+($AN45:$AS45="R")*6)</f>
        <v/>
      </c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123">
        <f>IFERROR(INDEX(OUT!AH$8:AH$73,MATCH($A46,OUT!$A$8:$A$73,0))&amp;"","")</f>
        <v/>
      </c>
      <c r="D46" s="123">
        <f>IFERROR(INDEX(OUT!AI$8:AI$73,MATCH($A46,OUT!$A$8:$A$73,0))&amp;"","")</f>
        <v/>
      </c>
      <c r="E46" s="123">
        <f>IFERROR(INDEX(OUT!AJ$8:AJ$73,MATCH($A46,OUT!$A$8:$A$73,0))&amp;"","")</f>
        <v/>
      </c>
      <c r="F46" s="123">
        <f>IFERROR(INDEX(OUT!AK$8:AK$73,MATCH($A46,OUT!$A$8:$A$73,0))&amp;"","")</f>
        <v/>
      </c>
      <c r="G46" s="123">
        <f>IFERROR(INDEX(OUT!AL$8:AL$73,MATCH($A46,OUT!$A$8:$A$73,0))&amp;"","")</f>
        <v/>
      </c>
      <c r="H46" s="109">
        <f>IFERROR(INDEX(OUT!AM$8:AM$73,MATCH($A46,OUT!$A$8:$A$73,0))&amp;"","")</f>
        <v/>
      </c>
      <c r="I46" s="108" t="inlineStr">
        <is>
          <t>M</t>
        </is>
      </c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96" t="n"/>
      <c r="AN46" s="123">
        <f>IFERROR(INDEX(DEZ!I$8:I$73,MATCH($A46,DEZ!$A$8:$A$73,0))&amp;"","")</f>
        <v/>
      </c>
      <c r="AO46" s="123">
        <f>IFERROR(INDEX(DEZ!J$8:J$73,MATCH($A46,DEZ!$A$8:$A$73,0))&amp;"","")</f>
        <v/>
      </c>
      <c r="AP46" s="123">
        <f>IFERROR(INDEX(DEZ!K$8:K$73,MATCH($A46,DEZ!$A$8:$A$73,0))&amp;"","")</f>
        <v/>
      </c>
      <c r="AQ46" s="123">
        <f>IFERROR(INDEX(DEZ!L$8:L$73,MATCH($A46,DEZ!$A$8:$A$73,0))&amp;"","")</f>
        <v/>
      </c>
      <c r="AR46" s="109">
        <f>IFERROR(INDEX(DEZ!M$8:M$73,MATCH($A46,DEZ!$A$8:$A$73,0))&amp;"","")</f>
        <v/>
      </c>
      <c r="AS46" s="109">
        <f>IFERROR(INDEX(DEZ!N$8:N$73,MATCH($A46,DEZ!$A$8:$A$73,0))&amp;"","")</f>
        <v/>
      </c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SUMPRODUCT(($C46:$I46="M")*6+($C46:$I46="T")*6+($C46:$I46="D")*12+($C46:$I46="N")*12+($C46:$I46="NT")*6+($C46:$I46="C")*10+($C46:$I46="A")*8+($C46:$I46="J")*5+($C46:$I46="E")*4+($C46:$I46="P")*6+($C46:$I46="R")*6)</f>
        <v/>
      </c>
      <c r="BF46" s="110">
        <f>SUMPRODUCT(($J46:$P46="M")*6+($J46:$P46="T")*6+($J46:$P46="D")*12+($J46:$P46="N")*12+($J46:$P46="NT")*6+($J46:$P46="C")*10+($J46:$P46="A")*8+($J46:$P46="J")*5+($J46:$P46="E")*4+($J46:$P46="P")*6+($J46:$P46="R")*6)</f>
        <v/>
      </c>
      <c r="BG46" s="110">
        <f>SUMPRODUCT(($Q46:$W46="M")*6+($Q46:$W46="T")*6+($Q46:$W46="D")*12+($Q46:$W46="N")*12+($Q46:$W46="NT")*6+($Q46:$W46="C")*10+($Q46:$W46="A")*8+($Q46:$W46="J")*5+($Q46:$W46="E")*4+($Q46:$W46="P")*6+($Q46:$W46="R")*6)</f>
        <v/>
      </c>
      <c r="BH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I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J46" s="110">
        <f>SUMPRODUCT(($AL46:$AL46="M")*6+($AL46:$AL46="T")*6+($AL46:$AL46="D")*12+($AL46:$AL46="N")*12+($AL46:$AL46="NT")*6+($AL46:$AL46="C")*10+($AL46:$AL46="A")*8+($AL46:$AL46="J")*5+($AL46:$AL46="E")*4+($AL46:$AL46="P")*6+($AL46:$AL46="R")*6)+SUMPRODUCT(($AN46:$AS46="M")*6+($AN46:$AS46="T")*6+($AN46:$AS46="D")*12+($AN46:$AS46="N")*12+($AN46:$AS46="NT")*6+($AN46:$AS46="C")*10+($AN46:$AS46="A")*8+($AN46:$AS46="J")*5+($AN46:$AS46="E")*4+($AN46:$AS46="P")*6+($AN46:$AS46="R")*6)</f>
        <v/>
      </c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123">
        <f>IFERROR(INDEX(OUT!AH$8:AH$73,MATCH($A47,OUT!$A$8:$A$73,0))&amp;"","")</f>
        <v/>
      </c>
      <c r="D47" s="123">
        <f>IFERROR(INDEX(OUT!AI$8:AI$73,MATCH($A47,OUT!$A$8:$A$73,0))&amp;"","")</f>
        <v/>
      </c>
      <c r="E47" s="123">
        <f>IFERROR(INDEX(OUT!AJ$8:AJ$73,MATCH($A47,OUT!$A$8:$A$73,0))&amp;"","")</f>
        <v/>
      </c>
      <c r="F47" s="123">
        <f>IFERROR(INDEX(OUT!AK$8:AK$73,MATCH($A47,OUT!$A$8:$A$73,0))&amp;"","")</f>
        <v/>
      </c>
      <c r="G47" s="123">
        <f>IFERROR(INDEX(OUT!AL$8:AL$73,MATCH($A47,OUT!$A$8:$A$73,0))&amp;"","")</f>
        <v/>
      </c>
      <c r="H47" s="109">
        <f>IFERROR(INDEX(OUT!AM$8:AM$73,MATCH($A47,OUT!$A$8:$A$73,0))&amp;"","")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96" t="n"/>
      <c r="AN47" s="123">
        <f>IFERROR(INDEX(DEZ!I$8:I$73,MATCH($A47,DEZ!$A$8:$A$73,0))&amp;"","")</f>
        <v/>
      </c>
      <c r="AO47" s="123">
        <f>IFERROR(INDEX(DEZ!J$8:J$73,MATCH($A47,DEZ!$A$8:$A$73,0))&amp;"","")</f>
        <v/>
      </c>
      <c r="AP47" s="123">
        <f>IFERROR(INDEX(DEZ!K$8:K$73,MATCH($A47,DEZ!$A$8:$A$73,0))&amp;"","")</f>
        <v/>
      </c>
      <c r="AQ47" s="123">
        <f>IFERROR(INDEX(DEZ!L$8:L$73,MATCH($A47,DEZ!$A$8:$A$73,0))&amp;"","")</f>
        <v/>
      </c>
      <c r="AR47" s="109">
        <f>IFERROR(INDEX(DEZ!M$8:M$73,MATCH($A47,DEZ!$A$8:$A$73,0))&amp;"","")</f>
        <v/>
      </c>
      <c r="AS47" s="109">
        <f>IFERROR(INDEX(DEZ!N$8:N$73,MATCH($A47,DEZ!$A$8:$A$73,0))&amp;"","")</f>
        <v/>
      </c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SUMPRODUCT(($C47:$I47="M")*6+($C47:$I47="T")*6+($C47:$I47="D")*12+($C47:$I47="N")*12+($C47:$I47="NT")*6+($C47:$I47="C")*10+($C47:$I47="A")*8+($C47:$I47="J")*5+($C47:$I47="E")*4+($C47:$I47="P")*6+($C47:$I47="R")*6)</f>
        <v/>
      </c>
      <c r="BF47" s="110">
        <f>SUMPRODUCT(($J47:$P47="M")*6+($J47:$P47="T")*6+($J47:$P47="D")*12+($J47:$P47="N")*12+($J47:$P47="NT")*6+($J47:$P47="C")*10+($J47:$P47="A")*8+($J47:$P47="J")*5+($J47:$P47="E")*4+($J47:$P47="P")*6+($J47:$P47="R")*6)</f>
        <v/>
      </c>
      <c r="BG47" s="110">
        <f>SUMPRODUCT(($Q47:$W47="M")*6+($Q47:$W47="T")*6+($Q47:$W47="D")*12+($Q47:$W47="N")*12+($Q47:$W47="NT")*6+($Q47:$W47="C")*10+($Q47:$W47="A")*8+($Q47:$W47="J")*5+($Q47:$W47="E")*4+($Q47:$W47="P")*6+($Q47:$W47="R")*6)</f>
        <v/>
      </c>
      <c r="BH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I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J47" s="110">
        <f>SUMPRODUCT(($AL47:$AL47="M")*6+($AL47:$AL47="T")*6+($AL47:$AL47="D")*12+($AL47:$AL47="N")*12+($AL47:$AL47="NT")*6+($AL47:$AL47="C")*10+($AL47:$AL47="A")*8+($AL47:$AL47="J")*5+($AL47:$AL47="E")*4+($AL47:$AL47="P")*6+($AL47:$AL47="R")*6)+SUMPRODUCT(($AN47:$AS47="M")*6+($AN47:$AS47="T")*6+($AN47:$AS47="D")*12+($AN47:$AS47="N")*12+($AN47:$AS47="NT")*6+($AN47:$AS47="C")*10+($AN47:$AS47="A")*8+($AN47:$AS47="J")*5+($AN47:$AS47="E")*4+($AN47:$AS47="P")*6+($AN47:$AS47="R")*6)</f>
        <v/>
      </c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123">
        <f>IFERROR(INDEX(OUT!AH$8:AH$73,MATCH($A48,OUT!$A$8:$A$73,0))&amp;"","")</f>
        <v/>
      </c>
      <c r="D48" s="123">
        <f>IFERROR(INDEX(OUT!AI$8:AI$73,MATCH($A48,OUT!$A$8:$A$73,0))&amp;"","")</f>
        <v/>
      </c>
      <c r="E48" s="123">
        <f>IFERROR(INDEX(OUT!AJ$8:AJ$73,MATCH($A48,OUT!$A$8:$A$73,0))&amp;"","")</f>
        <v/>
      </c>
      <c r="F48" s="123">
        <f>IFERROR(INDEX(OUT!AK$8:AK$73,MATCH($A48,OUT!$A$8:$A$73,0))&amp;"","")</f>
        <v/>
      </c>
      <c r="G48" s="123">
        <f>IFERROR(INDEX(OUT!AL$8:AL$73,MATCH($A48,OUT!$A$8:$A$73,0))&amp;"","")</f>
        <v/>
      </c>
      <c r="H48" s="109">
        <f>IFERROR(INDEX(OUT!AM$8:AM$73,MATCH($A48,OUT!$A$8:$A$73,0))&amp;"","")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3">
        <f>IFERROR(INDEX(DEZ!I$8:I$73,MATCH($A48,DEZ!$A$8:$A$73,0))&amp;"","")</f>
        <v/>
      </c>
      <c r="AO48" s="123">
        <f>IFERROR(INDEX(DEZ!J$8:J$73,MATCH($A48,DEZ!$A$8:$A$73,0))&amp;"","")</f>
        <v/>
      </c>
      <c r="AP48" s="123">
        <f>IFERROR(INDEX(DEZ!K$8:K$73,MATCH($A48,DEZ!$A$8:$A$73,0))&amp;"","")</f>
        <v/>
      </c>
      <c r="AQ48" s="123">
        <f>IFERROR(INDEX(DEZ!L$8:L$73,MATCH($A48,DEZ!$A$8:$A$73,0))&amp;"","")</f>
        <v/>
      </c>
      <c r="AR48" s="109">
        <f>IFERROR(INDEX(DEZ!M$8:M$73,MATCH($A48,DEZ!$A$8:$A$73,0))&amp;"","")</f>
        <v/>
      </c>
      <c r="AS48" s="109">
        <f>IFERROR(INDEX(DEZ!N$8:N$73,MATCH($A48,DEZ!$A$8:$A$73,0))&amp;"","")</f>
        <v/>
      </c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SUMPRODUCT(($C48:$I48="M")*6+($C48:$I48="T")*6+($C48:$I48="D")*12+($C48:$I48="N")*12+($C48:$I48="NT")*6+($C48:$I48="C")*10+($C48:$I48="A")*8+($C48:$I48="J")*5+($C48:$I48="E")*4+($C48:$I48="P")*6+($C48:$I48="R")*6)</f>
        <v/>
      </c>
      <c r="BF48" s="110">
        <f>SUMPRODUCT(($J48:$P48="M")*6+($J48:$P48="T")*6+($J48:$P48="D")*12+($J48:$P48="N")*12+($J48:$P48="NT")*6+($J48:$P48="C")*10+($J48:$P48="A")*8+($J48:$P48="J")*5+($J48:$P48="E")*4+($J48:$P48="P")*6+($J48:$P48="R")*6)</f>
        <v/>
      </c>
      <c r="BG48" s="110">
        <f>SUMPRODUCT(($Q48:$W48="M")*6+($Q48:$W48="T")*6+($Q48:$W48="D")*12+($Q48:$W48="N")*12+($Q48:$W48="NT")*6+($Q48:$W48="C")*10+($Q48:$W48="A")*8+($Q48:$W48="J")*5+($Q48:$W48="E")*4+($Q48:$W48="P")*6+($Q48:$W48="R")*6)</f>
        <v/>
      </c>
      <c r="BH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I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J48" s="110">
        <f>SUMPRODUCT(($AL48:$AL48="M")*6+($AL48:$AL48="T")*6+($AL48:$AL48="D")*12+($AL48:$AL48="N")*12+($AL48:$AL48="NT")*6+($AL48:$AL48="C")*10+($AL48:$AL48="A")*8+($AL48:$AL48="J")*5+($AL48:$AL48="E")*4+($AL48:$AL48="P")*6+($AL48:$AL48="R")*6)+SUMPRODUCT(($AN48:$AS48="M")*6+($AN48:$AS48="T")*6+($AN48:$AS48="D")*12+($AN48:$AS48="N")*12+($AN48:$AS48="NT")*6+($AN48:$AS48="C")*10+($AN48:$AS48="A")*8+($AN48:$AS48="J")*5+($AN48:$AS48="E")*4+($AN48:$AS48="P")*6+($AN48:$AS48="R")*6)</f>
        <v/>
      </c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123">
        <f>IFERROR(INDEX(OUT!AH$8:AH$73,MATCH($A49,OUT!$A$8:$A$73,0))&amp;"","")</f>
        <v/>
      </c>
      <c r="D49" s="123">
        <f>IFERROR(INDEX(OUT!AI$8:AI$73,MATCH($A49,OUT!$A$8:$A$73,0))&amp;"","")</f>
        <v/>
      </c>
      <c r="E49" s="123">
        <f>IFERROR(INDEX(OUT!AJ$8:AJ$73,MATCH($A49,OUT!$A$8:$A$73,0))&amp;"","")</f>
        <v/>
      </c>
      <c r="F49" s="123">
        <f>IFERROR(INDEX(OUT!AK$8:AK$73,MATCH($A49,OUT!$A$8:$A$73,0))&amp;"","")</f>
        <v/>
      </c>
      <c r="G49" s="123">
        <f>IFERROR(INDEX(OUT!AL$8:AL$73,MATCH($A49,OUT!$A$8:$A$73,0))&amp;"","")</f>
        <v/>
      </c>
      <c r="H49" s="109">
        <f>IFERROR(INDEX(OUT!AM$8:AM$73,MATCH($A49,OUT!$A$8:$A$73,0))&amp;"","")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96" t="n"/>
      <c r="AN49" s="123">
        <f>IFERROR(INDEX(DEZ!I$8:I$73,MATCH($A49,DEZ!$A$8:$A$73,0))&amp;"","")</f>
        <v/>
      </c>
      <c r="AO49" s="123">
        <f>IFERROR(INDEX(DEZ!J$8:J$73,MATCH($A49,DEZ!$A$8:$A$73,0))&amp;"","")</f>
        <v/>
      </c>
      <c r="AP49" s="123">
        <f>IFERROR(INDEX(DEZ!K$8:K$73,MATCH($A49,DEZ!$A$8:$A$73,0))&amp;"","")</f>
        <v/>
      </c>
      <c r="AQ49" s="123">
        <f>IFERROR(INDEX(DEZ!L$8:L$73,MATCH($A49,DEZ!$A$8:$A$73,0))&amp;"","")</f>
        <v/>
      </c>
      <c r="AR49" s="109">
        <f>IFERROR(INDEX(DEZ!M$8:M$73,MATCH($A49,DEZ!$A$8:$A$73,0))&amp;"","")</f>
        <v/>
      </c>
      <c r="AS49" s="109">
        <f>IFERROR(INDEX(DEZ!N$8:N$73,MATCH($A49,DEZ!$A$8:$A$73,0))&amp;"","")</f>
        <v/>
      </c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SUMPRODUCT(($C49:$I49="M")*6+($C49:$I49="T")*6+($C49:$I49="D")*12+($C49:$I49="N")*12+($C49:$I49="NT")*6+($C49:$I49="C")*10+($C49:$I49="A")*8+($C49:$I49="J")*5+($C49:$I49="E")*4+($C49:$I49="P")*6+($C49:$I49="R")*6)</f>
        <v/>
      </c>
      <c r="BF49" s="110">
        <f>SUMPRODUCT(($J49:$P49="M")*6+($J49:$P49="T")*6+($J49:$P49="D")*12+($J49:$P49="N")*12+($J49:$P49="NT")*6+($J49:$P49="C")*10+($J49:$P49="A")*8+($J49:$P49="J")*5+($J49:$P49="E")*4+($J49:$P49="P")*6+($J49:$P49="R")*6)</f>
        <v/>
      </c>
      <c r="BG49" s="110">
        <f>SUMPRODUCT(($Q49:$W49="M")*6+($Q49:$W49="T")*6+($Q49:$W49="D")*12+($Q49:$W49="N")*12+($Q49:$W49="NT")*6+($Q49:$W49="C")*10+($Q49:$W49="A")*8+($Q49:$W49="J")*5+($Q49:$W49="E")*4+($Q49:$W49="P")*6+($Q49:$W49="R")*6)</f>
        <v/>
      </c>
      <c r="BH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I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J49" s="110">
        <f>SUMPRODUCT(($AL49:$AL49="M")*6+($AL49:$AL49="T")*6+($AL49:$AL49="D")*12+($AL49:$AL49="N")*12+($AL49:$AL49="NT")*6+($AL49:$AL49="C")*10+($AL49:$AL49="A")*8+($AL49:$AL49="J")*5+($AL49:$AL49="E")*4+($AL49:$AL49="P")*6+($AL49:$AL49="R")*6)+SUMPRODUCT(($AN49:$AS49="M")*6+($AN49:$AS49="T")*6+($AN49:$AS49="D")*12+($AN49:$AS49="N")*12+($AN49:$AS49="NT")*6+($AN49:$AS49="C")*10+($AN49:$AS49="A")*8+($AN49:$AS49="J")*5+($AN49:$AS49="E")*4+($AN49:$AS49="P")*6+($AN49:$AS49="R")*6)</f>
        <v/>
      </c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123">
        <f>IFERROR(INDEX(OUT!AH$8:AH$73,MATCH($A50,OUT!$A$8:$A$73,0))&amp;"","")</f>
        <v/>
      </c>
      <c r="D50" s="123">
        <f>IFERROR(INDEX(OUT!AI$8:AI$73,MATCH($A50,OUT!$A$8:$A$73,0))&amp;"","")</f>
        <v/>
      </c>
      <c r="E50" s="123">
        <f>IFERROR(INDEX(OUT!AJ$8:AJ$73,MATCH($A50,OUT!$A$8:$A$73,0))&amp;"","")</f>
        <v/>
      </c>
      <c r="F50" s="123">
        <f>IFERROR(INDEX(OUT!AK$8:AK$73,MATCH($A50,OUT!$A$8:$A$73,0))&amp;"","")</f>
        <v/>
      </c>
      <c r="G50" s="123">
        <f>IFERROR(INDEX(OUT!AL$8:AL$73,MATCH($A50,OUT!$A$8:$A$73,0))&amp;"","")</f>
        <v/>
      </c>
      <c r="H50" s="109">
        <f>IFERROR(INDEX(OUT!AM$8:AM$73,MATCH($A50,OUT!$A$8:$A$73,0))&amp;"","")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96" t="n"/>
      <c r="AN50" s="123">
        <f>IFERROR(INDEX(DEZ!I$8:I$73,MATCH($A50,DEZ!$A$8:$A$73,0))&amp;"","")</f>
        <v/>
      </c>
      <c r="AO50" s="123">
        <f>IFERROR(INDEX(DEZ!J$8:J$73,MATCH($A50,DEZ!$A$8:$A$73,0))&amp;"","")</f>
        <v/>
      </c>
      <c r="AP50" s="123">
        <f>IFERROR(INDEX(DEZ!K$8:K$73,MATCH($A50,DEZ!$A$8:$A$73,0))&amp;"","")</f>
        <v/>
      </c>
      <c r="AQ50" s="123">
        <f>IFERROR(INDEX(DEZ!L$8:L$73,MATCH($A50,DEZ!$A$8:$A$73,0))&amp;"","")</f>
        <v/>
      </c>
      <c r="AR50" s="109">
        <f>IFERROR(INDEX(DEZ!M$8:M$73,MATCH($A50,DEZ!$A$8:$A$73,0))&amp;"","")</f>
        <v/>
      </c>
      <c r="AS50" s="109">
        <f>IFERROR(INDEX(DEZ!N$8:N$73,MATCH($A50,DEZ!$A$8:$A$73,0))&amp;"","")</f>
        <v/>
      </c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SUMPRODUCT(($C50:$I50="M")*6+($C50:$I50="T")*6+($C50:$I50="D")*12+($C50:$I50="N")*12+($C50:$I50="NT")*6+($C50:$I50="C")*10+($C50:$I50="A")*8+($C50:$I50="J")*5+($C50:$I50="E")*4+($C50:$I50="P")*6+($C50:$I50="R")*6)</f>
        <v/>
      </c>
      <c r="BF50" s="110">
        <f>SUMPRODUCT(($J50:$P50="M")*6+($J50:$P50="T")*6+($J50:$P50="D")*12+($J50:$P50="N")*12+($J50:$P50="NT")*6+($J50:$P50="C")*10+($J50:$P50="A")*8+($J50:$P50="J")*5+($J50:$P50="E")*4+($J50:$P50="P")*6+($J50:$P50="R")*6)</f>
        <v/>
      </c>
      <c r="BG50" s="110">
        <f>SUMPRODUCT(($Q50:$W50="M")*6+($Q50:$W50="T")*6+($Q50:$W50="D")*12+($Q50:$W50="N")*12+($Q50:$W50="NT")*6+($Q50:$W50="C")*10+($Q50:$W50="A")*8+($Q50:$W50="J")*5+($Q50:$W50="E")*4+($Q50:$W50="P")*6+($Q50:$W50="R")*6)</f>
        <v/>
      </c>
      <c r="BH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I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J50" s="110">
        <f>SUMPRODUCT(($AL50:$AL50="M")*6+($AL50:$AL50="T")*6+($AL50:$AL50="D")*12+($AL50:$AL50="N")*12+($AL50:$AL50="NT")*6+($AL50:$AL50="C")*10+($AL50:$AL50="A")*8+($AL50:$AL50="J")*5+($AL50:$AL50="E")*4+($AL50:$AL50="P")*6+($AL50:$AL50="R")*6)+SUMPRODUCT(($AN50:$AS50="M")*6+($AN50:$AS50="T")*6+($AN50:$AS50="D")*12+($AN50:$AS50="N")*12+($AN50:$AS50="NT")*6+($AN50:$AS50="C")*10+($AN50:$AS50="A")*8+($AN50:$AS50="J")*5+($AN50:$AS50="E")*4+($AN50:$AS50="P")*6+($AN50:$AS50="R")*6)</f>
        <v/>
      </c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123">
        <f>IFERROR(INDEX(OUT!AH$8:AH$73,MATCH($A51,OUT!$A$8:$A$73,0))&amp;"","")</f>
        <v/>
      </c>
      <c r="D51" s="123">
        <f>IFERROR(INDEX(OUT!AI$8:AI$73,MATCH($A51,OUT!$A$8:$A$73,0))&amp;"","")</f>
        <v/>
      </c>
      <c r="E51" s="123">
        <f>IFERROR(INDEX(OUT!AJ$8:AJ$73,MATCH($A51,OUT!$A$8:$A$73,0))&amp;"","")</f>
        <v/>
      </c>
      <c r="F51" s="123">
        <f>IFERROR(INDEX(OUT!AK$8:AK$73,MATCH($A51,OUT!$A$8:$A$73,0))&amp;"","")</f>
        <v/>
      </c>
      <c r="G51" s="123">
        <f>IFERROR(INDEX(OUT!AL$8:AL$73,MATCH($A51,OUT!$A$8:$A$73,0))&amp;"","")</f>
        <v/>
      </c>
      <c r="H51" s="109">
        <f>IFERROR(INDEX(OUT!AM$8:AM$73,MATCH($A51,OUT!$A$8:$A$73,0))&amp;"","")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3">
        <f>IFERROR(INDEX(DEZ!I$8:I$73,MATCH($A51,DEZ!$A$8:$A$73,0))&amp;"","")</f>
        <v/>
      </c>
      <c r="AO51" s="123">
        <f>IFERROR(INDEX(DEZ!J$8:J$73,MATCH($A51,DEZ!$A$8:$A$73,0))&amp;"","")</f>
        <v/>
      </c>
      <c r="AP51" s="123">
        <f>IFERROR(INDEX(DEZ!K$8:K$73,MATCH($A51,DEZ!$A$8:$A$73,0))&amp;"","")</f>
        <v/>
      </c>
      <c r="AQ51" s="123">
        <f>IFERROR(INDEX(DEZ!L$8:L$73,MATCH($A51,DEZ!$A$8:$A$73,0))&amp;"","")</f>
        <v/>
      </c>
      <c r="AR51" s="109">
        <f>IFERROR(INDEX(DEZ!M$8:M$73,MATCH($A51,DEZ!$A$8:$A$73,0))&amp;"","")</f>
        <v/>
      </c>
      <c r="AS51" s="109">
        <f>IFERROR(INDEX(DEZ!N$8:N$73,MATCH($A51,DEZ!$A$8:$A$73,0))&amp;"","")</f>
        <v/>
      </c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SUMPRODUCT(($C51:$I51="M")*6+($C51:$I51="T")*6+($C51:$I51="D")*12+($C51:$I51="N")*12+($C51:$I51="NT")*6+($C51:$I51="C")*10+($C51:$I51="A")*8+($C51:$I51="J")*5+($C51:$I51="E")*4+($C51:$I51="P")*6+($C51:$I51="R")*6)</f>
        <v/>
      </c>
      <c r="BF51" s="110">
        <f>SUMPRODUCT(($J51:$P51="M")*6+($J51:$P51="T")*6+($J51:$P51="D")*12+($J51:$P51="N")*12+($J51:$P51="NT")*6+($J51:$P51="C")*10+($J51:$P51="A")*8+($J51:$P51="J")*5+($J51:$P51="E")*4+($J51:$P51="P")*6+($J51:$P51="R")*6)</f>
        <v/>
      </c>
      <c r="BG51" s="110">
        <f>SUMPRODUCT(($Q51:$W51="M")*6+($Q51:$W51="T")*6+($Q51:$W51="D")*12+($Q51:$W51="N")*12+($Q51:$W51="NT")*6+($Q51:$W51="C")*10+($Q51:$W51="A")*8+($Q51:$W51="J")*5+($Q51:$W51="E")*4+($Q51:$W51="P")*6+($Q51:$W51="R")*6)</f>
        <v/>
      </c>
      <c r="BH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I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J51" s="110">
        <f>SUMPRODUCT(($AL51:$AL51="M")*6+($AL51:$AL51="T")*6+($AL51:$AL51="D")*12+($AL51:$AL51="N")*12+($AL51:$AL51="NT")*6+($AL51:$AL51="C")*10+($AL51:$AL51="A")*8+($AL51:$AL51="J")*5+($AL51:$AL51="E")*4+($AL51:$AL51="P")*6+($AL51:$AL51="R")*6)+SUMPRODUCT(($AN51:$AS51="M")*6+($AN51:$AS51="T")*6+($AN51:$AS51="D")*12+($AN51:$AS51="N")*12+($AN51:$AS51="NT")*6+($AN51:$AS51="C")*10+($AN51:$AS51="A")*8+($AN51:$AS51="J")*5+($AN51:$AS51="E")*4+($AN51:$AS51="P")*6+($AN51:$AS51="R")*6)</f>
        <v/>
      </c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123">
        <f>IFERROR(INDEX(OUT!AH$8:AH$73,MATCH($A52,OUT!$A$8:$A$73,0))&amp;"","")</f>
        <v/>
      </c>
      <c r="D52" s="123">
        <f>IFERROR(INDEX(OUT!AI$8:AI$73,MATCH($A52,OUT!$A$8:$A$73,0))&amp;"","")</f>
        <v/>
      </c>
      <c r="E52" s="123">
        <f>IFERROR(INDEX(OUT!AJ$8:AJ$73,MATCH($A52,OUT!$A$8:$A$73,0))&amp;"","")</f>
        <v/>
      </c>
      <c r="F52" s="123">
        <f>IFERROR(INDEX(OUT!AK$8:AK$73,MATCH($A52,OUT!$A$8:$A$73,0))&amp;"","")</f>
        <v/>
      </c>
      <c r="G52" s="123">
        <f>IFERROR(INDEX(OUT!AL$8:AL$73,MATCH($A52,OUT!$A$8:$A$73,0))&amp;"","")</f>
        <v/>
      </c>
      <c r="H52" s="109">
        <f>IFERROR(INDEX(OUT!AM$8:AM$73,MATCH($A52,OUT!$A$8:$A$73,0))&amp;"","")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96" t="n"/>
      <c r="AN52" s="123">
        <f>IFERROR(INDEX(DEZ!I$8:I$73,MATCH($A52,DEZ!$A$8:$A$73,0))&amp;"","")</f>
        <v/>
      </c>
      <c r="AO52" s="123">
        <f>IFERROR(INDEX(DEZ!J$8:J$73,MATCH($A52,DEZ!$A$8:$A$73,0))&amp;"","")</f>
        <v/>
      </c>
      <c r="AP52" s="123">
        <f>IFERROR(INDEX(DEZ!K$8:K$73,MATCH($A52,DEZ!$A$8:$A$73,0))&amp;"","")</f>
        <v/>
      </c>
      <c r="AQ52" s="123">
        <f>IFERROR(INDEX(DEZ!L$8:L$73,MATCH($A52,DEZ!$A$8:$A$73,0))&amp;"","")</f>
        <v/>
      </c>
      <c r="AR52" s="109">
        <f>IFERROR(INDEX(DEZ!M$8:M$73,MATCH($A52,DEZ!$A$8:$A$73,0))&amp;"","")</f>
        <v/>
      </c>
      <c r="AS52" s="109">
        <f>IFERROR(INDEX(DEZ!N$8:N$73,MATCH($A52,DEZ!$A$8:$A$73,0))&amp;"","")</f>
        <v/>
      </c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SUMPRODUCT(($C52:$I52="M")*6+($C52:$I52="T")*6+($C52:$I52="D")*12+($C52:$I52="N")*12+($C52:$I52="NT")*6+($C52:$I52="C")*10+($C52:$I52="A")*8+($C52:$I52="J")*5+($C52:$I52="E")*4+($C52:$I52="P")*6+($C52:$I52="R")*6)</f>
        <v/>
      </c>
      <c r="BF52" s="110">
        <f>SUMPRODUCT(($J52:$P52="M")*6+($J52:$P52="T")*6+($J52:$P52="D")*12+($J52:$P52="N")*12+($J52:$P52="NT")*6+($J52:$P52="C")*10+($J52:$P52="A")*8+($J52:$P52="J")*5+($J52:$P52="E")*4+($J52:$P52="P")*6+($J52:$P52="R")*6)</f>
        <v/>
      </c>
      <c r="BG52" s="110">
        <f>SUMPRODUCT(($Q52:$W52="M")*6+($Q52:$W52="T")*6+($Q52:$W52="D")*12+($Q52:$W52="N")*12+($Q52:$W52="NT")*6+($Q52:$W52="C")*10+($Q52:$W52="A")*8+($Q52:$W52="J")*5+($Q52:$W52="E")*4+($Q52:$W52="P")*6+($Q52:$W52="R")*6)</f>
        <v/>
      </c>
      <c r="BH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I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J52" s="110">
        <f>SUMPRODUCT(($AL52:$AL52="M")*6+($AL52:$AL52="T")*6+($AL52:$AL52="D")*12+($AL52:$AL52="N")*12+($AL52:$AL52="NT")*6+($AL52:$AL52="C")*10+($AL52:$AL52="A")*8+($AL52:$AL52="J")*5+($AL52:$AL52="E")*4+($AL52:$AL52="P")*6+($AL52:$AL52="R")*6)+SUMPRODUCT(($AN52:$AS52="M")*6+($AN52:$AS52="T")*6+($AN52:$AS52="D")*12+($AN52:$AS52="N")*12+($AN52:$AS52="NT")*6+($AN52:$AS52="C")*10+($AN52:$AS52="A")*8+($AN52:$AS52="J")*5+($AN52:$AS52="E")*4+($AN52:$AS52="P")*6+($AN52:$AS52="R")*6)</f>
        <v/>
      </c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123">
        <f>IFERROR(INDEX(OUT!AH$8:AH$73,MATCH($A53,OUT!$A$8:$A$73,0))&amp;"","")</f>
        <v/>
      </c>
      <c r="D53" s="123">
        <f>IFERROR(INDEX(OUT!AI$8:AI$73,MATCH($A53,OUT!$A$8:$A$73,0))&amp;"","")</f>
        <v/>
      </c>
      <c r="E53" s="123">
        <f>IFERROR(INDEX(OUT!AJ$8:AJ$73,MATCH($A53,OUT!$A$8:$A$73,0))&amp;"","")</f>
        <v/>
      </c>
      <c r="F53" s="123">
        <f>IFERROR(INDEX(OUT!AK$8:AK$73,MATCH($A53,OUT!$A$8:$A$73,0))&amp;"","")</f>
        <v/>
      </c>
      <c r="G53" s="123">
        <f>IFERROR(INDEX(OUT!AL$8:AL$73,MATCH($A53,OUT!$A$8:$A$73,0))&amp;"","")</f>
        <v/>
      </c>
      <c r="H53" s="109">
        <f>IFERROR(INDEX(OUT!AM$8:AM$73,MATCH($A53,OUT!$A$8:$A$73,0))&amp;"","")</f>
        <v/>
      </c>
      <c r="I53" s="115" t="inlineStr">
        <is>
          <t>D</t>
        </is>
      </c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96" t="n"/>
      <c r="AN53" s="123">
        <f>IFERROR(INDEX(DEZ!I$8:I$73,MATCH($A53,DEZ!$A$8:$A$73,0))&amp;"","")</f>
        <v/>
      </c>
      <c r="AO53" s="123">
        <f>IFERROR(INDEX(DEZ!J$8:J$73,MATCH($A53,DEZ!$A$8:$A$73,0))&amp;"","")</f>
        <v/>
      </c>
      <c r="AP53" s="123">
        <f>IFERROR(INDEX(DEZ!K$8:K$73,MATCH($A53,DEZ!$A$8:$A$73,0))&amp;"","")</f>
        <v/>
      </c>
      <c r="AQ53" s="123">
        <f>IFERROR(INDEX(DEZ!L$8:L$73,MATCH($A53,DEZ!$A$8:$A$73,0))&amp;"","")</f>
        <v/>
      </c>
      <c r="AR53" s="109">
        <f>IFERROR(INDEX(DEZ!M$8:M$73,MATCH($A53,DEZ!$A$8:$A$73,0))&amp;"","")</f>
        <v/>
      </c>
      <c r="AS53" s="109">
        <f>IFERROR(INDEX(DEZ!N$8:N$73,MATCH($A53,DEZ!$A$8:$A$73,0))&amp;"","")</f>
        <v/>
      </c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SUMPRODUCT(($C53:$I53="M")*6+($C53:$I53="T")*6+($C53:$I53="D")*12+($C53:$I53="N")*12+($C53:$I53="NT")*6+($C53:$I53="C")*10+($C53:$I53="A")*8+($C53:$I53="J")*5+($C53:$I53="E")*4+($C53:$I53="P")*6+($C53:$I53="R")*6)</f>
        <v/>
      </c>
      <c r="BF53" s="110">
        <f>SUMPRODUCT(($J53:$P53="M")*6+($J53:$P53="T")*6+($J53:$P53="D")*12+($J53:$P53="N")*12+($J53:$P53="NT")*6+($J53:$P53="C")*10+($J53:$P53="A")*8+($J53:$P53="J")*5+($J53:$P53="E")*4+($J53:$P53="P")*6+($J53:$P53="R")*6)</f>
        <v/>
      </c>
      <c r="BG53" s="110">
        <f>SUMPRODUCT(($Q53:$W53="M")*6+($Q53:$W53="T")*6+($Q53:$W53="D")*12+($Q53:$W53="N")*12+($Q53:$W53="NT")*6+($Q53:$W53="C")*10+($Q53:$W53="A")*8+($Q53:$W53="J")*5+($Q53:$W53="E")*4+($Q53:$W53="P")*6+($Q53:$W53="R")*6)</f>
        <v/>
      </c>
      <c r="BH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I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J53" s="110">
        <f>SUMPRODUCT(($AL53:$AL53="M")*6+($AL53:$AL53="T")*6+($AL53:$AL53="D")*12+($AL53:$AL53="N")*12+($AL53:$AL53="NT")*6+($AL53:$AL53="C")*10+($AL53:$AL53="A")*8+($AL53:$AL53="J")*5+($AL53:$AL53="E")*4+($AL53:$AL53="P")*6+($AL53:$AL53="R")*6)+SUMPRODUCT(($AN53:$AS53="M")*6+($AN53:$AS53="T")*6+($AN53:$AS53="D")*12+($AN53:$AS53="N")*12+($AN53:$AS53="NT")*6+($AN53:$AS53="C")*10+($AN53:$AS53="A")*8+($AN53:$AS53="J")*5+($AN53:$AS53="E")*4+($AN53:$AS53="P")*6+($AN53:$AS53="R")*6)</f>
        <v/>
      </c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123">
        <f>IFERROR(INDEX(OUT!AH$8:AH$73,MATCH($A54,OUT!$A$8:$A$73,0))&amp;"","")</f>
        <v/>
      </c>
      <c r="D54" s="123">
        <f>IFERROR(INDEX(OUT!AI$8:AI$73,MATCH($A54,OUT!$A$8:$A$73,0))&amp;"","")</f>
        <v/>
      </c>
      <c r="E54" s="123">
        <f>IFERROR(INDEX(OUT!AJ$8:AJ$73,MATCH($A54,OUT!$A$8:$A$73,0))&amp;"","")</f>
        <v/>
      </c>
      <c r="F54" s="123">
        <f>IFERROR(INDEX(OUT!AK$8:AK$73,MATCH($A54,OUT!$A$8:$A$73,0))&amp;"","")</f>
        <v/>
      </c>
      <c r="G54" s="123">
        <f>IFERROR(INDEX(OUT!AL$8:AL$73,MATCH($A54,OUT!$A$8:$A$73,0))&amp;"","")</f>
        <v/>
      </c>
      <c r="H54" s="109">
        <f>IFERROR(INDEX(OUT!AM$8:AM$73,MATCH($A54,OUT!$A$8:$A$73,0))&amp;"","")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96" t="n"/>
      <c r="AN54" s="123">
        <f>IFERROR(INDEX(DEZ!I$8:I$73,MATCH($A54,DEZ!$A$8:$A$73,0))&amp;"","")</f>
        <v/>
      </c>
      <c r="AO54" s="123">
        <f>IFERROR(INDEX(DEZ!J$8:J$73,MATCH($A54,DEZ!$A$8:$A$73,0))&amp;"","")</f>
        <v/>
      </c>
      <c r="AP54" s="123">
        <f>IFERROR(INDEX(DEZ!K$8:K$73,MATCH($A54,DEZ!$A$8:$A$73,0))&amp;"","")</f>
        <v/>
      </c>
      <c r="AQ54" s="123">
        <f>IFERROR(INDEX(DEZ!L$8:L$73,MATCH($A54,DEZ!$A$8:$A$73,0))&amp;"","")</f>
        <v/>
      </c>
      <c r="AR54" s="109">
        <f>IFERROR(INDEX(DEZ!M$8:M$73,MATCH($A54,DEZ!$A$8:$A$73,0))&amp;"","")</f>
        <v/>
      </c>
      <c r="AS54" s="109">
        <f>IFERROR(INDEX(DEZ!N$8:N$73,MATCH($A54,DEZ!$A$8:$A$73,0))&amp;"","")</f>
        <v/>
      </c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SUMPRODUCT(($C54:$I54="M")*6+($C54:$I54="T")*6+($C54:$I54="D")*12+($C54:$I54="N")*12+($C54:$I54="NT")*6+($C54:$I54="C")*10+($C54:$I54="A")*8+($C54:$I54="J")*5+($C54:$I54="E")*4+($C54:$I54="P")*6+($C54:$I54="R")*6)</f>
        <v/>
      </c>
      <c r="BF54" s="110">
        <f>SUMPRODUCT(($J54:$P54="M")*6+($J54:$P54="T")*6+($J54:$P54="D")*12+($J54:$P54="N")*12+($J54:$P54="NT")*6+($J54:$P54="C")*10+($J54:$P54="A")*8+($J54:$P54="J")*5+($J54:$P54="E")*4+($J54:$P54="P")*6+($J54:$P54="R")*6)</f>
        <v/>
      </c>
      <c r="BG54" s="110">
        <f>SUMPRODUCT(($Q54:$W54="M")*6+($Q54:$W54="T")*6+($Q54:$W54="D")*12+($Q54:$W54="N")*12+($Q54:$W54="NT")*6+($Q54:$W54="C")*10+($Q54:$W54="A")*8+($Q54:$W54="J")*5+($Q54:$W54="E")*4+($Q54:$W54="P")*6+($Q54:$W54="R")*6)</f>
        <v/>
      </c>
      <c r="BH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I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J54" s="110">
        <f>SUMPRODUCT(($AL54:$AL54="M")*6+($AL54:$AL54="T")*6+($AL54:$AL54="D")*12+($AL54:$AL54="N")*12+($AL54:$AL54="NT")*6+($AL54:$AL54="C")*10+($AL54:$AL54="A")*8+($AL54:$AL54="J")*5+($AL54:$AL54="E")*4+($AL54:$AL54="P")*6+($AL54:$AL54="R")*6)+SUMPRODUCT(($AN54:$AS54="M")*6+($AN54:$AS54="T")*6+($AN54:$AS54="D")*12+($AN54:$AS54="N")*12+($AN54:$AS54="NT")*6+($AN54:$AS54="C")*10+($AN54:$AS54="A")*8+($AN54:$AS54="J")*5+($AN54:$AS54="E")*4+($AN54:$AS54="P")*6+($AN54:$AS54="R")*6)</f>
        <v/>
      </c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123">
        <f>IFERROR(INDEX(OUT!AH$8:AH$73,MATCH($A55,OUT!$A$8:$A$73,0))&amp;"","")</f>
        <v/>
      </c>
      <c r="D55" s="123">
        <f>IFERROR(INDEX(OUT!AI$8:AI$73,MATCH($A55,OUT!$A$8:$A$73,0))&amp;"","")</f>
        <v/>
      </c>
      <c r="E55" s="123">
        <f>IFERROR(INDEX(OUT!AJ$8:AJ$73,MATCH($A55,OUT!$A$8:$A$73,0))&amp;"","")</f>
        <v/>
      </c>
      <c r="F55" s="123">
        <f>IFERROR(INDEX(OUT!AK$8:AK$73,MATCH($A55,OUT!$A$8:$A$73,0))&amp;"","")</f>
        <v/>
      </c>
      <c r="G55" s="123">
        <f>IFERROR(INDEX(OUT!AL$8:AL$73,MATCH($A55,OUT!$A$8:$A$73,0))&amp;"","")</f>
        <v/>
      </c>
      <c r="H55" s="109">
        <f>IFERROR(INDEX(OUT!AM$8:AM$73,MATCH($A55,OUT!$A$8:$A$73,0))&amp;"","")</f>
        <v/>
      </c>
      <c r="I55" s="108" t="inlineStr">
        <is>
          <t>M</t>
        </is>
      </c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96" t="n"/>
      <c r="AN55" s="123">
        <f>IFERROR(INDEX(DEZ!I$8:I$73,MATCH($A55,DEZ!$A$8:$A$73,0))&amp;"","")</f>
        <v/>
      </c>
      <c r="AO55" s="123">
        <f>IFERROR(INDEX(DEZ!J$8:J$73,MATCH($A55,DEZ!$A$8:$A$73,0))&amp;"","")</f>
        <v/>
      </c>
      <c r="AP55" s="123">
        <f>IFERROR(INDEX(DEZ!K$8:K$73,MATCH($A55,DEZ!$A$8:$A$73,0))&amp;"","")</f>
        <v/>
      </c>
      <c r="AQ55" s="123">
        <f>IFERROR(INDEX(DEZ!L$8:L$73,MATCH($A55,DEZ!$A$8:$A$73,0))&amp;"","")</f>
        <v/>
      </c>
      <c r="AR55" s="109">
        <f>IFERROR(INDEX(DEZ!M$8:M$73,MATCH($A55,DEZ!$A$8:$A$73,0))&amp;"","")</f>
        <v/>
      </c>
      <c r="AS55" s="109">
        <f>IFERROR(INDEX(DEZ!N$8:N$73,MATCH($A55,DEZ!$A$8:$A$73,0))&amp;"","")</f>
        <v/>
      </c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SUMPRODUCT(($C55:$I55="M")*6+($C55:$I55="T")*6+($C55:$I55="D")*12+($C55:$I55="N")*12+($C55:$I55="NT")*6+($C55:$I55="C")*10+($C55:$I55="A")*8+($C55:$I55="J")*5+($C55:$I55="E")*4+($C55:$I55="P")*6+($C55:$I55="R")*6)</f>
        <v/>
      </c>
      <c r="BF55" s="110">
        <f>SUMPRODUCT(($J55:$P55="M")*6+($J55:$P55="T")*6+($J55:$P55="D")*12+($J55:$P55="N")*12+($J55:$P55="NT")*6+($J55:$P55="C")*10+($J55:$P55="A")*8+($J55:$P55="J")*5+($J55:$P55="E")*4+($J55:$P55="P")*6+($J55:$P55="R")*6)</f>
        <v/>
      </c>
      <c r="BG55" s="110">
        <f>SUMPRODUCT(($Q55:$W55="M")*6+($Q55:$W55="T")*6+($Q55:$W55="D")*12+($Q55:$W55="N")*12+($Q55:$W55="NT")*6+($Q55:$W55="C")*10+($Q55:$W55="A")*8+($Q55:$W55="J")*5+($Q55:$W55="E")*4+($Q55:$W55="P")*6+($Q55:$W55="R")*6)</f>
        <v/>
      </c>
      <c r="BH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I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J55" s="110">
        <f>SUMPRODUCT(($AL55:$AL55="M")*6+($AL55:$AL55="T")*6+($AL55:$AL55="D")*12+($AL55:$AL55="N")*12+($AL55:$AL55="NT")*6+($AL55:$AL55="C")*10+($AL55:$AL55="A")*8+($AL55:$AL55="J")*5+($AL55:$AL55="E")*4+($AL55:$AL55="P")*6+($AL55:$AL55="R")*6)+SUMPRODUCT(($AN55:$AS55="M")*6+($AN55:$AS55="T")*6+($AN55:$AS55="D")*12+($AN55:$AS55="N")*12+($AN55:$AS55="NT")*6+($AN55:$AS55="C")*10+($AN55:$AS55="A")*8+($AN55:$AS55="J")*5+($AN55:$AS55="E")*4+($AN55:$AS55="P")*6+($AN55:$AS55="R")*6)</f>
        <v/>
      </c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123">
        <f>IFERROR(INDEX(OUT!AH$8:AH$73,MATCH($A56,OUT!$A$8:$A$73,0))&amp;"","")</f>
        <v/>
      </c>
      <c r="D56" s="123">
        <f>IFERROR(INDEX(OUT!AI$8:AI$73,MATCH($A56,OUT!$A$8:$A$73,0))&amp;"","")</f>
        <v/>
      </c>
      <c r="E56" s="123">
        <f>IFERROR(INDEX(OUT!AJ$8:AJ$73,MATCH($A56,OUT!$A$8:$A$73,0))&amp;"","")</f>
        <v/>
      </c>
      <c r="F56" s="123">
        <f>IFERROR(INDEX(OUT!AK$8:AK$73,MATCH($A56,OUT!$A$8:$A$73,0))&amp;"","")</f>
        <v/>
      </c>
      <c r="G56" s="123">
        <f>IFERROR(INDEX(OUT!AL$8:AL$73,MATCH($A56,OUT!$A$8:$A$73,0))&amp;"","")</f>
        <v/>
      </c>
      <c r="H56" s="109">
        <f>IFERROR(INDEX(OUT!AM$8:AM$73,MATCH($A56,OUT!$A$8:$A$73,0))&amp;"","")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96" t="n"/>
      <c r="AN56" s="123">
        <f>IFERROR(INDEX(DEZ!I$8:I$73,MATCH($A56,DEZ!$A$8:$A$73,0))&amp;"","")</f>
        <v/>
      </c>
      <c r="AO56" s="123">
        <f>IFERROR(INDEX(DEZ!J$8:J$73,MATCH($A56,DEZ!$A$8:$A$73,0))&amp;"","")</f>
        <v/>
      </c>
      <c r="AP56" s="123">
        <f>IFERROR(INDEX(DEZ!K$8:K$73,MATCH($A56,DEZ!$A$8:$A$73,0))&amp;"","")</f>
        <v/>
      </c>
      <c r="AQ56" s="123">
        <f>IFERROR(INDEX(DEZ!L$8:L$73,MATCH($A56,DEZ!$A$8:$A$73,0))&amp;"","")</f>
        <v/>
      </c>
      <c r="AR56" s="109">
        <f>IFERROR(INDEX(DEZ!M$8:M$73,MATCH($A56,DEZ!$A$8:$A$73,0))&amp;"","")</f>
        <v/>
      </c>
      <c r="AS56" s="109">
        <f>IFERROR(INDEX(DEZ!N$8:N$73,MATCH($A56,DEZ!$A$8:$A$73,0))&amp;"","")</f>
        <v/>
      </c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SUMPRODUCT(($C56:$I56="M")*6+($C56:$I56="T")*6+($C56:$I56="D")*12+($C56:$I56="N")*12+($C56:$I56="NT")*6+($C56:$I56="C")*10+($C56:$I56="A")*8+($C56:$I56="J")*5+($C56:$I56="E")*4+($C56:$I56="P")*6+($C56:$I56="R")*6)</f>
        <v/>
      </c>
      <c r="BF56" s="110">
        <f>SUMPRODUCT(($J56:$P56="M")*6+($J56:$P56="T")*6+($J56:$P56="D")*12+($J56:$P56="N")*12+($J56:$P56="NT")*6+($J56:$P56="C")*10+($J56:$P56="A")*8+($J56:$P56="J")*5+($J56:$P56="E")*4+($J56:$P56="P")*6+($J56:$P56="R")*6)</f>
        <v/>
      </c>
      <c r="BG56" s="110">
        <f>SUMPRODUCT(($Q56:$W56="M")*6+($Q56:$W56="T")*6+($Q56:$W56="D")*12+($Q56:$W56="N")*12+($Q56:$W56="NT")*6+($Q56:$W56="C")*10+($Q56:$W56="A")*8+($Q56:$W56="J")*5+($Q56:$W56="E")*4+($Q56:$W56="P")*6+($Q56:$W56="R")*6)</f>
        <v/>
      </c>
      <c r="BH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I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J56" s="110">
        <f>SUMPRODUCT(($AL56:$AL56="M")*6+($AL56:$AL56="T")*6+($AL56:$AL56="D")*12+($AL56:$AL56="N")*12+($AL56:$AL56="NT")*6+($AL56:$AL56="C")*10+($AL56:$AL56="A")*8+($AL56:$AL56="J")*5+($AL56:$AL56="E")*4+($AL56:$AL56="P")*6+($AL56:$AL56="R")*6)+SUMPRODUCT(($AN56:$AS56="M")*6+($AN56:$AS56="T")*6+($AN56:$AS56="D")*12+($AN56:$AS56="N")*12+($AN56:$AS56="NT")*6+($AN56:$AS56="C")*10+($AN56:$AS56="A")*8+($AN56:$AS56="J")*5+($AN56:$AS56="E")*4+($AN56:$AS56="P")*6+($AN56:$AS56="R")*6)</f>
        <v/>
      </c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123">
        <f>IFERROR(INDEX(OUT!AH$8:AH$73,MATCH($A57,OUT!$A$8:$A$73,0))&amp;"","")</f>
        <v/>
      </c>
      <c r="D57" s="123">
        <f>IFERROR(INDEX(OUT!AI$8:AI$73,MATCH($A57,OUT!$A$8:$A$73,0))&amp;"","")</f>
        <v/>
      </c>
      <c r="E57" s="123">
        <f>IFERROR(INDEX(OUT!AJ$8:AJ$73,MATCH($A57,OUT!$A$8:$A$73,0))&amp;"","")</f>
        <v/>
      </c>
      <c r="F57" s="123">
        <f>IFERROR(INDEX(OUT!AK$8:AK$73,MATCH($A57,OUT!$A$8:$A$73,0))&amp;"","")</f>
        <v/>
      </c>
      <c r="G57" s="123">
        <f>IFERROR(INDEX(OUT!AL$8:AL$73,MATCH($A57,OUT!$A$8:$A$73,0))&amp;"","")</f>
        <v/>
      </c>
      <c r="H57" s="109">
        <f>IFERROR(INDEX(OUT!AM$8:AM$73,MATCH($A57,OUT!$A$8:$A$73,0))&amp;"","")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96" t="n"/>
      <c r="AN57" s="123">
        <f>IFERROR(INDEX(DEZ!I$8:I$73,MATCH($A57,DEZ!$A$8:$A$73,0))&amp;"","")</f>
        <v/>
      </c>
      <c r="AO57" s="123">
        <f>IFERROR(INDEX(DEZ!J$8:J$73,MATCH($A57,DEZ!$A$8:$A$73,0))&amp;"","")</f>
        <v/>
      </c>
      <c r="AP57" s="123">
        <f>IFERROR(INDEX(DEZ!K$8:K$73,MATCH($A57,DEZ!$A$8:$A$73,0))&amp;"","")</f>
        <v/>
      </c>
      <c r="AQ57" s="123">
        <f>IFERROR(INDEX(DEZ!L$8:L$73,MATCH($A57,DEZ!$A$8:$A$73,0))&amp;"","")</f>
        <v/>
      </c>
      <c r="AR57" s="109">
        <f>IFERROR(INDEX(DEZ!M$8:M$73,MATCH($A57,DEZ!$A$8:$A$73,0))&amp;"","")</f>
        <v/>
      </c>
      <c r="AS57" s="109">
        <f>IFERROR(INDEX(DEZ!N$8:N$73,MATCH($A57,DEZ!$A$8:$A$73,0))&amp;"","")</f>
        <v/>
      </c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SUMPRODUCT(($C57:$I57="M")*6+($C57:$I57="T")*6+($C57:$I57="D")*12+($C57:$I57="N")*12+($C57:$I57="NT")*6+($C57:$I57="C")*10+($C57:$I57="A")*8+($C57:$I57="J")*5+($C57:$I57="E")*4+($C57:$I57="P")*6+($C57:$I57="R")*6)</f>
        <v/>
      </c>
      <c r="BF57" s="110">
        <f>SUMPRODUCT(($J57:$P57="M")*6+($J57:$P57="T")*6+($J57:$P57="D")*12+($J57:$P57="N")*12+($J57:$P57="NT")*6+($J57:$P57="C")*10+($J57:$P57="A")*8+($J57:$P57="J")*5+($J57:$P57="E")*4+($J57:$P57="P")*6+($J57:$P57="R")*6)</f>
        <v/>
      </c>
      <c r="BG57" s="110">
        <f>SUMPRODUCT(($Q57:$W57="M")*6+($Q57:$W57="T")*6+($Q57:$W57="D")*12+($Q57:$W57="N")*12+($Q57:$W57="NT")*6+($Q57:$W57="C")*10+($Q57:$W57="A")*8+($Q57:$W57="J")*5+($Q57:$W57="E")*4+($Q57:$W57="P")*6+($Q57:$W57="R")*6)</f>
        <v/>
      </c>
      <c r="BH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I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J57" s="110">
        <f>SUMPRODUCT(($AL57:$AL57="M")*6+($AL57:$AL57="T")*6+($AL57:$AL57="D")*12+($AL57:$AL57="N")*12+($AL57:$AL57="NT")*6+($AL57:$AL57="C")*10+($AL57:$AL57="A")*8+($AL57:$AL57="J")*5+($AL57:$AL57="E")*4+($AL57:$AL57="P")*6+($AL57:$AL57="R")*6)+SUMPRODUCT(($AN57:$AS57="M")*6+($AN57:$AS57="T")*6+($AN57:$AS57="D")*12+($AN57:$AS57="N")*12+($AN57:$AS57="NT")*6+($AN57:$AS57="C")*10+($AN57:$AS57="A")*8+($AN57:$AS57="J")*5+($AN57:$AS57="E")*4+($AN57:$AS57="P")*6+($AN57:$AS57="R")*6)</f>
        <v/>
      </c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123">
        <f>IFERROR(INDEX(OUT!AH$8:AH$73,MATCH($A58,OUT!$A$8:$A$73,0))&amp;"","")</f>
        <v/>
      </c>
      <c r="D58" s="123">
        <f>IFERROR(INDEX(OUT!AI$8:AI$73,MATCH($A58,OUT!$A$8:$A$73,0))&amp;"","")</f>
        <v/>
      </c>
      <c r="E58" s="123">
        <f>IFERROR(INDEX(OUT!AJ$8:AJ$73,MATCH($A58,OUT!$A$8:$A$73,0))&amp;"","")</f>
        <v/>
      </c>
      <c r="F58" s="123">
        <f>IFERROR(INDEX(OUT!AK$8:AK$73,MATCH($A58,OUT!$A$8:$A$73,0))&amp;"","")</f>
        <v/>
      </c>
      <c r="G58" s="123">
        <f>IFERROR(INDEX(OUT!AL$8:AL$73,MATCH($A58,OUT!$A$8:$A$73,0))&amp;"","")</f>
        <v/>
      </c>
      <c r="H58" s="109">
        <f>IFERROR(INDEX(OUT!AM$8:AM$73,MATCH($A58,OUT!$A$8:$A$73,0))&amp;"","")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96" t="n"/>
      <c r="AN58" s="123">
        <f>IFERROR(INDEX(DEZ!I$8:I$73,MATCH($A58,DEZ!$A$8:$A$73,0))&amp;"","")</f>
        <v/>
      </c>
      <c r="AO58" s="123">
        <f>IFERROR(INDEX(DEZ!J$8:J$73,MATCH($A58,DEZ!$A$8:$A$73,0))&amp;"","")</f>
        <v/>
      </c>
      <c r="AP58" s="123">
        <f>IFERROR(INDEX(DEZ!K$8:K$73,MATCH($A58,DEZ!$A$8:$A$73,0))&amp;"","")</f>
        <v/>
      </c>
      <c r="AQ58" s="123">
        <f>IFERROR(INDEX(DEZ!L$8:L$73,MATCH($A58,DEZ!$A$8:$A$73,0))&amp;"","")</f>
        <v/>
      </c>
      <c r="AR58" s="109">
        <f>IFERROR(INDEX(DEZ!M$8:M$73,MATCH($A58,DEZ!$A$8:$A$73,0))&amp;"","")</f>
        <v/>
      </c>
      <c r="AS58" s="109">
        <f>IFERROR(INDEX(DEZ!N$8:N$73,MATCH($A58,DEZ!$A$8:$A$73,0))&amp;"","")</f>
        <v/>
      </c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SUMPRODUCT(($C58:$I58="M")*6+($C58:$I58="T")*6+($C58:$I58="D")*12+($C58:$I58="N")*12+($C58:$I58="NT")*6+($C58:$I58="C")*10+($C58:$I58="A")*8+($C58:$I58="J")*5+($C58:$I58="E")*4+($C58:$I58="P")*6+($C58:$I58="R")*6)</f>
        <v/>
      </c>
      <c r="BF58" s="110">
        <f>SUMPRODUCT(($J58:$P58="M")*6+($J58:$P58="T")*6+($J58:$P58="D")*12+($J58:$P58="N")*12+($J58:$P58="NT")*6+($J58:$P58="C")*10+($J58:$P58="A")*8+($J58:$P58="J")*5+($J58:$P58="E")*4+($J58:$P58="P")*6+($J58:$P58="R")*6)</f>
        <v/>
      </c>
      <c r="BG58" s="110">
        <f>SUMPRODUCT(($Q58:$W58="M")*6+($Q58:$W58="T")*6+($Q58:$W58="D")*12+($Q58:$W58="N")*12+($Q58:$W58="NT")*6+($Q58:$W58="C")*10+($Q58:$W58="A")*8+($Q58:$W58="J")*5+($Q58:$W58="E")*4+($Q58:$W58="P")*6+($Q58:$W58="R")*6)</f>
        <v/>
      </c>
      <c r="BH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I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J58" s="110">
        <f>SUMPRODUCT(($AL58:$AL58="M")*6+($AL58:$AL58="T")*6+($AL58:$AL58="D")*12+($AL58:$AL58="N")*12+($AL58:$AL58="NT")*6+($AL58:$AL58="C")*10+($AL58:$AL58="A")*8+($AL58:$AL58="J")*5+($AL58:$AL58="E")*4+($AL58:$AL58="P")*6+($AL58:$AL58="R")*6)+SUMPRODUCT(($AN58:$AS58="M")*6+($AN58:$AS58="T")*6+($AN58:$AS58="D")*12+($AN58:$AS58="N")*12+($AN58:$AS58="NT")*6+($AN58:$AS58="C")*10+($AN58:$AS58="A")*8+($AN58:$AS58="J")*5+($AN58:$AS58="E")*4+($AN58:$AS58="P")*6+($AN58:$AS58="R")*6)</f>
        <v/>
      </c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123">
        <f>IFERROR(INDEX(OUT!AH$8:AH$73,MATCH($A59,OUT!$A$8:$A$73,0))&amp;"","")</f>
        <v/>
      </c>
      <c r="D59" s="123">
        <f>IFERROR(INDEX(OUT!AI$8:AI$73,MATCH($A59,OUT!$A$8:$A$73,0))&amp;"","")</f>
        <v/>
      </c>
      <c r="E59" s="123">
        <f>IFERROR(INDEX(OUT!AJ$8:AJ$73,MATCH($A59,OUT!$A$8:$A$73,0))&amp;"","")</f>
        <v/>
      </c>
      <c r="F59" s="123">
        <f>IFERROR(INDEX(OUT!AK$8:AK$73,MATCH($A59,OUT!$A$8:$A$73,0))&amp;"","")</f>
        <v/>
      </c>
      <c r="G59" s="123">
        <f>IFERROR(INDEX(OUT!AL$8:AL$73,MATCH($A59,OUT!$A$8:$A$73,0))&amp;"","")</f>
        <v/>
      </c>
      <c r="H59" s="109">
        <f>IFERROR(INDEX(OUT!AM$8:AM$73,MATCH($A59,OUT!$A$8:$A$73,0))&amp;"","")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23">
        <f>IFERROR(INDEX(DEZ!I$8:I$73,MATCH($A59,DEZ!$A$8:$A$73,0))&amp;"","")</f>
        <v/>
      </c>
      <c r="AO59" s="123">
        <f>IFERROR(INDEX(DEZ!J$8:J$73,MATCH($A59,DEZ!$A$8:$A$73,0))&amp;"","")</f>
        <v/>
      </c>
      <c r="AP59" s="123">
        <f>IFERROR(INDEX(DEZ!K$8:K$73,MATCH($A59,DEZ!$A$8:$A$73,0))&amp;"","")</f>
        <v/>
      </c>
      <c r="AQ59" s="123">
        <f>IFERROR(INDEX(DEZ!L$8:L$73,MATCH($A59,DEZ!$A$8:$A$73,0))&amp;"","")</f>
        <v/>
      </c>
      <c r="AR59" s="109">
        <f>IFERROR(INDEX(DEZ!M$8:M$73,MATCH($A59,DEZ!$A$8:$A$73,0))&amp;"","")</f>
        <v/>
      </c>
      <c r="AS59" s="109">
        <f>IFERROR(INDEX(DEZ!N$8:N$73,MATCH($A59,DEZ!$A$8:$A$73,0))&amp;"","")</f>
        <v/>
      </c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SUMPRODUCT(($C59:$I59="M")*6+($C59:$I59="T")*6+($C59:$I59="D")*12+($C59:$I59="N")*12+($C59:$I59="NT")*6+($C59:$I59="C")*10+($C59:$I59="A")*8+($C59:$I59="J")*5+($C59:$I59="E")*4+($C59:$I59="P")*6+($C59:$I59="R")*6)</f>
        <v/>
      </c>
      <c r="BF59" s="110">
        <f>SUMPRODUCT(($J59:$P59="M")*6+($J59:$P59="T")*6+($J59:$P59="D")*12+($J59:$P59="N")*12+($J59:$P59="NT")*6+($J59:$P59="C")*10+($J59:$P59="A")*8+($J59:$P59="J")*5+($J59:$P59="E")*4+($J59:$P59="P")*6+($J59:$P59="R")*6)</f>
        <v/>
      </c>
      <c r="BG59" s="110">
        <f>SUMPRODUCT(($Q59:$W59="M")*6+($Q59:$W59="T")*6+($Q59:$W59="D")*12+($Q59:$W59="N")*12+($Q59:$W59="NT")*6+($Q59:$W59="C")*10+($Q59:$W59="A")*8+($Q59:$W59="J")*5+($Q59:$W59="E")*4+($Q59:$W59="P")*6+($Q59:$W59="R")*6)</f>
        <v/>
      </c>
      <c r="BH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I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J59" s="110">
        <f>SUMPRODUCT(($AL59:$AL59="M")*6+($AL59:$AL59="T")*6+($AL59:$AL59="D")*12+($AL59:$AL59="N")*12+($AL59:$AL59="NT")*6+($AL59:$AL59="C")*10+($AL59:$AL59="A")*8+($AL59:$AL59="J")*5+($AL59:$AL59="E")*4+($AL59:$AL59="P")*6+($AL59:$AL59="R")*6)+SUMPRODUCT(($AN59:$AS59="M")*6+($AN59:$AS59="T")*6+($AN59:$AS59="D")*12+($AN59:$AS59="N")*12+($AN59:$AS59="NT")*6+($AN59:$AS59="C")*10+($AN59:$AS59="A")*8+($AN59:$AS59="J")*5+($AN59:$AS59="E")*4+($AN59:$AS59="P")*6+($AN59:$AS59="R")*6)</f>
        <v/>
      </c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123">
        <f>IFERROR(INDEX(OUT!AH$8:AH$73,MATCH($A60,OUT!$A$8:$A$73,0))&amp;"","")</f>
        <v/>
      </c>
      <c r="D60" s="123">
        <f>IFERROR(INDEX(OUT!AI$8:AI$73,MATCH($A60,OUT!$A$8:$A$73,0))&amp;"","")</f>
        <v/>
      </c>
      <c r="E60" s="123">
        <f>IFERROR(INDEX(OUT!AJ$8:AJ$73,MATCH($A60,OUT!$A$8:$A$73,0))&amp;"","")</f>
        <v/>
      </c>
      <c r="F60" s="123">
        <f>IFERROR(INDEX(OUT!AK$8:AK$73,MATCH($A60,OUT!$A$8:$A$73,0))&amp;"","")</f>
        <v/>
      </c>
      <c r="G60" s="123">
        <f>IFERROR(INDEX(OUT!AL$8:AL$73,MATCH($A60,OUT!$A$8:$A$73,0))&amp;"","")</f>
        <v/>
      </c>
      <c r="H60" s="109">
        <f>IFERROR(INDEX(OUT!AM$8:AM$73,MATCH($A60,OUT!$A$8:$A$73,0))&amp;"","")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96" t="n"/>
      <c r="AN60" s="123">
        <f>IFERROR(INDEX(DEZ!I$8:I$73,MATCH($A60,DEZ!$A$8:$A$73,0))&amp;"","")</f>
        <v/>
      </c>
      <c r="AO60" s="123">
        <f>IFERROR(INDEX(DEZ!J$8:J$73,MATCH($A60,DEZ!$A$8:$A$73,0))&amp;"","")</f>
        <v/>
      </c>
      <c r="AP60" s="123">
        <f>IFERROR(INDEX(DEZ!K$8:K$73,MATCH($A60,DEZ!$A$8:$A$73,0))&amp;"","")</f>
        <v/>
      </c>
      <c r="AQ60" s="123">
        <f>IFERROR(INDEX(DEZ!L$8:L$73,MATCH($A60,DEZ!$A$8:$A$73,0))&amp;"","")</f>
        <v/>
      </c>
      <c r="AR60" s="109">
        <f>IFERROR(INDEX(DEZ!M$8:M$73,MATCH($A60,DEZ!$A$8:$A$73,0))&amp;"","")</f>
        <v/>
      </c>
      <c r="AS60" s="109">
        <f>IFERROR(INDEX(DEZ!N$8:N$73,MATCH($A60,DEZ!$A$8:$A$73,0))&amp;"","")</f>
        <v/>
      </c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SUMPRODUCT(($C60:$I60="M")*6+($C60:$I60="T")*6+($C60:$I60="D")*12+($C60:$I60="N")*12+($C60:$I60="NT")*6+($C60:$I60="C")*10+($C60:$I60="A")*8+($C60:$I60="J")*5+($C60:$I60="E")*4+($C60:$I60="P")*6+($C60:$I60="R")*6)</f>
        <v/>
      </c>
      <c r="BF60" s="110">
        <f>SUMPRODUCT(($J60:$P60="M")*6+($J60:$P60="T")*6+($J60:$P60="D")*12+($J60:$P60="N")*12+($J60:$P60="NT")*6+($J60:$P60="C")*10+($J60:$P60="A")*8+($J60:$P60="J")*5+($J60:$P60="E")*4+($J60:$P60="P")*6+($J60:$P60="R")*6)</f>
        <v/>
      </c>
      <c r="BG60" s="110">
        <f>SUMPRODUCT(($Q60:$W60="M")*6+($Q60:$W60="T")*6+($Q60:$W60="D")*12+($Q60:$W60="N")*12+($Q60:$W60="NT")*6+($Q60:$W60="C")*10+($Q60:$W60="A")*8+($Q60:$W60="J")*5+($Q60:$W60="E")*4+($Q60:$W60="P")*6+($Q60:$W60="R")*6)</f>
        <v/>
      </c>
      <c r="BH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I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J60" s="110">
        <f>SUMPRODUCT(($AL60:$AL60="M")*6+($AL60:$AL60="T")*6+($AL60:$AL60="D")*12+($AL60:$AL60="N")*12+($AL60:$AL60="NT")*6+($AL60:$AL60="C")*10+($AL60:$AL60="A")*8+($AL60:$AL60="J")*5+($AL60:$AL60="E")*4+($AL60:$AL60="P")*6+($AL60:$AL60="R")*6)+SUMPRODUCT(($AN60:$AS60="M")*6+($AN60:$AS60="T")*6+($AN60:$AS60="D")*12+($AN60:$AS60="N")*12+($AN60:$AS60="NT")*6+($AN60:$AS60="C")*10+($AN60:$AS60="A")*8+($AN60:$AS60="J")*5+($AN60:$AS60="E")*4+($AN60:$AS60="P")*6+($AN60:$AS60="R")*6)</f>
        <v/>
      </c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123">
        <f>IFERROR(INDEX(OUT!AH$8:AH$73,MATCH($A61,OUT!$A$8:$A$73,0))&amp;"","")</f>
        <v/>
      </c>
      <c r="D61" s="123">
        <f>IFERROR(INDEX(OUT!AI$8:AI$73,MATCH($A61,OUT!$A$8:$A$73,0))&amp;"","")</f>
        <v/>
      </c>
      <c r="E61" s="123">
        <f>IFERROR(INDEX(OUT!AJ$8:AJ$73,MATCH($A61,OUT!$A$8:$A$73,0))&amp;"","")</f>
        <v/>
      </c>
      <c r="F61" s="123">
        <f>IFERROR(INDEX(OUT!AK$8:AK$73,MATCH($A61,OUT!$A$8:$A$73,0))&amp;"","")</f>
        <v/>
      </c>
      <c r="G61" s="123">
        <f>IFERROR(INDEX(OUT!AL$8:AL$73,MATCH($A61,OUT!$A$8:$A$73,0))&amp;"","")</f>
        <v/>
      </c>
      <c r="H61" s="109">
        <f>IFERROR(INDEX(OUT!AM$8:AM$73,MATCH($A61,OUT!$A$8:$A$73,0))&amp;"","")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23">
        <f>IFERROR(INDEX(DEZ!I$8:I$73,MATCH($A61,DEZ!$A$8:$A$73,0))&amp;"","")</f>
        <v/>
      </c>
      <c r="AO61" s="123">
        <f>IFERROR(INDEX(DEZ!J$8:J$73,MATCH($A61,DEZ!$A$8:$A$73,0))&amp;"","")</f>
        <v/>
      </c>
      <c r="AP61" s="123">
        <f>IFERROR(INDEX(DEZ!K$8:K$73,MATCH($A61,DEZ!$A$8:$A$73,0))&amp;"","")</f>
        <v/>
      </c>
      <c r="AQ61" s="123">
        <f>IFERROR(INDEX(DEZ!L$8:L$73,MATCH($A61,DEZ!$A$8:$A$73,0))&amp;"","")</f>
        <v/>
      </c>
      <c r="AR61" s="109">
        <f>IFERROR(INDEX(DEZ!M$8:M$73,MATCH($A61,DEZ!$A$8:$A$73,0))&amp;"","")</f>
        <v/>
      </c>
      <c r="AS61" s="109">
        <f>IFERROR(INDEX(DEZ!N$8:N$73,MATCH($A61,DEZ!$A$8:$A$73,0))&amp;"","")</f>
        <v/>
      </c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SUMPRODUCT(($C61:$I61="M")*6+($C61:$I61="T")*6+($C61:$I61="D")*12+($C61:$I61="N")*12+($C61:$I61="NT")*6+($C61:$I61="C")*10+($C61:$I61="A")*8+($C61:$I61="J")*5+($C61:$I61="E")*4+($C61:$I61="P")*6+($C61:$I61="R")*6)</f>
        <v/>
      </c>
      <c r="BF61" s="110">
        <f>SUMPRODUCT(($J61:$P61="M")*6+($J61:$P61="T")*6+($J61:$P61="D")*12+($J61:$P61="N")*12+($J61:$P61="NT")*6+($J61:$P61="C")*10+($J61:$P61="A")*8+($J61:$P61="J")*5+($J61:$P61="E")*4+($J61:$P61="P")*6+($J61:$P61="R")*6)</f>
        <v/>
      </c>
      <c r="BG61" s="110">
        <f>SUMPRODUCT(($Q61:$W61="M")*6+($Q61:$W61="T")*6+($Q61:$W61="D")*12+($Q61:$W61="N")*12+($Q61:$W61="NT")*6+($Q61:$W61="C")*10+($Q61:$W61="A")*8+($Q61:$W61="J")*5+($Q61:$W61="E")*4+($Q61:$W61="P")*6+($Q61:$W61="R")*6)</f>
        <v/>
      </c>
      <c r="BH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I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J61" s="110">
        <f>SUMPRODUCT(($AL61:$AL61="M")*6+($AL61:$AL61="T")*6+($AL61:$AL61="D")*12+($AL61:$AL61="N")*12+($AL61:$AL61="NT")*6+($AL61:$AL61="C")*10+($AL61:$AL61="A")*8+($AL61:$AL61="J")*5+($AL61:$AL61="E")*4+($AL61:$AL61="P")*6+($AL61:$AL61="R")*6)+SUMPRODUCT(($AN61:$AS61="M")*6+($AN61:$AS61="T")*6+($AN61:$AS61="D")*12+($AN61:$AS61="N")*12+($AN61:$AS61="NT")*6+($AN61:$AS61="C")*10+($AN61:$AS61="A")*8+($AN61:$AS61="J")*5+($AN61:$AS61="E")*4+($AN61:$AS61="P")*6+($AN61:$AS61="R")*6)</f>
        <v/>
      </c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123">
        <f>IFERROR(INDEX(OUT!AH$8:AH$73,MATCH($A62,OUT!$A$8:$A$73,0))&amp;"","")</f>
        <v/>
      </c>
      <c r="D62" s="123">
        <f>IFERROR(INDEX(OUT!AI$8:AI$73,MATCH($A62,OUT!$A$8:$A$73,0))&amp;"","")</f>
        <v/>
      </c>
      <c r="E62" s="123">
        <f>IFERROR(INDEX(OUT!AJ$8:AJ$73,MATCH($A62,OUT!$A$8:$A$73,0))&amp;"","")</f>
        <v/>
      </c>
      <c r="F62" s="123">
        <f>IFERROR(INDEX(OUT!AK$8:AK$73,MATCH($A62,OUT!$A$8:$A$73,0))&amp;"","")</f>
        <v/>
      </c>
      <c r="G62" s="123">
        <f>IFERROR(INDEX(OUT!AL$8:AL$73,MATCH($A62,OUT!$A$8:$A$73,0))&amp;"","")</f>
        <v/>
      </c>
      <c r="H62" s="109">
        <f>IFERROR(INDEX(OUT!AM$8:AM$73,MATCH($A62,OUT!$A$8:$A$73,0))&amp;"","")</f>
        <v/>
      </c>
      <c r="I62" s="115" t="inlineStr">
        <is>
          <t>D</t>
        </is>
      </c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96" t="n"/>
      <c r="AN62" s="123">
        <f>IFERROR(INDEX(DEZ!I$8:I$73,MATCH($A62,DEZ!$A$8:$A$73,0))&amp;"","")</f>
        <v/>
      </c>
      <c r="AO62" s="123">
        <f>IFERROR(INDEX(DEZ!J$8:J$73,MATCH($A62,DEZ!$A$8:$A$73,0))&amp;"","")</f>
        <v/>
      </c>
      <c r="AP62" s="123">
        <f>IFERROR(INDEX(DEZ!K$8:K$73,MATCH($A62,DEZ!$A$8:$A$73,0))&amp;"","")</f>
        <v/>
      </c>
      <c r="AQ62" s="123">
        <f>IFERROR(INDEX(DEZ!L$8:L$73,MATCH($A62,DEZ!$A$8:$A$73,0))&amp;"","")</f>
        <v/>
      </c>
      <c r="AR62" s="109">
        <f>IFERROR(INDEX(DEZ!M$8:M$73,MATCH($A62,DEZ!$A$8:$A$73,0))&amp;"","")</f>
        <v/>
      </c>
      <c r="AS62" s="109">
        <f>IFERROR(INDEX(DEZ!N$8:N$73,MATCH($A62,DEZ!$A$8:$A$73,0))&amp;"","")</f>
        <v/>
      </c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SUMPRODUCT(($C62:$I62="M")*6+($C62:$I62="T")*6+($C62:$I62="D")*12+($C62:$I62="N")*12+($C62:$I62="NT")*6+($C62:$I62="C")*10+($C62:$I62="A")*8+($C62:$I62="J")*5+($C62:$I62="E")*4+($C62:$I62="P")*6+($C62:$I62="R")*6)</f>
        <v/>
      </c>
      <c r="BF62" s="110">
        <f>SUMPRODUCT(($J62:$P62="M")*6+($J62:$P62="T")*6+($J62:$P62="D")*12+($J62:$P62="N")*12+($J62:$P62="NT")*6+($J62:$P62="C")*10+($J62:$P62="A")*8+($J62:$P62="J")*5+($J62:$P62="E")*4+($J62:$P62="P")*6+($J62:$P62="R")*6)</f>
        <v/>
      </c>
      <c r="BG62" s="110">
        <f>SUMPRODUCT(($Q62:$W62="M")*6+($Q62:$W62="T")*6+($Q62:$W62="D")*12+($Q62:$W62="N")*12+($Q62:$W62="NT")*6+($Q62:$W62="C")*10+($Q62:$W62="A")*8+($Q62:$W62="J")*5+($Q62:$W62="E")*4+($Q62:$W62="P")*6+($Q62:$W62="R")*6)</f>
        <v/>
      </c>
      <c r="BH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I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J62" s="110">
        <f>SUMPRODUCT(($AL62:$AL62="M")*6+($AL62:$AL62="T")*6+($AL62:$AL62="D")*12+($AL62:$AL62="N")*12+($AL62:$AL62="NT")*6+($AL62:$AL62="C")*10+($AL62:$AL62="A")*8+($AL62:$AL62="J")*5+($AL62:$AL62="E")*4+($AL62:$AL62="P")*6+($AL62:$AL62="R")*6)+SUMPRODUCT(($AN62:$AS62="M")*6+($AN62:$AS62="T")*6+($AN62:$AS62="D")*12+($AN62:$AS62="N")*12+($AN62:$AS62="NT")*6+($AN62:$AS62="C")*10+($AN62:$AS62="A")*8+($AN62:$AS62="J")*5+($AN62:$AS62="E")*4+($AN62:$AS62="P")*6+($AN62:$AS62="R")*6)</f>
        <v/>
      </c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123">
        <f>IFERROR(INDEX(OUT!AH$8:AH$73,MATCH($A63,OUT!$A$8:$A$73,0))&amp;"","")</f>
        <v/>
      </c>
      <c r="D63" s="123">
        <f>IFERROR(INDEX(OUT!AI$8:AI$73,MATCH($A63,OUT!$A$8:$A$73,0))&amp;"","")</f>
        <v/>
      </c>
      <c r="E63" s="123">
        <f>IFERROR(INDEX(OUT!AJ$8:AJ$73,MATCH($A63,OUT!$A$8:$A$73,0))&amp;"","")</f>
        <v/>
      </c>
      <c r="F63" s="123">
        <f>IFERROR(INDEX(OUT!AK$8:AK$73,MATCH($A63,OUT!$A$8:$A$73,0))&amp;"","")</f>
        <v/>
      </c>
      <c r="G63" s="123">
        <f>IFERROR(INDEX(OUT!AL$8:AL$73,MATCH($A63,OUT!$A$8:$A$73,0))&amp;"","")</f>
        <v/>
      </c>
      <c r="H63" s="109">
        <f>IFERROR(INDEX(OUT!AM$8:AM$73,MATCH($A63,OUT!$A$8:$A$73,0))&amp;"","")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96" t="n"/>
      <c r="AN63" s="123">
        <f>IFERROR(INDEX(DEZ!I$8:I$73,MATCH($A63,DEZ!$A$8:$A$73,0))&amp;"","")</f>
        <v/>
      </c>
      <c r="AO63" s="123">
        <f>IFERROR(INDEX(DEZ!J$8:J$73,MATCH($A63,DEZ!$A$8:$A$73,0))&amp;"","")</f>
        <v/>
      </c>
      <c r="AP63" s="123">
        <f>IFERROR(INDEX(DEZ!K$8:K$73,MATCH($A63,DEZ!$A$8:$A$73,0))&amp;"","")</f>
        <v/>
      </c>
      <c r="AQ63" s="123">
        <f>IFERROR(INDEX(DEZ!L$8:L$73,MATCH($A63,DEZ!$A$8:$A$73,0))&amp;"","")</f>
        <v/>
      </c>
      <c r="AR63" s="109">
        <f>IFERROR(INDEX(DEZ!M$8:M$73,MATCH($A63,DEZ!$A$8:$A$73,0))&amp;"","")</f>
        <v/>
      </c>
      <c r="AS63" s="109">
        <f>IFERROR(INDEX(DEZ!N$8:N$73,MATCH($A63,DEZ!$A$8:$A$73,0))&amp;"","")</f>
        <v/>
      </c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SUMPRODUCT(($C63:$I63="M")*6+($C63:$I63="T")*6+($C63:$I63="D")*12+($C63:$I63="N")*12+($C63:$I63="NT")*6+($C63:$I63="C")*10+($C63:$I63="A")*8+($C63:$I63="J")*5+($C63:$I63="E")*4+($C63:$I63="P")*6+($C63:$I63="R")*6)</f>
        <v/>
      </c>
      <c r="BF63" s="110">
        <f>SUMPRODUCT(($J63:$P63="M")*6+($J63:$P63="T")*6+($J63:$P63="D")*12+($J63:$P63="N")*12+($J63:$P63="NT")*6+($J63:$P63="C")*10+($J63:$P63="A")*8+($J63:$P63="J")*5+($J63:$P63="E")*4+($J63:$P63="P")*6+($J63:$P63="R")*6)</f>
        <v/>
      </c>
      <c r="BG63" s="110">
        <f>SUMPRODUCT(($Q63:$W63="M")*6+($Q63:$W63="T")*6+($Q63:$W63="D")*12+($Q63:$W63="N")*12+($Q63:$W63="NT")*6+($Q63:$W63="C")*10+($Q63:$W63="A")*8+($Q63:$W63="J")*5+($Q63:$W63="E")*4+($Q63:$W63="P")*6+($Q63:$W63="R")*6)</f>
        <v/>
      </c>
      <c r="BH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I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J63" s="110">
        <f>SUMPRODUCT(($AL63:$AL63="M")*6+($AL63:$AL63="T")*6+($AL63:$AL63="D")*12+($AL63:$AL63="N")*12+($AL63:$AL63="NT")*6+($AL63:$AL63="C")*10+($AL63:$AL63="A")*8+($AL63:$AL63="J")*5+($AL63:$AL63="E")*4+($AL63:$AL63="P")*6+($AL63:$AL63="R")*6)+SUMPRODUCT(($AN63:$AS63="M")*6+($AN63:$AS63="T")*6+($AN63:$AS63="D")*12+($AN63:$AS63="N")*12+($AN63:$AS63="NT")*6+($AN63:$AS63="C")*10+($AN63:$AS63="A")*8+($AN63:$AS63="J")*5+($AN63:$AS63="E")*4+($AN63:$AS63="P")*6+($AN63:$AS63="R")*6)</f>
        <v/>
      </c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123">
        <f>IFERROR(INDEX(OUT!AH$8:AH$73,MATCH($A64,OUT!$A$8:$A$73,0))&amp;"","")</f>
        <v/>
      </c>
      <c r="D64" s="123">
        <f>IFERROR(INDEX(OUT!AI$8:AI$73,MATCH($A64,OUT!$A$8:$A$73,0))&amp;"","")</f>
        <v/>
      </c>
      <c r="E64" s="123">
        <f>IFERROR(INDEX(OUT!AJ$8:AJ$73,MATCH($A64,OUT!$A$8:$A$73,0))&amp;"","")</f>
        <v/>
      </c>
      <c r="F64" s="123">
        <f>IFERROR(INDEX(OUT!AK$8:AK$73,MATCH($A64,OUT!$A$8:$A$73,0))&amp;"","")</f>
        <v/>
      </c>
      <c r="G64" s="123">
        <f>IFERROR(INDEX(OUT!AL$8:AL$73,MATCH($A64,OUT!$A$8:$A$73,0))&amp;"","")</f>
        <v/>
      </c>
      <c r="H64" s="109">
        <f>IFERROR(INDEX(OUT!AM$8:AM$73,MATCH($A64,OUT!$A$8:$A$73,0))&amp;"","")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23">
        <f>IFERROR(INDEX(DEZ!I$8:I$73,MATCH($A64,DEZ!$A$8:$A$73,0))&amp;"","")</f>
        <v/>
      </c>
      <c r="AO64" s="123">
        <f>IFERROR(INDEX(DEZ!J$8:J$73,MATCH($A64,DEZ!$A$8:$A$73,0))&amp;"","")</f>
        <v/>
      </c>
      <c r="AP64" s="123">
        <f>IFERROR(INDEX(DEZ!K$8:K$73,MATCH($A64,DEZ!$A$8:$A$73,0))&amp;"","")</f>
        <v/>
      </c>
      <c r="AQ64" s="123">
        <f>IFERROR(INDEX(DEZ!L$8:L$73,MATCH($A64,DEZ!$A$8:$A$73,0))&amp;"","")</f>
        <v/>
      </c>
      <c r="AR64" s="109">
        <f>IFERROR(INDEX(DEZ!M$8:M$73,MATCH($A64,DEZ!$A$8:$A$73,0))&amp;"","")</f>
        <v/>
      </c>
      <c r="AS64" s="109">
        <f>IFERROR(INDEX(DEZ!N$8:N$73,MATCH($A64,DEZ!$A$8:$A$73,0))&amp;"","")</f>
        <v/>
      </c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SUMPRODUCT(($C64:$I64="M")*6+($C64:$I64="T")*6+($C64:$I64="D")*12+($C64:$I64="N")*12+($C64:$I64="NT")*6+($C64:$I64="C")*10+($C64:$I64="A")*8+($C64:$I64="J")*5+($C64:$I64="E")*4+($C64:$I64="P")*6+($C64:$I64="R")*6)</f>
        <v/>
      </c>
      <c r="BF64" s="110">
        <f>SUMPRODUCT(($J64:$P64="M")*6+($J64:$P64="T")*6+($J64:$P64="D")*12+($J64:$P64="N")*12+($J64:$P64="NT")*6+($J64:$P64="C")*10+($J64:$P64="A")*8+($J64:$P64="J")*5+($J64:$P64="E")*4+($J64:$P64="P")*6+($J64:$P64="R")*6)</f>
        <v/>
      </c>
      <c r="BG64" s="110">
        <f>SUMPRODUCT(($Q64:$W64="M")*6+($Q64:$W64="T")*6+($Q64:$W64="D")*12+($Q64:$W64="N")*12+($Q64:$W64="NT")*6+($Q64:$W64="C")*10+($Q64:$W64="A")*8+($Q64:$W64="J")*5+($Q64:$W64="E")*4+($Q64:$W64="P")*6+($Q64:$W64="R")*6)</f>
        <v/>
      </c>
      <c r="BH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I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J64" s="110">
        <f>SUMPRODUCT(($AL64:$AL64="M")*6+($AL64:$AL64="T")*6+($AL64:$AL64="D")*12+($AL64:$AL64="N")*12+($AL64:$AL64="NT")*6+($AL64:$AL64="C")*10+($AL64:$AL64="A")*8+($AL64:$AL64="J")*5+($AL64:$AL64="E")*4+($AL64:$AL64="P")*6+($AL64:$AL64="R")*6)+SUMPRODUCT(($AN64:$AS64="M")*6+($AN64:$AS64="T")*6+($AN64:$AS64="D")*12+($AN64:$AS64="N")*12+($AN64:$AS64="NT")*6+($AN64:$AS64="C")*10+($AN64:$AS64="A")*8+($AN64:$AS64="J")*5+($AN64:$AS64="E")*4+($AN64:$AS64="P")*6+($AN64:$AS64="R")*6)</f>
        <v/>
      </c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123">
        <f>IFERROR(INDEX(OUT!AH$8:AH$73,MATCH($A65,OUT!$A$8:$A$73,0))&amp;"","")</f>
        <v/>
      </c>
      <c r="D65" s="123">
        <f>IFERROR(INDEX(OUT!AI$8:AI$73,MATCH($A65,OUT!$A$8:$A$73,0))&amp;"","")</f>
        <v/>
      </c>
      <c r="E65" s="123">
        <f>IFERROR(INDEX(OUT!AJ$8:AJ$73,MATCH($A65,OUT!$A$8:$A$73,0))&amp;"","")</f>
        <v/>
      </c>
      <c r="F65" s="123">
        <f>IFERROR(INDEX(OUT!AK$8:AK$73,MATCH($A65,OUT!$A$8:$A$73,0))&amp;"","")</f>
        <v/>
      </c>
      <c r="G65" s="123">
        <f>IFERROR(INDEX(OUT!AL$8:AL$73,MATCH($A65,OUT!$A$8:$A$73,0))&amp;"","")</f>
        <v/>
      </c>
      <c r="H65" s="109">
        <f>IFERROR(INDEX(OUT!AM$8:AM$73,MATCH($A65,OUT!$A$8:$A$73,0))&amp;"","")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96" t="n"/>
      <c r="AN65" s="123">
        <f>IFERROR(INDEX(DEZ!I$8:I$73,MATCH($A65,DEZ!$A$8:$A$73,0))&amp;"","")</f>
        <v/>
      </c>
      <c r="AO65" s="123">
        <f>IFERROR(INDEX(DEZ!J$8:J$73,MATCH($A65,DEZ!$A$8:$A$73,0))&amp;"","")</f>
        <v/>
      </c>
      <c r="AP65" s="123">
        <f>IFERROR(INDEX(DEZ!K$8:K$73,MATCH($A65,DEZ!$A$8:$A$73,0))&amp;"","")</f>
        <v/>
      </c>
      <c r="AQ65" s="123">
        <f>IFERROR(INDEX(DEZ!L$8:L$73,MATCH($A65,DEZ!$A$8:$A$73,0))&amp;"","")</f>
        <v/>
      </c>
      <c r="AR65" s="109">
        <f>IFERROR(INDEX(DEZ!M$8:M$73,MATCH($A65,DEZ!$A$8:$A$73,0))&amp;"","")</f>
        <v/>
      </c>
      <c r="AS65" s="109">
        <f>IFERROR(INDEX(DEZ!N$8:N$73,MATCH($A65,DEZ!$A$8:$A$73,0))&amp;"","")</f>
        <v/>
      </c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SUMPRODUCT(($C65:$I65="M")*6+($C65:$I65="T")*6+($C65:$I65="D")*12+($C65:$I65="N")*12+($C65:$I65="NT")*6+($C65:$I65="C")*10+($C65:$I65="A")*8+($C65:$I65="J")*5+($C65:$I65="E")*4+($C65:$I65="P")*6+($C65:$I65="R")*6)</f>
        <v/>
      </c>
      <c r="BF65" s="110">
        <f>SUMPRODUCT(($J65:$P65="M")*6+($J65:$P65="T")*6+($J65:$P65="D")*12+($J65:$P65="N")*12+($J65:$P65="NT")*6+($J65:$P65="C")*10+($J65:$P65="A")*8+($J65:$P65="J")*5+($J65:$P65="E")*4+($J65:$P65="P")*6+($J65:$P65="R")*6)</f>
        <v/>
      </c>
      <c r="BG65" s="110">
        <f>SUMPRODUCT(($Q65:$W65="M")*6+($Q65:$W65="T")*6+($Q65:$W65="D")*12+($Q65:$W65="N")*12+($Q65:$W65="NT")*6+($Q65:$W65="C")*10+($Q65:$W65="A")*8+($Q65:$W65="J")*5+($Q65:$W65="E")*4+($Q65:$W65="P")*6+($Q65:$W65="R")*6)</f>
        <v/>
      </c>
      <c r="BH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I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J65" s="110">
        <f>SUMPRODUCT(($AL65:$AL65="M")*6+($AL65:$AL65="T")*6+($AL65:$AL65="D")*12+($AL65:$AL65="N")*12+($AL65:$AL65="NT")*6+($AL65:$AL65="C")*10+($AL65:$AL65="A")*8+($AL65:$AL65="J")*5+($AL65:$AL65="E")*4+($AL65:$AL65="P")*6+($AL65:$AL65="R")*6)+SUMPRODUCT(($AN65:$AS65="M")*6+($AN65:$AS65="T")*6+($AN65:$AS65="D")*12+($AN65:$AS65="N")*12+($AN65:$AS65="NT")*6+($AN65:$AS65="C")*10+($AN65:$AS65="A")*8+($AN65:$AS65="J")*5+($AN65:$AS65="E")*4+($AN65:$AS65="P")*6+($AN65:$AS65="R")*6)</f>
        <v/>
      </c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123">
        <f>IFERROR(INDEX(OUT!AH$8:AH$73,MATCH($A66,OUT!$A$8:$A$73,0))&amp;"","")</f>
        <v/>
      </c>
      <c r="D66" s="123">
        <f>IFERROR(INDEX(OUT!AI$8:AI$73,MATCH($A66,OUT!$A$8:$A$73,0))&amp;"","")</f>
        <v/>
      </c>
      <c r="E66" s="123">
        <f>IFERROR(INDEX(OUT!AJ$8:AJ$73,MATCH($A66,OUT!$A$8:$A$73,0))&amp;"","")</f>
        <v/>
      </c>
      <c r="F66" s="123">
        <f>IFERROR(INDEX(OUT!AK$8:AK$73,MATCH($A66,OUT!$A$8:$A$73,0))&amp;"","")</f>
        <v/>
      </c>
      <c r="G66" s="123">
        <f>IFERROR(INDEX(OUT!AL$8:AL$73,MATCH($A66,OUT!$A$8:$A$73,0))&amp;"","")</f>
        <v/>
      </c>
      <c r="H66" s="109">
        <f>IFERROR(INDEX(OUT!AM$8:AM$73,MATCH($A66,OUT!$A$8:$A$73,0))&amp;"","")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96" t="n"/>
      <c r="AN66" s="123">
        <f>IFERROR(INDEX(DEZ!I$8:I$73,MATCH($A66,DEZ!$A$8:$A$73,0))&amp;"","")</f>
        <v/>
      </c>
      <c r="AO66" s="123">
        <f>IFERROR(INDEX(DEZ!J$8:J$73,MATCH($A66,DEZ!$A$8:$A$73,0))&amp;"","")</f>
        <v/>
      </c>
      <c r="AP66" s="123">
        <f>IFERROR(INDEX(DEZ!K$8:K$73,MATCH($A66,DEZ!$A$8:$A$73,0))&amp;"","")</f>
        <v/>
      </c>
      <c r="AQ66" s="123">
        <f>IFERROR(INDEX(DEZ!L$8:L$73,MATCH($A66,DEZ!$A$8:$A$73,0))&amp;"","")</f>
        <v/>
      </c>
      <c r="AR66" s="109">
        <f>IFERROR(INDEX(DEZ!M$8:M$73,MATCH($A66,DEZ!$A$8:$A$73,0))&amp;"","")</f>
        <v/>
      </c>
      <c r="AS66" s="109">
        <f>IFERROR(INDEX(DEZ!N$8:N$73,MATCH($A66,DEZ!$A$8:$A$73,0))&amp;"","")</f>
        <v/>
      </c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SUMPRODUCT(($C66:$I66="M")*6+($C66:$I66="T")*6+($C66:$I66="D")*12+($C66:$I66="N")*12+($C66:$I66="NT")*6+($C66:$I66="C")*10+($C66:$I66="A")*8+($C66:$I66="J")*5+($C66:$I66="E")*4+($C66:$I66="P")*6+($C66:$I66="R")*6)</f>
        <v/>
      </c>
      <c r="BF66" s="110">
        <f>SUMPRODUCT(($J66:$P66="M")*6+($J66:$P66="T")*6+($J66:$P66="D")*12+($J66:$P66="N")*12+($J66:$P66="NT")*6+($J66:$P66="C")*10+($J66:$P66="A")*8+($J66:$P66="J")*5+($J66:$P66="E")*4+($J66:$P66="P")*6+($J66:$P66="R")*6)</f>
        <v/>
      </c>
      <c r="BG66" s="110">
        <f>SUMPRODUCT(($Q66:$W66="M")*6+($Q66:$W66="T")*6+($Q66:$W66="D")*12+($Q66:$W66="N")*12+($Q66:$W66="NT")*6+($Q66:$W66="C")*10+($Q66:$W66="A")*8+($Q66:$W66="J")*5+($Q66:$W66="E")*4+($Q66:$W66="P")*6+($Q66:$W66="R")*6)</f>
        <v/>
      </c>
      <c r="BH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I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J66" s="110">
        <f>SUMPRODUCT(($AL66:$AL66="M")*6+($AL66:$AL66="T")*6+($AL66:$AL66="D")*12+($AL66:$AL66="N")*12+($AL66:$AL66="NT")*6+($AL66:$AL66="C")*10+($AL66:$AL66="A")*8+($AL66:$AL66="J")*5+($AL66:$AL66="E")*4+($AL66:$AL66="P")*6+($AL66:$AL66="R")*6)+SUMPRODUCT(($AN66:$AS66="M")*6+($AN66:$AS66="T")*6+($AN66:$AS66="D")*12+($AN66:$AS66="N")*12+($AN66:$AS66="NT")*6+($AN66:$AS66="C")*10+($AN66:$AS66="A")*8+($AN66:$AS66="J")*5+($AN66:$AS66="E")*4+($AN66:$AS66="P")*6+($AN66:$AS66="R")*6)</f>
        <v/>
      </c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123">
        <f>IFERROR(INDEX(OUT!AH$8:AH$73,MATCH($A67,OUT!$A$8:$A$73,0))&amp;"","")</f>
        <v/>
      </c>
      <c r="D67" s="123">
        <f>IFERROR(INDEX(OUT!AI$8:AI$73,MATCH($A67,OUT!$A$8:$A$73,0))&amp;"","")</f>
        <v/>
      </c>
      <c r="E67" s="123">
        <f>IFERROR(INDEX(OUT!AJ$8:AJ$73,MATCH($A67,OUT!$A$8:$A$73,0))&amp;"","")</f>
        <v/>
      </c>
      <c r="F67" s="123">
        <f>IFERROR(INDEX(OUT!AK$8:AK$73,MATCH($A67,OUT!$A$8:$A$73,0))&amp;"","")</f>
        <v/>
      </c>
      <c r="G67" s="123">
        <f>IFERROR(INDEX(OUT!AL$8:AL$73,MATCH($A67,OUT!$A$8:$A$73,0))&amp;"","")</f>
        <v/>
      </c>
      <c r="H67" s="109">
        <f>IFERROR(INDEX(OUT!AM$8:AM$73,MATCH($A67,OUT!$A$8:$A$73,0))&amp;"","")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96" t="n"/>
      <c r="AN67" s="123">
        <f>IFERROR(INDEX(DEZ!I$8:I$73,MATCH($A67,DEZ!$A$8:$A$73,0))&amp;"","")</f>
        <v/>
      </c>
      <c r="AO67" s="123">
        <f>IFERROR(INDEX(DEZ!J$8:J$73,MATCH($A67,DEZ!$A$8:$A$73,0))&amp;"","")</f>
        <v/>
      </c>
      <c r="AP67" s="123">
        <f>IFERROR(INDEX(DEZ!K$8:K$73,MATCH($A67,DEZ!$A$8:$A$73,0))&amp;"","")</f>
        <v/>
      </c>
      <c r="AQ67" s="123">
        <f>IFERROR(INDEX(DEZ!L$8:L$73,MATCH($A67,DEZ!$A$8:$A$73,0))&amp;"","")</f>
        <v/>
      </c>
      <c r="AR67" s="109">
        <f>IFERROR(INDEX(DEZ!M$8:M$73,MATCH($A67,DEZ!$A$8:$A$73,0))&amp;"","")</f>
        <v/>
      </c>
      <c r="AS67" s="109">
        <f>IFERROR(INDEX(DEZ!N$8:N$73,MATCH($A67,DEZ!$A$8:$A$73,0))&amp;"","")</f>
        <v/>
      </c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SUMPRODUCT(($C67:$I67="M")*6+($C67:$I67="T")*6+($C67:$I67="D")*12+($C67:$I67="N")*12+($C67:$I67="NT")*6+($C67:$I67="C")*10+($C67:$I67="A")*8+($C67:$I67="J")*5+($C67:$I67="E")*4+($C67:$I67="P")*6+($C67:$I67="R")*6)</f>
        <v/>
      </c>
      <c r="BF67" s="110">
        <f>SUMPRODUCT(($J67:$P67="M")*6+($J67:$P67="T")*6+($J67:$P67="D")*12+($J67:$P67="N")*12+($J67:$P67="NT")*6+($J67:$P67="C")*10+($J67:$P67="A")*8+($J67:$P67="J")*5+($J67:$P67="E")*4+($J67:$P67="P")*6+($J67:$P67="R")*6)</f>
        <v/>
      </c>
      <c r="BG67" s="110">
        <f>SUMPRODUCT(($Q67:$W67="M")*6+($Q67:$W67="T")*6+($Q67:$W67="D")*12+($Q67:$W67="N")*12+($Q67:$W67="NT")*6+($Q67:$W67="C")*10+($Q67:$W67="A")*8+($Q67:$W67="J")*5+($Q67:$W67="E")*4+($Q67:$W67="P")*6+($Q67:$W67="R")*6)</f>
        <v/>
      </c>
      <c r="BH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I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J67" s="110">
        <f>SUMPRODUCT(($AL67:$AL67="M")*6+($AL67:$AL67="T")*6+($AL67:$AL67="D")*12+($AL67:$AL67="N")*12+($AL67:$AL67="NT")*6+($AL67:$AL67="C")*10+($AL67:$AL67="A")*8+($AL67:$AL67="J")*5+($AL67:$AL67="E")*4+($AL67:$AL67="P")*6+($AL67:$AL67="R")*6)+SUMPRODUCT(($AN67:$AS67="M")*6+($AN67:$AS67="T")*6+($AN67:$AS67="D")*12+($AN67:$AS67="N")*12+($AN67:$AS67="NT")*6+($AN67:$AS67="C")*10+($AN67:$AS67="A")*8+($AN67:$AS67="J")*5+($AN67:$AS67="E")*4+($AN67:$AS67="P")*6+($AN67:$AS67="R")*6)</f>
        <v/>
      </c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123">
        <f>IFERROR(INDEX(OUT!AH$8:AH$73,MATCH($A68,OUT!$A$8:$A$73,0))&amp;"","")</f>
        <v/>
      </c>
      <c r="D68" s="123">
        <f>IFERROR(INDEX(OUT!AI$8:AI$73,MATCH($A68,OUT!$A$8:$A$73,0))&amp;"","")</f>
        <v/>
      </c>
      <c r="E68" s="123">
        <f>IFERROR(INDEX(OUT!AJ$8:AJ$73,MATCH($A68,OUT!$A$8:$A$73,0))&amp;"","")</f>
        <v/>
      </c>
      <c r="F68" s="123">
        <f>IFERROR(INDEX(OUT!AK$8:AK$73,MATCH($A68,OUT!$A$8:$A$73,0))&amp;"","")</f>
        <v/>
      </c>
      <c r="G68" s="123">
        <f>IFERROR(INDEX(OUT!AL$8:AL$73,MATCH($A68,OUT!$A$8:$A$73,0))&amp;"","")</f>
        <v/>
      </c>
      <c r="H68" s="109">
        <f>IFERROR(INDEX(OUT!AM$8:AM$73,MATCH($A68,OUT!$A$8:$A$73,0))&amp;"","")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96" t="n"/>
      <c r="AN68" s="123">
        <f>IFERROR(INDEX(DEZ!I$8:I$73,MATCH($A68,DEZ!$A$8:$A$73,0))&amp;"","")</f>
        <v/>
      </c>
      <c r="AO68" s="123">
        <f>IFERROR(INDEX(DEZ!J$8:J$73,MATCH($A68,DEZ!$A$8:$A$73,0))&amp;"","")</f>
        <v/>
      </c>
      <c r="AP68" s="123">
        <f>IFERROR(INDEX(DEZ!K$8:K$73,MATCH($A68,DEZ!$A$8:$A$73,0))&amp;"","")</f>
        <v/>
      </c>
      <c r="AQ68" s="123">
        <f>IFERROR(INDEX(DEZ!L$8:L$73,MATCH($A68,DEZ!$A$8:$A$73,0))&amp;"","")</f>
        <v/>
      </c>
      <c r="AR68" s="109">
        <f>IFERROR(INDEX(DEZ!M$8:M$73,MATCH($A68,DEZ!$A$8:$A$73,0))&amp;"","")</f>
        <v/>
      </c>
      <c r="AS68" s="109">
        <f>IFERROR(INDEX(DEZ!N$8:N$73,MATCH($A68,DEZ!$A$8:$A$73,0))&amp;"","")</f>
        <v/>
      </c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SUMPRODUCT(($C68:$I68="M")*6+($C68:$I68="T")*6+($C68:$I68="D")*12+($C68:$I68="N")*12+($C68:$I68="NT")*6+($C68:$I68="C")*10+($C68:$I68="A")*8+($C68:$I68="J")*5+($C68:$I68="E")*4+($C68:$I68="P")*6+($C68:$I68="R")*6)</f>
        <v/>
      </c>
      <c r="BF68" s="110">
        <f>SUMPRODUCT(($J68:$P68="M")*6+($J68:$P68="T")*6+($J68:$P68="D")*12+($J68:$P68="N")*12+($J68:$P68="NT")*6+($J68:$P68="C")*10+($J68:$P68="A")*8+($J68:$P68="J")*5+($J68:$P68="E")*4+($J68:$P68="P")*6+($J68:$P68="R")*6)</f>
        <v/>
      </c>
      <c r="BG68" s="110">
        <f>SUMPRODUCT(($Q68:$W68="M")*6+($Q68:$W68="T")*6+($Q68:$W68="D")*12+($Q68:$W68="N")*12+($Q68:$W68="NT")*6+($Q68:$W68="C")*10+($Q68:$W68="A")*8+($Q68:$W68="J")*5+($Q68:$W68="E")*4+($Q68:$W68="P")*6+($Q68:$W68="R")*6)</f>
        <v/>
      </c>
      <c r="BH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I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J68" s="110">
        <f>SUMPRODUCT(($AL68:$AL68="M")*6+($AL68:$AL68="T")*6+($AL68:$AL68="D")*12+($AL68:$AL68="N")*12+($AL68:$AL68="NT")*6+($AL68:$AL68="C")*10+($AL68:$AL68="A")*8+($AL68:$AL68="J")*5+($AL68:$AL68="E")*4+($AL68:$AL68="P")*6+($AL68:$AL68="R")*6)+SUMPRODUCT(($AN68:$AS68="M")*6+($AN68:$AS68="T")*6+($AN68:$AS68="D")*12+($AN68:$AS68="N")*12+($AN68:$AS68="NT")*6+($AN68:$AS68="C")*10+($AN68:$AS68="A")*8+($AN68:$AS68="J")*5+($AN68:$AS68="E")*4+($AN68:$AS68="P")*6+($AN68:$AS68="R")*6)</f>
        <v/>
      </c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123">
        <f>IFERROR(INDEX(OUT!AH$8:AH$73,MATCH($A69,OUT!$A$8:$A$73,0))&amp;"","")</f>
        <v/>
      </c>
      <c r="D69" s="123">
        <f>IFERROR(INDEX(OUT!AI$8:AI$73,MATCH($A69,OUT!$A$8:$A$73,0))&amp;"","")</f>
        <v/>
      </c>
      <c r="E69" s="123">
        <f>IFERROR(INDEX(OUT!AJ$8:AJ$73,MATCH($A69,OUT!$A$8:$A$73,0))&amp;"","")</f>
        <v/>
      </c>
      <c r="F69" s="123">
        <f>IFERROR(INDEX(OUT!AK$8:AK$73,MATCH($A69,OUT!$A$8:$A$73,0))&amp;"","")</f>
        <v/>
      </c>
      <c r="G69" s="123">
        <f>IFERROR(INDEX(OUT!AL$8:AL$73,MATCH($A69,OUT!$A$8:$A$73,0))&amp;"","")</f>
        <v/>
      </c>
      <c r="H69" s="109">
        <f>IFERROR(INDEX(OUT!AM$8:AM$73,MATCH($A69,OUT!$A$8:$A$73,0))&amp;"","")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23">
        <f>IFERROR(INDEX(DEZ!I$8:I$73,MATCH($A69,DEZ!$A$8:$A$73,0))&amp;"","")</f>
        <v/>
      </c>
      <c r="AO69" s="123">
        <f>IFERROR(INDEX(DEZ!J$8:J$73,MATCH($A69,DEZ!$A$8:$A$73,0))&amp;"","")</f>
        <v/>
      </c>
      <c r="AP69" s="123">
        <f>IFERROR(INDEX(DEZ!K$8:K$73,MATCH($A69,DEZ!$A$8:$A$73,0))&amp;"","")</f>
        <v/>
      </c>
      <c r="AQ69" s="123">
        <f>IFERROR(INDEX(DEZ!L$8:L$73,MATCH($A69,DEZ!$A$8:$A$73,0))&amp;"","")</f>
        <v/>
      </c>
      <c r="AR69" s="109">
        <f>IFERROR(INDEX(DEZ!M$8:M$73,MATCH($A69,DEZ!$A$8:$A$73,0))&amp;"","")</f>
        <v/>
      </c>
      <c r="AS69" s="109">
        <f>IFERROR(INDEX(DEZ!N$8:N$73,MATCH($A69,DEZ!$A$8:$A$73,0))&amp;"","")</f>
        <v/>
      </c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SUMPRODUCT(($C69:$I69="M")*6+($C69:$I69="T")*6+($C69:$I69="D")*12+($C69:$I69="N")*12+($C69:$I69="NT")*6+($C69:$I69="C")*10+($C69:$I69="A")*8+($C69:$I69="J")*5+($C69:$I69="E")*4+($C69:$I69="P")*6+($C69:$I69="R")*6)</f>
        <v/>
      </c>
      <c r="BF69" s="110">
        <f>SUMPRODUCT(($J69:$P69="M")*6+($J69:$P69="T")*6+($J69:$P69="D")*12+($J69:$P69="N")*12+($J69:$P69="NT")*6+($J69:$P69="C")*10+($J69:$P69="A")*8+($J69:$P69="J")*5+($J69:$P69="E")*4+($J69:$P69="P")*6+($J69:$P69="R")*6)</f>
        <v/>
      </c>
      <c r="BG69" s="110">
        <f>SUMPRODUCT(($Q69:$W69="M")*6+($Q69:$W69="T")*6+($Q69:$W69="D")*12+($Q69:$W69="N")*12+($Q69:$W69="NT")*6+($Q69:$W69="C")*10+($Q69:$W69="A")*8+($Q69:$W69="J")*5+($Q69:$W69="E")*4+($Q69:$W69="P")*6+($Q69:$W69="R")*6)</f>
        <v/>
      </c>
      <c r="BH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I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J69" s="110">
        <f>SUMPRODUCT(($AL69:$AL69="M")*6+($AL69:$AL69="T")*6+($AL69:$AL69="D")*12+($AL69:$AL69="N")*12+($AL69:$AL69="NT")*6+($AL69:$AL69="C")*10+($AL69:$AL69="A")*8+($AL69:$AL69="J")*5+($AL69:$AL69="E")*4+($AL69:$AL69="P")*6+($AL69:$AL69="R")*6)+SUMPRODUCT(($AN69:$AS69="M")*6+($AN69:$AS69="T")*6+($AN69:$AS69="D")*12+($AN69:$AS69="N")*12+($AN69:$AS69="NT")*6+($AN69:$AS69="C")*10+($AN69:$AS69="A")*8+($AN69:$AS69="J")*5+($AN69:$AS69="E")*4+($AN69:$AS69="P")*6+($AN69:$AS69="R")*6)</f>
        <v/>
      </c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123">
        <f>IFERROR(INDEX(OUT!AH$8:AH$73,MATCH($A70,OUT!$A$8:$A$73,0))&amp;"","")</f>
        <v/>
      </c>
      <c r="D70" s="123">
        <f>IFERROR(INDEX(OUT!AI$8:AI$73,MATCH($A70,OUT!$A$8:$A$73,0))&amp;"","")</f>
        <v/>
      </c>
      <c r="E70" s="123">
        <f>IFERROR(INDEX(OUT!AJ$8:AJ$73,MATCH($A70,OUT!$A$8:$A$73,0))&amp;"","")</f>
        <v/>
      </c>
      <c r="F70" s="123">
        <f>IFERROR(INDEX(OUT!AK$8:AK$73,MATCH($A70,OUT!$A$8:$A$73,0))&amp;"","")</f>
        <v/>
      </c>
      <c r="G70" s="123">
        <f>IFERROR(INDEX(OUT!AL$8:AL$73,MATCH($A70,OUT!$A$8:$A$73,0))&amp;"","")</f>
        <v/>
      </c>
      <c r="H70" s="109">
        <f>IFERROR(INDEX(OUT!AM$8:AM$73,MATCH($A70,OUT!$A$8:$A$73,0))&amp;"","")</f>
        <v/>
      </c>
      <c r="I70" s="116" t="inlineStr">
        <is>
          <t>N</t>
        </is>
      </c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96" t="n"/>
      <c r="AN70" s="123">
        <f>IFERROR(INDEX(DEZ!I$8:I$73,MATCH($A70,DEZ!$A$8:$A$73,0))&amp;"","")</f>
        <v/>
      </c>
      <c r="AO70" s="123">
        <f>IFERROR(INDEX(DEZ!J$8:J$73,MATCH($A70,DEZ!$A$8:$A$73,0))&amp;"","")</f>
        <v/>
      </c>
      <c r="AP70" s="123">
        <f>IFERROR(INDEX(DEZ!K$8:K$73,MATCH($A70,DEZ!$A$8:$A$73,0))&amp;"","")</f>
        <v/>
      </c>
      <c r="AQ70" s="123">
        <f>IFERROR(INDEX(DEZ!L$8:L$73,MATCH($A70,DEZ!$A$8:$A$73,0))&amp;"","")</f>
        <v/>
      </c>
      <c r="AR70" s="109">
        <f>IFERROR(INDEX(DEZ!M$8:M$73,MATCH($A70,DEZ!$A$8:$A$73,0))&amp;"","")</f>
        <v/>
      </c>
      <c r="AS70" s="109">
        <f>IFERROR(INDEX(DEZ!N$8:N$73,MATCH($A70,DEZ!$A$8:$A$73,0))&amp;"","")</f>
        <v/>
      </c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SUMPRODUCT(($C70:$I70="M")*6+($C70:$I70="T")*6+($C70:$I70="D")*12+($C70:$I70="N")*12+($C70:$I70="NT")*6+($C70:$I70="C")*10+($C70:$I70="A")*8+($C70:$I70="J")*5+($C70:$I70="E")*4+($C70:$I70="P")*6+($C70:$I70="R")*6)</f>
        <v/>
      </c>
      <c r="BF70" s="110">
        <f>SUMPRODUCT(($J70:$P70="M")*6+($J70:$P70="T")*6+($J70:$P70="D")*12+($J70:$P70="N")*12+($J70:$P70="NT")*6+($J70:$P70="C")*10+($J70:$P70="A")*8+($J70:$P70="J")*5+($J70:$P70="E")*4+($J70:$P70="P")*6+($J70:$P70="R")*6)</f>
        <v/>
      </c>
      <c r="BG70" s="110">
        <f>SUMPRODUCT(($Q70:$W70="M")*6+($Q70:$W70="T")*6+($Q70:$W70="D")*12+($Q70:$W70="N")*12+($Q70:$W70="NT")*6+($Q70:$W70="C")*10+($Q70:$W70="A")*8+($Q70:$W70="J")*5+($Q70:$W70="E")*4+($Q70:$W70="P")*6+($Q70:$W70="R")*6)</f>
        <v/>
      </c>
      <c r="BH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I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J70" s="110">
        <f>SUMPRODUCT(($AL70:$AL70="M")*6+($AL70:$AL70="T")*6+($AL70:$AL70="D")*12+($AL70:$AL70="N")*12+($AL70:$AL70="NT")*6+($AL70:$AL70="C")*10+($AL70:$AL70="A")*8+($AL70:$AL70="J")*5+($AL70:$AL70="E")*4+($AL70:$AL70="P")*6+($AL70:$AL70="R")*6)+SUMPRODUCT(($AN70:$AS70="M")*6+($AN70:$AS70="T")*6+($AN70:$AS70="D")*12+($AN70:$AS70="N")*12+($AN70:$AS70="NT")*6+($AN70:$AS70="C")*10+($AN70:$AS70="A")*8+($AN70:$AS70="J")*5+($AN70:$AS70="E")*4+($AN70:$AS70="P")*6+($AN70:$AS70="R")*6)</f>
        <v/>
      </c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123">
        <f>IFERROR(INDEX(OUT!AH$8:AH$73,MATCH($A71,OUT!$A$8:$A$73,0))&amp;"","")</f>
        <v/>
      </c>
      <c r="D71" s="123">
        <f>IFERROR(INDEX(OUT!AI$8:AI$73,MATCH($A71,OUT!$A$8:$A$73,0))&amp;"","")</f>
        <v/>
      </c>
      <c r="E71" s="123">
        <f>IFERROR(INDEX(OUT!AJ$8:AJ$73,MATCH($A71,OUT!$A$8:$A$73,0))&amp;"","")</f>
        <v/>
      </c>
      <c r="F71" s="123">
        <f>IFERROR(INDEX(OUT!AK$8:AK$73,MATCH($A71,OUT!$A$8:$A$73,0))&amp;"","")</f>
        <v/>
      </c>
      <c r="G71" s="123">
        <f>IFERROR(INDEX(OUT!AL$8:AL$73,MATCH($A71,OUT!$A$8:$A$73,0))&amp;"","")</f>
        <v/>
      </c>
      <c r="H71" s="109">
        <f>IFERROR(INDEX(OUT!AM$8:AM$73,MATCH($A71,OUT!$A$8:$A$73,0))&amp;"","")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96" t="n"/>
      <c r="AN71" s="123">
        <f>IFERROR(INDEX(DEZ!I$8:I$73,MATCH($A71,DEZ!$A$8:$A$73,0))&amp;"","")</f>
        <v/>
      </c>
      <c r="AO71" s="123">
        <f>IFERROR(INDEX(DEZ!J$8:J$73,MATCH($A71,DEZ!$A$8:$A$73,0))&amp;"","")</f>
        <v/>
      </c>
      <c r="AP71" s="123">
        <f>IFERROR(INDEX(DEZ!K$8:K$73,MATCH($A71,DEZ!$A$8:$A$73,0))&amp;"","")</f>
        <v/>
      </c>
      <c r="AQ71" s="123">
        <f>IFERROR(INDEX(DEZ!L$8:L$73,MATCH($A71,DEZ!$A$8:$A$73,0))&amp;"","")</f>
        <v/>
      </c>
      <c r="AR71" s="109">
        <f>IFERROR(INDEX(DEZ!M$8:M$73,MATCH($A71,DEZ!$A$8:$A$73,0))&amp;"","")</f>
        <v/>
      </c>
      <c r="AS71" s="109">
        <f>IFERROR(INDEX(DEZ!N$8:N$73,MATCH($A71,DEZ!$A$8:$A$73,0))&amp;"","")</f>
        <v/>
      </c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SUMPRODUCT(($C71:$I71="M")*6+($C71:$I71="T")*6+($C71:$I71="D")*12+($C71:$I71="N")*12+($C71:$I71="NT")*6+($C71:$I71="C")*10+($C71:$I71="A")*8+($C71:$I71="J")*5+($C71:$I71="E")*4+($C71:$I71="P")*6+($C71:$I71="R")*6)</f>
        <v/>
      </c>
      <c r="BF71" s="110">
        <f>SUMPRODUCT(($J71:$P71="M")*6+($J71:$P71="T")*6+($J71:$P71="D")*12+($J71:$P71="N")*12+($J71:$P71="NT")*6+($J71:$P71="C")*10+($J71:$P71="A")*8+($J71:$P71="J")*5+($J71:$P71="E")*4+($J71:$P71="P")*6+($J71:$P71="R")*6)</f>
        <v/>
      </c>
      <c r="BG71" s="110">
        <f>SUMPRODUCT(($Q71:$W71="M")*6+($Q71:$W71="T")*6+($Q71:$W71="D")*12+($Q71:$W71="N")*12+($Q71:$W71="NT")*6+($Q71:$W71="C")*10+($Q71:$W71="A")*8+($Q71:$W71="J")*5+($Q71:$W71="E")*4+($Q71:$W71="P")*6+($Q71:$W71="R")*6)</f>
        <v/>
      </c>
      <c r="BH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I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J71" s="110">
        <f>SUMPRODUCT(($AL71:$AL71="M")*6+($AL71:$AL71="T")*6+($AL71:$AL71="D")*12+($AL71:$AL71="N")*12+($AL71:$AL71="NT")*6+($AL71:$AL71="C")*10+($AL71:$AL71="A")*8+($AL71:$AL71="J")*5+($AL71:$AL71="E")*4+($AL71:$AL71="P")*6+($AL71:$AL71="R")*6)+SUMPRODUCT(($AN71:$AS71="M")*6+($AN71:$AS71="T")*6+($AN71:$AS71="D")*12+($AN71:$AS71="N")*12+($AN71:$AS71="NT")*6+($AN71:$AS71="C")*10+($AN71:$AS71="A")*8+($AN71:$AS71="J")*5+($AN71:$AS71="E")*4+($AN71:$AS71="P")*6+($AN71:$AS71="R")*6)</f>
        <v/>
      </c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123">
        <f>IFERROR(INDEX(OUT!AH$8:AH$73,MATCH($A72,OUT!$A$8:$A$73,0))&amp;"","")</f>
        <v/>
      </c>
      <c r="D72" s="123">
        <f>IFERROR(INDEX(OUT!AI$8:AI$73,MATCH($A72,OUT!$A$8:$A$73,0))&amp;"","")</f>
        <v/>
      </c>
      <c r="E72" s="123">
        <f>IFERROR(INDEX(OUT!AJ$8:AJ$73,MATCH($A72,OUT!$A$8:$A$73,0))&amp;"","")</f>
        <v/>
      </c>
      <c r="F72" s="123">
        <f>IFERROR(INDEX(OUT!AK$8:AK$73,MATCH($A72,OUT!$A$8:$A$73,0))&amp;"","")</f>
        <v/>
      </c>
      <c r="G72" s="123">
        <f>IFERROR(INDEX(OUT!AL$8:AL$73,MATCH($A72,OUT!$A$8:$A$73,0))&amp;"","")</f>
        <v/>
      </c>
      <c r="H72" s="109">
        <f>IFERROR(INDEX(OUT!AM$8:AM$73,MATCH($A72,OUT!$A$8:$A$73,0))&amp;"","")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96" t="n"/>
      <c r="AN72" s="123">
        <f>IFERROR(INDEX(DEZ!I$8:I$73,MATCH($A72,DEZ!$A$8:$A$73,0))&amp;"","")</f>
        <v/>
      </c>
      <c r="AO72" s="123">
        <f>IFERROR(INDEX(DEZ!J$8:J$73,MATCH($A72,DEZ!$A$8:$A$73,0))&amp;"","")</f>
        <v/>
      </c>
      <c r="AP72" s="123">
        <f>IFERROR(INDEX(DEZ!K$8:K$73,MATCH($A72,DEZ!$A$8:$A$73,0))&amp;"","")</f>
        <v/>
      </c>
      <c r="AQ72" s="123">
        <f>IFERROR(INDEX(DEZ!L$8:L$73,MATCH($A72,DEZ!$A$8:$A$73,0))&amp;"","")</f>
        <v/>
      </c>
      <c r="AR72" s="109">
        <f>IFERROR(INDEX(DEZ!M$8:M$73,MATCH($A72,DEZ!$A$8:$A$73,0))&amp;"","")</f>
        <v/>
      </c>
      <c r="AS72" s="109">
        <f>IFERROR(INDEX(DEZ!N$8:N$73,MATCH($A72,DEZ!$A$8:$A$73,0))&amp;"","")</f>
        <v/>
      </c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SUMPRODUCT(($C72:$I72="M")*6+($C72:$I72="T")*6+($C72:$I72="D")*12+($C72:$I72="N")*12+($C72:$I72="NT")*6+($C72:$I72="C")*10+($C72:$I72="A")*8+($C72:$I72="J")*5+($C72:$I72="E")*4+($C72:$I72="P")*6+($C72:$I72="R")*6)</f>
        <v/>
      </c>
      <c r="BF72" s="110">
        <f>SUMPRODUCT(($J72:$P72="M")*6+($J72:$P72="T")*6+($J72:$P72="D")*12+($J72:$P72="N")*12+($J72:$P72="NT")*6+($J72:$P72="C")*10+($J72:$P72="A")*8+($J72:$P72="J")*5+($J72:$P72="E")*4+($J72:$P72="P")*6+($J72:$P72="R")*6)</f>
        <v/>
      </c>
      <c r="BG72" s="110">
        <f>SUMPRODUCT(($Q72:$W72="M")*6+($Q72:$W72="T")*6+($Q72:$W72="D")*12+($Q72:$W72="N")*12+($Q72:$W72="NT")*6+($Q72:$W72="C")*10+($Q72:$W72="A")*8+($Q72:$W72="J")*5+($Q72:$W72="E")*4+($Q72:$W72="P")*6+($Q72:$W72="R")*6)</f>
        <v/>
      </c>
      <c r="BH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I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J72" s="110">
        <f>SUMPRODUCT(($AL72:$AL72="M")*6+($AL72:$AL72="T")*6+($AL72:$AL72="D")*12+($AL72:$AL72="N")*12+($AL72:$AL72="NT")*6+($AL72:$AL72="C")*10+($AL72:$AL72="A")*8+($AL72:$AL72="J")*5+($AL72:$AL72="E")*4+($AL72:$AL72="P")*6+($AL72:$AL72="R")*6)+SUMPRODUCT(($AN72:$AS72="M")*6+($AN72:$AS72="T")*6+($AN72:$AS72="D")*12+($AN72:$AS72="N")*12+($AN72:$AS72="NT")*6+($AN72:$AS72="C")*10+($AN72:$AS72="A")*8+($AN72:$AS72="J")*5+($AN72:$AS72="E")*4+($AN72:$AS72="P")*6+($AN72:$AS72="R")*6)</f>
        <v/>
      </c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123">
        <f>IFERROR(INDEX(OUT!AH$8:AH$73,MATCH($A73,OUT!$A$8:$A$73,0))&amp;"","")</f>
        <v/>
      </c>
      <c r="D73" s="123">
        <f>IFERROR(INDEX(OUT!AI$8:AI$73,MATCH($A73,OUT!$A$8:$A$73,0))&amp;"","")</f>
        <v/>
      </c>
      <c r="E73" s="123">
        <f>IFERROR(INDEX(OUT!AJ$8:AJ$73,MATCH($A73,OUT!$A$8:$A$73,0))&amp;"","")</f>
        <v/>
      </c>
      <c r="F73" s="123">
        <f>IFERROR(INDEX(OUT!AK$8:AK$73,MATCH($A73,OUT!$A$8:$A$73,0))&amp;"","")</f>
        <v/>
      </c>
      <c r="G73" s="123">
        <f>IFERROR(INDEX(OUT!AL$8:AL$73,MATCH($A73,OUT!$A$8:$A$73,0))&amp;"","")</f>
        <v/>
      </c>
      <c r="H73" s="109">
        <f>IFERROR(INDEX(OUT!AM$8:AM$73,MATCH($A73,OUT!$A$8:$A$73,0))&amp;"","")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96" t="n"/>
      <c r="AN73" s="123">
        <f>IFERROR(INDEX(DEZ!I$8:I$73,MATCH($A73,DEZ!$A$8:$A$73,0))&amp;"","")</f>
        <v/>
      </c>
      <c r="AO73" s="123">
        <f>IFERROR(INDEX(DEZ!J$8:J$73,MATCH($A73,DEZ!$A$8:$A$73,0))&amp;"","")</f>
        <v/>
      </c>
      <c r="AP73" s="123">
        <f>IFERROR(INDEX(DEZ!K$8:K$73,MATCH($A73,DEZ!$A$8:$A$73,0))&amp;"","")</f>
        <v/>
      </c>
      <c r="AQ73" s="123">
        <f>IFERROR(INDEX(DEZ!L$8:L$73,MATCH($A73,DEZ!$A$8:$A$73,0))&amp;"","")</f>
        <v/>
      </c>
      <c r="AR73" s="109">
        <f>IFERROR(INDEX(DEZ!M$8:M$73,MATCH($A73,DEZ!$A$8:$A$73,0))&amp;"","")</f>
        <v/>
      </c>
      <c r="AS73" s="109">
        <f>IFERROR(INDEX(DEZ!N$8:N$73,MATCH($A73,DEZ!$A$8:$A$73,0))&amp;"","")</f>
        <v/>
      </c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SUMPRODUCT(($C73:$I73="M")*6+($C73:$I73="T")*6+($C73:$I73="D")*12+($C73:$I73="N")*12+($C73:$I73="NT")*6+($C73:$I73="C")*10+($C73:$I73="A")*8+($C73:$I73="J")*5+($C73:$I73="E")*4+($C73:$I73="P")*6+($C73:$I73="R")*6)</f>
        <v/>
      </c>
      <c r="BF73" s="110">
        <f>SUMPRODUCT(($J73:$P73="M")*6+($J73:$P73="T")*6+($J73:$P73="D")*12+($J73:$P73="N")*12+($J73:$P73="NT")*6+($J73:$P73="C")*10+($J73:$P73="A")*8+($J73:$P73="J")*5+($J73:$P73="E")*4+($J73:$P73="P")*6+($J73:$P73="R")*6)</f>
        <v/>
      </c>
      <c r="BG73" s="110">
        <f>SUMPRODUCT(($Q73:$W73="M")*6+($Q73:$W73="T")*6+($Q73:$W73="D")*12+($Q73:$W73="N")*12+($Q73:$W73="NT")*6+($Q73:$W73="C")*10+($Q73:$W73="A")*8+($Q73:$W73="J")*5+($Q73:$W73="E")*4+($Q73:$W73="P")*6+($Q73:$W73="R")*6)</f>
        <v/>
      </c>
      <c r="BH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I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J73" s="110">
        <f>SUMPRODUCT(($AL73:$AL73="M")*6+($AL73:$AL73="T")*6+($AL73:$AL73="D")*12+($AL73:$AL73="N")*12+($AL73:$AL73="NT")*6+($AL73:$AL73="C")*10+($AL73:$AL73="A")*8+($AL73:$AL73="J")*5+($AL73:$AL73="E")*4+($AL73:$AL73="P")*6+($AL73:$AL73="R")*6)+SUMPRODUCT(($AN73:$AS73="M")*6+($AN73:$AS73="T")*6+($AN73:$AS73="D")*12+($AN73:$AS73="N")*12+($AN73:$AS73="NT")*6+($AN73:$AS73="C")*10+($AN73:$AS73="A")*8+($AN73:$AS73="J")*5+($AN73:$AS73="E")*4+($AN73:$AS73="P")*6+($AN73:$AS73="R")*6)</f>
        <v/>
      </c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120">
        <f>COUNTIF(C8:C73,"M")+COUNTIF(C8:C73,"D")+COUNTIF(C8:C73,"C")+COUNTIF(C8:C73,"J")+COUNTIF(C8:C73,"E")</f>
        <v/>
      </c>
      <c r="D75" s="120">
        <f>COUNTIF(D8:D73,"M")+COUNTIF(D8:D73,"D")+COUNTIF(D8:D73,"C")+COUNTIF(D8:D73,"J")+COUNTIF(D8:D73,"E")</f>
        <v/>
      </c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39" t="n"/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120">
        <f>COUNTIF(AR8:AR73,"M")+COUNTIF(AR8:AR73,"D")+COUNTIF(AR8:AR73,"C")+COUNTIF(AR8:AR73,"J")+COUNTIF(AR8:AR73,"E")</f>
        <v/>
      </c>
      <c r="AS75" s="120">
        <f>COUNTIF(AS8:AS73,"M")+COUNTIF(AS8:AS73,"D")+COUNTIF(AS8:AS73,"C")+COUNTIF(AS8:AS73,"J")+COUNTIF(AS8:AS73,"E")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120">
        <f>COUNTIF(C8:C73,"T")+COUNTIF(C8:C73,"D")+COUNTIF(C8:C73,"C")</f>
        <v/>
      </c>
      <c r="D76" s="120">
        <f>COUNTIF(D8:D73,"T")+COUNTIF(D8:D73,"D")+COUNTIF(D8:D73,"C")</f>
        <v/>
      </c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39" t="n"/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120">
        <f>COUNTIF(AR8:AR73,"T")+COUNTIF(AR8:AR73,"D")+COUNTIF(AR8:AR73,"C")</f>
        <v/>
      </c>
      <c r="AS76" s="120">
        <f>COUNTIF(AS8:AS73,"T")+COUNTIF(AS8:AS73,"D")+COUNTIF(AS8:AS73,"C")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120">
        <f>COUNTIF(C8:C73,"N")+COUNTIF(C8:C73,"NT")</f>
        <v/>
      </c>
      <c r="D77" s="120">
        <f>COUNTIF(D8:D73,"N")+COUNTIF(D8:D73,"NT")</f>
        <v/>
      </c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39" t="n"/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120">
        <f>COUNTIF(AR8:AR73,"N")+COUNTIF(AR8:AR73,"NT")</f>
        <v/>
      </c>
      <c r="AS77" s="120">
        <f>COUNTIF(AS8:AS73,"N")+COUNTIF(AS8:AS73,"NT")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122">
        <f>MAX(0,CONFIG!$B$4-C75)</f>
        <v/>
      </c>
      <c r="D78" s="122">
        <f>MAX(0,CONFIG!$B$4-D75)</f>
        <v/>
      </c>
      <c r="E78" s="122">
        <f>MAX(0,CONFIG!$B$4-E75)</f>
        <v/>
      </c>
      <c r="F78" s="122">
        <f>MAX(0,CONFIG!$B$4-F75)</f>
        <v/>
      </c>
      <c r="G78" s="122">
        <f>MAX(0,CONFIG!$B$4-G75)</f>
        <v/>
      </c>
      <c r="H78" s="122">
        <f>MAX(0,CONFIG!$B$5-H75)</f>
        <v/>
      </c>
      <c r="I78" s="122">
        <f>MAX(0,CONFIG!$B$6-I75)</f>
        <v/>
      </c>
      <c r="J78" s="122">
        <f>MAX(0,CONFIG!$B$4-J75)</f>
        <v/>
      </c>
      <c r="K78" s="122">
        <f>MAX(0,CONFIG!$B$4-K75)</f>
        <v/>
      </c>
      <c r="L78" s="122">
        <f>MAX(0,CONFIG!$B$4-L75)</f>
        <v/>
      </c>
      <c r="M78" s="122">
        <f>MAX(0,CONFIG!$B$4-M75)</f>
        <v/>
      </c>
      <c r="N78" s="122">
        <f>MAX(0,CONFIG!$B$4-N75)</f>
        <v/>
      </c>
      <c r="O78" s="122">
        <f>MAX(0,CONFIG!$B$5-O75)</f>
        <v/>
      </c>
      <c r="P78" s="122">
        <f>MAX(0,CONFIG!$B$6-P75)</f>
        <v/>
      </c>
      <c r="Q78" s="122">
        <f>MAX(0,CONFIG!$B$4-Q75)</f>
        <v/>
      </c>
      <c r="R78" s="122">
        <f>MAX(0,CONFIG!$B$4-R75)</f>
        <v/>
      </c>
      <c r="S78" s="122">
        <f>MAX(0,CONFIG!$B$4-S75)</f>
        <v/>
      </c>
      <c r="T78" s="122">
        <f>MAX(0,CONFIG!$B$4-T75)</f>
        <v/>
      </c>
      <c r="U78" s="122">
        <f>MAX(0,CONFIG!$B$4-U75)</f>
        <v/>
      </c>
      <c r="V78" s="122">
        <f>MAX(0,CONFIG!$B$5-V75)</f>
        <v/>
      </c>
      <c r="W78" s="122">
        <f>MAX(0,CONFIG!$B$6-W75)</f>
        <v/>
      </c>
      <c r="X78" s="122">
        <f>MAX(0,CONFIG!$B$4-X75)</f>
        <v/>
      </c>
      <c r="Y78" s="122">
        <f>MAX(0,CONFIG!$B$4-Y75)</f>
        <v/>
      </c>
      <c r="Z78" s="122">
        <f>MAX(0,CONFIG!$B$4-Z75)</f>
        <v/>
      </c>
      <c r="AA78" s="122">
        <f>MAX(0,CONFIG!$B$4-AA75)</f>
        <v/>
      </c>
      <c r="AB78" s="122">
        <f>MAX(0,CONFIG!$B$4-AB75)</f>
        <v/>
      </c>
      <c r="AC78" s="122">
        <f>MAX(0,CONFIG!$B$5-AC75)</f>
        <v/>
      </c>
      <c r="AD78" s="122">
        <f>MAX(0,CONFIG!$B$6-AD75)</f>
        <v/>
      </c>
      <c r="AE78" s="122">
        <f>MAX(0,CONFIG!$B$4-AE75)</f>
        <v/>
      </c>
      <c r="AF78" s="122">
        <f>MAX(0,CONFIG!$B$4-AF75)</f>
        <v/>
      </c>
      <c r="AG78" s="122">
        <f>MAX(0,CONFIG!$B$4-AG75)</f>
        <v/>
      </c>
      <c r="AH78" s="122">
        <f>MAX(0,CONFIG!$B$4-AH75)</f>
        <v/>
      </c>
      <c r="AI78" s="122">
        <f>MAX(0,CONFIG!$B$4-AI75)</f>
        <v/>
      </c>
      <c r="AJ78" s="122">
        <f>MAX(0,CONFIG!$B$5-AJ75)</f>
        <v/>
      </c>
      <c r="AK78" s="122">
        <f>MAX(0,CONFIG!$B$6-AK75)</f>
        <v/>
      </c>
      <c r="AL78" s="122">
        <f>MAX(0,CONFIG!$B$4-AL75)</f>
        <v/>
      </c>
      <c r="AM78" s="39" t="n"/>
      <c r="AN78" s="122">
        <f>MAX(0,CONFIG!$B$4-AN75)</f>
        <v/>
      </c>
      <c r="AO78" s="122">
        <f>MAX(0,CONFIG!$B$4-AO75)</f>
        <v/>
      </c>
      <c r="AP78" s="122">
        <f>MAX(0,CONFIG!$B$4-AP75)</f>
        <v/>
      </c>
      <c r="AQ78" s="122">
        <f>MAX(0,CONFIG!$B$4-AQ75)</f>
        <v/>
      </c>
      <c r="AR78" s="122">
        <f>MAX(0,CONFIG!$B$5-AR75)</f>
        <v/>
      </c>
      <c r="AS78" s="122">
        <f>MAX(0,CONFIG!$B$6-AS75)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122">
        <f>MAX(0,CONFIG!$C$4-C76)</f>
        <v/>
      </c>
      <c r="D79" s="122">
        <f>MAX(0,CONFIG!$C$4-D76)</f>
        <v/>
      </c>
      <c r="E79" s="122">
        <f>MAX(0,CONFIG!$C$4-E76)</f>
        <v/>
      </c>
      <c r="F79" s="122">
        <f>MAX(0,CONFIG!$C$4-F76)</f>
        <v/>
      </c>
      <c r="G79" s="122">
        <f>MAX(0,CONFIG!$C$4-G76)</f>
        <v/>
      </c>
      <c r="H79" s="122">
        <f>MAX(0,CONFIG!$C$5-H76)</f>
        <v/>
      </c>
      <c r="I79" s="122">
        <f>MAX(0,CONFIG!$C$6-I76)</f>
        <v/>
      </c>
      <c r="J79" s="122">
        <f>MAX(0,CONFIG!$C$4-J76)</f>
        <v/>
      </c>
      <c r="K79" s="122">
        <f>MAX(0,CONFIG!$C$4-K76)</f>
        <v/>
      </c>
      <c r="L79" s="122">
        <f>MAX(0,CONFIG!$C$4-L76)</f>
        <v/>
      </c>
      <c r="M79" s="122">
        <f>MAX(0,CONFIG!$C$4-M76)</f>
        <v/>
      </c>
      <c r="N79" s="122">
        <f>MAX(0,CONFIG!$C$4-N76)</f>
        <v/>
      </c>
      <c r="O79" s="122">
        <f>MAX(0,CONFIG!$C$5-O76)</f>
        <v/>
      </c>
      <c r="P79" s="122">
        <f>MAX(0,CONFIG!$C$6-P76)</f>
        <v/>
      </c>
      <c r="Q79" s="122">
        <f>MAX(0,CONFIG!$C$4-Q76)</f>
        <v/>
      </c>
      <c r="R79" s="122">
        <f>MAX(0,CONFIG!$C$4-R76)</f>
        <v/>
      </c>
      <c r="S79" s="122">
        <f>MAX(0,CONFIG!$C$4-S76)</f>
        <v/>
      </c>
      <c r="T79" s="122">
        <f>MAX(0,CONFIG!$C$4-T76)</f>
        <v/>
      </c>
      <c r="U79" s="122">
        <f>MAX(0,CONFIG!$C$4-U76)</f>
        <v/>
      </c>
      <c r="V79" s="122">
        <f>MAX(0,CONFIG!$C$5-V76)</f>
        <v/>
      </c>
      <c r="W79" s="122">
        <f>MAX(0,CONFIG!$C$6-W76)</f>
        <v/>
      </c>
      <c r="X79" s="122">
        <f>MAX(0,CONFIG!$C$4-X76)</f>
        <v/>
      </c>
      <c r="Y79" s="122">
        <f>MAX(0,CONFIG!$C$4-Y76)</f>
        <v/>
      </c>
      <c r="Z79" s="122">
        <f>MAX(0,CONFIG!$C$4-Z76)</f>
        <v/>
      </c>
      <c r="AA79" s="122">
        <f>MAX(0,CONFIG!$C$4-AA76)</f>
        <v/>
      </c>
      <c r="AB79" s="122">
        <f>MAX(0,CONFIG!$C$4-AB76)</f>
        <v/>
      </c>
      <c r="AC79" s="122">
        <f>MAX(0,CONFIG!$C$5-AC76)</f>
        <v/>
      </c>
      <c r="AD79" s="122">
        <f>MAX(0,CONFIG!$C$6-AD76)</f>
        <v/>
      </c>
      <c r="AE79" s="122">
        <f>MAX(0,CONFIG!$C$4-AE76)</f>
        <v/>
      </c>
      <c r="AF79" s="122">
        <f>MAX(0,CONFIG!$C$4-AF76)</f>
        <v/>
      </c>
      <c r="AG79" s="122">
        <f>MAX(0,CONFIG!$C$4-AG76)</f>
        <v/>
      </c>
      <c r="AH79" s="122">
        <f>MAX(0,CONFIG!$C$4-AH76)</f>
        <v/>
      </c>
      <c r="AI79" s="122">
        <f>MAX(0,CONFIG!$C$4-AI76)</f>
        <v/>
      </c>
      <c r="AJ79" s="122">
        <f>MAX(0,CONFIG!$C$5-AJ76)</f>
        <v/>
      </c>
      <c r="AK79" s="122">
        <f>MAX(0,CONFIG!$C$6-AK76)</f>
        <v/>
      </c>
      <c r="AL79" s="122">
        <f>MAX(0,CONFIG!$C$4-AL76)</f>
        <v/>
      </c>
      <c r="AM79" s="39" t="n"/>
      <c r="AN79" s="122">
        <f>MAX(0,CONFIG!$C$4-AN76)</f>
        <v/>
      </c>
      <c r="AO79" s="122">
        <f>MAX(0,CONFIG!$C$4-AO76)</f>
        <v/>
      </c>
      <c r="AP79" s="122">
        <f>MAX(0,CONFIG!$C$4-AP76)</f>
        <v/>
      </c>
      <c r="AQ79" s="122">
        <f>MAX(0,CONFIG!$C$4-AQ76)</f>
        <v/>
      </c>
      <c r="AR79" s="122">
        <f>MAX(0,CONFIG!$C$5-AR76)</f>
        <v/>
      </c>
      <c r="AS79" s="122">
        <f>MAX(0,CONFIG!$C$6-AS76)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122">
        <f>MAX(0,CONFIG!$D$4-C77)</f>
        <v/>
      </c>
      <c r="D80" s="122">
        <f>MAX(0,CONFIG!$D$4-D77)</f>
        <v/>
      </c>
      <c r="E80" s="122">
        <f>MAX(0,CONFIG!$D$4-E77)</f>
        <v/>
      </c>
      <c r="F80" s="122">
        <f>MAX(0,CONFIG!$D$4-F77)</f>
        <v/>
      </c>
      <c r="G80" s="122">
        <f>MAX(0,CONFIG!$D$4-G77)</f>
        <v/>
      </c>
      <c r="H80" s="122">
        <f>MAX(0,CONFIG!$D$5-H77)</f>
        <v/>
      </c>
      <c r="I80" s="122">
        <f>MAX(0,CONFIG!$D$6-I77)</f>
        <v/>
      </c>
      <c r="J80" s="122">
        <f>MAX(0,CONFIG!$D$4-J77)</f>
        <v/>
      </c>
      <c r="K80" s="122">
        <f>MAX(0,CONFIG!$D$4-K77)</f>
        <v/>
      </c>
      <c r="L80" s="122">
        <f>MAX(0,CONFIG!$D$4-L77)</f>
        <v/>
      </c>
      <c r="M80" s="122">
        <f>MAX(0,CONFIG!$D$4-M77)</f>
        <v/>
      </c>
      <c r="N80" s="122">
        <f>MAX(0,CONFIG!$D$4-N77)</f>
        <v/>
      </c>
      <c r="O80" s="122">
        <f>MAX(0,CONFIG!$D$5-O77)</f>
        <v/>
      </c>
      <c r="P80" s="122">
        <f>MAX(0,CONFIG!$D$6-P77)</f>
        <v/>
      </c>
      <c r="Q80" s="122">
        <f>MAX(0,CONFIG!$D$4-Q77)</f>
        <v/>
      </c>
      <c r="R80" s="122">
        <f>MAX(0,CONFIG!$D$4-R77)</f>
        <v/>
      </c>
      <c r="S80" s="122">
        <f>MAX(0,CONFIG!$D$4-S77)</f>
        <v/>
      </c>
      <c r="T80" s="122">
        <f>MAX(0,CONFIG!$D$4-T77)</f>
        <v/>
      </c>
      <c r="U80" s="122">
        <f>MAX(0,CONFIG!$D$4-U77)</f>
        <v/>
      </c>
      <c r="V80" s="122">
        <f>MAX(0,CONFIG!$D$5-V77)</f>
        <v/>
      </c>
      <c r="W80" s="122">
        <f>MAX(0,CONFIG!$D$6-W77)</f>
        <v/>
      </c>
      <c r="X80" s="122">
        <f>MAX(0,CONFIG!$D$4-X77)</f>
        <v/>
      </c>
      <c r="Y80" s="122">
        <f>MAX(0,CONFIG!$D$4-Y77)</f>
        <v/>
      </c>
      <c r="Z80" s="122">
        <f>MAX(0,CONFIG!$D$4-Z77)</f>
        <v/>
      </c>
      <c r="AA80" s="122">
        <f>MAX(0,CONFIG!$D$4-AA77)</f>
        <v/>
      </c>
      <c r="AB80" s="122">
        <f>MAX(0,CONFIG!$D$4-AB77)</f>
        <v/>
      </c>
      <c r="AC80" s="122">
        <f>MAX(0,CONFIG!$D$5-AC77)</f>
        <v/>
      </c>
      <c r="AD80" s="122">
        <f>MAX(0,CONFIG!$D$6-AD77)</f>
        <v/>
      </c>
      <c r="AE80" s="122">
        <f>MAX(0,CONFIG!$D$4-AE77)</f>
        <v/>
      </c>
      <c r="AF80" s="122">
        <f>MAX(0,CONFIG!$D$4-AF77)</f>
        <v/>
      </c>
      <c r="AG80" s="122">
        <f>MAX(0,CONFIG!$D$4-AG77)</f>
        <v/>
      </c>
      <c r="AH80" s="122">
        <f>MAX(0,CONFIG!$D$4-AH77)</f>
        <v/>
      </c>
      <c r="AI80" s="122">
        <f>MAX(0,CONFIG!$D$4-AI77)</f>
        <v/>
      </c>
      <c r="AJ80" s="122">
        <f>MAX(0,CONFIG!$D$5-AJ77)</f>
        <v/>
      </c>
      <c r="AK80" s="122">
        <f>MAX(0,CONFIG!$D$6-AK77)</f>
        <v/>
      </c>
      <c r="AL80" s="122">
        <f>MAX(0,CONFIG!$D$4-AL77)</f>
        <v/>
      </c>
      <c r="AM80" s="39" t="n"/>
      <c r="AN80" s="122">
        <f>MAX(0,CONFIG!$D$4-AN77)</f>
        <v/>
      </c>
      <c r="AO80" s="122">
        <f>MAX(0,CONFIG!$D$4-AO77)</f>
        <v/>
      </c>
      <c r="AP80" s="122">
        <f>MAX(0,CONFIG!$D$4-AP77)</f>
        <v/>
      </c>
      <c r="AQ80" s="122">
        <f>MAX(0,CONFIG!$D$4-AQ77)</f>
        <v/>
      </c>
      <c r="AR80" s="122">
        <f>MAX(0,CONFIG!$D$5-AR77)</f>
        <v/>
      </c>
      <c r="AS80" s="122">
        <f>MAX(0,CONFIG!$D$6-AS77)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30/11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8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97" t="inlineStr">
        <is>
          <t>01/01</t>
        </is>
      </c>
      <c r="AO2" s="101" t="inlineStr">
        <is>
          <t>02/01</t>
        </is>
      </c>
      <c r="AP2" s="101" t="inlineStr">
        <is>
          <t>03/01</t>
        </is>
      </c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2" t="inlineStr">
        <is>
          <t>seg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3" t="inlineStr">
        <is>
          <t>natal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102" t="inlineStr">
        <is>
          <t>qui</t>
        </is>
      </c>
      <c r="AN3" s="102" t="inlineStr">
        <is>
          <t>sex</t>
        </is>
      </c>
      <c r="AO3" s="104" t="inlineStr">
        <is>
          <t>sáb</t>
        </is>
      </c>
      <c r="AP3" s="104" t="inlineStr">
        <is>
          <t>dom</t>
        </is>
      </c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1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3">
        <f>IFERROR(INDEX(NOV!AL$8:AL$73,MATCH($A8,NOV!$A$8:$A$73,0))&amp;"","")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96" t="n"/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SUMPRODUCT(($H8:$N8="M")*6+($H8:$N8="T")*6+($H8:$N8="D")*12+($H8:$N8="N")*12+($H8:$N8="NT")*6+($H8:$N8="C")*10+($H8:$N8="A")*8+($H8:$N8="J")*5+($H8:$N8="E")*4+($H8:$N8="P")*6+($H8:$N8="R")*6)</f>
        <v/>
      </c>
      <c r="BF8" s="110">
        <f>SUMPRODUCT(($O8:$U8="M")*6+($O8:$U8="T")*6+($O8:$U8="D")*12+($O8:$U8="N")*12+($O8:$U8="NT")*6+($O8:$U8="C")*10+($O8:$U8="A")*8+($O8:$U8="J")*5+($O8:$U8="E")*4+($O8:$U8="P")*6+($O8:$U8="R")*6)</f>
        <v/>
      </c>
      <c r="BG8" s="110">
        <f>SUMPRODUCT(($V8:$AB8="M")*6+($V8:$AB8="T")*6+($V8:$AB8="D")*12+($V8:$AB8="N")*12+($V8:$AB8="NT")*6+($V8:$AB8="C")*10+($V8:$AB8="A")*8+($V8:$AB8="J")*5+($V8:$AB8="E")*4+($V8:$AB8="P")*6+($V8:$AB8="R")*6)</f>
        <v/>
      </c>
      <c r="BH8" s="110">
        <f>SUMPRODUCT(($AC8:$AI8="M")*6+($AC8:$AI8="T")*6+($AC8:$AI8="D")*12+($AC8:$AI8="N")*12+($AC8:$AI8="NT")*6+($AC8:$AI8="C")*10+($AC8:$AI8="A")*8+($AC8:$AI8="J")*5+($AC8:$AI8="E")*4+($AC8:$AI8="P")*6+($AC8:$AI8="R")*6)</f>
        <v/>
      </c>
      <c r="BI8" s="110">
        <f>SUMPRODUCT(($AJ8:$AM8="M")*6+($AJ8:$AM8="T")*6+($AJ8:$AM8="D")*12+($AJ8:$AM8="N")*12+($AJ8:$AM8="NT")*6+($AJ8:$AM8="C")*10+($AJ8:$AM8="A")*8+($AJ8:$AM8="J")*5+($AJ8:$AM8="E")*4+($AJ8:$AM8="P")*6+($AJ8:$AM8="R")*6)+SUMPRODUCT(($AN8:$AP8="M")*6+($AN8:$AP8="T")*6+($AN8:$AP8="D")*12+($AN8:$AP8="N")*12+($AN8:$AP8="NT")*6+($AN8:$AP8="C")*10+($AN8:$AP8="A")*8+($AN8:$AP8="J")*5+($AN8:$AP8="E")*4+($AN8:$AP8="P")*6+($AN8:$AP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3">
        <f>IFERROR(INDEX(NOV!AL$8:AL$73,MATCH($A9,NOV!$A$8:$A$73,0))&amp;"","")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96" t="n"/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SUMPRODUCT(($H9:$N9="M")*6+($H9:$N9="T")*6+($H9:$N9="D")*12+($H9:$N9="N")*12+($H9:$N9="NT")*6+($H9:$N9="C")*10+($H9:$N9="A")*8+($H9:$N9="J")*5+($H9:$N9="E")*4+($H9:$N9="P")*6+($H9:$N9="R")*6)</f>
        <v/>
      </c>
      <c r="BF9" s="110">
        <f>SUMPRODUCT(($O9:$U9="M")*6+($O9:$U9="T")*6+($O9:$U9="D")*12+($O9:$U9="N")*12+($O9:$U9="NT")*6+($O9:$U9="C")*10+($O9:$U9="A")*8+($O9:$U9="J")*5+($O9:$U9="E")*4+($O9:$U9="P")*6+($O9:$U9="R")*6)</f>
        <v/>
      </c>
      <c r="BG9" s="110">
        <f>SUMPRODUCT(($V9:$AB9="M")*6+($V9:$AB9="T")*6+($V9:$AB9="D")*12+($V9:$AB9="N")*12+($V9:$AB9="NT")*6+($V9:$AB9="C")*10+($V9:$AB9="A")*8+($V9:$AB9="J")*5+($V9:$AB9="E")*4+($V9:$AB9="P")*6+($V9:$AB9="R")*6)</f>
        <v/>
      </c>
      <c r="BH9" s="110">
        <f>SUMPRODUCT(($AC9:$AI9="M")*6+($AC9:$AI9="T")*6+($AC9:$AI9="D")*12+($AC9:$AI9="N")*12+($AC9:$AI9="NT")*6+($AC9:$AI9="C")*10+($AC9:$AI9="A")*8+($AC9:$AI9="J")*5+($AC9:$AI9="E")*4+($AC9:$AI9="P")*6+($AC9:$AI9="R")*6)</f>
        <v/>
      </c>
      <c r="BI9" s="110">
        <f>SUMPRODUCT(($AJ9:$AM9="M")*6+($AJ9:$AM9="T")*6+($AJ9:$AM9="D")*12+($AJ9:$AM9="N")*12+($AJ9:$AM9="NT")*6+($AJ9:$AM9="C")*10+($AJ9:$AM9="A")*8+($AJ9:$AM9="J")*5+($AJ9:$AM9="E")*4+($AJ9:$AM9="P")*6+($AJ9:$AM9="R")*6)+SUMPRODUCT(($AN9:$AP9="M")*6+($AN9:$AP9="T")*6+($AN9:$AP9="D")*12+($AN9:$AP9="N")*12+($AN9:$AP9="NT")*6+($AN9:$AP9="C")*10+($AN9:$AP9="A")*8+($AN9:$AP9="J")*5+($AN9:$AP9="E")*4+($AN9:$AP9="P")*6+($AN9:$AP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3">
        <f>IFERROR(INDEX(NOV!AL$8:AL$73,MATCH($A10,NOV!$A$8:$A$73,0))&amp;"","")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96" t="n"/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SUMPRODUCT(($H10:$N10="M")*6+($H10:$N10="T")*6+($H10:$N10="D")*12+($H10:$N10="N")*12+($H10:$N10="NT")*6+($H10:$N10="C")*10+($H10:$N10="A")*8+($H10:$N10="J")*5+($H10:$N10="E")*4+($H10:$N10="P")*6+($H10:$N10="R")*6)</f>
        <v/>
      </c>
      <c r="BF10" s="110">
        <f>SUMPRODUCT(($O10:$U10="M")*6+($O10:$U10="T")*6+($O10:$U10="D")*12+($O10:$U10="N")*12+($O10:$U10="NT")*6+($O10:$U10="C")*10+($O10:$U10="A")*8+($O10:$U10="J")*5+($O10:$U10="E")*4+($O10:$U10="P")*6+($O10:$U10="R")*6)</f>
        <v/>
      </c>
      <c r="BG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H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I10" s="110">
        <f>SUMPRODUCT(($AJ10:$AM10="M")*6+($AJ10:$AM10="T")*6+($AJ10:$AM10="D")*12+($AJ10:$AM10="N")*12+($AJ10:$AM10="NT")*6+($AJ10:$AM10="C")*10+($AJ10:$AM10="A")*8+($AJ10:$AM10="J")*5+($AJ10:$AM10="E")*4+($AJ10:$AM10="P")*6+($AJ10:$AM10="R")*6)+SUMPRODUCT(($AN10:$AP10="M")*6+($AN10:$AP10="T")*6+($AN10:$AP10="D")*12+($AN10:$AP10="N")*12+($AN10:$AP10="NT")*6+($AN10:$AP10="C")*10+($AN10:$AP10="A")*8+($AN10:$AP10="J")*5+($AN10:$AP10="E")*4+($AN10:$AP10="P")*6+($AN10:$AP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3">
        <f>IFERROR(INDEX(NOV!AL$8:AL$73,MATCH($A11,NOV!$A$8:$A$73,0))&amp;"","")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96" t="n"/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SUMPRODUCT(($H11:$N11="M")*6+($H11:$N11="T")*6+($H11:$N11="D")*12+($H11:$N11="N")*12+($H11:$N11="NT")*6+($H11:$N11="C")*10+($H11:$N11="A")*8+($H11:$N11="J")*5+($H11:$N11="E")*4+($H11:$N11="P")*6+($H11:$N11="R")*6)</f>
        <v/>
      </c>
      <c r="BF11" s="110">
        <f>SUMPRODUCT(($O11:$U11="M")*6+($O11:$U11="T")*6+($O11:$U11="D")*12+($O11:$U11="N")*12+($O11:$U11="NT")*6+($O11:$U11="C")*10+($O11:$U11="A")*8+($O11:$U11="J")*5+($O11:$U11="E")*4+($O11:$U11="P")*6+($O11:$U11="R")*6)</f>
        <v/>
      </c>
      <c r="BG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H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I11" s="110">
        <f>SUMPRODUCT(($AJ11:$AM11="M")*6+($AJ11:$AM11="T")*6+($AJ11:$AM11="D")*12+($AJ11:$AM11="N")*12+($AJ11:$AM11="NT")*6+($AJ11:$AM11="C")*10+($AJ11:$AM11="A")*8+($AJ11:$AM11="J")*5+($AJ11:$AM11="E")*4+($AJ11:$AM11="P")*6+($AJ11:$AM11="R")*6)+SUMPRODUCT(($AN11:$AP11="M")*6+($AN11:$AP11="T")*6+($AN11:$AP11="D")*12+($AN11:$AP11="N")*12+($AN11:$AP11="NT")*6+($AN11:$AP11="C")*10+($AN11:$AP11="A")*8+($AN11:$AP11="J")*5+($AN11:$AP11="E")*4+($AN11:$AP11="P")*6+($AN11:$AP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3">
        <f>IFERROR(INDEX(NOV!AL$8:AL$73,MATCH($A12,NOV!$A$8:$A$73,0))&amp;"","")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96" t="n"/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SUMPRODUCT(($H12:$N12="M")*6+($H12:$N12="T")*6+($H12:$N12="D")*12+($H12:$N12="N")*12+($H12:$N12="NT")*6+($H12:$N12="C")*10+($H12:$N12="A")*8+($H12:$N12="J")*5+($H12:$N12="E")*4+($H12:$N12="P")*6+($H12:$N12="R")*6)</f>
        <v/>
      </c>
      <c r="BF12" s="110">
        <f>SUMPRODUCT(($O12:$U12="M")*6+($O12:$U12="T")*6+($O12:$U12="D")*12+($O12:$U12="N")*12+($O12:$U12="NT")*6+($O12:$U12="C")*10+($O12:$U12="A")*8+($O12:$U12="J")*5+($O12:$U12="E")*4+($O12:$U12="P")*6+($O12:$U12="R")*6)</f>
        <v/>
      </c>
      <c r="BG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H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I12" s="110">
        <f>SUMPRODUCT(($AJ12:$AM12="M")*6+($AJ12:$AM12="T")*6+($AJ12:$AM12="D")*12+($AJ12:$AM12="N")*12+($AJ12:$AM12="NT")*6+($AJ12:$AM12="C")*10+($AJ12:$AM12="A")*8+($AJ12:$AM12="J")*5+($AJ12:$AM12="E")*4+($AJ12:$AM12="P")*6+($AJ12:$AM12="R")*6)+SUMPRODUCT(($AN12:$AP12="M")*6+($AN12:$AP12="T")*6+($AN12:$AP12="D")*12+($AN12:$AP12="N")*12+($AN12:$AP12="NT")*6+($AN12:$AP12="C")*10+($AN12:$AP12="A")*8+($AN12:$AP12="J")*5+($AN12:$AP12="E")*4+($AN12:$AP12="P")*6+($AN12:$AP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3">
        <f>IFERROR(INDEX(NOV!AL$8:AL$73,MATCH($A13,NOV!$A$8:$A$73,0))&amp;"","")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107" t="n"/>
      <c r="AN13" s="96" t="n"/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SUMPRODUCT(($H13:$N13="M")*6+($H13:$N13="T")*6+($H13:$N13="D")*12+($H13:$N13="N")*12+($H13:$N13="NT")*6+($H13:$N13="C")*10+($H13:$N13="A")*8+($H13:$N13="J")*5+($H13:$N13="E")*4+($H13:$N13="P")*6+($H13:$N13="R")*6)</f>
        <v/>
      </c>
      <c r="BF13" s="110">
        <f>SUMPRODUCT(($O13:$U13="M")*6+($O13:$U13="T")*6+($O13:$U13="D")*12+($O13:$U13="N")*12+($O13:$U13="NT")*6+($O13:$U13="C")*10+($O13:$U13="A")*8+($O13:$U13="J")*5+($O13:$U13="E")*4+($O13:$U13="P")*6+($O13:$U13="R")*6)</f>
        <v/>
      </c>
      <c r="BG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H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I13" s="110">
        <f>SUMPRODUCT(($AJ13:$AM13="M")*6+($AJ13:$AM13="T")*6+($AJ13:$AM13="D")*12+($AJ13:$AM13="N")*12+($AJ13:$AM13="NT")*6+($AJ13:$AM13="C")*10+($AJ13:$AM13="A")*8+($AJ13:$AM13="J")*5+($AJ13:$AM13="E")*4+($AJ13:$AM13="P")*6+($AJ13:$AM13="R")*6)+SUMPRODUCT(($AN13:$AP13="M")*6+($AN13:$AP13="T")*6+($AN13:$AP13="D")*12+($AN13:$AP13="N")*12+($AN13:$AP13="NT")*6+($AN13:$AP13="C")*10+($AN13:$AP13="A")*8+($AN13:$AP13="J")*5+($AN13:$AP13="E")*4+($AN13:$AP13="P")*6+($AN13:$AP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3">
        <f>IFERROR(INDEX(NOV!AL$8:AL$73,MATCH($A14,NOV!$A$8:$A$73,0))&amp;"","")</f>
        <v/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96" t="n"/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SUMPRODUCT(($H14:$N14="M")*6+($H14:$N14="T")*6+($H14:$N14="D")*12+($H14:$N14="N")*12+($H14:$N14="NT")*6+($H14:$N14="C")*10+($H14:$N14="A")*8+($H14:$N14="J")*5+($H14:$N14="E")*4+($H14:$N14="P")*6+($H14:$N14="R")*6)</f>
        <v/>
      </c>
      <c r="BF14" s="110">
        <f>SUMPRODUCT(($O14:$U14="M")*6+($O14:$U14="T")*6+($O14:$U14="D")*12+($O14:$U14="N")*12+($O14:$U14="NT")*6+($O14:$U14="C")*10+($O14:$U14="A")*8+($O14:$U14="J")*5+($O14:$U14="E")*4+($O14:$U14="P")*6+($O14:$U14="R")*6)</f>
        <v/>
      </c>
      <c r="BG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H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I14" s="110">
        <f>SUMPRODUCT(($AJ14:$AM14="M")*6+($AJ14:$AM14="T")*6+($AJ14:$AM14="D")*12+($AJ14:$AM14="N")*12+($AJ14:$AM14="NT")*6+($AJ14:$AM14="C")*10+($AJ14:$AM14="A")*8+($AJ14:$AM14="J")*5+($AJ14:$AM14="E")*4+($AJ14:$AM14="P")*6+($AJ14:$AM14="R")*6)+SUMPRODUCT(($AN14:$AP14="M")*6+($AN14:$AP14="T")*6+($AN14:$AP14="D")*12+($AN14:$AP14="N")*12+($AN14:$AP14="NT")*6+($AN14:$AP14="C")*10+($AN14:$AP14="A")*8+($AN14:$AP14="J")*5+($AN14:$AP14="E")*4+($AN14:$AP14="P")*6+($AN14:$AP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3">
        <f>IFERROR(INDEX(NOV!AL$8:AL$73,MATCH($A15,NOV!$A$8:$A$73,0))&amp;"","")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96" t="n"/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SUMPRODUCT(($H15:$N15="M")*6+($H15:$N15="T")*6+($H15:$N15="D")*12+($H15:$N15="N")*12+($H15:$N15="NT")*6+($H15:$N15="C")*10+($H15:$N15="A")*8+($H15:$N15="J")*5+($H15:$N15="E")*4+($H15:$N15="P")*6+($H15:$N15="R")*6)</f>
        <v/>
      </c>
      <c r="BF15" s="110">
        <f>SUMPRODUCT(($O15:$U15="M")*6+($O15:$U15="T")*6+($O15:$U15="D")*12+($O15:$U15="N")*12+($O15:$U15="NT")*6+($O15:$U15="C")*10+($O15:$U15="A")*8+($O15:$U15="J")*5+($O15:$U15="E")*4+($O15:$U15="P")*6+($O15:$U15="R")*6)</f>
        <v/>
      </c>
      <c r="BG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H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I15" s="110">
        <f>SUMPRODUCT(($AJ15:$AM15="M")*6+($AJ15:$AM15="T")*6+($AJ15:$AM15="D")*12+($AJ15:$AM15="N")*12+($AJ15:$AM15="NT")*6+($AJ15:$AM15="C")*10+($AJ15:$AM15="A")*8+($AJ15:$AM15="J")*5+($AJ15:$AM15="E")*4+($AJ15:$AM15="P")*6+($AJ15:$AM15="R")*6)+SUMPRODUCT(($AN15:$AP15="M")*6+($AN15:$AP15="T")*6+($AN15:$AP15="D")*12+($AN15:$AP15="N")*12+($AN15:$AP15="NT")*6+($AN15:$AP15="C")*10+($AN15:$AP15="A")*8+($AN15:$AP15="J")*5+($AN15:$AP15="E")*4+($AN15:$AP15="P")*6+($AN15:$AP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3">
        <f>IFERROR(INDEX(NOV!AL$8:AL$73,MATCH($A16,NOV!$A$8:$A$73,0))&amp;"","")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96" t="n"/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SUMPRODUCT(($H16:$N16="M")*6+($H16:$N16="T")*6+($H16:$N16="D")*12+($H16:$N16="N")*12+($H16:$N16="NT")*6+($H16:$N16="C")*10+($H16:$N16="A")*8+($H16:$N16="J")*5+($H16:$N16="E")*4+($H16:$N16="P")*6+($H16:$N16="R")*6)</f>
        <v/>
      </c>
      <c r="BF16" s="110">
        <f>SUMPRODUCT(($O16:$U16="M")*6+($O16:$U16="T")*6+($O16:$U16="D")*12+($O16:$U16="N")*12+($O16:$U16="NT")*6+($O16:$U16="C")*10+($O16:$U16="A")*8+($O16:$U16="J")*5+($O16:$U16="E")*4+($O16:$U16="P")*6+($O16:$U16="R")*6)</f>
        <v/>
      </c>
      <c r="BG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H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I16" s="110">
        <f>SUMPRODUCT(($AJ16:$AM16="M")*6+($AJ16:$AM16="T")*6+($AJ16:$AM16="D")*12+($AJ16:$AM16="N")*12+($AJ16:$AM16="NT")*6+($AJ16:$AM16="C")*10+($AJ16:$AM16="A")*8+($AJ16:$AM16="J")*5+($AJ16:$AM16="E")*4+($AJ16:$AM16="P")*6+($AJ16:$AM16="R")*6)+SUMPRODUCT(($AN16:$AP16="M")*6+($AN16:$AP16="T")*6+($AN16:$AP16="D")*12+($AN16:$AP16="N")*12+($AN16:$AP16="NT")*6+($AN16:$AP16="C")*10+($AN16:$AP16="A")*8+($AN16:$AP16="J")*5+($AN16:$AP16="E")*4+($AN16:$AP16="P")*6+($AN16:$AP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3">
        <f>IFERROR(INDEX(NOV!AL$8:AL$73,MATCH($A17,NOV!$A$8:$A$73,0))&amp;"","")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96" t="n"/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SUMPRODUCT(($H17:$N17="M")*6+($H17:$N17="T")*6+($H17:$N17="D")*12+($H17:$N17="N")*12+($H17:$N17="NT")*6+($H17:$N17="C")*10+($H17:$N17="A")*8+($H17:$N17="J")*5+($H17:$N17="E")*4+($H17:$N17="P")*6+($H17:$N17="R")*6)</f>
        <v/>
      </c>
      <c r="BF17" s="110">
        <f>SUMPRODUCT(($O17:$U17="M")*6+($O17:$U17="T")*6+($O17:$U17="D")*12+($O17:$U17="N")*12+($O17:$U17="NT")*6+($O17:$U17="C")*10+($O17:$U17="A")*8+($O17:$U17="J")*5+($O17:$U17="E")*4+($O17:$U17="P")*6+($O17:$U17="R")*6)</f>
        <v/>
      </c>
      <c r="BG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H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I17" s="110">
        <f>SUMPRODUCT(($AJ17:$AM17="M")*6+($AJ17:$AM17="T")*6+($AJ17:$AM17="D")*12+($AJ17:$AM17="N")*12+($AJ17:$AM17="NT")*6+($AJ17:$AM17="C")*10+($AJ17:$AM17="A")*8+($AJ17:$AM17="J")*5+($AJ17:$AM17="E")*4+($AJ17:$AM17="P")*6+($AJ17:$AM17="R")*6)+SUMPRODUCT(($AN17:$AP17="M")*6+($AN17:$AP17="T")*6+($AN17:$AP17="D")*12+($AN17:$AP17="N")*12+($AN17:$AP17="NT")*6+($AN17:$AP17="C")*10+($AN17:$AP17="A")*8+($AN17:$AP17="J")*5+($AN17:$AP17="E")*4+($AN17:$AP17="P")*6+($AN17:$AP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3">
        <f>IFERROR(INDEX(NOV!AL$8:AL$73,MATCH($A18,NOV!$A$8:$A$73,0))&amp;"","")</f>
        <v/>
      </c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96" t="n"/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SUMPRODUCT(($H18:$N18="M")*6+($H18:$N18="T")*6+($H18:$N18="D")*12+($H18:$N18="N")*12+($H18:$N18="NT")*6+($H18:$N18="C")*10+($H18:$N18="A")*8+($H18:$N18="J")*5+($H18:$N18="E")*4+($H18:$N18="P")*6+($H18:$N18="R")*6)</f>
        <v/>
      </c>
      <c r="BF18" s="110">
        <f>SUMPRODUCT(($O18:$U18="M")*6+($O18:$U18="T")*6+($O18:$U18="D")*12+($O18:$U18="N")*12+($O18:$U18="NT")*6+($O18:$U18="C")*10+($O18:$U18="A")*8+($O18:$U18="J")*5+($O18:$U18="E")*4+($O18:$U18="P")*6+($O18:$U18="R")*6)</f>
        <v/>
      </c>
      <c r="BG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H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I18" s="110">
        <f>SUMPRODUCT(($AJ18:$AM18="M")*6+($AJ18:$AM18="T")*6+($AJ18:$AM18="D")*12+($AJ18:$AM18="N")*12+($AJ18:$AM18="NT")*6+($AJ18:$AM18="C")*10+($AJ18:$AM18="A")*8+($AJ18:$AM18="J")*5+($AJ18:$AM18="E")*4+($AJ18:$AM18="P")*6+($AJ18:$AM18="R")*6)+SUMPRODUCT(($AN18:$AP18="M")*6+($AN18:$AP18="T")*6+($AN18:$AP18="D")*12+($AN18:$AP18="N")*12+($AN18:$AP18="NT")*6+($AN18:$AP18="C")*10+($AN18:$AP18="A")*8+($AN18:$AP18="J")*5+($AN18:$AP18="E")*4+($AN18:$AP18="P")*6+($AN18:$AP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3">
        <f>IFERROR(INDEX(NOV!AL$8:AL$73,MATCH($A19,NOV!$A$8:$A$73,0))&amp;"","")</f>
        <v/>
      </c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96" t="n"/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SUMPRODUCT(($H19:$N19="M")*6+($H19:$N19="T")*6+($H19:$N19="D")*12+($H19:$N19="N")*12+($H19:$N19="NT")*6+($H19:$N19="C")*10+($H19:$N19="A")*8+($H19:$N19="J")*5+($H19:$N19="E")*4+($H19:$N19="P")*6+($H19:$N19="R")*6)</f>
        <v/>
      </c>
      <c r="BF19" s="110">
        <f>SUMPRODUCT(($O19:$U19="M")*6+($O19:$U19="T")*6+($O19:$U19="D")*12+($O19:$U19="N")*12+($O19:$U19="NT")*6+($O19:$U19="C")*10+($O19:$U19="A")*8+($O19:$U19="J")*5+($O19:$U19="E")*4+($O19:$U19="P")*6+($O19:$U19="R")*6)</f>
        <v/>
      </c>
      <c r="BG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H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I19" s="110">
        <f>SUMPRODUCT(($AJ19:$AM19="M")*6+($AJ19:$AM19="T")*6+($AJ19:$AM19="D")*12+($AJ19:$AM19="N")*12+($AJ19:$AM19="NT")*6+($AJ19:$AM19="C")*10+($AJ19:$AM19="A")*8+($AJ19:$AM19="J")*5+($AJ19:$AM19="E")*4+($AJ19:$AM19="P")*6+($AJ19:$AM19="R")*6)+SUMPRODUCT(($AN19:$AP19="M")*6+($AN19:$AP19="T")*6+($AN19:$AP19="D")*12+($AN19:$AP19="N")*12+($AN19:$AP19="NT")*6+($AN19:$AP19="C")*10+($AN19:$AP19="A")*8+($AN19:$AP19="J")*5+($AN19:$AP19="E")*4+($AN19:$AP19="P")*6+($AN19:$AP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3">
        <f>IFERROR(INDEX(NOV!AL$8:AL$73,MATCH($A20,NOV!$A$8:$A$73,0))&amp;"","")</f>
        <v/>
      </c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96" t="n"/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SUMPRODUCT(($H20:$N20="M")*6+($H20:$N20="T")*6+($H20:$N20="D")*12+($H20:$N20="N")*12+($H20:$N20="NT")*6+($H20:$N20="C")*10+($H20:$N20="A")*8+($H20:$N20="J")*5+($H20:$N20="E")*4+($H20:$N20="P")*6+($H20:$N20="R")*6)</f>
        <v/>
      </c>
      <c r="BF20" s="110">
        <f>SUMPRODUCT(($O20:$U20="M")*6+($O20:$U20="T")*6+($O20:$U20="D")*12+($O20:$U20="N")*12+($O20:$U20="NT")*6+($O20:$U20="C")*10+($O20:$U20="A")*8+($O20:$U20="J")*5+($O20:$U20="E")*4+($O20:$U20="P")*6+($O20:$U20="R")*6)</f>
        <v/>
      </c>
      <c r="BG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H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I20" s="110">
        <f>SUMPRODUCT(($AJ20:$AM20="M")*6+($AJ20:$AM20="T")*6+($AJ20:$AM20="D")*12+($AJ20:$AM20="N")*12+($AJ20:$AM20="NT")*6+($AJ20:$AM20="C")*10+($AJ20:$AM20="A")*8+($AJ20:$AM20="J")*5+($AJ20:$AM20="E")*4+($AJ20:$AM20="P")*6+($AJ20:$AM20="R")*6)+SUMPRODUCT(($AN20:$AP20="M")*6+($AN20:$AP20="T")*6+($AN20:$AP20="D")*12+($AN20:$AP20="N")*12+($AN20:$AP20="NT")*6+($AN20:$AP20="C")*10+($AN20:$AP20="A")*8+($AN20:$AP20="J")*5+($AN20:$AP20="E")*4+($AN20:$AP20="P")*6+($AN20:$AP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3">
        <f>IFERROR(INDEX(NOV!AL$8:AL$73,MATCH($A21,NOV!$A$8:$A$73,0))&amp;"","")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107" t="n"/>
      <c r="AN21" s="96" t="n"/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SUMPRODUCT(($H21:$N21="M")*6+($H21:$N21="T")*6+($H21:$N21="D")*12+($H21:$N21="N")*12+($H21:$N21="NT")*6+($H21:$N21="C")*10+($H21:$N21="A")*8+($H21:$N21="J")*5+($H21:$N21="E")*4+($H21:$N21="P")*6+($H21:$N21="R")*6)</f>
        <v/>
      </c>
      <c r="BF21" s="110">
        <f>SUMPRODUCT(($O21:$U21="M")*6+($O21:$U21="T")*6+($O21:$U21="D")*12+($O21:$U21="N")*12+($O21:$U21="NT")*6+($O21:$U21="C")*10+($O21:$U21="A")*8+($O21:$U21="J")*5+($O21:$U21="E")*4+($O21:$U21="P")*6+($O21:$U21="R")*6)</f>
        <v/>
      </c>
      <c r="BG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H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I21" s="110">
        <f>SUMPRODUCT(($AJ21:$AM21="M")*6+($AJ21:$AM21="T")*6+($AJ21:$AM21="D")*12+($AJ21:$AM21="N")*12+($AJ21:$AM21="NT")*6+($AJ21:$AM21="C")*10+($AJ21:$AM21="A")*8+($AJ21:$AM21="J")*5+($AJ21:$AM21="E")*4+($AJ21:$AM21="P")*6+($AJ21:$AM21="R")*6)+SUMPRODUCT(($AN21:$AP21="M")*6+($AN21:$AP21="T")*6+($AN21:$AP21="D")*12+($AN21:$AP21="N")*12+($AN21:$AP21="NT")*6+($AN21:$AP21="C")*10+($AN21:$AP21="A")*8+($AN21:$AP21="J")*5+($AN21:$AP21="E")*4+($AN21:$AP21="P")*6+($AN21:$AP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3">
        <f>IFERROR(INDEX(NOV!AL$8:AL$73,MATCH($A22,NOV!$A$8:$A$73,0))&amp;"","")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107" t="n"/>
      <c r="AN22" s="96" t="n"/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SUMPRODUCT(($H22:$N22="M")*6+($H22:$N22="T")*6+($H22:$N22="D")*12+($H22:$N22="N")*12+($H22:$N22="NT")*6+($H22:$N22="C")*10+($H22:$N22="A")*8+($H22:$N22="J")*5+($H22:$N22="E")*4+($H22:$N22="P")*6+($H22:$N22="R")*6)</f>
        <v/>
      </c>
      <c r="BF22" s="110">
        <f>SUMPRODUCT(($O22:$U22="M")*6+($O22:$U22="T")*6+($O22:$U22="D")*12+($O22:$U22="N")*12+($O22:$U22="NT")*6+($O22:$U22="C")*10+($O22:$U22="A")*8+($O22:$U22="J")*5+($O22:$U22="E")*4+($O22:$U22="P")*6+($O22:$U22="R")*6)</f>
        <v/>
      </c>
      <c r="BG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H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I22" s="110">
        <f>SUMPRODUCT(($AJ22:$AM22="M")*6+($AJ22:$AM22="T")*6+($AJ22:$AM22="D")*12+($AJ22:$AM22="N")*12+($AJ22:$AM22="NT")*6+($AJ22:$AM22="C")*10+($AJ22:$AM22="A")*8+($AJ22:$AM22="J")*5+($AJ22:$AM22="E")*4+($AJ22:$AM22="P")*6+($AJ22:$AM22="R")*6)+SUMPRODUCT(($AN22:$AP22="M")*6+($AN22:$AP22="T")*6+($AN22:$AP22="D")*12+($AN22:$AP22="N")*12+($AN22:$AP22="NT")*6+($AN22:$AP22="C")*10+($AN22:$AP22="A")*8+($AN22:$AP22="J")*5+($AN22:$AP22="E")*4+($AN22:$AP22="P")*6+($AN22:$AP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3">
        <f>IFERROR(INDEX(NOV!AL$8:AL$73,MATCH($A23,NOV!$A$8:$A$73,0))&amp;"","")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107" t="n"/>
      <c r="AN23" s="96" t="n"/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SUMPRODUCT(($H23:$N23="M")*6+($H23:$N23="T")*6+($H23:$N23="D")*12+($H23:$N23="N")*12+($H23:$N23="NT")*6+($H23:$N23="C")*10+($H23:$N23="A")*8+($H23:$N23="J")*5+($H23:$N23="E")*4+($H23:$N23="P")*6+($H23:$N23="R")*6)</f>
        <v/>
      </c>
      <c r="BF23" s="110">
        <f>SUMPRODUCT(($O23:$U23="M")*6+($O23:$U23="T")*6+($O23:$U23="D")*12+($O23:$U23="N")*12+($O23:$U23="NT")*6+($O23:$U23="C")*10+($O23:$U23="A")*8+($O23:$U23="J")*5+($O23:$U23="E")*4+($O23:$U23="P")*6+($O23:$U23="R")*6)</f>
        <v/>
      </c>
      <c r="BG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H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I23" s="110">
        <f>SUMPRODUCT(($AJ23:$AM23="M")*6+($AJ23:$AM23="T")*6+($AJ23:$AM23="D")*12+($AJ23:$AM23="N")*12+($AJ23:$AM23="NT")*6+($AJ23:$AM23="C")*10+($AJ23:$AM23="A")*8+($AJ23:$AM23="J")*5+($AJ23:$AM23="E")*4+($AJ23:$AM23="P")*6+($AJ23:$AM23="R")*6)+SUMPRODUCT(($AN23:$AP23="M")*6+($AN23:$AP23="T")*6+($AN23:$AP23="D")*12+($AN23:$AP23="N")*12+($AN23:$AP23="NT")*6+($AN23:$AP23="C")*10+($AN23:$AP23="A")*8+($AN23:$AP23="J")*5+($AN23:$AP23="E")*4+($AN23:$AP23="P")*6+($AN23:$AP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3">
        <f>IFERROR(INDEX(NOV!AL$8:AL$73,MATCH($A24,NOV!$A$8:$A$73,0))&amp;"","")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96" t="n"/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SUMPRODUCT(($H24:$N24="M")*6+($H24:$N24="T")*6+($H24:$N24="D")*12+($H24:$N24="N")*12+($H24:$N24="NT")*6+($H24:$N24="C")*10+($H24:$N24="A")*8+($H24:$N24="J")*5+($H24:$N24="E")*4+($H24:$N24="P")*6+($H24:$N24="R")*6)</f>
        <v/>
      </c>
      <c r="BF24" s="110">
        <f>SUMPRODUCT(($O24:$U24="M")*6+($O24:$U24="T")*6+($O24:$U24="D")*12+($O24:$U24="N")*12+($O24:$U24="NT")*6+($O24:$U24="C")*10+($O24:$U24="A")*8+($O24:$U24="J")*5+($O24:$U24="E")*4+($O24:$U24="P")*6+($O24:$U24="R")*6)</f>
        <v/>
      </c>
      <c r="BG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H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I24" s="110">
        <f>SUMPRODUCT(($AJ24:$AM24="M")*6+($AJ24:$AM24="T")*6+($AJ24:$AM24="D")*12+($AJ24:$AM24="N")*12+($AJ24:$AM24="NT")*6+($AJ24:$AM24="C")*10+($AJ24:$AM24="A")*8+($AJ24:$AM24="J")*5+($AJ24:$AM24="E")*4+($AJ24:$AM24="P")*6+($AJ24:$AM24="R")*6)+SUMPRODUCT(($AN24:$AP24="M")*6+($AN24:$AP24="T")*6+($AN24:$AP24="D")*12+($AN24:$AP24="N")*12+($AN24:$AP24="NT")*6+($AN24:$AP24="C")*10+($AN24:$AP24="A")*8+($AN24:$AP24="J")*5+($AN24:$AP24="E")*4+($AN24:$AP24="P")*6+($AN24:$AP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3">
        <f>IFERROR(INDEX(NOV!AL$8:AL$73,MATCH($A25,NOV!$A$8:$A$73,0))&amp;"","")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107" t="n"/>
      <c r="AN25" s="96" t="n"/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SUMPRODUCT(($H25:$N25="M")*6+($H25:$N25="T")*6+($H25:$N25="D")*12+($H25:$N25="N")*12+($H25:$N25="NT")*6+($H25:$N25="C")*10+($H25:$N25="A")*8+($H25:$N25="J")*5+($H25:$N25="E")*4+($H25:$N25="P")*6+($H25:$N25="R")*6)</f>
        <v/>
      </c>
      <c r="BF25" s="110">
        <f>SUMPRODUCT(($O25:$U25="M")*6+($O25:$U25="T")*6+($O25:$U25="D")*12+($O25:$U25="N")*12+($O25:$U25="NT")*6+($O25:$U25="C")*10+($O25:$U25="A")*8+($O25:$U25="J")*5+($O25:$U25="E")*4+($O25:$U25="P")*6+($O25:$U25="R")*6)</f>
        <v/>
      </c>
      <c r="BG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H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I25" s="110">
        <f>SUMPRODUCT(($AJ25:$AM25="M")*6+($AJ25:$AM25="T")*6+($AJ25:$AM25="D")*12+($AJ25:$AM25="N")*12+($AJ25:$AM25="NT")*6+($AJ25:$AM25="C")*10+($AJ25:$AM25="A")*8+($AJ25:$AM25="J")*5+($AJ25:$AM25="E")*4+($AJ25:$AM25="P")*6+($AJ25:$AM25="R")*6)+SUMPRODUCT(($AN25:$AP25="M")*6+($AN25:$AP25="T")*6+($AN25:$AP25="D")*12+($AN25:$AP25="N")*12+($AN25:$AP25="NT")*6+($AN25:$AP25="C")*10+($AN25:$AP25="A")*8+($AN25:$AP25="J")*5+($AN25:$AP25="E")*4+($AN25:$AP25="P")*6+($AN25:$AP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3">
        <f>IFERROR(INDEX(NOV!AL$8:AL$73,MATCH($A26,NOV!$A$8:$A$73,0))&amp;"","")</f>
        <v/>
      </c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96" t="n"/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SUMPRODUCT(($H26:$N26="M")*6+($H26:$N26="T")*6+($H26:$N26="D")*12+($H26:$N26="N")*12+($H26:$N26="NT")*6+($H26:$N26="C")*10+($H26:$N26="A")*8+($H26:$N26="J")*5+($H26:$N26="E")*4+($H26:$N26="P")*6+($H26:$N26="R")*6)</f>
        <v/>
      </c>
      <c r="BF26" s="110">
        <f>SUMPRODUCT(($O26:$U26="M")*6+($O26:$U26="T")*6+($O26:$U26="D")*12+($O26:$U26="N")*12+($O26:$U26="NT")*6+($O26:$U26="C")*10+($O26:$U26="A")*8+($O26:$U26="J")*5+($O26:$U26="E")*4+($O26:$U26="P")*6+($O26:$U26="R")*6)</f>
        <v/>
      </c>
      <c r="BG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H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I26" s="110">
        <f>SUMPRODUCT(($AJ26:$AM26="M")*6+($AJ26:$AM26="T")*6+($AJ26:$AM26="D")*12+($AJ26:$AM26="N")*12+($AJ26:$AM26="NT")*6+($AJ26:$AM26="C")*10+($AJ26:$AM26="A")*8+($AJ26:$AM26="J")*5+($AJ26:$AM26="E")*4+($AJ26:$AM26="P")*6+($AJ26:$AM26="R")*6)+SUMPRODUCT(($AN26:$AP26="M")*6+($AN26:$AP26="T")*6+($AN26:$AP26="D")*12+($AN26:$AP26="N")*12+($AN26:$AP26="NT")*6+($AN26:$AP26="C")*10+($AN26:$AP26="A")*8+($AN26:$AP26="J")*5+($AN26:$AP26="E")*4+($AN26:$AP26="P")*6+($AN26:$AP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3">
        <f>IFERROR(INDEX(NOV!AL$8:AL$73,MATCH($A27,NOV!$A$8:$A$73,0))&amp;"","")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107" t="n"/>
      <c r="AN27" s="96" t="n"/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SUMPRODUCT(($H27:$N27="M")*6+($H27:$N27="T")*6+($H27:$N27="D")*12+($H27:$N27="N")*12+($H27:$N27="NT")*6+($H27:$N27="C")*10+($H27:$N27="A")*8+($H27:$N27="J")*5+($H27:$N27="E")*4+($H27:$N27="P")*6+($H27:$N27="R")*6)</f>
        <v/>
      </c>
      <c r="BF27" s="110">
        <f>SUMPRODUCT(($O27:$U27="M")*6+($O27:$U27="T")*6+($O27:$U27="D")*12+($O27:$U27="N")*12+($O27:$U27="NT")*6+($O27:$U27="C")*10+($O27:$U27="A")*8+($O27:$U27="J")*5+($O27:$U27="E")*4+($O27:$U27="P")*6+($O27:$U27="R")*6)</f>
        <v/>
      </c>
      <c r="BG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H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I27" s="110">
        <f>SUMPRODUCT(($AJ27:$AM27="M")*6+($AJ27:$AM27="T")*6+($AJ27:$AM27="D")*12+($AJ27:$AM27="N")*12+($AJ27:$AM27="NT")*6+($AJ27:$AM27="C")*10+($AJ27:$AM27="A")*8+($AJ27:$AM27="J")*5+($AJ27:$AM27="E")*4+($AJ27:$AM27="P")*6+($AJ27:$AM27="R")*6)+SUMPRODUCT(($AN27:$AP27="M")*6+($AN27:$AP27="T")*6+($AN27:$AP27="D")*12+($AN27:$AP27="N")*12+($AN27:$AP27="NT")*6+($AN27:$AP27="C")*10+($AN27:$AP27="A")*8+($AN27:$AP27="J")*5+($AN27:$AP27="E")*4+($AN27:$AP27="P")*6+($AN27:$AP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3">
        <f>IFERROR(INDEX(NOV!AL$8:AL$73,MATCH($A28,NOV!$A$8:$A$73,0))&amp;"","")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96" t="n"/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SUMPRODUCT(($H28:$N28="M")*6+($H28:$N28="T")*6+($H28:$N28="D")*12+($H28:$N28="N")*12+($H28:$N28="NT")*6+($H28:$N28="C")*10+($H28:$N28="A")*8+($H28:$N28="J")*5+($H28:$N28="E")*4+($H28:$N28="P")*6+($H28:$N28="R")*6)</f>
        <v/>
      </c>
      <c r="BF28" s="110">
        <f>SUMPRODUCT(($O28:$U28="M")*6+($O28:$U28="T")*6+($O28:$U28="D")*12+($O28:$U28="N")*12+($O28:$U28="NT")*6+($O28:$U28="C")*10+($O28:$U28="A")*8+($O28:$U28="J")*5+($O28:$U28="E")*4+($O28:$U28="P")*6+($O28:$U28="R")*6)</f>
        <v/>
      </c>
      <c r="BG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H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I28" s="110">
        <f>SUMPRODUCT(($AJ28:$AM28="M")*6+($AJ28:$AM28="T")*6+($AJ28:$AM28="D")*12+($AJ28:$AM28="N")*12+($AJ28:$AM28="NT")*6+($AJ28:$AM28="C")*10+($AJ28:$AM28="A")*8+($AJ28:$AM28="J")*5+($AJ28:$AM28="E")*4+($AJ28:$AM28="P")*6+($AJ28:$AM28="R")*6)+SUMPRODUCT(($AN28:$AP28="M")*6+($AN28:$AP28="T")*6+($AN28:$AP28="D")*12+($AN28:$AP28="N")*12+($AN28:$AP28="NT")*6+($AN28:$AP28="C")*10+($AN28:$AP28="A")*8+($AN28:$AP28="J")*5+($AN28:$AP28="E")*4+($AN28:$AP28="P")*6+($AN28:$AP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3">
        <f>IFERROR(INDEX(NOV!AL$8:AL$73,MATCH($A29,NOV!$A$8:$A$73,0))&amp;"","")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107" t="n"/>
      <c r="AN29" s="96" t="n"/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SUMPRODUCT(($H29:$N29="M")*6+($H29:$N29="T")*6+($H29:$N29="D")*12+($H29:$N29="N")*12+($H29:$N29="NT")*6+($H29:$N29="C")*10+($H29:$N29="A")*8+($H29:$N29="J")*5+($H29:$N29="E")*4+($H29:$N29="P")*6+($H29:$N29="R")*6)</f>
        <v/>
      </c>
      <c r="BF29" s="110">
        <f>SUMPRODUCT(($O29:$U29="M")*6+($O29:$U29="T")*6+($O29:$U29="D")*12+($O29:$U29="N")*12+($O29:$U29="NT")*6+($O29:$U29="C")*10+($O29:$U29="A")*8+($O29:$U29="J")*5+($O29:$U29="E")*4+($O29:$U29="P")*6+($O29:$U29="R")*6)</f>
        <v/>
      </c>
      <c r="BG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H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I29" s="110">
        <f>SUMPRODUCT(($AJ29:$AM29="M")*6+($AJ29:$AM29="T")*6+($AJ29:$AM29="D")*12+($AJ29:$AM29="N")*12+($AJ29:$AM29="NT")*6+($AJ29:$AM29="C")*10+($AJ29:$AM29="A")*8+($AJ29:$AM29="J")*5+($AJ29:$AM29="E")*4+($AJ29:$AM29="P")*6+($AJ29:$AM29="R")*6)+SUMPRODUCT(($AN29:$AP29="M")*6+($AN29:$AP29="T")*6+($AN29:$AP29="D")*12+($AN29:$AP29="N")*12+($AN29:$AP29="NT")*6+($AN29:$AP29="C")*10+($AN29:$AP29="A")*8+($AN29:$AP29="J")*5+($AN29:$AP29="E")*4+($AN29:$AP29="P")*6+($AN29:$AP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3">
        <f>IFERROR(INDEX(NOV!AL$8:AL$73,MATCH($A30,NOV!$A$8:$A$73,0))&amp;"","")</f>
        <v/>
      </c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07" t="n"/>
      <c r="AN30" s="96" t="n"/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SUMPRODUCT(($H30:$N30="M")*6+($H30:$N30="T")*6+($H30:$N30="D")*12+($H30:$N30="N")*12+($H30:$N30="NT")*6+($H30:$N30="C")*10+($H30:$N30="A")*8+($H30:$N30="J")*5+($H30:$N30="E")*4+($H30:$N30="P")*6+($H30:$N30="R")*6)</f>
        <v/>
      </c>
      <c r="BF30" s="110">
        <f>SUMPRODUCT(($O30:$U30="M")*6+($O30:$U30="T")*6+($O30:$U30="D")*12+($O30:$U30="N")*12+($O30:$U30="NT")*6+($O30:$U30="C")*10+($O30:$U30="A")*8+($O30:$U30="J")*5+($O30:$U30="E")*4+($O30:$U30="P")*6+($O30:$U30="R")*6)</f>
        <v/>
      </c>
      <c r="BG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H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I30" s="110">
        <f>SUMPRODUCT(($AJ30:$AM30="M")*6+($AJ30:$AM30="T")*6+($AJ30:$AM30="D")*12+($AJ30:$AM30="N")*12+($AJ30:$AM30="NT")*6+($AJ30:$AM30="C")*10+($AJ30:$AM30="A")*8+($AJ30:$AM30="J")*5+($AJ30:$AM30="E")*4+($AJ30:$AM30="P")*6+($AJ30:$AM30="R")*6)+SUMPRODUCT(($AN30:$AP30="M")*6+($AN30:$AP30="T")*6+($AN30:$AP30="D")*12+($AN30:$AP30="N")*12+($AN30:$AP30="NT")*6+($AN30:$AP30="C")*10+($AN30:$AP30="A")*8+($AN30:$AP30="J")*5+($AN30:$AP30="E")*4+($AN30:$AP30="P")*6+($AN30:$AP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3">
        <f>IFERROR(INDEX(NOV!AL$8:AL$73,MATCH($A31,NOV!$A$8:$A$73,0))&amp;"","")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107" t="n"/>
      <c r="AN31" s="96" t="n"/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SUMPRODUCT(($H31:$N31="M")*6+($H31:$N31="T")*6+($H31:$N31="D")*12+($H31:$N31="N")*12+($H31:$N31="NT")*6+($H31:$N31="C")*10+($H31:$N31="A")*8+($H31:$N31="J")*5+($H31:$N31="E")*4+($H31:$N31="P")*6+($H31:$N31="R")*6)</f>
        <v/>
      </c>
      <c r="BF31" s="110">
        <f>SUMPRODUCT(($O31:$U31="M")*6+($O31:$U31="T")*6+($O31:$U31="D")*12+($O31:$U31="N")*12+($O31:$U31="NT")*6+($O31:$U31="C")*10+($O31:$U31="A")*8+($O31:$U31="J")*5+($O31:$U31="E")*4+($O31:$U31="P")*6+($O31:$U31="R")*6)</f>
        <v/>
      </c>
      <c r="BG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H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I31" s="110">
        <f>SUMPRODUCT(($AJ31:$AM31="M")*6+($AJ31:$AM31="T")*6+($AJ31:$AM31="D")*12+($AJ31:$AM31="N")*12+($AJ31:$AM31="NT")*6+($AJ31:$AM31="C")*10+($AJ31:$AM31="A")*8+($AJ31:$AM31="J")*5+($AJ31:$AM31="E")*4+($AJ31:$AM31="P")*6+($AJ31:$AM31="R")*6)+SUMPRODUCT(($AN31:$AP31="M")*6+($AN31:$AP31="T")*6+($AN31:$AP31="D")*12+($AN31:$AP31="N")*12+($AN31:$AP31="NT")*6+($AN31:$AP31="C")*10+($AN31:$AP31="A")*8+($AN31:$AP31="J")*5+($AN31:$AP31="E")*4+($AN31:$AP31="P")*6+($AN31:$AP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3">
        <f>IFERROR(INDEX(NOV!AL$8:AL$73,MATCH($A32,NOV!$A$8:$A$73,0))&amp;"","")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107" t="n"/>
      <c r="AN32" s="96" t="n"/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SUMPRODUCT(($H32:$N32="M")*6+($H32:$N32="T")*6+($H32:$N32="D")*12+($H32:$N32="N")*12+($H32:$N32="NT")*6+($H32:$N32="C")*10+($H32:$N32="A")*8+($H32:$N32="J")*5+($H32:$N32="E")*4+($H32:$N32="P")*6+($H32:$N32="R")*6)</f>
        <v/>
      </c>
      <c r="BF32" s="110">
        <f>SUMPRODUCT(($O32:$U32="M")*6+($O32:$U32="T")*6+($O32:$U32="D")*12+($O32:$U32="N")*12+($O32:$U32="NT")*6+($O32:$U32="C")*10+($O32:$U32="A")*8+($O32:$U32="J")*5+($O32:$U32="E")*4+($O32:$U32="P")*6+($O32:$U32="R")*6)</f>
        <v/>
      </c>
      <c r="BG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H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I32" s="110">
        <f>SUMPRODUCT(($AJ32:$AM32="M")*6+($AJ32:$AM32="T")*6+($AJ32:$AM32="D")*12+($AJ32:$AM32="N")*12+($AJ32:$AM32="NT")*6+($AJ32:$AM32="C")*10+($AJ32:$AM32="A")*8+($AJ32:$AM32="J")*5+($AJ32:$AM32="E")*4+($AJ32:$AM32="P")*6+($AJ32:$AM32="R")*6)+SUMPRODUCT(($AN32:$AP32="M")*6+($AN32:$AP32="T")*6+($AN32:$AP32="D")*12+($AN32:$AP32="N")*12+($AN32:$AP32="NT")*6+($AN32:$AP32="C")*10+($AN32:$AP32="A")*8+($AN32:$AP32="J")*5+($AN32:$AP32="E")*4+($AN32:$AP32="P")*6+($AN32:$AP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3">
        <f>IFERROR(INDEX(NOV!AL$8:AL$73,MATCH($A33,NOV!$A$8:$A$73,0))&amp;"","")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96" t="n"/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SUMPRODUCT(($H33:$N33="M")*6+($H33:$N33="T")*6+($H33:$N33="D")*12+($H33:$N33="N")*12+($H33:$N33="NT")*6+($H33:$N33="C")*10+($H33:$N33="A")*8+($H33:$N33="J")*5+($H33:$N33="E")*4+($H33:$N33="P")*6+($H33:$N33="R")*6)</f>
        <v/>
      </c>
      <c r="BF33" s="110">
        <f>SUMPRODUCT(($O33:$U33="M")*6+($O33:$U33="T")*6+($O33:$U33="D")*12+($O33:$U33="N")*12+($O33:$U33="NT")*6+($O33:$U33="C")*10+($O33:$U33="A")*8+($O33:$U33="J")*5+($O33:$U33="E")*4+($O33:$U33="P")*6+($O33:$U33="R")*6)</f>
        <v/>
      </c>
      <c r="BG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H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I33" s="110">
        <f>SUMPRODUCT(($AJ33:$AM33="M")*6+($AJ33:$AM33="T")*6+($AJ33:$AM33="D")*12+($AJ33:$AM33="N")*12+($AJ33:$AM33="NT")*6+($AJ33:$AM33="C")*10+($AJ33:$AM33="A")*8+($AJ33:$AM33="J")*5+($AJ33:$AM33="E")*4+($AJ33:$AM33="P")*6+($AJ33:$AM33="R")*6)+SUMPRODUCT(($AN33:$AP33="M")*6+($AN33:$AP33="T")*6+($AN33:$AP33="D")*12+($AN33:$AP33="N")*12+($AN33:$AP33="NT")*6+($AN33:$AP33="C")*10+($AN33:$AP33="A")*8+($AN33:$AP33="J")*5+($AN33:$AP33="E")*4+($AN33:$AP33="P")*6+($AN33:$AP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3">
        <f>IFERROR(INDEX(NOV!AL$8:AL$73,MATCH($A34,NOV!$A$8:$A$73,0))&amp;"","")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107" t="n"/>
      <c r="AN34" s="96" t="n"/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SUMPRODUCT(($H34:$N34="M")*6+($H34:$N34="T")*6+($H34:$N34="D")*12+($H34:$N34="N")*12+($H34:$N34="NT")*6+($H34:$N34="C")*10+($H34:$N34="A")*8+($H34:$N34="J")*5+($H34:$N34="E")*4+($H34:$N34="P")*6+($H34:$N34="R")*6)</f>
        <v/>
      </c>
      <c r="BF34" s="110">
        <f>SUMPRODUCT(($O34:$U34="M")*6+($O34:$U34="T")*6+($O34:$U34="D")*12+($O34:$U34="N")*12+($O34:$U34="NT")*6+($O34:$U34="C")*10+($O34:$U34="A")*8+($O34:$U34="J")*5+($O34:$U34="E")*4+($O34:$U34="P")*6+($O34:$U34="R")*6)</f>
        <v/>
      </c>
      <c r="BG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H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I34" s="110">
        <f>SUMPRODUCT(($AJ34:$AM34="M")*6+($AJ34:$AM34="T")*6+($AJ34:$AM34="D")*12+($AJ34:$AM34="N")*12+($AJ34:$AM34="NT")*6+($AJ34:$AM34="C")*10+($AJ34:$AM34="A")*8+($AJ34:$AM34="J")*5+($AJ34:$AM34="E")*4+($AJ34:$AM34="P")*6+($AJ34:$AM34="R")*6)+SUMPRODUCT(($AN34:$AP34="M")*6+($AN34:$AP34="T")*6+($AN34:$AP34="D")*12+($AN34:$AP34="N")*12+($AN34:$AP34="NT")*6+($AN34:$AP34="C")*10+($AN34:$AP34="A")*8+($AN34:$AP34="J")*5+($AN34:$AP34="E")*4+($AN34:$AP34="P")*6+($AN34:$AP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3">
        <f>IFERROR(INDEX(NOV!AL$8:AL$73,MATCH($A35,NOV!$A$8:$A$73,0))&amp;"","")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107" t="n"/>
      <c r="AN35" s="96" t="n"/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SUMPRODUCT(($H35:$N35="M")*6+($H35:$N35="T")*6+($H35:$N35="D")*12+($H35:$N35="N")*12+($H35:$N35="NT")*6+($H35:$N35="C")*10+($H35:$N35="A")*8+($H35:$N35="J")*5+($H35:$N35="E")*4+($H35:$N35="P")*6+($H35:$N35="R")*6)</f>
        <v/>
      </c>
      <c r="BF35" s="110">
        <f>SUMPRODUCT(($O35:$U35="M")*6+($O35:$U35="T")*6+($O35:$U35="D")*12+($O35:$U35="N")*12+($O35:$U35="NT")*6+($O35:$U35="C")*10+($O35:$U35="A")*8+($O35:$U35="J")*5+($O35:$U35="E")*4+($O35:$U35="P")*6+($O35:$U35="R")*6)</f>
        <v/>
      </c>
      <c r="BG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H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I35" s="110">
        <f>SUMPRODUCT(($AJ35:$AM35="M")*6+($AJ35:$AM35="T")*6+($AJ35:$AM35="D")*12+($AJ35:$AM35="N")*12+($AJ35:$AM35="NT")*6+($AJ35:$AM35="C")*10+($AJ35:$AM35="A")*8+($AJ35:$AM35="J")*5+($AJ35:$AM35="E")*4+($AJ35:$AM35="P")*6+($AJ35:$AM35="R")*6)+SUMPRODUCT(($AN35:$AP35="M")*6+($AN35:$AP35="T")*6+($AN35:$AP35="D")*12+($AN35:$AP35="N")*12+($AN35:$AP35="NT")*6+($AN35:$AP35="C")*10+($AN35:$AP35="A")*8+($AN35:$AP35="J")*5+($AN35:$AP35="E")*4+($AN35:$AP35="P")*6+($AN35:$AP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3">
        <f>IFERROR(INDEX(NOV!AL$8:AL$73,MATCH($A36,NOV!$A$8:$A$73,0))&amp;"","")</f>
        <v/>
      </c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107" t="n"/>
      <c r="AN36" s="96" t="n"/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SUMPRODUCT(($H36:$N36="M")*6+($H36:$N36="T")*6+($H36:$N36="D")*12+($H36:$N36="N")*12+($H36:$N36="NT")*6+($H36:$N36="C")*10+($H36:$N36="A")*8+($H36:$N36="J")*5+($H36:$N36="E")*4+($H36:$N36="P")*6+($H36:$N36="R")*6)</f>
        <v/>
      </c>
      <c r="BF36" s="110">
        <f>SUMPRODUCT(($O36:$U36="M")*6+($O36:$U36="T")*6+($O36:$U36="D")*12+($O36:$U36="N")*12+($O36:$U36="NT")*6+($O36:$U36="C")*10+($O36:$U36="A")*8+($O36:$U36="J")*5+($O36:$U36="E")*4+($O36:$U36="P")*6+($O36:$U36="R")*6)</f>
        <v/>
      </c>
      <c r="BG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H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I36" s="110">
        <f>SUMPRODUCT(($AJ36:$AM36="M")*6+($AJ36:$AM36="T")*6+($AJ36:$AM36="D")*12+($AJ36:$AM36="N")*12+($AJ36:$AM36="NT")*6+($AJ36:$AM36="C")*10+($AJ36:$AM36="A")*8+($AJ36:$AM36="J")*5+($AJ36:$AM36="E")*4+($AJ36:$AM36="P")*6+($AJ36:$AM36="R")*6)+SUMPRODUCT(($AN36:$AP36="M")*6+($AN36:$AP36="T")*6+($AN36:$AP36="D")*12+($AN36:$AP36="N")*12+($AN36:$AP36="NT")*6+($AN36:$AP36="C")*10+($AN36:$AP36="A")*8+($AN36:$AP36="J")*5+($AN36:$AP36="E")*4+($AN36:$AP36="P")*6+($AN36:$AP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3">
        <f>IFERROR(INDEX(NOV!AL$8:AL$73,MATCH($A37,NOV!$A$8:$A$73,0))&amp;"","")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107" t="n"/>
      <c r="AN37" s="96" t="n"/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SUMPRODUCT(($H37:$N37="M")*6+($H37:$N37="T")*6+($H37:$N37="D")*12+($H37:$N37="N")*12+($H37:$N37="NT")*6+($H37:$N37="C")*10+($H37:$N37="A")*8+($H37:$N37="J")*5+($H37:$N37="E")*4+($H37:$N37="P")*6+($H37:$N37="R")*6)</f>
        <v/>
      </c>
      <c r="BF37" s="110">
        <f>SUMPRODUCT(($O37:$U37="M")*6+($O37:$U37="T")*6+($O37:$U37="D")*12+($O37:$U37="N")*12+($O37:$U37="NT")*6+($O37:$U37="C")*10+($O37:$U37="A")*8+($O37:$U37="J")*5+($O37:$U37="E")*4+($O37:$U37="P")*6+($O37:$U37="R")*6)</f>
        <v/>
      </c>
      <c r="BG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H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I37" s="110">
        <f>SUMPRODUCT(($AJ37:$AM37="M")*6+($AJ37:$AM37="T")*6+($AJ37:$AM37="D")*12+($AJ37:$AM37="N")*12+($AJ37:$AM37="NT")*6+($AJ37:$AM37="C")*10+($AJ37:$AM37="A")*8+($AJ37:$AM37="J")*5+($AJ37:$AM37="E")*4+($AJ37:$AM37="P")*6+($AJ37:$AM37="R")*6)+SUMPRODUCT(($AN37:$AP37="M")*6+($AN37:$AP37="T")*6+($AN37:$AP37="D")*12+($AN37:$AP37="N")*12+($AN37:$AP37="NT")*6+($AN37:$AP37="C")*10+($AN37:$AP37="A")*8+($AN37:$AP37="J")*5+($AN37:$AP37="E")*4+($AN37:$AP37="P")*6+($AN37:$AP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3">
        <f>IFERROR(INDEX(NOV!AL$8:AL$73,MATCH($A38,NOV!$A$8:$A$73,0))&amp;"","")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96" t="n"/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SUMPRODUCT(($H38:$N38="M")*6+($H38:$N38="T")*6+($H38:$N38="D")*12+($H38:$N38="N")*12+($H38:$N38="NT")*6+($H38:$N38="C")*10+($H38:$N38="A")*8+($H38:$N38="J")*5+($H38:$N38="E")*4+($H38:$N38="P")*6+($H38:$N38="R")*6)</f>
        <v/>
      </c>
      <c r="BF38" s="110">
        <f>SUMPRODUCT(($O38:$U38="M")*6+($O38:$U38="T")*6+($O38:$U38="D")*12+($O38:$U38="N")*12+($O38:$U38="NT")*6+($O38:$U38="C")*10+($O38:$U38="A")*8+($O38:$U38="J")*5+($O38:$U38="E")*4+($O38:$U38="P")*6+($O38:$U38="R")*6)</f>
        <v/>
      </c>
      <c r="BG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H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I38" s="110">
        <f>SUMPRODUCT(($AJ38:$AM38="M")*6+($AJ38:$AM38="T")*6+($AJ38:$AM38="D")*12+($AJ38:$AM38="N")*12+($AJ38:$AM38="NT")*6+($AJ38:$AM38="C")*10+($AJ38:$AM38="A")*8+($AJ38:$AM38="J")*5+($AJ38:$AM38="E")*4+($AJ38:$AM38="P")*6+($AJ38:$AM38="R")*6)+SUMPRODUCT(($AN38:$AP38="M")*6+($AN38:$AP38="T")*6+($AN38:$AP38="D")*12+($AN38:$AP38="N")*12+($AN38:$AP38="NT")*6+($AN38:$AP38="C")*10+($AN38:$AP38="A")*8+($AN38:$AP38="J")*5+($AN38:$AP38="E")*4+($AN38:$AP38="P")*6+($AN38:$AP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3">
        <f>IFERROR(INDEX(NOV!AL$8:AL$73,MATCH($A39,NOV!$A$8:$A$73,0))&amp;"","")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96" t="n"/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SUMPRODUCT(($H39:$N39="M")*6+($H39:$N39="T")*6+($H39:$N39="D")*12+($H39:$N39="N")*12+($H39:$N39="NT")*6+($H39:$N39="C")*10+($H39:$N39="A")*8+($H39:$N39="J")*5+($H39:$N39="E")*4+($H39:$N39="P")*6+($H39:$N39="R")*6)</f>
        <v/>
      </c>
      <c r="BF39" s="110">
        <f>SUMPRODUCT(($O39:$U39="M")*6+($O39:$U39="T")*6+($O39:$U39="D")*12+($O39:$U39="N")*12+($O39:$U39="NT")*6+($O39:$U39="C")*10+($O39:$U39="A")*8+($O39:$U39="J")*5+($O39:$U39="E")*4+($O39:$U39="P")*6+($O39:$U39="R")*6)</f>
        <v/>
      </c>
      <c r="BG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H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I39" s="110">
        <f>SUMPRODUCT(($AJ39:$AM39="M")*6+($AJ39:$AM39="T")*6+($AJ39:$AM39="D")*12+($AJ39:$AM39="N")*12+($AJ39:$AM39="NT")*6+($AJ39:$AM39="C")*10+($AJ39:$AM39="A")*8+($AJ39:$AM39="J")*5+($AJ39:$AM39="E")*4+($AJ39:$AM39="P")*6+($AJ39:$AM39="R")*6)+SUMPRODUCT(($AN39:$AP39="M")*6+($AN39:$AP39="T")*6+($AN39:$AP39="D")*12+($AN39:$AP39="N")*12+($AN39:$AP39="NT")*6+($AN39:$AP39="C")*10+($AN39:$AP39="A")*8+($AN39:$AP39="J")*5+($AN39:$AP39="E")*4+($AN39:$AP39="P")*6+($AN39:$AP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3">
        <f>IFERROR(INDEX(NOV!AL$8:AL$73,MATCH($A40,NOV!$A$8:$A$73,0))&amp;"","")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96" t="n"/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SUMPRODUCT(($H40:$N40="M")*6+($H40:$N40="T")*6+($H40:$N40="D")*12+($H40:$N40="N")*12+($H40:$N40="NT")*6+($H40:$N40="C")*10+($H40:$N40="A")*8+($H40:$N40="J")*5+($H40:$N40="E")*4+($H40:$N40="P")*6+($H40:$N40="R")*6)</f>
        <v/>
      </c>
      <c r="BF40" s="110">
        <f>SUMPRODUCT(($O40:$U40="M")*6+($O40:$U40="T")*6+($O40:$U40="D")*12+($O40:$U40="N")*12+($O40:$U40="NT")*6+($O40:$U40="C")*10+($O40:$U40="A")*8+($O40:$U40="J")*5+($O40:$U40="E")*4+($O40:$U40="P")*6+($O40:$U40="R")*6)</f>
        <v/>
      </c>
      <c r="BG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H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I40" s="110">
        <f>SUMPRODUCT(($AJ40:$AM40="M")*6+($AJ40:$AM40="T")*6+($AJ40:$AM40="D")*12+($AJ40:$AM40="N")*12+($AJ40:$AM40="NT")*6+($AJ40:$AM40="C")*10+($AJ40:$AM40="A")*8+($AJ40:$AM40="J")*5+($AJ40:$AM40="E")*4+($AJ40:$AM40="P")*6+($AJ40:$AM40="R")*6)+SUMPRODUCT(($AN40:$AP40="M")*6+($AN40:$AP40="T")*6+($AN40:$AP40="D")*12+($AN40:$AP40="N")*12+($AN40:$AP40="NT")*6+($AN40:$AP40="C")*10+($AN40:$AP40="A")*8+($AN40:$AP40="J")*5+($AN40:$AP40="E")*4+($AN40:$AP40="P")*6+($AN40:$AP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3">
        <f>IFERROR(INDEX(NOV!AL$8:AL$73,MATCH($A41,NOV!$A$8:$A$73,0))&amp;"","")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96" t="n"/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SUMPRODUCT(($H41:$N41="M")*6+($H41:$N41="T")*6+($H41:$N41="D")*12+($H41:$N41="N")*12+($H41:$N41="NT")*6+($H41:$N41="C")*10+($H41:$N41="A")*8+($H41:$N41="J")*5+($H41:$N41="E")*4+($H41:$N41="P")*6+($H41:$N41="R")*6)</f>
        <v/>
      </c>
      <c r="BF41" s="110">
        <f>SUMPRODUCT(($O41:$U41="M")*6+($O41:$U41="T")*6+($O41:$U41="D")*12+($O41:$U41="N")*12+($O41:$U41="NT")*6+($O41:$U41="C")*10+($O41:$U41="A")*8+($O41:$U41="J")*5+($O41:$U41="E")*4+($O41:$U41="P")*6+($O41:$U41="R")*6)</f>
        <v/>
      </c>
      <c r="BG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H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I41" s="110">
        <f>SUMPRODUCT(($AJ41:$AM41="M")*6+($AJ41:$AM41="T")*6+($AJ41:$AM41="D")*12+($AJ41:$AM41="N")*12+($AJ41:$AM41="NT")*6+($AJ41:$AM41="C")*10+($AJ41:$AM41="A")*8+($AJ41:$AM41="J")*5+($AJ41:$AM41="E")*4+($AJ41:$AM41="P")*6+($AJ41:$AM41="R")*6)+SUMPRODUCT(($AN41:$AP41="M")*6+($AN41:$AP41="T")*6+($AN41:$AP41="D")*12+($AN41:$AP41="N")*12+($AN41:$AP41="NT")*6+($AN41:$AP41="C")*10+($AN41:$AP41="A")*8+($AN41:$AP41="J")*5+($AN41:$AP41="E")*4+($AN41:$AP41="P")*6+($AN41:$AP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3">
        <f>IFERROR(INDEX(NOV!AL$8:AL$73,MATCH($A42,NOV!$A$8:$A$73,0))&amp;"","")</f>
        <v/>
      </c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96" t="n"/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SUMPRODUCT(($H42:$N42="M")*6+($H42:$N42="T")*6+($H42:$N42="D")*12+($H42:$N42="N")*12+($H42:$N42="NT")*6+($H42:$N42="C")*10+($H42:$N42="A")*8+($H42:$N42="J")*5+($H42:$N42="E")*4+($H42:$N42="P")*6+($H42:$N42="R")*6)</f>
        <v/>
      </c>
      <c r="BF42" s="110">
        <f>SUMPRODUCT(($O42:$U42="M")*6+($O42:$U42="T")*6+($O42:$U42="D")*12+($O42:$U42="N")*12+($O42:$U42="NT")*6+($O42:$U42="C")*10+($O42:$U42="A")*8+($O42:$U42="J")*5+($O42:$U42="E")*4+($O42:$U42="P")*6+($O42:$U42="R")*6)</f>
        <v/>
      </c>
      <c r="BG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H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I42" s="110">
        <f>SUMPRODUCT(($AJ42:$AM42="M")*6+($AJ42:$AM42="T")*6+($AJ42:$AM42="D")*12+($AJ42:$AM42="N")*12+($AJ42:$AM42="NT")*6+($AJ42:$AM42="C")*10+($AJ42:$AM42="A")*8+($AJ42:$AM42="J")*5+($AJ42:$AM42="E")*4+($AJ42:$AM42="P")*6+($AJ42:$AM42="R")*6)+SUMPRODUCT(($AN42:$AP42="M")*6+($AN42:$AP42="T")*6+($AN42:$AP42="D")*12+($AN42:$AP42="N")*12+($AN42:$AP42="NT")*6+($AN42:$AP42="C")*10+($AN42:$AP42="A")*8+($AN42:$AP42="J")*5+($AN42:$AP42="E")*4+($AN42:$AP42="P")*6+($AN42:$AP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3">
        <f>IFERROR(INDEX(NOV!AL$8:AL$73,MATCH($A43,NOV!$A$8:$A$73,0))&amp;"","")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107" t="n"/>
      <c r="AN43" s="96" t="n"/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SUMPRODUCT(($H43:$N43="M")*6+($H43:$N43="T")*6+($H43:$N43="D")*12+($H43:$N43="N")*12+($H43:$N43="NT")*6+($H43:$N43="C")*10+($H43:$N43="A")*8+($H43:$N43="J")*5+($H43:$N43="E")*4+($H43:$N43="P")*6+($H43:$N43="R")*6)</f>
        <v/>
      </c>
      <c r="BF43" s="110">
        <f>SUMPRODUCT(($O43:$U43="M")*6+($O43:$U43="T")*6+($O43:$U43="D")*12+($O43:$U43="N")*12+($O43:$U43="NT")*6+($O43:$U43="C")*10+($O43:$U43="A")*8+($O43:$U43="J")*5+($O43:$U43="E")*4+($O43:$U43="P")*6+($O43:$U43="R")*6)</f>
        <v/>
      </c>
      <c r="BG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H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I43" s="110">
        <f>SUMPRODUCT(($AJ43:$AM43="M")*6+($AJ43:$AM43="T")*6+($AJ43:$AM43="D")*12+($AJ43:$AM43="N")*12+($AJ43:$AM43="NT")*6+($AJ43:$AM43="C")*10+($AJ43:$AM43="A")*8+($AJ43:$AM43="J")*5+($AJ43:$AM43="E")*4+($AJ43:$AM43="P")*6+($AJ43:$AM43="R")*6)+SUMPRODUCT(($AN43:$AP43="M")*6+($AN43:$AP43="T")*6+($AN43:$AP43="D")*12+($AN43:$AP43="N")*12+($AN43:$AP43="NT")*6+($AN43:$AP43="C")*10+($AN43:$AP43="A")*8+($AN43:$AP43="J")*5+($AN43:$AP43="E")*4+($AN43:$AP43="P")*6+($AN43:$AP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3">
        <f>IFERROR(INDEX(NOV!AL$8:AL$73,MATCH($A44,NOV!$A$8:$A$73,0))&amp;"","")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96" t="n"/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SUMPRODUCT(($H44:$N44="M")*6+($H44:$N44="T")*6+($H44:$N44="D")*12+($H44:$N44="N")*12+($H44:$N44="NT")*6+($H44:$N44="C")*10+($H44:$N44="A")*8+($H44:$N44="J")*5+($H44:$N44="E")*4+($H44:$N44="P")*6+($H44:$N44="R")*6)</f>
        <v/>
      </c>
      <c r="BF44" s="110">
        <f>SUMPRODUCT(($O44:$U44="M")*6+($O44:$U44="T")*6+($O44:$U44="D")*12+($O44:$U44="N")*12+($O44:$U44="NT")*6+($O44:$U44="C")*10+($O44:$U44="A")*8+($O44:$U44="J")*5+($O44:$U44="E")*4+($O44:$U44="P")*6+($O44:$U44="R")*6)</f>
        <v/>
      </c>
      <c r="BG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H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I44" s="110">
        <f>SUMPRODUCT(($AJ44:$AM44="M")*6+($AJ44:$AM44="T")*6+($AJ44:$AM44="D")*12+($AJ44:$AM44="N")*12+($AJ44:$AM44="NT")*6+($AJ44:$AM44="C")*10+($AJ44:$AM44="A")*8+($AJ44:$AM44="J")*5+($AJ44:$AM44="E")*4+($AJ44:$AM44="P")*6+($AJ44:$AM44="R")*6)+SUMPRODUCT(($AN44:$AP44="M")*6+($AN44:$AP44="T")*6+($AN44:$AP44="D")*12+($AN44:$AP44="N")*12+($AN44:$AP44="NT")*6+($AN44:$AP44="C")*10+($AN44:$AP44="A")*8+($AN44:$AP44="J")*5+($AN44:$AP44="E")*4+($AN44:$AP44="P")*6+($AN44:$AP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3">
        <f>IFERROR(INDEX(NOV!AL$8:AL$73,MATCH($A45,NOV!$A$8:$A$73,0))&amp;"","")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96" t="n"/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SUMPRODUCT(($H45:$N45="M")*6+($H45:$N45="T")*6+($H45:$N45="D")*12+($H45:$N45="N")*12+($H45:$N45="NT")*6+($H45:$N45="C")*10+($H45:$N45="A")*8+($H45:$N45="J")*5+($H45:$N45="E")*4+($H45:$N45="P")*6+($H45:$N45="R")*6)</f>
        <v/>
      </c>
      <c r="BF45" s="110">
        <f>SUMPRODUCT(($O45:$U45="M")*6+($O45:$U45="T")*6+($O45:$U45="D")*12+($O45:$U45="N")*12+($O45:$U45="NT")*6+($O45:$U45="C")*10+($O45:$U45="A")*8+($O45:$U45="J")*5+($O45:$U45="E")*4+($O45:$U45="P")*6+($O45:$U45="R")*6)</f>
        <v/>
      </c>
      <c r="BG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H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I45" s="110">
        <f>SUMPRODUCT(($AJ45:$AM45="M")*6+($AJ45:$AM45="T")*6+($AJ45:$AM45="D")*12+($AJ45:$AM45="N")*12+($AJ45:$AM45="NT")*6+($AJ45:$AM45="C")*10+($AJ45:$AM45="A")*8+($AJ45:$AM45="J")*5+($AJ45:$AM45="E")*4+($AJ45:$AM45="P")*6+($AJ45:$AM45="R")*6)+SUMPRODUCT(($AN45:$AP45="M")*6+($AN45:$AP45="T")*6+($AN45:$AP45="D")*12+($AN45:$AP45="N")*12+($AN45:$AP45="NT")*6+($AN45:$AP45="C")*10+($AN45:$AP45="A")*8+($AN45:$AP45="J")*5+($AN45:$AP45="E")*4+($AN45:$AP45="P")*6+($AN45:$AP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3">
        <f>IFERROR(INDEX(NOV!AL$8:AL$73,MATCH($A46,NOV!$A$8:$A$73,0))&amp;"","")</f>
        <v/>
      </c>
      <c r="I46" s="107" t="n"/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107" t="n"/>
      <c r="AN46" s="96" t="n"/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SUMPRODUCT(($H46:$N46="M")*6+($H46:$N46="T")*6+($H46:$N46="D")*12+($H46:$N46="N")*12+($H46:$N46="NT")*6+($H46:$N46="C")*10+($H46:$N46="A")*8+($H46:$N46="J")*5+($H46:$N46="E")*4+($H46:$N46="P")*6+($H46:$N46="R")*6)</f>
        <v/>
      </c>
      <c r="BF46" s="110">
        <f>SUMPRODUCT(($O46:$U46="M")*6+($O46:$U46="T")*6+($O46:$U46="D")*12+($O46:$U46="N")*12+($O46:$U46="NT")*6+($O46:$U46="C")*10+($O46:$U46="A")*8+($O46:$U46="J")*5+($O46:$U46="E")*4+($O46:$U46="P")*6+($O46:$U46="R")*6)</f>
        <v/>
      </c>
      <c r="BG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H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I46" s="110">
        <f>SUMPRODUCT(($AJ46:$AM46="M")*6+($AJ46:$AM46="T")*6+($AJ46:$AM46="D")*12+($AJ46:$AM46="N")*12+($AJ46:$AM46="NT")*6+($AJ46:$AM46="C")*10+($AJ46:$AM46="A")*8+($AJ46:$AM46="J")*5+($AJ46:$AM46="E")*4+($AJ46:$AM46="P")*6+($AJ46:$AM46="R")*6)+SUMPRODUCT(($AN46:$AP46="M")*6+($AN46:$AP46="T")*6+($AN46:$AP46="D")*12+($AN46:$AP46="N")*12+($AN46:$AP46="NT")*6+($AN46:$AP46="C")*10+($AN46:$AP46="A")*8+($AN46:$AP46="J")*5+($AN46:$AP46="E")*4+($AN46:$AP46="P")*6+($AN46:$AP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3">
        <f>IFERROR(INDEX(NOV!AL$8:AL$73,MATCH($A47,NOV!$A$8:$A$73,0))&amp;"","")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96" t="n"/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SUMPRODUCT(($H47:$N47="M")*6+($H47:$N47="T")*6+($H47:$N47="D")*12+($H47:$N47="N")*12+($H47:$N47="NT")*6+($H47:$N47="C")*10+($H47:$N47="A")*8+($H47:$N47="J")*5+($H47:$N47="E")*4+($H47:$N47="P")*6+($H47:$N47="R")*6)</f>
        <v/>
      </c>
      <c r="BF47" s="110">
        <f>SUMPRODUCT(($O47:$U47="M")*6+($O47:$U47="T")*6+($O47:$U47="D")*12+($O47:$U47="N")*12+($O47:$U47="NT")*6+($O47:$U47="C")*10+($O47:$U47="A")*8+($O47:$U47="J")*5+($O47:$U47="E")*4+($O47:$U47="P")*6+($O47:$U47="R")*6)</f>
        <v/>
      </c>
      <c r="BG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H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I47" s="110">
        <f>SUMPRODUCT(($AJ47:$AM47="M")*6+($AJ47:$AM47="T")*6+($AJ47:$AM47="D")*12+($AJ47:$AM47="N")*12+($AJ47:$AM47="NT")*6+($AJ47:$AM47="C")*10+($AJ47:$AM47="A")*8+($AJ47:$AM47="J")*5+($AJ47:$AM47="E")*4+($AJ47:$AM47="P")*6+($AJ47:$AM47="R")*6)+SUMPRODUCT(($AN47:$AP47="M")*6+($AN47:$AP47="T")*6+($AN47:$AP47="D")*12+($AN47:$AP47="N")*12+($AN47:$AP47="NT")*6+($AN47:$AP47="C")*10+($AN47:$AP47="A")*8+($AN47:$AP47="J")*5+($AN47:$AP47="E")*4+($AN47:$AP47="P")*6+($AN47:$AP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3">
        <f>IFERROR(INDEX(NOV!AL$8:AL$73,MATCH($A48,NOV!$A$8:$A$73,0))&amp;"","")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96" t="n"/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SUMPRODUCT(($H48:$N48="M")*6+($H48:$N48="T")*6+($H48:$N48="D")*12+($H48:$N48="N")*12+($H48:$N48="NT")*6+($H48:$N48="C")*10+($H48:$N48="A")*8+($H48:$N48="J")*5+($H48:$N48="E")*4+($H48:$N48="P")*6+($H48:$N48="R")*6)</f>
        <v/>
      </c>
      <c r="BF48" s="110">
        <f>SUMPRODUCT(($O48:$U48="M")*6+($O48:$U48="T")*6+($O48:$U48="D")*12+($O48:$U48="N")*12+($O48:$U48="NT")*6+($O48:$U48="C")*10+($O48:$U48="A")*8+($O48:$U48="J")*5+($O48:$U48="E")*4+($O48:$U48="P")*6+($O48:$U48="R")*6)</f>
        <v/>
      </c>
      <c r="BG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H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I48" s="110">
        <f>SUMPRODUCT(($AJ48:$AM48="M")*6+($AJ48:$AM48="T")*6+($AJ48:$AM48="D")*12+($AJ48:$AM48="N")*12+($AJ48:$AM48="NT")*6+($AJ48:$AM48="C")*10+($AJ48:$AM48="A")*8+($AJ48:$AM48="J")*5+($AJ48:$AM48="E")*4+($AJ48:$AM48="P")*6+($AJ48:$AM48="R")*6)+SUMPRODUCT(($AN48:$AP48="M")*6+($AN48:$AP48="T")*6+($AN48:$AP48="D")*12+($AN48:$AP48="N")*12+($AN48:$AP48="NT")*6+($AN48:$AP48="C")*10+($AN48:$AP48="A")*8+($AN48:$AP48="J")*5+($AN48:$AP48="E")*4+($AN48:$AP48="P")*6+($AN48:$AP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3">
        <f>IFERROR(INDEX(NOV!AL$8:AL$73,MATCH($A49,NOV!$A$8:$A$73,0))&amp;"","")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96" t="n"/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SUMPRODUCT(($H49:$N49="M")*6+($H49:$N49="T")*6+($H49:$N49="D")*12+($H49:$N49="N")*12+($H49:$N49="NT")*6+($H49:$N49="C")*10+($H49:$N49="A")*8+($H49:$N49="J")*5+($H49:$N49="E")*4+($H49:$N49="P")*6+($H49:$N49="R")*6)</f>
        <v/>
      </c>
      <c r="BF49" s="110">
        <f>SUMPRODUCT(($O49:$U49="M")*6+($O49:$U49="T")*6+($O49:$U49="D")*12+($O49:$U49="N")*12+($O49:$U49="NT")*6+($O49:$U49="C")*10+($O49:$U49="A")*8+($O49:$U49="J")*5+($O49:$U49="E")*4+($O49:$U49="P")*6+($O49:$U49="R")*6)</f>
        <v/>
      </c>
      <c r="BG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H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I49" s="110">
        <f>SUMPRODUCT(($AJ49:$AM49="M")*6+($AJ49:$AM49="T")*6+($AJ49:$AM49="D")*12+($AJ49:$AM49="N")*12+($AJ49:$AM49="NT")*6+($AJ49:$AM49="C")*10+($AJ49:$AM49="A")*8+($AJ49:$AM49="J")*5+($AJ49:$AM49="E")*4+($AJ49:$AM49="P")*6+($AJ49:$AM49="R")*6)+SUMPRODUCT(($AN49:$AP49="M")*6+($AN49:$AP49="T")*6+($AN49:$AP49="D")*12+($AN49:$AP49="N")*12+($AN49:$AP49="NT")*6+($AN49:$AP49="C")*10+($AN49:$AP49="A")*8+($AN49:$AP49="J")*5+($AN49:$AP49="E")*4+($AN49:$AP49="P")*6+($AN49:$AP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3">
        <f>IFERROR(INDEX(NOV!AL$8:AL$73,MATCH($A50,NOV!$A$8:$A$73,0))&amp;"","")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107" t="n"/>
      <c r="AN50" s="96" t="n"/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SUMPRODUCT(($H50:$N50="M")*6+($H50:$N50="T")*6+($H50:$N50="D")*12+($H50:$N50="N")*12+($H50:$N50="NT")*6+($H50:$N50="C")*10+($H50:$N50="A")*8+($H50:$N50="J")*5+($H50:$N50="E")*4+($H50:$N50="P")*6+($H50:$N50="R")*6)</f>
        <v/>
      </c>
      <c r="BF50" s="110">
        <f>SUMPRODUCT(($O50:$U50="M")*6+($O50:$U50="T")*6+($O50:$U50="D")*12+($O50:$U50="N")*12+($O50:$U50="NT")*6+($O50:$U50="C")*10+($O50:$U50="A")*8+($O50:$U50="J")*5+($O50:$U50="E")*4+($O50:$U50="P")*6+($O50:$U50="R")*6)</f>
        <v/>
      </c>
      <c r="BG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H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I50" s="110">
        <f>SUMPRODUCT(($AJ50:$AM50="M")*6+($AJ50:$AM50="T")*6+($AJ50:$AM50="D")*12+($AJ50:$AM50="N")*12+($AJ50:$AM50="NT")*6+($AJ50:$AM50="C")*10+($AJ50:$AM50="A")*8+($AJ50:$AM50="J")*5+($AJ50:$AM50="E")*4+($AJ50:$AM50="P")*6+($AJ50:$AM50="R")*6)+SUMPRODUCT(($AN50:$AP50="M")*6+($AN50:$AP50="T")*6+($AN50:$AP50="D")*12+($AN50:$AP50="N")*12+($AN50:$AP50="NT")*6+($AN50:$AP50="C")*10+($AN50:$AP50="A")*8+($AN50:$AP50="J")*5+($AN50:$AP50="E")*4+($AN50:$AP50="P")*6+($AN50:$AP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3">
        <f>IFERROR(INDEX(NOV!AL$8:AL$73,MATCH($A51,NOV!$A$8:$A$73,0))&amp;"","")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96" t="n"/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SUMPRODUCT(($H51:$N51="M")*6+($H51:$N51="T")*6+($H51:$N51="D")*12+($H51:$N51="N")*12+($H51:$N51="NT")*6+($H51:$N51="C")*10+($H51:$N51="A")*8+($H51:$N51="J")*5+($H51:$N51="E")*4+($H51:$N51="P")*6+($H51:$N51="R")*6)</f>
        <v/>
      </c>
      <c r="BF51" s="110">
        <f>SUMPRODUCT(($O51:$U51="M")*6+($O51:$U51="T")*6+($O51:$U51="D")*12+($O51:$U51="N")*12+($O51:$U51="NT")*6+($O51:$U51="C")*10+($O51:$U51="A")*8+($O51:$U51="J")*5+($O51:$U51="E")*4+($O51:$U51="P")*6+($O51:$U51="R")*6)</f>
        <v/>
      </c>
      <c r="BG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H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I51" s="110">
        <f>SUMPRODUCT(($AJ51:$AM51="M")*6+($AJ51:$AM51="T")*6+($AJ51:$AM51="D")*12+($AJ51:$AM51="N")*12+($AJ51:$AM51="NT")*6+($AJ51:$AM51="C")*10+($AJ51:$AM51="A")*8+($AJ51:$AM51="J")*5+($AJ51:$AM51="E")*4+($AJ51:$AM51="P")*6+($AJ51:$AM51="R")*6)+SUMPRODUCT(($AN51:$AP51="M")*6+($AN51:$AP51="T")*6+($AN51:$AP51="D")*12+($AN51:$AP51="N")*12+($AN51:$AP51="NT")*6+($AN51:$AP51="C")*10+($AN51:$AP51="A")*8+($AN51:$AP51="J")*5+($AN51:$AP51="E")*4+($AN51:$AP51="P")*6+($AN51:$AP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3">
        <f>IFERROR(INDEX(NOV!AL$8:AL$73,MATCH($A52,NOV!$A$8:$A$73,0))&amp;"","")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96" t="n"/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SUMPRODUCT(($H52:$N52="M")*6+($H52:$N52="T")*6+($H52:$N52="D")*12+($H52:$N52="N")*12+($H52:$N52="NT")*6+($H52:$N52="C")*10+($H52:$N52="A")*8+($H52:$N52="J")*5+($H52:$N52="E")*4+($H52:$N52="P")*6+($H52:$N52="R")*6)</f>
        <v/>
      </c>
      <c r="BF52" s="110">
        <f>SUMPRODUCT(($O52:$U52="M")*6+($O52:$U52="T")*6+($O52:$U52="D")*12+($O52:$U52="N")*12+($O52:$U52="NT")*6+($O52:$U52="C")*10+($O52:$U52="A")*8+($O52:$U52="J")*5+($O52:$U52="E")*4+($O52:$U52="P")*6+($O52:$U52="R")*6)</f>
        <v/>
      </c>
      <c r="BG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H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I52" s="110">
        <f>SUMPRODUCT(($AJ52:$AM52="M")*6+($AJ52:$AM52="T")*6+($AJ52:$AM52="D")*12+($AJ52:$AM52="N")*12+($AJ52:$AM52="NT")*6+($AJ52:$AM52="C")*10+($AJ52:$AM52="A")*8+($AJ52:$AM52="J")*5+($AJ52:$AM52="E")*4+($AJ52:$AM52="P")*6+($AJ52:$AM52="R")*6)+SUMPRODUCT(($AN52:$AP52="M")*6+($AN52:$AP52="T")*6+($AN52:$AP52="D")*12+($AN52:$AP52="N")*12+($AN52:$AP52="NT")*6+($AN52:$AP52="C")*10+($AN52:$AP52="A")*8+($AN52:$AP52="J")*5+($AN52:$AP52="E")*4+($AN52:$AP52="P")*6+($AN52:$AP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3">
        <f>IFERROR(INDEX(NOV!AL$8:AL$73,MATCH($A53,NOV!$A$8:$A$73,0))&amp;"","")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07" t="n"/>
      <c r="AN53" s="96" t="n"/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SUMPRODUCT(($H53:$N53="M")*6+($H53:$N53="T")*6+($H53:$N53="D")*12+($H53:$N53="N")*12+($H53:$N53="NT")*6+($H53:$N53="C")*10+($H53:$N53="A")*8+($H53:$N53="J")*5+($H53:$N53="E")*4+($H53:$N53="P")*6+($H53:$N53="R")*6)</f>
        <v/>
      </c>
      <c r="BF53" s="110">
        <f>SUMPRODUCT(($O53:$U53="M")*6+($O53:$U53="T")*6+($O53:$U53="D")*12+($O53:$U53="N")*12+($O53:$U53="NT")*6+($O53:$U53="C")*10+($O53:$U53="A")*8+($O53:$U53="J")*5+($O53:$U53="E")*4+($O53:$U53="P")*6+($O53:$U53="R")*6)</f>
        <v/>
      </c>
      <c r="BG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H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I53" s="110">
        <f>SUMPRODUCT(($AJ53:$AM53="M")*6+($AJ53:$AM53="T")*6+($AJ53:$AM53="D")*12+($AJ53:$AM53="N")*12+($AJ53:$AM53="NT")*6+($AJ53:$AM53="C")*10+($AJ53:$AM53="A")*8+($AJ53:$AM53="J")*5+($AJ53:$AM53="E")*4+($AJ53:$AM53="P")*6+($AJ53:$AM53="R")*6)+SUMPRODUCT(($AN53:$AP53="M")*6+($AN53:$AP53="T")*6+($AN53:$AP53="D")*12+($AN53:$AP53="N")*12+($AN53:$AP53="NT")*6+($AN53:$AP53="C")*10+($AN53:$AP53="A")*8+($AN53:$AP53="J")*5+($AN53:$AP53="E")*4+($AN53:$AP53="P")*6+($AN53:$AP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3">
        <f>IFERROR(INDEX(NOV!AL$8:AL$73,MATCH($A54,NOV!$A$8:$A$73,0))&amp;"","")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107" t="n"/>
      <c r="AN54" s="96" t="n"/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SUMPRODUCT(($H54:$N54="M")*6+($H54:$N54="T")*6+($H54:$N54="D")*12+($H54:$N54="N")*12+($H54:$N54="NT")*6+($H54:$N54="C")*10+($H54:$N54="A")*8+($H54:$N54="J")*5+($H54:$N54="E")*4+($H54:$N54="P")*6+($H54:$N54="R")*6)</f>
        <v/>
      </c>
      <c r="BF54" s="110">
        <f>SUMPRODUCT(($O54:$U54="M")*6+($O54:$U54="T")*6+($O54:$U54="D")*12+($O54:$U54="N")*12+($O54:$U54="NT")*6+($O54:$U54="C")*10+($O54:$U54="A")*8+($O54:$U54="J")*5+($O54:$U54="E")*4+($O54:$U54="P")*6+($O54:$U54="R")*6)</f>
        <v/>
      </c>
      <c r="BG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H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I54" s="110">
        <f>SUMPRODUCT(($AJ54:$AM54="M")*6+($AJ54:$AM54="T")*6+($AJ54:$AM54="D")*12+($AJ54:$AM54="N")*12+($AJ54:$AM54="NT")*6+($AJ54:$AM54="C")*10+($AJ54:$AM54="A")*8+($AJ54:$AM54="J")*5+($AJ54:$AM54="E")*4+($AJ54:$AM54="P")*6+($AJ54:$AM54="R")*6)+SUMPRODUCT(($AN54:$AP54="M")*6+($AN54:$AP54="T")*6+($AN54:$AP54="D")*12+($AN54:$AP54="N")*12+($AN54:$AP54="NT")*6+($AN54:$AP54="C")*10+($AN54:$AP54="A")*8+($AN54:$AP54="J")*5+($AN54:$AP54="E")*4+($AN54:$AP54="P")*6+($AN54:$AP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3">
        <f>IFERROR(INDEX(NOV!AL$8:AL$73,MATCH($A55,NOV!$A$8:$A$73,0))&amp;"","")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96" t="n"/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SUMPRODUCT(($H55:$N55="M")*6+($H55:$N55="T")*6+($H55:$N55="D")*12+($H55:$N55="N")*12+($H55:$N55="NT")*6+($H55:$N55="C")*10+($H55:$N55="A")*8+($H55:$N55="J")*5+($H55:$N55="E")*4+($H55:$N55="P")*6+($H55:$N55="R")*6)</f>
        <v/>
      </c>
      <c r="BF55" s="110">
        <f>SUMPRODUCT(($O55:$U55="M")*6+($O55:$U55="T")*6+($O55:$U55="D")*12+($O55:$U55="N")*12+($O55:$U55="NT")*6+($O55:$U55="C")*10+($O55:$U55="A")*8+($O55:$U55="J")*5+($O55:$U55="E")*4+($O55:$U55="P")*6+($O55:$U55="R")*6)</f>
        <v/>
      </c>
      <c r="BG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H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I55" s="110">
        <f>SUMPRODUCT(($AJ55:$AM55="M")*6+($AJ55:$AM55="T")*6+($AJ55:$AM55="D")*12+($AJ55:$AM55="N")*12+($AJ55:$AM55="NT")*6+($AJ55:$AM55="C")*10+($AJ55:$AM55="A")*8+($AJ55:$AM55="J")*5+($AJ55:$AM55="E")*4+($AJ55:$AM55="P")*6+($AJ55:$AM55="R")*6)+SUMPRODUCT(($AN55:$AP55="M")*6+($AN55:$AP55="T")*6+($AN55:$AP55="D")*12+($AN55:$AP55="N")*12+($AN55:$AP55="NT")*6+($AN55:$AP55="C")*10+($AN55:$AP55="A")*8+($AN55:$AP55="J")*5+($AN55:$AP55="E")*4+($AN55:$AP55="P")*6+($AN55:$AP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3">
        <f>IFERROR(INDEX(NOV!AL$8:AL$73,MATCH($A56,NOV!$A$8:$A$73,0))&amp;"","")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96" t="n"/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SUMPRODUCT(($H56:$N56="M")*6+($H56:$N56="T")*6+($H56:$N56="D")*12+($H56:$N56="N")*12+($H56:$N56="NT")*6+($H56:$N56="C")*10+($H56:$N56="A")*8+($H56:$N56="J")*5+($H56:$N56="E")*4+($H56:$N56="P")*6+($H56:$N56="R")*6)</f>
        <v/>
      </c>
      <c r="BF56" s="110">
        <f>SUMPRODUCT(($O56:$U56="M")*6+($O56:$U56="T")*6+($O56:$U56="D")*12+($O56:$U56="N")*12+($O56:$U56="NT")*6+($O56:$U56="C")*10+($O56:$U56="A")*8+($O56:$U56="J")*5+($O56:$U56="E")*4+($O56:$U56="P")*6+($O56:$U56="R")*6)</f>
        <v/>
      </c>
      <c r="BG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H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I56" s="110">
        <f>SUMPRODUCT(($AJ56:$AM56="M")*6+($AJ56:$AM56="T")*6+($AJ56:$AM56="D")*12+($AJ56:$AM56="N")*12+($AJ56:$AM56="NT")*6+($AJ56:$AM56="C")*10+($AJ56:$AM56="A")*8+($AJ56:$AM56="J")*5+($AJ56:$AM56="E")*4+($AJ56:$AM56="P")*6+($AJ56:$AM56="R")*6)+SUMPRODUCT(($AN56:$AP56="M")*6+($AN56:$AP56="T")*6+($AN56:$AP56="D")*12+($AN56:$AP56="N")*12+($AN56:$AP56="NT")*6+($AN56:$AP56="C")*10+($AN56:$AP56="A")*8+($AN56:$AP56="J")*5+($AN56:$AP56="E")*4+($AN56:$AP56="P")*6+($AN56:$AP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3">
        <f>IFERROR(INDEX(NOV!AL$8:AL$73,MATCH($A57,NOV!$A$8:$A$73,0))&amp;"","")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96" t="n"/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SUMPRODUCT(($H57:$N57="M")*6+($H57:$N57="T")*6+($H57:$N57="D")*12+($H57:$N57="N")*12+($H57:$N57="NT")*6+($H57:$N57="C")*10+($H57:$N57="A")*8+($H57:$N57="J")*5+($H57:$N57="E")*4+($H57:$N57="P")*6+($H57:$N57="R")*6)</f>
        <v/>
      </c>
      <c r="BF57" s="110">
        <f>SUMPRODUCT(($O57:$U57="M")*6+($O57:$U57="T")*6+($O57:$U57="D")*12+($O57:$U57="N")*12+($O57:$U57="NT")*6+($O57:$U57="C")*10+($O57:$U57="A")*8+($O57:$U57="J")*5+($O57:$U57="E")*4+($O57:$U57="P")*6+($O57:$U57="R")*6)</f>
        <v/>
      </c>
      <c r="BG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H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I57" s="110">
        <f>SUMPRODUCT(($AJ57:$AM57="M")*6+($AJ57:$AM57="T")*6+($AJ57:$AM57="D")*12+($AJ57:$AM57="N")*12+($AJ57:$AM57="NT")*6+($AJ57:$AM57="C")*10+($AJ57:$AM57="A")*8+($AJ57:$AM57="J")*5+($AJ57:$AM57="E")*4+($AJ57:$AM57="P")*6+($AJ57:$AM57="R")*6)+SUMPRODUCT(($AN57:$AP57="M")*6+($AN57:$AP57="T")*6+($AN57:$AP57="D")*12+($AN57:$AP57="N")*12+($AN57:$AP57="NT")*6+($AN57:$AP57="C")*10+($AN57:$AP57="A")*8+($AN57:$AP57="J")*5+($AN57:$AP57="E")*4+($AN57:$AP57="P")*6+($AN57:$AP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3">
        <f>IFERROR(INDEX(NOV!AL$8:AL$73,MATCH($A58,NOV!$A$8:$A$73,0))&amp;"","")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107" t="n"/>
      <c r="AN58" s="96" t="n"/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SUMPRODUCT(($H58:$N58="M")*6+($H58:$N58="T")*6+($H58:$N58="D")*12+($H58:$N58="N")*12+($H58:$N58="NT")*6+($H58:$N58="C")*10+($H58:$N58="A")*8+($H58:$N58="J")*5+($H58:$N58="E")*4+($H58:$N58="P")*6+($H58:$N58="R")*6)</f>
        <v/>
      </c>
      <c r="BF58" s="110">
        <f>SUMPRODUCT(($O58:$U58="M")*6+($O58:$U58="T")*6+($O58:$U58="D")*12+($O58:$U58="N")*12+($O58:$U58="NT")*6+($O58:$U58="C")*10+($O58:$U58="A")*8+($O58:$U58="J")*5+($O58:$U58="E")*4+($O58:$U58="P")*6+($O58:$U58="R")*6)</f>
        <v/>
      </c>
      <c r="BG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H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I58" s="110">
        <f>SUMPRODUCT(($AJ58:$AM58="M")*6+($AJ58:$AM58="T")*6+($AJ58:$AM58="D")*12+($AJ58:$AM58="N")*12+($AJ58:$AM58="NT")*6+($AJ58:$AM58="C")*10+($AJ58:$AM58="A")*8+($AJ58:$AM58="J")*5+($AJ58:$AM58="E")*4+($AJ58:$AM58="P")*6+($AJ58:$AM58="R")*6)+SUMPRODUCT(($AN58:$AP58="M")*6+($AN58:$AP58="T")*6+($AN58:$AP58="D")*12+($AN58:$AP58="N")*12+($AN58:$AP58="NT")*6+($AN58:$AP58="C")*10+($AN58:$AP58="A")*8+($AN58:$AP58="J")*5+($AN58:$AP58="E")*4+($AN58:$AP58="P")*6+($AN58:$AP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3">
        <f>IFERROR(INDEX(NOV!AL$8:AL$73,MATCH($A59,NOV!$A$8:$A$73,0))&amp;"","")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96" t="n"/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SUMPRODUCT(($H59:$N59="M")*6+($H59:$N59="T")*6+($H59:$N59="D")*12+($H59:$N59="N")*12+($H59:$N59="NT")*6+($H59:$N59="C")*10+($H59:$N59="A")*8+($H59:$N59="J")*5+($H59:$N59="E")*4+($H59:$N59="P")*6+($H59:$N59="R")*6)</f>
        <v/>
      </c>
      <c r="BF59" s="110">
        <f>SUMPRODUCT(($O59:$U59="M")*6+($O59:$U59="T")*6+($O59:$U59="D")*12+($O59:$U59="N")*12+($O59:$U59="NT")*6+($O59:$U59="C")*10+($O59:$U59="A")*8+($O59:$U59="J")*5+($O59:$U59="E")*4+($O59:$U59="P")*6+($O59:$U59="R")*6)</f>
        <v/>
      </c>
      <c r="BG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H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I59" s="110">
        <f>SUMPRODUCT(($AJ59:$AM59="M")*6+($AJ59:$AM59="T")*6+($AJ59:$AM59="D")*12+($AJ59:$AM59="N")*12+($AJ59:$AM59="NT")*6+($AJ59:$AM59="C")*10+($AJ59:$AM59="A")*8+($AJ59:$AM59="J")*5+($AJ59:$AM59="E")*4+($AJ59:$AM59="P")*6+($AJ59:$AM59="R")*6)+SUMPRODUCT(($AN59:$AP59="M")*6+($AN59:$AP59="T")*6+($AN59:$AP59="D")*12+($AN59:$AP59="N")*12+($AN59:$AP59="NT")*6+($AN59:$AP59="C")*10+($AN59:$AP59="A")*8+($AN59:$AP59="J")*5+($AN59:$AP59="E")*4+($AN59:$AP59="P")*6+($AN59:$AP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3">
        <f>IFERROR(INDEX(NOV!AL$8:AL$73,MATCH($A60,NOV!$A$8:$A$73,0))&amp;"","")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107" t="n"/>
      <c r="AN60" s="96" t="n"/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SUMPRODUCT(($H60:$N60="M")*6+($H60:$N60="T")*6+($H60:$N60="D")*12+($H60:$N60="N")*12+($H60:$N60="NT")*6+($H60:$N60="C")*10+($H60:$N60="A")*8+($H60:$N60="J")*5+($H60:$N60="E")*4+($H60:$N60="P")*6+($H60:$N60="R")*6)</f>
        <v/>
      </c>
      <c r="BF60" s="110">
        <f>SUMPRODUCT(($O60:$U60="M")*6+($O60:$U60="T")*6+($O60:$U60="D")*12+($O60:$U60="N")*12+($O60:$U60="NT")*6+($O60:$U60="C")*10+($O60:$U60="A")*8+($O60:$U60="J")*5+($O60:$U60="E")*4+($O60:$U60="P")*6+($O60:$U60="R")*6)</f>
        <v/>
      </c>
      <c r="BG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H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I60" s="110">
        <f>SUMPRODUCT(($AJ60:$AM60="M")*6+($AJ60:$AM60="T")*6+($AJ60:$AM60="D")*12+($AJ60:$AM60="N")*12+($AJ60:$AM60="NT")*6+($AJ60:$AM60="C")*10+($AJ60:$AM60="A")*8+($AJ60:$AM60="J")*5+($AJ60:$AM60="E")*4+($AJ60:$AM60="P")*6+($AJ60:$AM60="R")*6)+SUMPRODUCT(($AN60:$AP60="M")*6+($AN60:$AP60="T")*6+($AN60:$AP60="D")*12+($AN60:$AP60="N")*12+($AN60:$AP60="NT")*6+($AN60:$AP60="C")*10+($AN60:$AP60="A")*8+($AN60:$AP60="J")*5+($AN60:$AP60="E")*4+($AN60:$AP60="P")*6+($AN60:$AP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3">
        <f>IFERROR(INDEX(NOV!AL$8:AL$73,MATCH($A61,NOV!$A$8:$A$73,0))&amp;"","")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96" t="n"/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SUMPRODUCT(($H61:$N61="M")*6+($H61:$N61="T")*6+($H61:$N61="D")*12+($H61:$N61="N")*12+($H61:$N61="NT")*6+($H61:$N61="C")*10+($H61:$N61="A")*8+($H61:$N61="J")*5+($H61:$N61="E")*4+($H61:$N61="P")*6+($H61:$N61="R")*6)</f>
        <v/>
      </c>
      <c r="BF61" s="110">
        <f>SUMPRODUCT(($O61:$U61="M")*6+($O61:$U61="T")*6+($O61:$U61="D")*12+($O61:$U61="N")*12+($O61:$U61="NT")*6+($O61:$U61="C")*10+($O61:$U61="A")*8+($O61:$U61="J")*5+($O61:$U61="E")*4+($O61:$U61="P")*6+($O61:$U61="R")*6)</f>
        <v/>
      </c>
      <c r="BG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H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I61" s="110">
        <f>SUMPRODUCT(($AJ61:$AM61="M")*6+($AJ61:$AM61="T")*6+($AJ61:$AM61="D")*12+($AJ61:$AM61="N")*12+($AJ61:$AM61="NT")*6+($AJ61:$AM61="C")*10+($AJ61:$AM61="A")*8+($AJ61:$AM61="J")*5+($AJ61:$AM61="E")*4+($AJ61:$AM61="P")*6+($AJ61:$AM61="R")*6)+SUMPRODUCT(($AN61:$AP61="M")*6+($AN61:$AP61="T")*6+($AN61:$AP61="D")*12+($AN61:$AP61="N")*12+($AN61:$AP61="NT")*6+($AN61:$AP61="C")*10+($AN61:$AP61="A")*8+($AN61:$AP61="J")*5+($AN61:$AP61="E")*4+($AN61:$AP61="P")*6+($AN61:$AP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3">
        <f>IFERROR(INDEX(NOV!AL$8:AL$73,MATCH($A62,NOV!$A$8:$A$73,0))&amp;"","")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107" t="n"/>
      <c r="AN62" s="96" t="n"/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SUMPRODUCT(($H62:$N62="M")*6+($H62:$N62="T")*6+($H62:$N62="D")*12+($H62:$N62="N")*12+($H62:$N62="NT")*6+($H62:$N62="C")*10+($H62:$N62="A")*8+($H62:$N62="J")*5+($H62:$N62="E")*4+($H62:$N62="P")*6+($H62:$N62="R")*6)</f>
        <v/>
      </c>
      <c r="BF62" s="110">
        <f>SUMPRODUCT(($O62:$U62="M")*6+($O62:$U62="T")*6+($O62:$U62="D")*12+($O62:$U62="N")*12+($O62:$U62="NT")*6+($O62:$U62="C")*10+($O62:$U62="A")*8+($O62:$U62="J")*5+($O62:$U62="E")*4+($O62:$U62="P")*6+($O62:$U62="R")*6)</f>
        <v/>
      </c>
      <c r="BG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H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I62" s="110">
        <f>SUMPRODUCT(($AJ62:$AM62="M")*6+($AJ62:$AM62="T")*6+($AJ62:$AM62="D")*12+($AJ62:$AM62="N")*12+($AJ62:$AM62="NT")*6+($AJ62:$AM62="C")*10+($AJ62:$AM62="A")*8+($AJ62:$AM62="J")*5+($AJ62:$AM62="E")*4+($AJ62:$AM62="P")*6+($AJ62:$AM62="R")*6)+SUMPRODUCT(($AN62:$AP62="M")*6+($AN62:$AP62="T")*6+($AN62:$AP62="D")*12+($AN62:$AP62="N")*12+($AN62:$AP62="NT")*6+($AN62:$AP62="C")*10+($AN62:$AP62="A")*8+($AN62:$AP62="J")*5+($AN62:$AP62="E")*4+($AN62:$AP62="P")*6+($AN62:$AP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3">
        <f>IFERROR(INDEX(NOV!AL$8:AL$73,MATCH($A63,NOV!$A$8:$A$73,0))&amp;"","")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96" t="n"/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SUMPRODUCT(($H63:$N63="M")*6+($H63:$N63="T")*6+($H63:$N63="D")*12+($H63:$N63="N")*12+($H63:$N63="NT")*6+($H63:$N63="C")*10+($H63:$N63="A")*8+($H63:$N63="J")*5+($H63:$N63="E")*4+($H63:$N63="P")*6+($H63:$N63="R")*6)</f>
        <v/>
      </c>
      <c r="BF63" s="110">
        <f>SUMPRODUCT(($O63:$U63="M")*6+($O63:$U63="T")*6+($O63:$U63="D")*12+($O63:$U63="N")*12+($O63:$U63="NT")*6+($O63:$U63="C")*10+($O63:$U63="A")*8+($O63:$U63="J")*5+($O63:$U63="E")*4+($O63:$U63="P")*6+($O63:$U63="R")*6)</f>
        <v/>
      </c>
      <c r="BG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H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I63" s="110">
        <f>SUMPRODUCT(($AJ63:$AM63="M")*6+($AJ63:$AM63="T")*6+($AJ63:$AM63="D")*12+($AJ63:$AM63="N")*12+($AJ63:$AM63="NT")*6+($AJ63:$AM63="C")*10+($AJ63:$AM63="A")*8+($AJ63:$AM63="J")*5+($AJ63:$AM63="E")*4+($AJ63:$AM63="P")*6+($AJ63:$AM63="R")*6)+SUMPRODUCT(($AN63:$AP63="M")*6+($AN63:$AP63="T")*6+($AN63:$AP63="D")*12+($AN63:$AP63="N")*12+($AN63:$AP63="NT")*6+($AN63:$AP63="C")*10+($AN63:$AP63="A")*8+($AN63:$AP63="J")*5+($AN63:$AP63="E")*4+($AN63:$AP63="P")*6+($AN63:$AP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3">
        <f>IFERROR(INDEX(NOV!AL$8:AL$73,MATCH($A64,NOV!$A$8:$A$73,0))&amp;"","")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107" t="n"/>
      <c r="AN64" s="96" t="n"/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SUMPRODUCT(($H64:$N64="M")*6+($H64:$N64="T")*6+($H64:$N64="D")*12+($H64:$N64="N")*12+($H64:$N64="NT")*6+($H64:$N64="C")*10+($H64:$N64="A")*8+($H64:$N64="J")*5+($H64:$N64="E")*4+($H64:$N64="P")*6+($H64:$N64="R")*6)</f>
        <v/>
      </c>
      <c r="BF64" s="110">
        <f>SUMPRODUCT(($O64:$U64="M")*6+($O64:$U64="T")*6+($O64:$U64="D")*12+($O64:$U64="N")*12+($O64:$U64="NT")*6+($O64:$U64="C")*10+($O64:$U64="A")*8+($O64:$U64="J")*5+($O64:$U64="E")*4+($O64:$U64="P")*6+($O64:$U64="R")*6)</f>
        <v/>
      </c>
      <c r="BG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H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I64" s="110">
        <f>SUMPRODUCT(($AJ64:$AM64="M")*6+($AJ64:$AM64="T")*6+($AJ64:$AM64="D")*12+($AJ64:$AM64="N")*12+($AJ64:$AM64="NT")*6+($AJ64:$AM64="C")*10+($AJ64:$AM64="A")*8+($AJ64:$AM64="J")*5+($AJ64:$AM64="E")*4+($AJ64:$AM64="P")*6+($AJ64:$AM64="R")*6)+SUMPRODUCT(($AN64:$AP64="M")*6+($AN64:$AP64="T")*6+($AN64:$AP64="D")*12+($AN64:$AP64="N")*12+($AN64:$AP64="NT")*6+($AN64:$AP64="C")*10+($AN64:$AP64="A")*8+($AN64:$AP64="J")*5+($AN64:$AP64="E")*4+($AN64:$AP64="P")*6+($AN64:$AP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3">
        <f>IFERROR(INDEX(NOV!AL$8:AL$73,MATCH($A65,NOV!$A$8:$A$73,0))&amp;"","")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107" t="n"/>
      <c r="AN65" s="96" t="n"/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SUMPRODUCT(($H65:$N65="M")*6+($H65:$N65="T")*6+($H65:$N65="D")*12+($H65:$N65="N")*12+($H65:$N65="NT")*6+($H65:$N65="C")*10+($H65:$N65="A")*8+($H65:$N65="J")*5+($H65:$N65="E")*4+($H65:$N65="P")*6+($H65:$N65="R")*6)</f>
        <v/>
      </c>
      <c r="BF65" s="110">
        <f>SUMPRODUCT(($O65:$U65="M")*6+($O65:$U65="T")*6+($O65:$U65="D")*12+($O65:$U65="N")*12+($O65:$U65="NT")*6+($O65:$U65="C")*10+($O65:$U65="A")*8+($O65:$U65="J")*5+($O65:$U65="E")*4+($O65:$U65="P")*6+($O65:$U65="R")*6)</f>
        <v/>
      </c>
      <c r="BG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H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I65" s="110">
        <f>SUMPRODUCT(($AJ65:$AM65="M")*6+($AJ65:$AM65="T")*6+($AJ65:$AM65="D")*12+($AJ65:$AM65="N")*12+($AJ65:$AM65="NT")*6+($AJ65:$AM65="C")*10+($AJ65:$AM65="A")*8+($AJ65:$AM65="J")*5+($AJ65:$AM65="E")*4+($AJ65:$AM65="P")*6+($AJ65:$AM65="R")*6)+SUMPRODUCT(($AN65:$AP65="M")*6+($AN65:$AP65="T")*6+($AN65:$AP65="D")*12+($AN65:$AP65="N")*12+($AN65:$AP65="NT")*6+($AN65:$AP65="C")*10+($AN65:$AP65="A")*8+($AN65:$AP65="J")*5+($AN65:$AP65="E")*4+($AN65:$AP65="P")*6+($AN65:$AP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3">
        <f>IFERROR(INDEX(NOV!AL$8:AL$73,MATCH($A66,NOV!$A$8:$A$73,0))&amp;"","")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107" t="n"/>
      <c r="AN66" s="96" t="n"/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SUMPRODUCT(($H66:$N66="M")*6+($H66:$N66="T")*6+($H66:$N66="D")*12+($H66:$N66="N")*12+($H66:$N66="NT")*6+($H66:$N66="C")*10+($H66:$N66="A")*8+($H66:$N66="J")*5+($H66:$N66="E")*4+($H66:$N66="P")*6+($H66:$N66="R")*6)</f>
        <v/>
      </c>
      <c r="BF66" s="110">
        <f>SUMPRODUCT(($O66:$U66="M")*6+($O66:$U66="T")*6+($O66:$U66="D")*12+($O66:$U66="N")*12+($O66:$U66="NT")*6+($O66:$U66="C")*10+($O66:$U66="A")*8+($O66:$U66="J")*5+($O66:$U66="E")*4+($O66:$U66="P")*6+($O66:$U66="R")*6)</f>
        <v/>
      </c>
      <c r="BG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H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I66" s="110">
        <f>SUMPRODUCT(($AJ66:$AM66="M")*6+($AJ66:$AM66="T")*6+($AJ66:$AM66="D")*12+($AJ66:$AM66="N")*12+($AJ66:$AM66="NT")*6+($AJ66:$AM66="C")*10+($AJ66:$AM66="A")*8+($AJ66:$AM66="J")*5+($AJ66:$AM66="E")*4+($AJ66:$AM66="P")*6+($AJ66:$AM66="R")*6)+SUMPRODUCT(($AN66:$AP66="M")*6+($AN66:$AP66="T")*6+($AN66:$AP66="D")*12+($AN66:$AP66="N")*12+($AN66:$AP66="NT")*6+($AN66:$AP66="C")*10+($AN66:$AP66="A")*8+($AN66:$AP66="J")*5+($AN66:$AP66="E")*4+($AN66:$AP66="P")*6+($AN66:$AP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3">
        <f>IFERROR(INDEX(NOV!AL$8:AL$73,MATCH($A67,NOV!$A$8:$A$73,0))&amp;"","")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96" t="n"/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SUMPRODUCT(($H67:$N67="M")*6+($H67:$N67="T")*6+($H67:$N67="D")*12+($H67:$N67="N")*12+($H67:$N67="NT")*6+($H67:$N67="C")*10+($H67:$N67="A")*8+($H67:$N67="J")*5+($H67:$N67="E")*4+($H67:$N67="P")*6+($H67:$N67="R")*6)</f>
        <v/>
      </c>
      <c r="BF67" s="110">
        <f>SUMPRODUCT(($O67:$U67="M")*6+($O67:$U67="T")*6+($O67:$U67="D")*12+($O67:$U67="N")*12+($O67:$U67="NT")*6+($O67:$U67="C")*10+($O67:$U67="A")*8+($O67:$U67="J")*5+($O67:$U67="E")*4+($O67:$U67="P")*6+($O67:$U67="R")*6)</f>
        <v/>
      </c>
      <c r="BG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H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I67" s="110">
        <f>SUMPRODUCT(($AJ67:$AM67="M")*6+($AJ67:$AM67="T")*6+($AJ67:$AM67="D")*12+($AJ67:$AM67="N")*12+($AJ67:$AM67="NT")*6+($AJ67:$AM67="C")*10+($AJ67:$AM67="A")*8+($AJ67:$AM67="J")*5+($AJ67:$AM67="E")*4+($AJ67:$AM67="P")*6+($AJ67:$AM67="R")*6)+SUMPRODUCT(($AN67:$AP67="M")*6+($AN67:$AP67="T")*6+($AN67:$AP67="D")*12+($AN67:$AP67="N")*12+($AN67:$AP67="NT")*6+($AN67:$AP67="C")*10+($AN67:$AP67="A")*8+($AN67:$AP67="J")*5+($AN67:$AP67="E")*4+($AN67:$AP67="P")*6+($AN67:$AP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3">
        <f>IFERROR(INDEX(NOV!AL$8:AL$73,MATCH($A68,NOV!$A$8:$A$73,0))&amp;"","")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107" t="n"/>
      <c r="AN68" s="96" t="n"/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SUMPRODUCT(($H68:$N68="M")*6+($H68:$N68="T")*6+($H68:$N68="D")*12+($H68:$N68="N")*12+($H68:$N68="NT")*6+($H68:$N68="C")*10+($H68:$N68="A")*8+($H68:$N68="J")*5+($H68:$N68="E")*4+($H68:$N68="P")*6+($H68:$N68="R")*6)</f>
        <v/>
      </c>
      <c r="BF68" s="110">
        <f>SUMPRODUCT(($O68:$U68="M")*6+($O68:$U68="T")*6+($O68:$U68="D")*12+($O68:$U68="N")*12+($O68:$U68="NT")*6+($O68:$U68="C")*10+($O68:$U68="A")*8+($O68:$U68="J")*5+($O68:$U68="E")*4+($O68:$U68="P")*6+($O68:$U68="R")*6)</f>
        <v/>
      </c>
      <c r="BG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H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I68" s="110">
        <f>SUMPRODUCT(($AJ68:$AM68="M")*6+($AJ68:$AM68="T")*6+($AJ68:$AM68="D")*12+($AJ68:$AM68="N")*12+($AJ68:$AM68="NT")*6+($AJ68:$AM68="C")*10+($AJ68:$AM68="A")*8+($AJ68:$AM68="J")*5+($AJ68:$AM68="E")*4+($AJ68:$AM68="P")*6+($AJ68:$AM68="R")*6)+SUMPRODUCT(($AN68:$AP68="M")*6+($AN68:$AP68="T")*6+($AN68:$AP68="D")*12+($AN68:$AP68="N")*12+($AN68:$AP68="NT")*6+($AN68:$AP68="C")*10+($AN68:$AP68="A")*8+($AN68:$AP68="J")*5+($AN68:$AP68="E")*4+($AN68:$AP68="P")*6+($AN68:$AP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3">
        <f>IFERROR(INDEX(NOV!AL$8:AL$73,MATCH($A69,NOV!$A$8:$A$73,0))&amp;"","")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107" t="n"/>
      <c r="AN69" s="96" t="n"/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SUMPRODUCT(($H69:$N69="M")*6+($H69:$N69="T")*6+($H69:$N69="D")*12+($H69:$N69="N")*12+($H69:$N69="NT")*6+($H69:$N69="C")*10+($H69:$N69="A")*8+($H69:$N69="J")*5+($H69:$N69="E")*4+($H69:$N69="P")*6+($H69:$N69="R")*6)</f>
        <v/>
      </c>
      <c r="BF69" s="110">
        <f>SUMPRODUCT(($O69:$U69="M")*6+($O69:$U69="T")*6+($O69:$U69="D")*12+($O69:$U69="N")*12+($O69:$U69="NT")*6+($O69:$U69="C")*10+($O69:$U69="A")*8+($O69:$U69="J")*5+($O69:$U69="E")*4+($O69:$U69="P")*6+($O69:$U69="R")*6)</f>
        <v/>
      </c>
      <c r="BG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H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I69" s="110">
        <f>SUMPRODUCT(($AJ69:$AM69="M")*6+($AJ69:$AM69="T")*6+($AJ69:$AM69="D")*12+($AJ69:$AM69="N")*12+($AJ69:$AM69="NT")*6+($AJ69:$AM69="C")*10+($AJ69:$AM69="A")*8+($AJ69:$AM69="J")*5+($AJ69:$AM69="E")*4+($AJ69:$AM69="P")*6+($AJ69:$AM69="R")*6)+SUMPRODUCT(($AN69:$AP69="M")*6+($AN69:$AP69="T")*6+($AN69:$AP69="D")*12+($AN69:$AP69="N")*12+($AN69:$AP69="NT")*6+($AN69:$AP69="C")*10+($AN69:$AP69="A")*8+($AN69:$AP69="J")*5+($AN69:$AP69="E")*4+($AN69:$AP69="P")*6+($AN69:$AP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3">
        <f>IFERROR(INDEX(NOV!AL$8:AL$73,MATCH($A70,NOV!$A$8:$A$73,0))&amp;"","")</f>
        <v/>
      </c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107" t="n"/>
      <c r="AN70" s="96" t="n"/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SUMPRODUCT(($H70:$N70="M")*6+($H70:$N70="T")*6+($H70:$N70="D")*12+($H70:$N70="N")*12+($H70:$N70="NT")*6+($H70:$N70="C")*10+($H70:$N70="A")*8+($H70:$N70="J")*5+($H70:$N70="E")*4+($H70:$N70="P")*6+($H70:$N70="R")*6)</f>
        <v/>
      </c>
      <c r="BF70" s="110">
        <f>SUMPRODUCT(($O70:$U70="M")*6+($O70:$U70="T")*6+($O70:$U70="D")*12+($O70:$U70="N")*12+($O70:$U70="NT")*6+($O70:$U70="C")*10+($O70:$U70="A")*8+($O70:$U70="J")*5+($O70:$U70="E")*4+($O70:$U70="P")*6+($O70:$U70="R")*6)</f>
        <v/>
      </c>
      <c r="BG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H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I70" s="110">
        <f>SUMPRODUCT(($AJ70:$AM70="M")*6+($AJ70:$AM70="T")*6+($AJ70:$AM70="D")*12+($AJ70:$AM70="N")*12+($AJ70:$AM70="NT")*6+($AJ70:$AM70="C")*10+($AJ70:$AM70="A")*8+($AJ70:$AM70="J")*5+($AJ70:$AM70="E")*4+($AJ70:$AM70="P")*6+($AJ70:$AM70="R")*6)+SUMPRODUCT(($AN70:$AP70="M")*6+($AN70:$AP70="T")*6+($AN70:$AP70="D")*12+($AN70:$AP70="N")*12+($AN70:$AP70="NT")*6+($AN70:$AP70="C")*10+($AN70:$AP70="A")*8+($AN70:$AP70="J")*5+($AN70:$AP70="E")*4+($AN70:$AP70="P")*6+($AN70:$AP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3">
        <f>IFERROR(INDEX(NOV!AL$8:AL$73,MATCH($A71,NOV!$A$8:$A$73,0))&amp;"","")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107" t="n"/>
      <c r="AN71" s="96" t="n"/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SUMPRODUCT(($H71:$N71="M")*6+($H71:$N71="T")*6+($H71:$N71="D")*12+($H71:$N71="N")*12+($H71:$N71="NT")*6+($H71:$N71="C")*10+($H71:$N71="A")*8+($H71:$N71="J")*5+($H71:$N71="E")*4+($H71:$N71="P")*6+($H71:$N71="R")*6)</f>
        <v/>
      </c>
      <c r="BF71" s="110">
        <f>SUMPRODUCT(($O71:$U71="M")*6+($O71:$U71="T")*6+($O71:$U71="D")*12+($O71:$U71="N")*12+($O71:$U71="NT")*6+($O71:$U71="C")*10+($O71:$U71="A")*8+($O71:$U71="J")*5+($O71:$U71="E")*4+($O71:$U71="P")*6+($O71:$U71="R")*6)</f>
        <v/>
      </c>
      <c r="BG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H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I71" s="110">
        <f>SUMPRODUCT(($AJ71:$AM71="M")*6+($AJ71:$AM71="T")*6+($AJ71:$AM71="D")*12+($AJ71:$AM71="N")*12+($AJ71:$AM71="NT")*6+($AJ71:$AM71="C")*10+($AJ71:$AM71="A")*8+($AJ71:$AM71="J")*5+($AJ71:$AM71="E")*4+($AJ71:$AM71="P")*6+($AJ71:$AM71="R")*6)+SUMPRODUCT(($AN71:$AP71="M")*6+($AN71:$AP71="T")*6+($AN71:$AP71="D")*12+($AN71:$AP71="N")*12+($AN71:$AP71="NT")*6+($AN71:$AP71="C")*10+($AN71:$AP71="A")*8+($AN71:$AP71="J")*5+($AN71:$AP71="E")*4+($AN71:$AP71="P")*6+($AN71:$AP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3">
        <f>IFERROR(INDEX(NOV!AL$8:AL$73,MATCH($A72,NOV!$A$8:$A$73,0))&amp;"","")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96" t="n"/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SUMPRODUCT(($H72:$N72="M")*6+($H72:$N72="T")*6+($H72:$N72="D")*12+($H72:$N72="N")*12+($H72:$N72="NT")*6+($H72:$N72="C")*10+($H72:$N72="A")*8+($H72:$N72="J")*5+($H72:$N72="E")*4+($H72:$N72="P")*6+($H72:$N72="R")*6)</f>
        <v/>
      </c>
      <c r="BF72" s="110">
        <f>SUMPRODUCT(($O72:$U72="M")*6+($O72:$U72="T")*6+($O72:$U72="D")*12+($O72:$U72="N")*12+($O72:$U72="NT")*6+($O72:$U72="C")*10+($O72:$U72="A")*8+($O72:$U72="J")*5+($O72:$U72="E")*4+($O72:$U72="P")*6+($O72:$U72="R")*6)</f>
        <v/>
      </c>
      <c r="BG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H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I72" s="110">
        <f>SUMPRODUCT(($AJ72:$AM72="M")*6+($AJ72:$AM72="T")*6+($AJ72:$AM72="D")*12+($AJ72:$AM72="N")*12+($AJ72:$AM72="NT")*6+($AJ72:$AM72="C")*10+($AJ72:$AM72="A")*8+($AJ72:$AM72="J")*5+($AJ72:$AM72="E")*4+($AJ72:$AM72="P")*6+($AJ72:$AM72="R")*6)+SUMPRODUCT(($AN72:$AP72="M")*6+($AN72:$AP72="T")*6+($AN72:$AP72="D")*12+($AN72:$AP72="N")*12+($AN72:$AP72="NT")*6+($AN72:$AP72="C")*10+($AN72:$AP72="A")*8+($AN72:$AP72="J")*5+($AN72:$AP72="E")*4+($AN72:$AP72="P")*6+($AN72:$AP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3">
        <f>IFERROR(INDEX(NOV!AL$8:AL$73,MATCH($A73,NOV!$A$8:$A$73,0))&amp;"","")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96" t="n"/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SUMPRODUCT(($H73:$N73="M")*6+($H73:$N73="T")*6+($H73:$N73="D")*12+($H73:$N73="N")*12+($H73:$N73="NT")*6+($H73:$N73="C")*10+($H73:$N73="A")*8+($H73:$N73="J")*5+($H73:$N73="E")*4+($H73:$N73="P")*6+($H73:$N73="R")*6)</f>
        <v/>
      </c>
      <c r="BF73" s="110">
        <f>SUMPRODUCT(($O73:$U73="M")*6+($O73:$U73="T")*6+($O73:$U73="D")*12+($O73:$U73="N")*12+($O73:$U73="NT")*6+($O73:$U73="C")*10+($O73:$U73="A")*8+($O73:$U73="J")*5+($O73:$U73="E")*4+($O73:$U73="P")*6+($O73:$U73="R")*6)</f>
        <v/>
      </c>
      <c r="BG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H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I73" s="110">
        <f>SUMPRODUCT(($AJ73:$AM73="M")*6+($AJ73:$AM73="T")*6+($AJ73:$AM73="D")*12+($AJ73:$AM73="N")*12+($AJ73:$AM73="NT")*6+($AJ73:$AM73="C")*10+($AJ73:$AM73="A")*8+($AJ73:$AM73="J")*5+($AJ73:$AM73="E")*4+($AJ73:$AM73="P")*6+($AJ73:$AM73="R")*6)+SUMPRODUCT(($AN73:$AP73="M")*6+($AN73:$AP73="T")*6+($AN73:$AP73="D")*12+($AN73:$AP73="N")*12+($AN73:$AP73="NT")*6+($AN73:$AP73="C")*10+($AN73:$AP73="A")*8+($AN73:$AP73="J")*5+($AN73:$AP73="E")*4+($AN73:$AP73="P")*6+($AN73:$AP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2">
        <f>MAX(0,CONFIG!$B$4-H75)</f>
        <v/>
      </c>
      <c r="I78" s="122">
        <f>MAX(0,CONFIG!$B$4-I75)</f>
        <v/>
      </c>
      <c r="J78" s="122">
        <f>MAX(0,CONFIG!$B$4-J75)</f>
        <v/>
      </c>
      <c r="K78" s="122">
        <f>MAX(0,CONFIG!$B$4-K75)</f>
        <v/>
      </c>
      <c r="L78" s="122">
        <f>MAX(0,CONFIG!$B$4-L75)</f>
        <v/>
      </c>
      <c r="M78" s="122">
        <f>MAX(0,CONFIG!$B$5-M75)</f>
        <v/>
      </c>
      <c r="N78" s="122">
        <f>MAX(0,CONFIG!$B$6-N75)</f>
        <v/>
      </c>
      <c r="O78" s="122">
        <f>MAX(0,CONFIG!$B$4-O75)</f>
        <v/>
      </c>
      <c r="P78" s="122">
        <f>MAX(0,CONFIG!$B$4-P75)</f>
        <v/>
      </c>
      <c r="Q78" s="122">
        <f>MAX(0,CONFIG!$B$4-Q75)</f>
        <v/>
      </c>
      <c r="R78" s="122">
        <f>MAX(0,CONFIG!$B$4-R75)</f>
        <v/>
      </c>
      <c r="S78" s="122">
        <f>MAX(0,CONFIG!$B$4-S75)</f>
        <v/>
      </c>
      <c r="T78" s="122">
        <f>MAX(0,CONFIG!$B$5-T75)</f>
        <v/>
      </c>
      <c r="U78" s="122">
        <f>MAX(0,CONFIG!$B$6-U75)</f>
        <v/>
      </c>
      <c r="V78" s="122">
        <f>MAX(0,CONFIG!$B$4-V75)</f>
        <v/>
      </c>
      <c r="W78" s="122">
        <f>MAX(0,CONFIG!$B$4-W75)</f>
        <v/>
      </c>
      <c r="X78" s="122">
        <f>MAX(0,CONFIG!$B$4-X75)</f>
        <v/>
      </c>
      <c r="Y78" s="122">
        <f>MAX(0,CONFIG!$B$4-Y75)</f>
        <v/>
      </c>
      <c r="Z78" s="122">
        <f>MAX(0,CONFIG!$B$4-Z75)</f>
        <v/>
      </c>
      <c r="AA78" s="122">
        <f>MAX(0,CONFIG!$B$5-AA75)</f>
        <v/>
      </c>
      <c r="AB78" s="122">
        <f>MAX(0,CONFIG!$B$6-AB75)</f>
        <v/>
      </c>
      <c r="AC78" s="122">
        <f>MAX(0,CONFIG!$B$4-AC75)</f>
        <v/>
      </c>
      <c r="AD78" s="122">
        <f>MAX(0,CONFIG!$B$4-AD75)</f>
        <v/>
      </c>
      <c r="AE78" s="122">
        <f>MAX(0,CONFIG!$B$4-AE75)</f>
        <v/>
      </c>
      <c r="AF78" s="122">
        <f>MAX(0,CONFIG!$B$4-AF75)</f>
        <v/>
      </c>
      <c r="AG78" s="122">
        <f>MAX(0,CONFIG!$B$4-AG75)</f>
        <v/>
      </c>
      <c r="AH78" s="122">
        <f>MAX(0,CONFIG!$B$5-AH75)</f>
        <v/>
      </c>
      <c r="AI78" s="122">
        <f>MAX(0,CONFIG!$B$6-AI75)</f>
        <v/>
      </c>
      <c r="AJ78" s="122">
        <f>MAX(0,CONFIG!$B$4-AJ75)</f>
        <v/>
      </c>
      <c r="AK78" s="122">
        <f>MAX(0,CONFIG!$B$4-AK75)</f>
        <v/>
      </c>
      <c r="AL78" s="122">
        <f>MAX(0,CONFIG!$B$4-AL75)</f>
        <v/>
      </c>
      <c r="AM78" s="122">
        <f>MAX(0,CONFIG!$B$4-AM75)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2">
        <f>MAX(0,CONFIG!$C$4-H76)</f>
        <v/>
      </c>
      <c r="I79" s="122">
        <f>MAX(0,CONFIG!$C$4-I76)</f>
        <v/>
      </c>
      <c r="J79" s="122">
        <f>MAX(0,CONFIG!$C$4-J76)</f>
        <v/>
      </c>
      <c r="K79" s="122">
        <f>MAX(0,CONFIG!$C$4-K76)</f>
        <v/>
      </c>
      <c r="L79" s="122">
        <f>MAX(0,CONFIG!$C$4-L76)</f>
        <v/>
      </c>
      <c r="M79" s="122">
        <f>MAX(0,CONFIG!$C$5-M76)</f>
        <v/>
      </c>
      <c r="N79" s="122">
        <f>MAX(0,CONFIG!$C$6-N76)</f>
        <v/>
      </c>
      <c r="O79" s="122">
        <f>MAX(0,CONFIG!$C$4-O76)</f>
        <v/>
      </c>
      <c r="P79" s="122">
        <f>MAX(0,CONFIG!$C$4-P76)</f>
        <v/>
      </c>
      <c r="Q79" s="122">
        <f>MAX(0,CONFIG!$C$4-Q76)</f>
        <v/>
      </c>
      <c r="R79" s="122">
        <f>MAX(0,CONFIG!$C$4-R76)</f>
        <v/>
      </c>
      <c r="S79" s="122">
        <f>MAX(0,CONFIG!$C$4-S76)</f>
        <v/>
      </c>
      <c r="T79" s="122">
        <f>MAX(0,CONFIG!$C$5-T76)</f>
        <v/>
      </c>
      <c r="U79" s="122">
        <f>MAX(0,CONFIG!$C$6-U76)</f>
        <v/>
      </c>
      <c r="V79" s="122">
        <f>MAX(0,CONFIG!$C$4-V76)</f>
        <v/>
      </c>
      <c r="W79" s="122">
        <f>MAX(0,CONFIG!$C$4-W76)</f>
        <v/>
      </c>
      <c r="X79" s="122">
        <f>MAX(0,CONFIG!$C$4-X76)</f>
        <v/>
      </c>
      <c r="Y79" s="122">
        <f>MAX(0,CONFIG!$C$4-Y76)</f>
        <v/>
      </c>
      <c r="Z79" s="122">
        <f>MAX(0,CONFIG!$C$4-Z76)</f>
        <v/>
      </c>
      <c r="AA79" s="122">
        <f>MAX(0,CONFIG!$C$5-AA76)</f>
        <v/>
      </c>
      <c r="AB79" s="122">
        <f>MAX(0,CONFIG!$C$6-AB76)</f>
        <v/>
      </c>
      <c r="AC79" s="122">
        <f>MAX(0,CONFIG!$C$4-AC76)</f>
        <v/>
      </c>
      <c r="AD79" s="122">
        <f>MAX(0,CONFIG!$C$4-AD76)</f>
        <v/>
      </c>
      <c r="AE79" s="122">
        <f>MAX(0,CONFIG!$C$4-AE76)</f>
        <v/>
      </c>
      <c r="AF79" s="122">
        <f>MAX(0,CONFIG!$C$4-AF76)</f>
        <v/>
      </c>
      <c r="AG79" s="122">
        <f>MAX(0,CONFIG!$C$4-AG76)</f>
        <v/>
      </c>
      <c r="AH79" s="122">
        <f>MAX(0,CONFIG!$C$5-AH76)</f>
        <v/>
      </c>
      <c r="AI79" s="122">
        <f>MAX(0,CONFIG!$C$6-AI76)</f>
        <v/>
      </c>
      <c r="AJ79" s="122">
        <f>MAX(0,CONFIG!$C$4-AJ76)</f>
        <v/>
      </c>
      <c r="AK79" s="122">
        <f>MAX(0,CONFIG!$C$4-AK76)</f>
        <v/>
      </c>
      <c r="AL79" s="122">
        <f>MAX(0,CONFIG!$C$4-AL76)</f>
        <v/>
      </c>
      <c r="AM79" s="122">
        <f>MAX(0,CONFIG!$C$4-AM76)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2">
        <f>MAX(0,CONFIG!$D$4-H77)</f>
        <v/>
      </c>
      <c r="I80" s="122">
        <f>MAX(0,CONFIG!$D$4-I77)</f>
        <v/>
      </c>
      <c r="J80" s="122">
        <f>MAX(0,CONFIG!$D$4-J77)</f>
        <v/>
      </c>
      <c r="K80" s="122">
        <f>MAX(0,CONFIG!$D$4-K77)</f>
        <v/>
      </c>
      <c r="L80" s="122">
        <f>MAX(0,CONFIG!$D$4-L77)</f>
        <v/>
      </c>
      <c r="M80" s="122">
        <f>MAX(0,CONFIG!$D$5-M77)</f>
        <v/>
      </c>
      <c r="N80" s="122">
        <f>MAX(0,CONFIG!$D$6-N77)</f>
        <v/>
      </c>
      <c r="O80" s="122">
        <f>MAX(0,CONFIG!$D$4-O77)</f>
        <v/>
      </c>
      <c r="P80" s="122">
        <f>MAX(0,CONFIG!$D$4-P77)</f>
        <v/>
      </c>
      <c r="Q80" s="122">
        <f>MAX(0,CONFIG!$D$4-Q77)</f>
        <v/>
      </c>
      <c r="R80" s="122">
        <f>MAX(0,CONFIG!$D$4-R77)</f>
        <v/>
      </c>
      <c r="S80" s="122">
        <f>MAX(0,CONFIG!$D$4-S77)</f>
        <v/>
      </c>
      <c r="T80" s="122">
        <f>MAX(0,CONFIG!$D$5-T77)</f>
        <v/>
      </c>
      <c r="U80" s="122">
        <f>MAX(0,CONFIG!$D$6-U77)</f>
        <v/>
      </c>
      <c r="V80" s="122">
        <f>MAX(0,CONFIG!$D$4-V77)</f>
        <v/>
      </c>
      <c r="W80" s="122">
        <f>MAX(0,CONFIG!$D$4-W77)</f>
        <v/>
      </c>
      <c r="X80" s="122">
        <f>MAX(0,CONFIG!$D$4-X77)</f>
        <v/>
      </c>
      <c r="Y80" s="122">
        <f>MAX(0,CONFIG!$D$4-Y77)</f>
        <v/>
      </c>
      <c r="Z80" s="122">
        <f>MAX(0,CONFIG!$D$4-Z77)</f>
        <v/>
      </c>
      <c r="AA80" s="122">
        <f>MAX(0,CONFIG!$D$5-AA77)</f>
        <v/>
      </c>
      <c r="AB80" s="122">
        <f>MAX(0,CONFIG!$D$6-AB77)</f>
        <v/>
      </c>
      <c r="AC80" s="122">
        <f>MAX(0,CONFIG!$D$4-AC77)</f>
        <v/>
      </c>
      <c r="AD80" s="122">
        <f>MAX(0,CONFIG!$D$4-AD77)</f>
        <v/>
      </c>
      <c r="AE80" s="122">
        <f>MAX(0,CONFIG!$D$4-AE77)</f>
        <v/>
      </c>
      <c r="AF80" s="122">
        <f>MAX(0,CONFIG!$D$4-AF77)</f>
        <v/>
      </c>
      <c r="AG80" s="122">
        <f>MAX(0,CONFIG!$D$4-AG77)</f>
        <v/>
      </c>
      <c r="AH80" s="122">
        <f>MAX(0,CONFIG!$D$5-AH77)</f>
        <v/>
      </c>
      <c r="AI80" s="122">
        <f>MAX(0,CONFIG!$D$6-AI77)</f>
        <v/>
      </c>
      <c r="AJ80" s="122">
        <f>MAX(0,CONFIG!$D$4-AJ77)</f>
        <v/>
      </c>
      <c r="AK80" s="122">
        <f>MAX(0,CONFIG!$D$4-AK77)</f>
        <v/>
      </c>
      <c r="AL80" s="122">
        <f>MAX(0,CONFIG!$D$4-AL77)</f>
        <v/>
      </c>
      <c r="AM80" s="122">
        <f>MAX(0,CONFIG!$D$4-AM77)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45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45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45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45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41" t="inlineStr">
        <is>
          <t>JAN</t>
        </is>
      </c>
      <c r="D7" s="141" t="inlineStr">
        <is>
          <t>FEV</t>
        </is>
      </c>
      <c r="E7" s="141" t="inlineStr">
        <is>
          <t>MAR</t>
        </is>
      </c>
      <c r="F7" s="141" t="inlineStr">
        <is>
          <t>ABR</t>
        </is>
      </c>
      <c r="G7" s="141" t="inlineStr">
        <is>
          <t>MAI</t>
        </is>
      </c>
      <c r="H7" s="141" t="inlineStr">
        <is>
          <t>JUN</t>
        </is>
      </c>
      <c r="I7" s="141" t="inlineStr">
        <is>
          <t>JUL</t>
        </is>
      </c>
      <c r="J7" s="141" t="inlineStr">
        <is>
          <t>AGO</t>
        </is>
      </c>
      <c r="K7" s="141" t="inlineStr">
        <is>
          <t>SET</t>
        </is>
      </c>
      <c r="L7" s="141" t="inlineStr">
        <is>
          <t>OUT</t>
        </is>
      </c>
      <c r="M7" s="141" t="inlineStr">
        <is>
          <t>NOV</t>
        </is>
      </c>
      <c r="N7" s="141" t="inlineStr">
        <is>
          <t>DEZ</t>
        </is>
      </c>
      <c r="O7" s="146" t="inlineStr">
        <is>
          <t>Ano</t>
        </is>
      </c>
      <c r="P7" s="39" t="n"/>
      <c r="Q7" s="147" t="inlineStr">
        <is>
          <t>JAN</t>
        </is>
      </c>
      <c r="R7" s="147" t="inlineStr">
        <is>
          <t>FEV</t>
        </is>
      </c>
      <c r="S7" s="147" t="inlineStr">
        <is>
          <t>MAR</t>
        </is>
      </c>
      <c r="T7" s="147" t="inlineStr">
        <is>
          <t>ABR</t>
        </is>
      </c>
      <c r="U7" s="147" t="inlineStr">
        <is>
          <t>MAI</t>
        </is>
      </c>
      <c r="V7" s="147" t="inlineStr">
        <is>
          <t>JUN</t>
        </is>
      </c>
      <c r="W7" s="147" t="inlineStr">
        <is>
          <t>JUL</t>
        </is>
      </c>
      <c r="X7" s="147" t="inlineStr">
        <is>
          <t>AGO</t>
        </is>
      </c>
      <c r="Y7" s="147" t="inlineStr">
        <is>
          <t>SET</t>
        </is>
      </c>
      <c r="Z7" s="147" t="inlineStr">
        <is>
          <t>OUT</t>
        </is>
      </c>
      <c r="AA7" s="147" t="inlineStr">
        <is>
          <t>NOV</t>
        </is>
      </c>
      <c r="AB7" s="147" t="inlineStr">
        <is>
          <t>DEZ</t>
        </is>
      </c>
      <c r="AC7" s="146" t="inlineStr">
        <is>
          <t>Ano</t>
        </is>
      </c>
      <c r="AD7" s="39" t="n"/>
      <c r="AE7" s="148" t="inlineStr">
        <is>
          <t>JAN</t>
        </is>
      </c>
      <c r="AF7" s="148" t="inlineStr">
        <is>
          <t>FEV</t>
        </is>
      </c>
      <c r="AG7" s="148" t="inlineStr">
        <is>
          <t>MAR</t>
        </is>
      </c>
      <c r="AH7" s="148" t="inlineStr">
        <is>
          <t>ABR</t>
        </is>
      </c>
      <c r="AI7" s="148" t="inlineStr">
        <is>
          <t>MAI</t>
        </is>
      </c>
      <c r="AJ7" s="148" t="inlineStr">
        <is>
          <t>JUN</t>
        </is>
      </c>
      <c r="AK7" s="148" t="inlineStr">
        <is>
          <t>JUL</t>
        </is>
      </c>
      <c r="AL7" s="148" t="inlineStr">
        <is>
          <t>AGO</t>
        </is>
      </c>
      <c r="AM7" s="148" t="inlineStr">
        <is>
          <t>SET</t>
        </is>
      </c>
      <c r="AN7" s="148" t="inlineStr">
        <is>
          <t>OUT</t>
        </is>
      </c>
      <c r="AO7" s="148" t="inlineStr">
        <is>
          <t>NOV</t>
        </is>
      </c>
      <c r="AP7" s="148" t="inlineStr">
        <is>
          <t>DEZ</t>
        </is>
      </c>
      <c r="AQ7" s="146" t="inlineStr">
        <is>
          <t>Ano</t>
        </is>
      </c>
      <c r="AR7" s="39" t="n"/>
      <c r="AS7" s="149" t="inlineStr">
        <is>
          <t>JAN</t>
        </is>
      </c>
      <c r="AT7" s="149" t="inlineStr">
        <is>
          <t>FEV</t>
        </is>
      </c>
      <c r="AU7" s="149" t="inlineStr">
        <is>
          <t>MAR</t>
        </is>
      </c>
      <c r="AV7" s="149" t="inlineStr">
        <is>
          <t>ABR</t>
        </is>
      </c>
      <c r="AW7" s="149" t="inlineStr">
        <is>
          <t>MAI</t>
        </is>
      </c>
      <c r="AX7" s="149" t="inlineStr">
        <is>
          <t>JUN</t>
        </is>
      </c>
      <c r="AY7" s="149" t="inlineStr">
        <is>
          <t>JUL</t>
        </is>
      </c>
      <c r="AZ7" s="149" t="inlineStr">
        <is>
          <t>AGO</t>
        </is>
      </c>
      <c r="BA7" s="149" t="inlineStr">
        <is>
          <t>SET</t>
        </is>
      </c>
      <c r="BB7" s="149" t="inlineStr">
        <is>
          <t>OUT</t>
        </is>
      </c>
      <c r="BC7" s="149" t="inlineStr">
        <is>
          <t>NOV</t>
        </is>
      </c>
      <c r="BD7" s="149" t="inlineStr">
        <is>
          <t>DEZ</t>
        </is>
      </c>
      <c r="BE7" s="146" t="inlineStr">
        <is>
          <t>Ano</t>
        </is>
      </c>
      <c r="BF7" s="39" t="n"/>
      <c r="BG7" s="106" t="inlineStr">
        <is>
          <t>SxN oficial</t>
        </is>
      </c>
      <c r="BH7" s="106" t="inlineStr">
        <is>
          <t>SxN calc</t>
        </is>
      </c>
      <c r="BI7" s="106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3">
        <f>CADASTRO!$C4</f>
        <v/>
      </c>
      <c r="C8" s="150">
        <f>IFERROR(INDEX(JAN!$AY$8:$AY$73,MATCH($A8,JAN!$A$8:$A$73,0)),"")</f>
        <v/>
      </c>
      <c r="D8" s="150">
        <f>IFERROR(INDEX(FEV!$AY$8:$AY$73,MATCH($A8,FEV!$A$8:$A$73,0)),"")</f>
        <v/>
      </c>
      <c r="E8" s="150">
        <f>IFERROR(INDEX(MAR!$AY$8:$AY$73,MATCH($A8,MAR!$A$8:$A$73,0)),"")</f>
        <v/>
      </c>
      <c r="F8" s="150">
        <f>IFERROR(INDEX(ABR!$AY$8:$AY$73,MATCH($A8,ABR!$A$8:$A$73,0)),"")</f>
        <v/>
      </c>
      <c r="G8" s="150">
        <f>IFERROR(INDEX(MAI!$AY$8:$AY$73,MATCH($A8,MAI!$A$8:$A$73,0)),"")</f>
        <v/>
      </c>
      <c r="H8" s="150">
        <f>IFERROR(INDEX(JUN!$AY$8:$AY$73,MATCH($A8,JUN!$A$8:$A$73,0)),"")</f>
        <v/>
      </c>
      <c r="I8" s="150">
        <f>IFERROR(INDEX(JUL!$AY$8:$AY$73,MATCH($A8,JUL!$A$8:$A$73,0)),"")</f>
        <v/>
      </c>
      <c r="J8" s="150">
        <f>IFERROR(INDEX(AGO!$AY$8:$AY$73,MATCH($A8,AGO!$A$8:$A$73,0)),"")</f>
        <v/>
      </c>
      <c r="K8" s="150">
        <f>IFERROR(INDEX(SET!$AY$8:$AY$73,MATCH($A8,SET!$A$8:$A$73,0)),"")</f>
        <v/>
      </c>
      <c r="L8" s="150">
        <f>IFERROR(INDEX(OUT!$AY$8:$AY$73,MATCH($A8,OUT!$A$8:$A$73,0)),"")</f>
        <v/>
      </c>
      <c r="M8" s="150">
        <f>IFERROR(INDEX(NOV!$AY$8:$AY$73,MATCH($A8,NOV!$A$8:$A$73,0)),"")</f>
        <v/>
      </c>
      <c r="N8" s="150">
        <f>IFERROR(INDEX(DEZ!$AY$8:$AY$73,MATCH($A8,DEZ!$A$8:$A$73,0)),"")</f>
        <v/>
      </c>
      <c r="O8" s="151">
        <f>SUM(C8:N8)</f>
        <v/>
      </c>
      <c r="P8" s="39" t="n"/>
      <c r="Q8" s="150">
        <f>IFERROR(INDEX(JAN!$AU$8:$AU$73,MATCH($A8,JAN!$A$8:$A$73,0)),"")</f>
        <v/>
      </c>
      <c r="R8" s="150">
        <f>IFERROR(INDEX(FEV!$AU$8:$AU$73,MATCH($A8,FEV!$A$8:$A$73,0)),"")</f>
        <v/>
      </c>
      <c r="S8" s="150">
        <f>IFERROR(INDEX(MAR!$AU$8:$AU$73,MATCH($A8,MAR!$A$8:$A$73,0)),"")</f>
        <v/>
      </c>
      <c r="T8" s="150">
        <f>IFERROR(INDEX(ABR!$AU$8:$AU$73,MATCH($A8,ABR!$A$8:$A$73,0)),"")</f>
        <v/>
      </c>
      <c r="U8" s="150">
        <f>IFERROR(INDEX(MAI!$AU$8:$AU$73,MATCH($A8,MAI!$A$8:$A$73,0)),"")</f>
        <v/>
      </c>
      <c r="V8" s="150">
        <f>IFERROR(INDEX(JUN!$AU$8:$AU$73,MATCH($A8,JUN!$A$8:$A$73,0)),"")</f>
        <v/>
      </c>
      <c r="W8" s="150">
        <f>IFERROR(INDEX(JUL!$AU$8:$AU$73,MATCH($A8,JUL!$A$8:$A$73,0)),"")</f>
        <v/>
      </c>
      <c r="X8" s="150">
        <f>IFERROR(INDEX(AGO!$AU$8:$AU$73,MATCH($A8,AGO!$A$8:$A$73,0)),"")</f>
        <v/>
      </c>
      <c r="Y8" s="150">
        <f>IFERROR(INDEX(SET!$AU$8:$AU$73,MATCH($A8,SET!$A$8:$A$73,0)),"")</f>
        <v/>
      </c>
      <c r="Z8" s="150">
        <f>IFERROR(INDEX(OUT!$AU$8:$AU$73,MATCH($A8,OUT!$A$8:$A$73,0)),"")</f>
        <v/>
      </c>
      <c r="AA8" s="150">
        <f>IFERROR(INDEX(NOV!$AU$8:$AU$73,MATCH($A8,NOV!$A$8:$A$73,0)),"")</f>
        <v/>
      </c>
      <c r="AB8" s="150">
        <f>IFERROR(INDEX(DEZ!$AU$8:$AU$73,MATCH($A8,DEZ!$A$8:$A$73,0)),"")</f>
        <v/>
      </c>
      <c r="AC8" s="151">
        <f>SUM(Q8:AB8)</f>
        <v/>
      </c>
      <c r="AD8" s="39" t="n"/>
      <c r="AE8" s="150">
        <f>IFERROR(INDEX(JAN!$AV$8:$AV$73,MATCH($A8,JAN!$A$8:$A$73,0)),"")</f>
        <v/>
      </c>
      <c r="AF8" s="150">
        <f>IFERROR(INDEX(FEV!$AV$8:$AV$73,MATCH($A8,FEV!$A$8:$A$73,0)),"")</f>
        <v/>
      </c>
      <c r="AG8" s="150">
        <f>IFERROR(INDEX(MAR!$AV$8:$AV$73,MATCH($A8,MAR!$A$8:$A$73,0)),"")</f>
        <v/>
      </c>
      <c r="AH8" s="150">
        <f>IFERROR(INDEX(ABR!$AV$8:$AV$73,MATCH($A8,ABR!$A$8:$A$73,0)),"")</f>
        <v/>
      </c>
      <c r="AI8" s="150">
        <f>IFERROR(INDEX(MAI!$AV$8:$AV$73,MATCH($A8,MAI!$A$8:$A$73,0)),"")</f>
        <v/>
      </c>
      <c r="AJ8" s="150">
        <f>IFERROR(INDEX(JUN!$AV$8:$AV$73,MATCH($A8,JUN!$A$8:$A$73,0)),"")</f>
        <v/>
      </c>
      <c r="AK8" s="150">
        <f>IFERROR(INDEX(JUL!$AV$8:$AV$73,MATCH($A8,JUL!$A$8:$A$73,0)),"")</f>
        <v/>
      </c>
      <c r="AL8" s="150">
        <f>IFERROR(INDEX(AGO!$AV$8:$AV$73,MATCH($A8,AGO!$A$8:$A$73,0)),"")</f>
        <v/>
      </c>
      <c r="AM8" s="150">
        <f>IFERROR(INDEX(SET!$AV$8:$AV$73,MATCH($A8,SET!$A$8:$A$73,0)),"")</f>
        <v/>
      </c>
      <c r="AN8" s="150">
        <f>IFERROR(INDEX(OUT!$AV$8:$AV$73,MATCH($A8,OUT!$A$8:$A$73,0)),"")</f>
        <v/>
      </c>
      <c r="AO8" s="150">
        <f>IFERROR(INDEX(NOV!$AV$8:$AV$73,MATCH($A8,NOV!$A$8:$A$73,0)),"")</f>
        <v/>
      </c>
      <c r="AP8" s="150">
        <f>IFERROR(INDEX(DEZ!$AV$8:$AV$73,MATCH($A8,DEZ!$A$8:$A$73,0)),"")</f>
        <v/>
      </c>
      <c r="AQ8" s="151">
        <f>SUM(AE8:AP8)</f>
        <v/>
      </c>
      <c r="AR8" s="39" t="n"/>
      <c r="AS8" s="150">
        <f>IFERROR(INDEX(JAN!$AW$8:$AW$73,MATCH($A8,JAN!$A$8:$A$73,0)),"")</f>
        <v/>
      </c>
      <c r="AT8" s="150">
        <f>IFERROR(INDEX(FEV!$AW$8:$AW$73,MATCH($A8,FEV!$A$8:$A$73,0)),"")</f>
        <v/>
      </c>
      <c r="AU8" s="150">
        <f>IFERROR(INDEX(MAR!$AW$8:$AW$73,MATCH($A8,MAR!$A$8:$A$73,0)),"")</f>
        <v/>
      </c>
      <c r="AV8" s="150">
        <f>IFERROR(INDEX(ABR!$AW$8:$AW$73,MATCH($A8,ABR!$A$8:$A$73,0)),"")</f>
        <v/>
      </c>
      <c r="AW8" s="150">
        <f>IFERROR(INDEX(MAI!$AW$8:$AW$73,MATCH($A8,MAI!$A$8:$A$73,0)),"")</f>
        <v/>
      </c>
      <c r="AX8" s="150">
        <f>IFERROR(INDEX(JUN!$AW$8:$AW$73,MATCH($A8,JUN!$A$8:$A$73,0)),"")</f>
        <v/>
      </c>
      <c r="AY8" s="150">
        <f>IFERROR(INDEX(JUL!$AW$8:$AW$73,MATCH($A8,JUL!$A$8:$A$73,0)),"")</f>
        <v/>
      </c>
      <c r="AZ8" s="150">
        <f>IFERROR(INDEX(AGO!$AW$8:$AW$73,MATCH($A8,AGO!$A$8:$A$73,0)),"")</f>
        <v/>
      </c>
      <c r="BA8" s="150">
        <f>IFERROR(INDEX(SET!$AW$8:$AW$73,MATCH($A8,SET!$A$8:$A$73,0)),"")</f>
        <v/>
      </c>
      <c r="BB8" s="150">
        <f>IFERROR(INDEX(OUT!$AW$8:$AW$73,MATCH($A8,OUT!$A$8:$A$73,0)),"")</f>
        <v/>
      </c>
      <c r="BC8" s="150">
        <f>IFERROR(INDEX(NOV!$AW$8:$AW$73,MATCH($A8,NOV!$A$8:$A$73,0)),"")</f>
        <v/>
      </c>
      <c r="BD8" s="150">
        <f>IFERROR(INDEX(DEZ!$AW$8:$AW$73,MATCH($A8,DEZ!$A$8:$A$73,0)),"")</f>
        <v/>
      </c>
      <c r="BE8" s="151">
        <f>SUM(AS8:BD8)</f>
        <v/>
      </c>
      <c r="BF8" s="39" t="n"/>
      <c r="BG8" s="102" t="n">
        <v>0</v>
      </c>
      <c r="BH8" s="120">
        <f>SUM(AE8:AP8)</f>
        <v/>
      </c>
      <c r="BI8" s="152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3">
        <f>CADASTRO!$C5</f>
        <v/>
      </c>
      <c r="C9" s="150">
        <f>IFERROR(INDEX(JAN!$AY$8:$AY$73,MATCH($A9,JAN!$A$8:$A$73,0)),"")</f>
        <v/>
      </c>
      <c r="D9" s="150">
        <f>IFERROR(INDEX(FEV!$AY$8:$AY$73,MATCH($A9,FEV!$A$8:$A$73,0)),"")</f>
        <v/>
      </c>
      <c r="E9" s="150">
        <f>IFERROR(INDEX(MAR!$AY$8:$AY$73,MATCH($A9,MAR!$A$8:$A$73,0)),"")</f>
        <v/>
      </c>
      <c r="F9" s="150">
        <f>IFERROR(INDEX(ABR!$AY$8:$AY$73,MATCH($A9,ABR!$A$8:$A$73,0)),"")</f>
        <v/>
      </c>
      <c r="G9" s="150">
        <f>IFERROR(INDEX(MAI!$AY$8:$AY$73,MATCH($A9,MAI!$A$8:$A$73,0)),"")</f>
        <v/>
      </c>
      <c r="H9" s="150">
        <f>IFERROR(INDEX(JUN!$AY$8:$AY$73,MATCH($A9,JUN!$A$8:$A$73,0)),"")</f>
        <v/>
      </c>
      <c r="I9" s="150">
        <f>IFERROR(INDEX(JUL!$AY$8:$AY$73,MATCH($A9,JUL!$A$8:$A$73,0)),"")</f>
        <v/>
      </c>
      <c r="J9" s="150">
        <f>IFERROR(INDEX(AGO!$AY$8:$AY$73,MATCH($A9,AGO!$A$8:$A$73,0)),"")</f>
        <v/>
      </c>
      <c r="K9" s="150">
        <f>IFERROR(INDEX(SET!$AY$8:$AY$73,MATCH($A9,SET!$A$8:$A$73,0)),"")</f>
        <v/>
      </c>
      <c r="L9" s="150">
        <f>IFERROR(INDEX(OUT!$AY$8:$AY$73,MATCH($A9,OUT!$A$8:$A$73,0)),"")</f>
        <v/>
      </c>
      <c r="M9" s="150">
        <f>IFERROR(INDEX(NOV!$AY$8:$AY$73,MATCH($A9,NOV!$A$8:$A$73,0)),"")</f>
        <v/>
      </c>
      <c r="N9" s="150">
        <f>IFERROR(INDEX(DEZ!$AY$8:$AY$73,MATCH($A9,DEZ!$A$8:$A$73,0)),"")</f>
        <v/>
      </c>
      <c r="O9" s="151">
        <f>SUM(C9:N9)</f>
        <v/>
      </c>
      <c r="P9" s="39" t="n"/>
      <c r="Q9" s="150">
        <f>IFERROR(INDEX(JAN!$AU$8:$AU$73,MATCH($A9,JAN!$A$8:$A$73,0)),"")</f>
        <v/>
      </c>
      <c r="R9" s="150">
        <f>IFERROR(INDEX(FEV!$AU$8:$AU$73,MATCH($A9,FEV!$A$8:$A$73,0)),"")</f>
        <v/>
      </c>
      <c r="S9" s="150">
        <f>IFERROR(INDEX(MAR!$AU$8:$AU$73,MATCH($A9,MAR!$A$8:$A$73,0)),"")</f>
        <v/>
      </c>
      <c r="T9" s="150">
        <f>IFERROR(INDEX(ABR!$AU$8:$AU$73,MATCH($A9,ABR!$A$8:$A$73,0)),"")</f>
        <v/>
      </c>
      <c r="U9" s="150">
        <f>IFERROR(INDEX(MAI!$AU$8:$AU$73,MATCH($A9,MAI!$A$8:$A$73,0)),"")</f>
        <v/>
      </c>
      <c r="V9" s="150">
        <f>IFERROR(INDEX(JUN!$AU$8:$AU$73,MATCH($A9,JUN!$A$8:$A$73,0)),"")</f>
        <v/>
      </c>
      <c r="W9" s="150">
        <f>IFERROR(INDEX(JUL!$AU$8:$AU$73,MATCH($A9,JUL!$A$8:$A$73,0)),"")</f>
        <v/>
      </c>
      <c r="X9" s="150">
        <f>IFERROR(INDEX(AGO!$AU$8:$AU$73,MATCH($A9,AGO!$A$8:$A$73,0)),"")</f>
        <v/>
      </c>
      <c r="Y9" s="150">
        <f>IFERROR(INDEX(SET!$AU$8:$AU$73,MATCH($A9,SET!$A$8:$A$73,0)),"")</f>
        <v/>
      </c>
      <c r="Z9" s="150">
        <f>IFERROR(INDEX(OUT!$AU$8:$AU$73,MATCH($A9,OUT!$A$8:$A$73,0)),"")</f>
        <v/>
      </c>
      <c r="AA9" s="150">
        <f>IFERROR(INDEX(NOV!$AU$8:$AU$73,MATCH($A9,NOV!$A$8:$A$73,0)),"")</f>
        <v/>
      </c>
      <c r="AB9" s="150">
        <f>IFERROR(INDEX(DEZ!$AU$8:$AU$73,MATCH($A9,DEZ!$A$8:$A$73,0)),"")</f>
        <v/>
      </c>
      <c r="AC9" s="151">
        <f>SUM(Q9:AB9)</f>
        <v/>
      </c>
      <c r="AD9" s="39" t="n"/>
      <c r="AE9" s="150">
        <f>IFERROR(INDEX(JAN!$AV$8:$AV$73,MATCH($A9,JAN!$A$8:$A$73,0)),"")</f>
        <v/>
      </c>
      <c r="AF9" s="150">
        <f>IFERROR(INDEX(FEV!$AV$8:$AV$73,MATCH($A9,FEV!$A$8:$A$73,0)),"")</f>
        <v/>
      </c>
      <c r="AG9" s="150">
        <f>IFERROR(INDEX(MAR!$AV$8:$AV$73,MATCH($A9,MAR!$A$8:$A$73,0)),"")</f>
        <v/>
      </c>
      <c r="AH9" s="150">
        <f>IFERROR(INDEX(ABR!$AV$8:$AV$73,MATCH($A9,ABR!$A$8:$A$73,0)),"")</f>
        <v/>
      </c>
      <c r="AI9" s="150">
        <f>IFERROR(INDEX(MAI!$AV$8:$AV$73,MATCH($A9,MAI!$A$8:$A$73,0)),"")</f>
        <v/>
      </c>
      <c r="AJ9" s="150">
        <f>IFERROR(INDEX(JUN!$AV$8:$AV$73,MATCH($A9,JUN!$A$8:$A$73,0)),"")</f>
        <v/>
      </c>
      <c r="AK9" s="150">
        <f>IFERROR(INDEX(JUL!$AV$8:$AV$73,MATCH($A9,JUL!$A$8:$A$73,0)),"")</f>
        <v/>
      </c>
      <c r="AL9" s="150">
        <f>IFERROR(INDEX(AGO!$AV$8:$AV$73,MATCH($A9,AGO!$A$8:$A$73,0)),"")</f>
        <v/>
      </c>
      <c r="AM9" s="150">
        <f>IFERROR(INDEX(SET!$AV$8:$AV$73,MATCH($A9,SET!$A$8:$A$73,0)),"")</f>
        <v/>
      </c>
      <c r="AN9" s="150">
        <f>IFERROR(INDEX(OUT!$AV$8:$AV$73,MATCH($A9,OUT!$A$8:$A$73,0)),"")</f>
        <v/>
      </c>
      <c r="AO9" s="150">
        <f>IFERROR(INDEX(NOV!$AV$8:$AV$73,MATCH($A9,NOV!$A$8:$A$73,0)),"")</f>
        <v/>
      </c>
      <c r="AP9" s="150">
        <f>IFERROR(INDEX(DEZ!$AV$8:$AV$73,MATCH($A9,DEZ!$A$8:$A$73,0)),"")</f>
        <v/>
      </c>
      <c r="AQ9" s="151">
        <f>SUM(AE9:AP9)</f>
        <v/>
      </c>
      <c r="AR9" s="39" t="n"/>
      <c r="AS9" s="150">
        <f>IFERROR(INDEX(JAN!$AW$8:$AW$73,MATCH($A9,JAN!$A$8:$A$73,0)),"")</f>
        <v/>
      </c>
      <c r="AT9" s="150">
        <f>IFERROR(INDEX(FEV!$AW$8:$AW$73,MATCH($A9,FEV!$A$8:$A$73,0)),"")</f>
        <v/>
      </c>
      <c r="AU9" s="150">
        <f>IFERROR(INDEX(MAR!$AW$8:$AW$73,MATCH($A9,MAR!$A$8:$A$73,0)),"")</f>
        <v/>
      </c>
      <c r="AV9" s="150">
        <f>IFERROR(INDEX(ABR!$AW$8:$AW$73,MATCH($A9,ABR!$A$8:$A$73,0)),"")</f>
        <v/>
      </c>
      <c r="AW9" s="150">
        <f>IFERROR(INDEX(MAI!$AW$8:$AW$73,MATCH($A9,MAI!$A$8:$A$73,0)),"")</f>
        <v/>
      </c>
      <c r="AX9" s="150">
        <f>IFERROR(INDEX(JUN!$AW$8:$AW$73,MATCH($A9,JUN!$A$8:$A$73,0)),"")</f>
        <v/>
      </c>
      <c r="AY9" s="150">
        <f>IFERROR(INDEX(JUL!$AW$8:$AW$73,MATCH($A9,JUL!$A$8:$A$73,0)),"")</f>
        <v/>
      </c>
      <c r="AZ9" s="150">
        <f>IFERROR(INDEX(AGO!$AW$8:$AW$73,MATCH($A9,AGO!$A$8:$A$73,0)),"")</f>
        <v/>
      </c>
      <c r="BA9" s="150">
        <f>IFERROR(INDEX(SET!$AW$8:$AW$73,MATCH($A9,SET!$A$8:$A$73,0)),"")</f>
        <v/>
      </c>
      <c r="BB9" s="150">
        <f>IFERROR(INDEX(OUT!$AW$8:$AW$73,MATCH($A9,OUT!$A$8:$A$73,0)),"")</f>
        <v/>
      </c>
      <c r="BC9" s="150">
        <f>IFERROR(INDEX(NOV!$AW$8:$AW$73,MATCH($A9,NOV!$A$8:$A$73,0)),"")</f>
        <v/>
      </c>
      <c r="BD9" s="150">
        <f>IFERROR(INDEX(DEZ!$AW$8:$AW$73,MATCH($A9,DEZ!$A$8:$A$73,0)),"")</f>
        <v/>
      </c>
      <c r="BE9" s="151">
        <f>SUM(AS9:BD9)</f>
        <v/>
      </c>
      <c r="BF9" s="39" t="n"/>
      <c r="BG9" s="102" t="n">
        <v>0</v>
      </c>
      <c r="BH9" s="120">
        <f>SUM(AE9:AP9)</f>
        <v/>
      </c>
      <c r="BI9" s="152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3">
        <f>CADASTRO!$C6</f>
        <v/>
      </c>
      <c r="C10" s="150">
        <f>IFERROR(INDEX(JAN!$AY$8:$AY$73,MATCH($A10,JAN!$A$8:$A$73,0)),"")</f>
        <v/>
      </c>
      <c r="D10" s="150">
        <f>IFERROR(INDEX(FEV!$AY$8:$AY$73,MATCH($A10,FEV!$A$8:$A$73,0)),"")</f>
        <v/>
      </c>
      <c r="E10" s="150">
        <f>IFERROR(INDEX(MAR!$AY$8:$AY$73,MATCH($A10,MAR!$A$8:$A$73,0)),"")</f>
        <v/>
      </c>
      <c r="F10" s="150">
        <f>IFERROR(INDEX(ABR!$AY$8:$AY$73,MATCH($A10,ABR!$A$8:$A$73,0)),"")</f>
        <v/>
      </c>
      <c r="G10" s="150">
        <f>IFERROR(INDEX(MAI!$AY$8:$AY$73,MATCH($A10,MAI!$A$8:$A$73,0)),"")</f>
        <v/>
      </c>
      <c r="H10" s="150">
        <f>IFERROR(INDEX(JUN!$AY$8:$AY$73,MATCH($A10,JUN!$A$8:$A$73,0)),"")</f>
        <v/>
      </c>
      <c r="I10" s="150">
        <f>IFERROR(INDEX(JUL!$AY$8:$AY$73,MATCH($A10,JUL!$A$8:$A$73,0)),"")</f>
        <v/>
      </c>
      <c r="J10" s="150">
        <f>IFERROR(INDEX(AGO!$AY$8:$AY$73,MATCH($A10,AGO!$A$8:$A$73,0)),"")</f>
        <v/>
      </c>
      <c r="K10" s="150">
        <f>IFERROR(INDEX(SET!$AY$8:$AY$73,MATCH($A10,SET!$A$8:$A$73,0)),"")</f>
        <v/>
      </c>
      <c r="L10" s="150">
        <f>IFERROR(INDEX(OUT!$AY$8:$AY$73,MATCH($A10,OUT!$A$8:$A$73,0)),"")</f>
        <v/>
      </c>
      <c r="M10" s="150">
        <f>IFERROR(INDEX(NOV!$AY$8:$AY$73,MATCH($A10,NOV!$A$8:$A$73,0)),"")</f>
        <v/>
      </c>
      <c r="N10" s="150">
        <f>IFERROR(INDEX(DEZ!$AY$8:$AY$73,MATCH($A10,DEZ!$A$8:$A$73,0)),"")</f>
        <v/>
      </c>
      <c r="O10" s="151">
        <f>SUM(C10:N10)</f>
        <v/>
      </c>
      <c r="P10" s="39" t="n"/>
      <c r="Q10" s="150">
        <f>IFERROR(INDEX(JAN!$AU$8:$AU$73,MATCH($A10,JAN!$A$8:$A$73,0)),"")</f>
        <v/>
      </c>
      <c r="R10" s="150">
        <f>IFERROR(INDEX(FEV!$AU$8:$AU$73,MATCH($A10,FEV!$A$8:$A$73,0)),"")</f>
        <v/>
      </c>
      <c r="S10" s="150">
        <f>IFERROR(INDEX(MAR!$AU$8:$AU$73,MATCH($A10,MAR!$A$8:$A$73,0)),"")</f>
        <v/>
      </c>
      <c r="T10" s="150">
        <f>IFERROR(INDEX(ABR!$AU$8:$AU$73,MATCH($A10,ABR!$A$8:$A$73,0)),"")</f>
        <v/>
      </c>
      <c r="U10" s="150">
        <f>IFERROR(INDEX(MAI!$AU$8:$AU$73,MATCH($A10,MAI!$A$8:$A$73,0)),"")</f>
        <v/>
      </c>
      <c r="V10" s="150">
        <f>IFERROR(INDEX(JUN!$AU$8:$AU$73,MATCH($A10,JUN!$A$8:$A$73,0)),"")</f>
        <v/>
      </c>
      <c r="W10" s="150">
        <f>IFERROR(INDEX(JUL!$AU$8:$AU$73,MATCH($A10,JUL!$A$8:$A$73,0)),"")</f>
        <v/>
      </c>
      <c r="X10" s="150">
        <f>IFERROR(INDEX(AGO!$AU$8:$AU$73,MATCH($A10,AGO!$A$8:$A$73,0)),"")</f>
        <v/>
      </c>
      <c r="Y10" s="150">
        <f>IFERROR(INDEX(SET!$AU$8:$AU$73,MATCH($A10,SET!$A$8:$A$73,0)),"")</f>
        <v/>
      </c>
      <c r="Z10" s="150">
        <f>IFERROR(INDEX(OUT!$AU$8:$AU$73,MATCH($A10,OUT!$A$8:$A$73,0)),"")</f>
        <v/>
      </c>
      <c r="AA10" s="150">
        <f>IFERROR(INDEX(NOV!$AU$8:$AU$73,MATCH($A10,NOV!$A$8:$A$73,0)),"")</f>
        <v/>
      </c>
      <c r="AB10" s="150">
        <f>IFERROR(INDEX(DEZ!$AU$8:$AU$73,MATCH($A10,DEZ!$A$8:$A$73,0)),"")</f>
        <v/>
      </c>
      <c r="AC10" s="151">
        <f>SUM(Q10:AB10)</f>
        <v/>
      </c>
      <c r="AD10" s="39" t="n"/>
      <c r="AE10" s="150">
        <f>IFERROR(INDEX(JAN!$AV$8:$AV$73,MATCH($A10,JAN!$A$8:$A$73,0)),"")</f>
        <v/>
      </c>
      <c r="AF10" s="150">
        <f>IFERROR(INDEX(FEV!$AV$8:$AV$73,MATCH($A10,FEV!$A$8:$A$73,0)),"")</f>
        <v/>
      </c>
      <c r="AG10" s="150">
        <f>IFERROR(INDEX(MAR!$AV$8:$AV$73,MATCH($A10,MAR!$A$8:$A$73,0)),"")</f>
        <v/>
      </c>
      <c r="AH10" s="150">
        <f>IFERROR(INDEX(ABR!$AV$8:$AV$73,MATCH($A10,ABR!$A$8:$A$73,0)),"")</f>
        <v/>
      </c>
      <c r="AI10" s="150">
        <f>IFERROR(INDEX(MAI!$AV$8:$AV$73,MATCH($A10,MAI!$A$8:$A$73,0)),"")</f>
        <v/>
      </c>
      <c r="AJ10" s="150">
        <f>IFERROR(INDEX(JUN!$AV$8:$AV$73,MATCH($A10,JUN!$A$8:$A$73,0)),"")</f>
        <v/>
      </c>
      <c r="AK10" s="150">
        <f>IFERROR(INDEX(JUL!$AV$8:$AV$73,MATCH($A10,JUL!$A$8:$A$73,0)),"")</f>
        <v/>
      </c>
      <c r="AL10" s="150">
        <f>IFERROR(INDEX(AGO!$AV$8:$AV$73,MATCH($A10,AGO!$A$8:$A$73,0)),"")</f>
        <v/>
      </c>
      <c r="AM10" s="150">
        <f>IFERROR(INDEX(SET!$AV$8:$AV$73,MATCH($A10,SET!$A$8:$A$73,0)),"")</f>
        <v/>
      </c>
      <c r="AN10" s="150">
        <f>IFERROR(INDEX(OUT!$AV$8:$AV$73,MATCH($A10,OUT!$A$8:$A$73,0)),"")</f>
        <v/>
      </c>
      <c r="AO10" s="150">
        <f>IFERROR(INDEX(NOV!$AV$8:$AV$73,MATCH($A10,NOV!$A$8:$A$73,0)),"")</f>
        <v/>
      </c>
      <c r="AP10" s="150">
        <f>IFERROR(INDEX(DEZ!$AV$8:$AV$73,MATCH($A10,DEZ!$A$8:$A$73,0)),"")</f>
        <v/>
      </c>
      <c r="AQ10" s="151">
        <f>SUM(AE10:AP10)</f>
        <v/>
      </c>
      <c r="AR10" s="39" t="n"/>
      <c r="AS10" s="150">
        <f>IFERROR(INDEX(JAN!$AW$8:$AW$73,MATCH($A10,JAN!$A$8:$A$73,0)),"")</f>
        <v/>
      </c>
      <c r="AT10" s="150">
        <f>IFERROR(INDEX(FEV!$AW$8:$AW$73,MATCH($A10,FEV!$A$8:$A$73,0)),"")</f>
        <v/>
      </c>
      <c r="AU10" s="150">
        <f>IFERROR(INDEX(MAR!$AW$8:$AW$73,MATCH($A10,MAR!$A$8:$A$73,0)),"")</f>
        <v/>
      </c>
      <c r="AV10" s="150">
        <f>IFERROR(INDEX(ABR!$AW$8:$AW$73,MATCH($A10,ABR!$A$8:$A$73,0)),"")</f>
        <v/>
      </c>
      <c r="AW10" s="150">
        <f>IFERROR(INDEX(MAI!$AW$8:$AW$73,MATCH($A10,MAI!$A$8:$A$73,0)),"")</f>
        <v/>
      </c>
      <c r="AX10" s="150">
        <f>IFERROR(INDEX(JUN!$AW$8:$AW$73,MATCH($A10,JUN!$A$8:$A$73,0)),"")</f>
        <v/>
      </c>
      <c r="AY10" s="150">
        <f>IFERROR(INDEX(JUL!$AW$8:$AW$73,MATCH($A10,JUL!$A$8:$A$73,0)),"")</f>
        <v/>
      </c>
      <c r="AZ10" s="150">
        <f>IFERROR(INDEX(AGO!$AW$8:$AW$73,MATCH($A10,AGO!$A$8:$A$73,0)),"")</f>
        <v/>
      </c>
      <c r="BA10" s="150">
        <f>IFERROR(INDEX(SET!$AW$8:$AW$73,MATCH($A10,SET!$A$8:$A$73,0)),"")</f>
        <v/>
      </c>
      <c r="BB10" s="150">
        <f>IFERROR(INDEX(OUT!$AW$8:$AW$73,MATCH($A10,OUT!$A$8:$A$73,0)),"")</f>
        <v/>
      </c>
      <c r="BC10" s="150">
        <f>IFERROR(INDEX(NOV!$AW$8:$AW$73,MATCH($A10,NOV!$A$8:$A$73,0)),"")</f>
        <v/>
      </c>
      <c r="BD10" s="150">
        <f>IFERROR(INDEX(DEZ!$AW$8:$AW$73,MATCH($A10,DEZ!$A$8:$A$73,0)),"")</f>
        <v/>
      </c>
      <c r="BE10" s="151">
        <f>SUM(AS10:BD10)</f>
        <v/>
      </c>
      <c r="BF10" s="39" t="n"/>
      <c r="BG10" s="102" t="n">
        <v>0</v>
      </c>
      <c r="BH10" s="120">
        <f>SUM(AE10:AP10)</f>
        <v/>
      </c>
      <c r="BI10" s="152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3">
        <f>CADASTRO!$C7</f>
        <v/>
      </c>
      <c r="C11" s="150">
        <f>IFERROR(INDEX(JAN!$AY$8:$AY$73,MATCH($A11,JAN!$A$8:$A$73,0)),"")</f>
        <v/>
      </c>
      <c r="D11" s="150">
        <f>IFERROR(INDEX(FEV!$AY$8:$AY$73,MATCH($A11,FEV!$A$8:$A$73,0)),"")</f>
        <v/>
      </c>
      <c r="E11" s="150">
        <f>IFERROR(INDEX(MAR!$AY$8:$AY$73,MATCH($A11,MAR!$A$8:$A$73,0)),"")</f>
        <v/>
      </c>
      <c r="F11" s="150">
        <f>IFERROR(INDEX(ABR!$AY$8:$AY$73,MATCH($A11,ABR!$A$8:$A$73,0)),"")</f>
        <v/>
      </c>
      <c r="G11" s="150">
        <f>IFERROR(INDEX(MAI!$AY$8:$AY$73,MATCH($A11,MAI!$A$8:$A$73,0)),"")</f>
        <v/>
      </c>
      <c r="H11" s="150">
        <f>IFERROR(INDEX(JUN!$AY$8:$AY$73,MATCH($A11,JUN!$A$8:$A$73,0)),"")</f>
        <v/>
      </c>
      <c r="I11" s="150">
        <f>IFERROR(INDEX(JUL!$AY$8:$AY$73,MATCH($A11,JUL!$A$8:$A$73,0)),"")</f>
        <v/>
      </c>
      <c r="J11" s="150">
        <f>IFERROR(INDEX(AGO!$AY$8:$AY$73,MATCH($A11,AGO!$A$8:$A$73,0)),"")</f>
        <v/>
      </c>
      <c r="K11" s="150">
        <f>IFERROR(INDEX(SET!$AY$8:$AY$73,MATCH($A11,SET!$A$8:$A$73,0)),"")</f>
        <v/>
      </c>
      <c r="L11" s="150">
        <f>IFERROR(INDEX(OUT!$AY$8:$AY$73,MATCH($A11,OUT!$A$8:$A$73,0)),"")</f>
        <v/>
      </c>
      <c r="M11" s="150">
        <f>IFERROR(INDEX(NOV!$AY$8:$AY$73,MATCH($A11,NOV!$A$8:$A$73,0)),"")</f>
        <v/>
      </c>
      <c r="N11" s="150">
        <f>IFERROR(INDEX(DEZ!$AY$8:$AY$73,MATCH($A11,DEZ!$A$8:$A$73,0)),"")</f>
        <v/>
      </c>
      <c r="O11" s="151">
        <f>SUM(C11:N11)</f>
        <v/>
      </c>
      <c r="P11" s="39" t="n"/>
      <c r="Q11" s="150">
        <f>IFERROR(INDEX(JAN!$AU$8:$AU$73,MATCH($A11,JAN!$A$8:$A$73,0)),"")</f>
        <v/>
      </c>
      <c r="R11" s="150">
        <f>IFERROR(INDEX(FEV!$AU$8:$AU$73,MATCH($A11,FEV!$A$8:$A$73,0)),"")</f>
        <v/>
      </c>
      <c r="S11" s="150">
        <f>IFERROR(INDEX(MAR!$AU$8:$AU$73,MATCH($A11,MAR!$A$8:$A$73,0)),"")</f>
        <v/>
      </c>
      <c r="T11" s="150">
        <f>IFERROR(INDEX(ABR!$AU$8:$AU$73,MATCH($A11,ABR!$A$8:$A$73,0)),"")</f>
        <v/>
      </c>
      <c r="U11" s="150">
        <f>IFERROR(INDEX(MAI!$AU$8:$AU$73,MATCH($A11,MAI!$A$8:$A$73,0)),"")</f>
        <v/>
      </c>
      <c r="V11" s="150">
        <f>IFERROR(INDEX(JUN!$AU$8:$AU$73,MATCH($A11,JUN!$A$8:$A$73,0)),"")</f>
        <v/>
      </c>
      <c r="W11" s="150">
        <f>IFERROR(INDEX(JUL!$AU$8:$AU$73,MATCH($A11,JUL!$A$8:$A$73,0)),"")</f>
        <v/>
      </c>
      <c r="X11" s="150">
        <f>IFERROR(INDEX(AGO!$AU$8:$AU$73,MATCH($A11,AGO!$A$8:$A$73,0)),"")</f>
        <v/>
      </c>
      <c r="Y11" s="150">
        <f>IFERROR(INDEX(SET!$AU$8:$AU$73,MATCH($A11,SET!$A$8:$A$73,0)),"")</f>
        <v/>
      </c>
      <c r="Z11" s="150">
        <f>IFERROR(INDEX(OUT!$AU$8:$AU$73,MATCH($A11,OUT!$A$8:$A$73,0)),"")</f>
        <v/>
      </c>
      <c r="AA11" s="150">
        <f>IFERROR(INDEX(NOV!$AU$8:$AU$73,MATCH($A11,NOV!$A$8:$A$73,0)),"")</f>
        <v/>
      </c>
      <c r="AB11" s="150">
        <f>IFERROR(INDEX(DEZ!$AU$8:$AU$73,MATCH($A11,DEZ!$A$8:$A$73,0)),"")</f>
        <v/>
      </c>
      <c r="AC11" s="151">
        <f>SUM(Q11:AB11)</f>
        <v/>
      </c>
      <c r="AD11" s="39" t="n"/>
      <c r="AE11" s="150">
        <f>IFERROR(INDEX(JAN!$AV$8:$AV$73,MATCH($A11,JAN!$A$8:$A$73,0)),"")</f>
        <v/>
      </c>
      <c r="AF11" s="150">
        <f>IFERROR(INDEX(FEV!$AV$8:$AV$73,MATCH($A11,FEV!$A$8:$A$73,0)),"")</f>
        <v/>
      </c>
      <c r="AG11" s="150">
        <f>IFERROR(INDEX(MAR!$AV$8:$AV$73,MATCH($A11,MAR!$A$8:$A$73,0)),"")</f>
        <v/>
      </c>
      <c r="AH11" s="150">
        <f>IFERROR(INDEX(ABR!$AV$8:$AV$73,MATCH($A11,ABR!$A$8:$A$73,0)),"")</f>
        <v/>
      </c>
      <c r="AI11" s="150">
        <f>IFERROR(INDEX(MAI!$AV$8:$AV$73,MATCH($A11,MAI!$A$8:$A$73,0)),"")</f>
        <v/>
      </c>
      <c r="AJ11" s="150">
        <f>IFERROR(INDEX(JUN!$AV$8:$AV$73,MATCH($A11,JUN!$A$8:$A$73,0)),"")</f>
        <v/>
      </c>
      <c r="AK11" s="150">
        <f>IFERROR(INDEX(JUL!$AV$8:$AV$73,MATCH($A11,JUL!$A$8:$A$73,0)),"")</f>
        <v/>
      </c>
      <c r="AL11" s="150">
        <f>IFERROR(INDEX(AGO!$AV$8:$AV$73,MATCH($A11,AGO!$A$8:$A$73,0)),"")</f>
        <v/>
      </c>
      <c r="AM11" s="150">
        <f>IFERROR(INDEX(SET!$AV$8:$AV$73,MATCH($A11,SET!$A$8:$A$73,0)),"")</f>
        <v/>
      </c>
      <c r="AN11" s="150">
        <f>IFERROR(INDEX(OUT!$AV$8:$AV$73,MATCH($A11,OUT!$A$8:$A$73,0)),"")</f>
        <v/>
      </c>
      <c r="AO11" s="150">
        <f>IFERROR(INDEX(NOV!$AV$8:$AV$73,MATCH($A11,NOV!$A$8:$A$73,0)),"")</f>
        <v/>
      </c>
      <c r="AP11" s="150">
        <f>IFERROR(INDEX(DEZ!$AV$8:$AV$73,MATCH($A11,DEZ!$A$8:$A$73,0)),"")</f>
        <v/>
      </c>
      <c r="AQ11" s="151">
        <f>SUM(AE11:AP11)</f>
        <v/>
      </c>
      <c r="AR11" s="39" t="n"/>
      <c r="AS11" s="150">
        <f>IFERROR(INDEX(JAN!$AW$8:$AW$73,MATCH($A11,JAN!$A$8:$A$73,0)),"")</f>
        <v/>
      </c>
      <c r="AT11" s="150">
        <f>IFERROR(INDEX(FEV!$AW$8:$AW$73,MATCH($A11,FEV!$A$8:$A$73,0)),"")</f>
        <v/>
      </c>
      <c r="AU11" s="150">
        <f>IFERROR(INDEX(MAR!$AW$8:$AW$73,MATCH($A11,MAR!$A$8:$A$73,0)),"")</f>
        <v/>
      </c>
      <c r="AV11" s="150">
        <f>IFERROR(INDEX(ABR!$AW$8:$AW$73,MATCH($A11,ABR!$A$8:$A$73,0)),"")</f>
        <v/>
      </c>
      <c r="AW11" s="150">
        <f>IFERROR(INDEX(MAI!$AW$8:$AW$73,MATCH($A11,MAI!$A$8:$A$73,0)),"")</f>
        <v/>
      </c>
      <c r="AX11" s="150">
        <f>IFERROR(INDEX(JUN!$AW$8:$AW$73,MATCH($A11,JUN!$A$8:$A$73,0)),"")</f>
        <v/>
      </c>
      <c r="AY11" s="150">
        <f>IFERROR(INDEX(JUL!$AW$8:$AW$73,MATCH($A11,JUL!$A$8:$A$73,0)),"")</f>
        <v/>
      </c>
      <c r="AZ11" s="150">
        <f>IFERROR(INDEX(AGO!$AW$8:$AW$73,MATCH($A11,AGO!$A$8:$A$73,0)),"")</f>
        <v/>
      </c>
      <c r="BA11" s="150">
        <f>IFERROR(INDEX(SET!$AW$8:$AW$73,MATCH($A11,SET!$A$8:$A$73,0)),"")</f>
        <v/>
      </c>
      <c r="BB11" s="150">
        <f>IFERROR(INDEX(OUT!$AW$8:$AW$73,MATCH($A11,OUT!$A$8:$A$73,0)),"")</f>
        <v/>
      </c>
      <c r="BC11" s="150">
        <f>IFERROR(INDEX(NOV!$AW$8:$AW$73,MATCH($A11,NOV!$A$8:$A$73,0)),"")</f>
        <v/>
      </c>
      <c r="BD11" s="150">
        <f>IFERROR(INDEX(DEZ!$AW$8:$AW$73,MATCH($A11,DEZ!$A$8:$A$73,0)),"")</f>
        <v/>
      </c>
      <c r="BE11" s="151">
        <f>SUM(AS11:BD11)</f>
        <v/>
      </c>
      <c r="BF11" s="39" t="n"/>
      <c r="BG11" s="102" t="n">
        <v>0</v>
      </c>
      <c r="BH11" s="120">
        <f>SUM(AE11:AP11)</f>
        <v/>
      </c>
      <c r="BI11" s="152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3">
        <f>CADASTRO!$C8</f>
        <v/>
      </c>
      <c r="C12" s="150">
        <f>IFERROR(INDEX(JAN!$AY$8:$AY$73,MATCH($A12,JAN!$A$8:$A$73,0)),"")</f>
        <v/>
      </c>
      <c r="D12" s="150">
        <f>IFERROR(INDEX(FEV!$AY$8:$AY$73,MATCH($A12,FEV!$A$8:$A$73,0)),"")</f>
        <v/>
      </c>
      <c r="E12" s="150">
        <f>IFERROR(INDEX(MAR!$AY$8:$AY$73,MATCH($A12,MAR!$A$8:$A$73,0)),"")</f>
        <v/>
      </c>
      <c r="F12" s="150">
        <f>IFERROR(INDEX(ABR!$AY$8:$AY$73,MATCH($A12,ABR!$A$8:$A$73,0)),"")</f>
        <v/>
      </c>
      <c r="G12" s="150">
        <f>IFERROR(INDEX(MAI!$AY$8:$AY$73,MATCH($A12,MAI!$A$8:$A$73,0)),"")</f>
        <v/>
      </c>
      <c r="H12" s="150">
        <f>IFERROR(INDEX(JUN!$AY$8:$AY$73,MATCH($A12,JUN!$A$8:$A$73,0)),"")</f>
        <v/>
      </c>
      <c r="I12" s="150">
        <f>IFERROR(INDEX(JUL!$AY$8:$AY$73,MATCH($A12,JUL!$A$8:$A$73,0)),"")</f>
        <v/>
      </c>
      <c r="J12" s="150">
        <f>IFERROR(INDEX(AGO!$AY$8:$AY$73,MATCH($A12,AGO!$A$8:$A$73,0)),"")</f>
        <v/>
      </c>
      <c r="K12" s="150">
        <f>IFERROR(INDEX(SET!$AY$8:$AY$73,MATCH($A12,SET!$A$8:$A$73,0)),"")</f>
        <v/>
      </c>
      <c r="L12" s="150">
        <f>IFERROR(INDEX(OUT!$AY$8:$AY$73,MATCH($A12,OUT!$A$8:$A$73,0)),"")</f>
        <v/>
      </c>
      <c r="M12" s="150">
        <f>IFERROR(INDEX(NOV!$AY$8:$AY$73,MATCH($A12,NOV!$A$8:$A$73,0)),"")</f>
        <v/>
      </c>
      <c r="N12" s="150">
        <f>IFERROR(INDEX(DEZ!$AY$8:$AY$73,MATCH($A12,DEZ!$A$8:$A$73,0)),"")</f>
        <v/>
      </c>
      <c r="O12" s="151">
        <f>SUM(C12:N12)</f>
        <v/>
      </c>
      <c r="P12" s="39" t="n"/>
      <c r="Q12" s="150">
        <f>IFERROR(INDEX(JAN!$AU$8:$AU$73,MATCH($A12,JAN!$A$8:$A$73,0)),"")</f>
        <v/>
      </c>
      <c r="R12" s="150">
        <f>IFERROR(INDEX(FEV!$AU$8:$AU$73,MATCH($A12,FEV!$A$8:$A$73,0)),"")</f>
        <v/>
      </c>
      <c r="S12" s="150">
        <f>IFERROR(INDEX(MAR!$AU$8:$AU$73,MATCH($A12,MAR!$A$8:$A$73,0)),"")</f>
        <v/>
      </c>
      <c r="T12" s="150">
        <f>IFERROR(INDEX(ABR!$AU$8:$AU$73,MATCH($A12,ABR!$A$8:$A$73,0)),"")</f>
        <v/>
      </c>
      <c r="U12" s="150">
        <f>IFERROR(INDEX(MAI!$AU$8:$AU$73,MATCH($A12,MAI!$A$8:$A$73,0)),"")</f>
        <v/>
      </c>
      <c r="V12" s="150">
        <f>IFERROR(INDEX(JUN!$AU$8:$AU$73,MATCH($A12,JUN!$A$8:$A$73,0)),"")</f>
        <v/>
      </c>
      <c r="W12" s="150">
        <f>IFERROR(INDEX(JUL!$AU$8:$AU$73,MATCH($A12,JUL!$A$8:$A$73,0)),"")</f>
        <v/>
      </c>
      <c r="X12" s="150">
        <f>IFERROR(INDEX(AGO!$AU$8:$AU$73,MATCH($A12,AGO!$A$8:$A$73,0)),"")</f>
        <v/>
      </c>
      <c r="Y12" s="150">
        <f>IFERROR(INDEX(SET!$AU$8:$AU$73,MATCH($A12,SET!$A$8:$A$73,0)),"")</f>
        <v/>
      </c>
      <c r="Z12" s="150">
        <f>IFERROR(INDEX(OUT!$AU$8:$AU$73,MATCH($A12,OUT!$A$8:$A$73,0)),"")</f>
        <v/>
      </c>
      <c r="AA12" s="150">
        <f>IFERROR(INDEX(NOV!$AU$8:$AU$73,MATCH($A12,NOV!$A$8:$A$73,0)),"")</f>
        <v/>
      </c>
      <c r="AB12" s="150">
        <f>IFERROR(INDEX(DEZ!$AU$8:$AU$73,MATCH($A12,DEZ!$A$8:$A$73,0)),"")</f>
        <v/>
      </c>
      <c r="AC12" s="151">
        <f>SUM(Q12:AB12)</f>
        <v/>
      </c>
      <c r="AD12" s="39" t="n"/>
      <c r="AE12" s="150">
        <f>IFERROR(INDEX(JAN!$AV$8:$AV$73,MATCH($A12,JAN!$A$8:$A$73,0)),"")</f>
        <v/>
      </c>
      <c r="AF12" s="150">
        <f>IFERROR(INDEX(FEV!$AV$8:$AV$73,MATCH($A12,FEV!$A$8:$A$73,0)),"")</f>
        <v/>
      </c>
      <c r="AG12" s="150">
        <f>IFERROR(INDEX(MAR!$AV$8:$AV$73,MATCH($A12,MAR!$A$8:$A$73,0)),"")</f>
        <v/>
      </c>
      <c r="AH12" s="150">
        <f>IFERROR(INDEX(ABR!$AV$8:$AV$73,MATCH($A12,ABR!$A$8:$A$73,0)),"")</f>
        <v/>
      </c>
      <c r="AI12" s="150">
        <f>IFERROR(INDEX(MAI!$AV$8:$AV$73,MATCH($A12,MAI!$A$8:$A$73,0)),"")</f>
        <v/>
      </c>
      <c r="AJ12" s="150">
        <f>IFERROR(INDEX(JUN!$AV$8:$AV$73,MATCH($A12,JUN!$A$8:$A$73,0)),"")</f>
        <v/>
      </c>
      <c r="AK12" s="150">
        <f>IFERROR(INDEX(JUL!$AV$8:$AV$73,MATCH($A12,JUL!$A$8:$A$73,0)),"")</f>
        <v/>
      </c>
      <c r="AL12" s="150">
        <f>IFERROR(INDEX(AGO!$AV$8:$AV$73,MATCH($A12,AGO!$A$8:$A$73,0)),"")</f>
        <v/>
      </c>
      <c r="AM12" s="150">
        <f>IFERROR(INDEX(SET!$AV$8:$AV$73,MATCH($A12,SET!$A$8:$A$73,0)),"")</f>
        <v/>
      </c>
      <c r="AN12" s="150">
        <f>IFERROR(INDEX(OUT!$AV$8:$AV$73,MATCH($A12,OUT!$A$8:$A$73,0)),"")</f>
        <v/>
      </c>
      <c r="AO12" s="150">
        <f>IFERROR(INDEX(NOV!$AV$8:$AV$73,MATCH($A12,NOV!$A$8:$A$73,0)),"")</f>
        <v/>
      </c>
      <c r="AP12" s="150">
        <f>IFERROR(INDEX(DEZ!$AV$8:$AV$73,MATCH($A12,DEZ!$A$8:$A$73,0)),"")</f>
        <v/>
      </c>
      <c r="AQ12" s="151">
        <f>SUM(AE12:AP12)</f>
        <v/>
      </c>
      <c r="AR12" s="39" t="n"/>
      <c r="AS12" s="150">
        <f>IFERROR(INDEX(JAN!$AW$8:$AW$73,MATCH($A12,JAN!$A$8:$A$73,0)),"")</f>
        <v/>
      </c>
      <c r="AT12" s="150">
        <f>IFERROR(INDEX(FEV!$AW$8:$AW$73,MATCH($A12,FEV!$A$8:$A$73,0)),"")</f>
        <v/>
      </c>
      <c r="AU12" s="150">
        <f>IFERROR(INDEX(MAR!$AW$8:$AW$73,MATCH($A12,MAR!$A$8:$A$73,0)),"")</f>
        <v/>
      </c>
      <c r="AV12" s="150">
        <f>IFERROR(INDEX(ABR!$AW$8:$AW$73,MATCH($A12,ABR!$A$8:$A$73,0)),"")</f>
        <v/>
      </c>
      <c r="AW12" s="150">
        <f>IFERROR(INDEX(MAI!$AW$8:$AW$73,MATCH($A12,MAI!$A$8:$A$73,0)),"")</f>
        <v/>
      </c>
      <c r="AX12" s="150">
        <f>IFERROR(INDEX(JUN!$AW$8:$AW$73,MATCH($A12,JUN!$A$8:$A$73,0)),"")</f>
        <v/>
      </c>
      <c r="AY12" s="150">
        <f>IFERROR(INDEX(JUL!$AW$8:$AW$73,MATCH($A12,JUL!$A$8:$A$73,0)),"")</f>
        <v/>
      </c>
      <c r="AZ12" s="150">
        <f>IFERROR(INDEX(AGO!$AW$8:$AW$73,MATCH($A12,AGO!$A$8:$A$73,0)),"")</f>
        <v/>
      </c>
      <c r="BA12" s="150">
        <f>IFERROR(INDEX(SET!$AW$8:$AW$73,MATCH($A12,SET!$A$8:$A$73,0)),"")</f>
        <v/>
      </c>
      <c r="BB12" s="150">
        <f>IFERROR(INDEX(OUT!$AW$8:$AW$73,MATCH($A12,OUT!$A$8:$A$73,0)),"")</f>
        <v/>
      </c>
      <c r="BC12" s="150">
        <f>IFERROR(INDEX(NOV!$AW$8:$AW$73,MATCH($A12,NOV!$A$8:$A$73,0)),"")</f>
        <v/>
      </c>
      <c r="BD12" s="150">
        <f>IFERROR(INDEX(DEZ!$AW$8:$AW$73,MATCH($A12,DEZ!$A$8:$A$73,0)),"")</f>
        <v/>
      </c>
      <c r="BE12" s="151">
        <f>SUM(AS12:BD12)</f>
        <v/>
      </c>
      <c r="BF12" s="39" t="n"/>
      <c r="BG12" s="102" t="n">
        <v>0</v>
      </c>
      <c r="BH12" s="120">
        <f>SUM(AE12:AP12)</f>
        <v/>
      </c>
      <c r="BI12" s="152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3">
        <f>CADASTRO!$C9</f>
        <v/>
      </c>
      <c r="C13" s="150">
        <f>IFERROR(INDEX(JAN!$AY$8:$AY$73,MATCH($A13,JAN!$A$8:$A$73,0)),"")</f>
        <v/>
      </c>
      <c r="D13" s="150">
        <f>IFERROR(INDEX(FEV!$AY$8:$AY$73,MATCH($A13,FEV!$A$8:$A$73,0)),"")</f>
        <v/>
      </c>
      <c r="E13" s="150">
        <f>IFERROR(INDEX(MAR!$AY$8:$AY$73,MATCH($A13,MAR!$A$8:$A$73,0)),"")</f>
        <v/>
      </c>
      <c r="F13" s="150">
        <f>IFERROR(INDEX(ABR!$AY$8:$AY$73,MATCH($A13,ABR!$A$8:$A$73,0)),"")</f>
        <v/>
      </c>
      <c r="G13" s="150">
        <f>IFERROR(INDEX(MAI!$AY$8:$AY$73,MATCH($A13,MAI!$A$8:$A$73,0)),"")</f>
        <v/>
      </c>
      <c r="H13" s="150">
        <f>IFERROR(INDEX(JUN!$AY$8:$AY$73,MATCH($A13,JUN!$A$8:$A$73,0)),"")</f>
        <v/>
      </c>
      <c r="I13" s="150">
        <f>IFERROR(INDEX(JUL!$AY$8:$AY$73,MATCH($A13,JUL!$A$8:$A$73,0)),"")</f>
        <v/>
      </c>
      <c r="J13" s="150">
        <f>IFERROR(INDEX(AGO!$AY$8:$AY$73,MATCH($A13,AGO!$A$8:$A$73,0)),"")</f>
        <v/>
      </c>
      <c r="K13" s="150">
        <f>IFERROR(INDEX(SET!$AY$8:$AY$73,MATCH($A13,SET!$A$8:$A$73,0)),"")</f>
        <v/>
      </c>
      <c r="L13" s="150">
        <f>IFERROR(INDEX(OUT!$AY$8:$AY$73,MATCH($A13,OUT!$A$8:$A$73,0)),"")</f>
        <v/>
      </c>
      <c r="M13" s="150">
        <f>IFERROR(INDEX(NOV!$AY$8:$AY$73,MATCH($A13,NOV!$A$8:$A$73,0)),"")</f>
        <v/>
      </c>
      <c r="N13" s="150">
        <f>IFERROR(INDEX(DEZ!$AY$8:$AY$73,MATCH($A13,DEZ!$A$8:$A$73,0)),"")</f>
        <v/>
      </c>
      <c r="O13" s="151">
        <f>SUM(C13:N13)</f>
        <v/>
      </c>
      <c r="P13" s="39" t="n"/>
      <c r="Q13" s="150">
        <f>IFERROR(INDEX(JAN!$AU$8:$AU$73,MATCH($A13,JAN!$A$8:$A$73,0)),"")</f>
        <v/>
      </c>
      <c r="R13" s="150">
        <f>IFERROR(INDEX(FEV!$AU$8:$AU$73,MATCH($A13,FEV!$A$8:$A$73,0)),"")</f>
        <v/>
      </c>
      <c r="S13" s="150">
        <f>IFERROR(INDEX(MAR!$AU$8:$AU$73,MATCH($A13,MAR!$A$8:$A$73,0)),"")</f>
        <v/>
      </c>
      <c r="T13" s="150">
        <f>IFERROR(INDEX(ABR!$AU$8:$AU$73,MATCH($A13,ABR!$A$8:$A$73,0)),"")</f>
        <v/>
      </c>
      <c r="U13" s="150">
        <f>IFERROR(INDEX(MAI!$AU$8:$AU$73,MATCH($A13,MAI!$A$8:$A$73,0)),"")</f>
        <v/>
      </c>
      <c r="V13" s="150">
        <f>IFERROR(INDEX(JUN!$AU$8:$AU$73,MATCH($A13,JUN!$A$8:$A$73,0)),"")</f>
        <v/>
      </c>
      <c r="W13" s="150">
        <f>IFERROR(INDEX(JUL!$AU$8:$AU$73,MATCH($A13,JUL!$A$8:$A$73,0)),"")</f>
        <v/>
      </c>
      <c r="X13" s="150">
        <f>IFERROR(INDEX(AGO!$AU$8:$AU$73,MATCH($A13,AGO!$A$8:$A$73,0)),"")</f>
        <v/>
      </c>
      <c r="Y13" s="150">
        <f>IFERROR(INDEX(SET!$AU$8:$AU$73,MATCH($A13,SET!$A$8:$A$73,0)),"")</f>
        <v/>
      </c>
      <c r="Z13" s="150">
        <f>IFERROR(INDEX(OUT!$AU$8:$AU$73,MATCH($A13,OUT!$A$8:$A$73,0)),"")</f>
        <v/>
      </c>
      <c r="AA13" s="150">
        <f>IFERROR(INDEX(NOV!$AU$8:$AU$73,MATCH($A13,NOV!$A$8:$A$73,0)),"")</f>
        <v/>
      </c>
      <c r="AB13" s="150">
        <f>IFERROR(INDEX(DEZ!$AU$8:$AU$73,MATCH($A13,DEZ!$A$8:$A$73,0)),"")</f>
        <v/>
      </c>
      <c r="AC13" s="151">
        <f>SUM(Q13:AB13)</f>
        <v/>
      </c>
      <c r="AD13" s="39" t="n"/>
      <c r="AE13" s="150">
        <f>IFERROR(INDEX(JAN!$AV$8:$AV$73,MATCH($A13,JAN!$A$8:$A$73,0)),"")</f>
        <v/>
      </c>
      <c r="AF13" s="150">
        <f>IFERROR(INDEX(FEV!$AV$8:$AV$73,MATCH($A13,FEV!$A$8:$A$73,0)),"")</f>
        <v/>
      </c>
      <c r="AG13" s="150">
        <f>IFERROR(INDEX(MAR!$AV$8:$AV$73,MATCH($A13,MAR!$A$8:$A$73,0)),"")</f>
        <v/>
      </c>
      <c r="AH13" s="150">
        <f>IFERROR(INDEX(ABR!$AV$8:$AV$73,MATCH($A13,ABR!$A$8:$A$73,0)),"")</f>
        <v/>
      </c>
      <c r="AI13" s="150">
        <f>IFERROR(INDEX(MAI!$AV$8:$AV$73,MATCH($A13,MAI!$A$8:$A$73,0)),"")</f>
        <v/>
      </c>
      <c r="AJ13" s="150">
        <f>IFERROR(INDEX(JUN!$AV$8:$AV$73,MATCH($A13,JUN!$A$8:$A$73,0)),"")</f>
        <v/>
      </c>
      <c r="AK13" s="150">
        <f>IFERROR(INDEX(JUL!$AV$8:$AV$73,MATCH($A13,JUL!$A$8:$A$73,0)),"")</f>
        <v/>
      </c>
      <c r="AL13" s="150">
        <f>IFERROR(INDEX(AGO!$AV$8:$AV$73,MATCH($A13,AGO!$A$8:$A$73,0)),"")</f>
        <v/>
      </c>
      <c r="AM13" s="150">
        <f>IFERROR(INDEX(SET!$AV$8:$AV$73,MATCH($A13,SET!$A$8:$A$73,0)),"")</f>
        <v/>
      </c>
      <c r="AN13" s="150">
        <f>IFERROR(INDEX(OUT!$AV$8:$AV$73,MATCH($A13,OUT!$A$8:$A$73,0)),"")</f>
        <v/>
      </c>
      <c r="AO13" s="150">
        <f>IFERROR(INDEX(NOV!$AV$8:$AV$73,MATCH($A13,NOV!$A$8:$A$73,0)),"")</f>
        <v/>
      </c>
      <c r="AP13" s="150">
        <f>IFERROR(INDEX(DEZ!$AV$8:$AV$73,MATCH($A13,DEZ!$A$8:$A$73,0)),"")</f>
        <v/>
      </c>
      <c r="AQ13" s="151">
        <f>SUM(AE13:AP13)</f>
        <v/>
      </c>
      <c r="AR13" s="39" t="n"/>
      <c r="AS13" s="150">
        <f>IFERROR(INDEX(JAN!$AW$8:$AW$73,MATCH($A13,JAN!$A$8:$A$73,0)),"")</f>
        <v/>
      </c>
      <c r="AT13" s="150">
        <f>IFERROR(INDEX(FEV!$AW$8:$AW$73,MATCH($A13,FEV!$A$8:$A$73,0)),"")</f>
        <v/>
      </c>
      <c r="AU13" s="150">
        <f>IFERROR(INDEX(MAR!$AW$8:$AW$73,MATCH($A13,MAR!$A$8:$A$73,0)),"")</f>
        <v/>
      </c>
      <c r="AV13" s="150">
        <f>IFERROR(INDEX(ABR!$AW$8:$AW$73,MATCH($A13,ABR!$A$8:$A$73,0)),"")</f>
        <v/>
      </c>
      <c r="AW13" s="150">
        <f>IFERROR(INDEX(MAI!$AW$8:$AW$73,MATCH($A13,MAI!$A$8:$A$73,0)),"")</f>
        <v/>
      </c>
      <c r="AX13" s="150">
        <f>IFERROR(INDEX(JUN!$AW$8:$AW$73,MATCH($A13,JUN!$A$8:$A$73,0)),"")</f>
        <v/>
      </c>
      <c r="AY13" s="150">
        <f>IFERROR(INDEX(JUL!$AW$8:$AW$73,MATCH($A13,JUL!$A$8:$A$73,0)),"")</f>
        <v/>
      </c>
      <c r="AZ13" s="150">
        <f>IFERROR(INDEX(AGO!$AW$8:$AW$73,MATCH($A13,AGO!$A$8:$A$73,0)),"")</f>
        <v/>
      </c>
      <c r="BA13" s="150">
        <f>IFERROR(INDEX(SET!$AW$8:$AW$73,MATCH($A13,SET!$A$8:$A$73,0)),"")</f>
        <v/>
      </c>
      <c r="BB13" s="150">
        <f>IFERROR(INDEX(OUT!$AW$8:$AW$73,MATCH($A13,OUT!$A$8:$A$73,0)),"")</f>
        <v/>
      </c>
      <c r="BC13" s="150">
        <f>IFERROR(INDEX(NOV!$AW$8:$AW$73,MATCH($A13,NOV!$A$8:$A$73,0)),"")</f>
        <v/>
      </c>
      <c r="BD13" s="150">
        <f>IFERROR(INDEX(DEZ!$AW$8:$AW$73,MATCH($A13,DEZ!$A$8:$A$73,0)),"")</f>
        <v/>
      </c>
      <c r="BE13" s="151">
        <f>SUM(AS13:BD13)</f>
        <v/>
      </c>
      <c r="BF13" s="39" t="n"/>
      <c r="BG13" s="102" t="n">
        <v>0</v>
      </c>
      <c r="BH13" s="120">
        <f>SUM(AE13:AP13)</f>
        <v/>
      </c>
      <c r="BI13" s="152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3">
        <f>CADASTRO!$C10</f>
        <v/>
      </c>
      <c r="C14" s="150">
        <f>IFERROR(INDEX(JAN!$AY$8:$AY$73,MATCH($A14,JAN!$A$8:$A$73,0)),"")</f>
        <v/>
      </c>
      <c r="D14" s="150">
        <f>IFERROR(INDEX(FEV!$AY$8:$AY$73,MATCH($A14,FEV!$A$8:$A$73,0)),"")</f>
        <v/>
      </c>
      <c r="E14" s="150">
        <f>IFERROR(INDEX(MAR!$AY$8:$AY$73,MATCH($A14,MAR!$A$8:$A$73,0)),"")</f>
        <v/>
      </c>
      <c r="F14" s="150">
        <f>IFERROR(INDEX(ABR!$AY$8:$AY$73,MATCH($A14,ABR!$A$8:$A$73,0)),"")</f>
        <v/>
      </c>
      <c r="G14" s="150">
        <f>IFERROR(INDEX(MAI!$AY$8:$AY$73,MATCH($A14,MAI!$A$8:$A$73,0)),"")</f>
        <v/>
      </c>
      <c r="H14" s="150">
        <f>IFERROR(INDEX(JUN!$AY$8:$AY$73,MATCH($A14,JUN!$A$8:$A$73,0)),"")</f>
        <v/>
      </c>
      <c r="I14" s="150">
        <f>IFERROR(INDEX(JUL!$AY$8:$AY$73,MATCH($A14,JUL!$A$8:$A$73,0)),"")</f>
        <v/>
      </c>
      <c r="J14" s="150">
        <f>IFERROR(INDEX(AGO!$AY$8:$AY$73,MATCH($A14,AGO!$A$8:$A$73,0)),"")</f>
        <v/>
      </c>
      <c r="K14" s="150">
        <f>IFERROR(INDEX(SET!$AY$8:$AY$73,MATCH($A14,SET!$A$8:$A$73,0)),"")</f>
        <v/>
      </c>
      <c r="L14" s="150">
        <f>IFERROR(INDEX(OUT!$AY$8:$AY$73,MATCH($A14,OUT!$A$8:$A$73,0)),"")</f>
        <v/>
      </c>
      <c r="M14" s="150">
        <f>IFERROR(INDEX(NOV!$AY$8:$AY$73,MATCH($A14,NOV!$A$8:$A$73,0)),"")</f>
        <v/>
      </c>
      <c r="N14" s="150">
        <f>IFERROR(INDEX(DEZ!$AY$8:$AY$73,MATCH($A14,DEZ!$A$8:$A$73,0)),"")</f>
        <v/>
      </c>
      <c r="O14" s="151">
        <f>SUM(C14:N14)</f>
        <v/>
      </c>
      <c r="P14" s="39" t="n"/>
      <c r="Q14" s="150">
        <f>IFERROR(INDEX(JAN!$AU$8:$AU$73,MATCH($A14,JAN!$A$8:$A$73,0)),"")</f>
        <v/>
      </c>
      <c r="R14" s="150">
        <f>IFERROR(INDEX(FEV!$AU$8:$AU$73,MATCH($A14,FEV!$A$8:$A$73,0)),"")</f>
        <v/>
      </c>
      <c r="S14" s="150">
        <f>IFERROR(INDEX(MAR!$AU$8:$AU$73,MATCH($A14,MAR!$A$8:$A$73,0)),"")</f>
        <v/>
      </c>
      <c r="T14" s="150">
        <f>IFERROR(INDEX(ABR!$AU$8:$AU$73,MATCH($A14,ABR!$A$8:$A$73,0)),"")</f>
        <v/>
      </c>
      <c r="U14" s="150">
        <f>IFERROR(INDEX(MAI!$AU$8:$AU$73,MATCH($A14,MAI!$A$8:$A$73,0)),"")</f>
        <v/>
      </c>
      <c r="V14" s="150">
        <f>IFERROR(INDEX(JUN!$AU$8:$AU$73,MATCH($A14,JUN!$A$8:$A$73,0)),"")</f>
        <v/>
      </c>
      <c r="W14" s="150">
        <f>IFERROR(INDEX(JUL!$AU$8:$AU$73,MATCH($A14,JUL!$A$8:$A$73,0)),"")</f>
        <v/>
      </c>
      <c r="X14" s="150">
        <f>IFERROR(INDEX(AGO!$AU$8:$AU$73,MATCH($A14,AGO!$A$8:$A$73,0)),"")</f>
        <v/>
      </c>
      <c r="Y14" s="150">
        <f>IFERROR(INDEX(SET!$AU$8:$AU$73,MATCH($A14,SET!$A$8:$A$73,0)),"")</f>
        <v/>
      </c>
      <c r="Z14" s="150">
        <f>IFERROR(INDEX(OUT!$AU$8:$AU$73,MATCH($A14,OUT!$A$8:$A$73,0)),"")</f>
        <v/>
      </c>
      <c r="AA14" s="150">
        <f>IFERROR(INDEX(NOV!$AU$8:$AU$73,MATCH($A14,NOV!$A$8:$A$73,0)),"")</f>
        <v/>
      </c>
      <c r="AB14" s="150">
        <f>IFERROR(INDEX(DEZ!$AU$8:$AU$73,MATCH($A14,DEZ!$A$8:$A$73,0)),"")</f>
        <v/>
      </c>
      <c r="AC14" s="151">
        <f>SUM(Q14:AB14)</f>
        <v/>
      </c>
      <c r="AD14" s="39" t="n"/>
      <c r="AE14" s="150">
        <f>IFERROR(INDEX(JAN!$AV$8:$AV$73,MATCH($A14,JAN!$A$8:$A$73,0)),"")</f>
        <v/>
      </c>
      <c r="AF14" s="150">
        <f>IFERROR(INDEX(FEV!$AV$8:$AV$73,MATCH($A14,FEV!$A$8:$A$73,0)),"")</f>
        <v/>
      </c>
      <c r="AG14" s="150">
        <f>IFERROR(INDEX(MAR!$AV$8:$AV$73,MATCH($A14,MAR!$A$8:$A$73,0)),"")</f>
        <v/>
      </c>
      <c r="AH14" s="150">
        <f>IFERROR(INDEX(ABR!$AV$8:$AV$73,MATCH($A14,ABR!$A$8:$A$73,0)),"")</f>
        <v/>
      </c>
      <c r="AI14" s="150">
        <f>IFERROR(INDEX(MAI!$AV$8:$AV$73,MATCH($A14,MAI!$A$8:$A$73,0)),"")</f>
        <v/>
      </c>
      <c r="AJ14" s="150">
        <f>IFERROR(INDEX(JUN!$AV$8:$AV$73,MATCH($A14,JUN!$A$8:$A$73,0)),"")</f>
        <v/>
      </c>
      <c r="AK14" s="150">
        <f>IFERROR(INDEX(JUL!$AV$8:$AV$73,MATCH($A14,JUL!$A$8:$A$73,0)),"")</f>
        <v/>
      </c>
      <c r="AL14" s="150">
        <f>IFERROR(INDEX(AGO!$AV$8:$AV$73,MATCH($A14,AGO!$A$8:$A$73,0)),"")</f>
        <v/>
      </c>
      <c r="AM14" s="150">
        <f>IFERROR(INDEX(SET!$AV$8:$AV$73,MATCH($A14,SET!$A$8:$A$73,0)),"")</f>
        <v/>
      </c>
      <c r="AN14" s="150">
        <f>IFERROR(INDEX(OUT!$AV$8:$AV$73,MATCH($A14,OUT!$A$8:$A$73,0)),"")</f>
        <v/>
      </c>
      <c r="AO14" s="150">
        <f>IFERROR(INDEX(NOV!$AV$8:$AV$73,MATCH($A14,NOV!$A$8:$A$73,0)),"")</f>
        <v/>
      </c>
      <c r="AP14" s="150">
        <f>IFERROR(INDEX(DEZ!$AV$8:$AV$73,MATCH($A14,DEZ!$A$8:$A$73,0)),"")</f>
        <v/>
      </c>
      <c r="AQ14" s="151">
        <f>SUM(AE14:AP14)</f>
        <v/>
      </c>
      <c r="AR14" s="39" t="n"/>
      <c r="AS14" s="150">
        <f>IFERROR(INDEX(JAN!$AW$8:$AW$73,MATCH($A14,JAN!$A$8:$A$73,0)),"")</f>
        <v/>
      </c>
      <c r="AT14" s="150">
        <f>IFERROR(INDEX(FEV!$AW$8:$AW$73,MATCH($A14,FEV!$A$8:$A$73,0)),"")</f>
        <v/>
      </c>
      <c r="AU14" s="150">
        <f>IFERROR(INDEX(MAR!$AW$8:$AW$73,MATCH($A14,MAR!$A$8:$A$73,0)),"")</f>
        <v/>
      </c>
      <c r="AV14" s="150">
        <f>IFERROR(INDEX(ABR!$AW$8:$AW$73,MATCH($A14,ABR!$A$8:$A$73,0)),"")</f>
        <v/>
      </c>
      <c r="AW14" s="150">
        <f>IFERROR(INDEX(MAI!$AW$8:$AW$73,MATCH($A14,MAI!$A$8:$A$73,0)),"")</f>
        <v/>
      </c>
      <c r="AX14" s="150">
        <f>IFERROR(INDEX(JUN!$AW$8:$AW$73,MATCH($A14,JUN!$A$8:$A$73,0)),"")</f>
        <v/>
      </c>
      <c r="AY14" s="150">
        <f>IFERROR(INDEX(JUL!$AW$8:$AW$73,MATCH($A14,JUL!$A$8:$A$73,0)),"")</f>
        <v/>
      </c>
      <c r="AZ14" s="150">
        <f>IFERROR(INDEX(AGO!$AW$8:$AW$73,MATCH($A14,AGO!$A$8:$A$73,0)),"")</f>
        <v/>
      </c>
      <c r="BA14" s="150">
        <f>IFERROR(INDEX(SET!$AW$8:$AW$73,MATCH($A14,SET!$A$8:$A$73,0)),"")</f>
        <v/>
      </c>
      <c r="BB14" s="150">
        <f>IFERROR(INDEX(OUT!$AW$8:$AW$73,MATCH($A14,OUT!$A$8:$A$73,0)),"")</f>
        <v/>
      </c>
      <c r="BC14" s="150">
        <f>IFERROR(INDEX(NOV!$AW$8:$AW$73,MATCH($A14,NOV!$A$8:$A$73,0)),"")</f>
        <v/>
      </c>
      <c r="BD14" s="150">
        <f>IFERROR(INDEX(DEZ!$AW$8:$AW$73,MATCH($A14,DEZ!$A$8:$A$73,0)),"")</f>
        <v/>
      </c>
      <c r="BE14" s="151">
        <f>SUM(AS14:BD14)</f>
        <v/>
      </c>
      <c r="BF14" s="39" t="n"/>
      <c r="BG14" s="102" t="n">
        <v>3</v>
      </c>
      <c r="BH14" s="120">
        <f>SUM(AE14:AP14)</f>
        <v/>
      </c>
      <c r="BI14" s="152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3">
        <f>CADASTRO!$C11</f>
        <v/>
      </c>
      <c r="C15" s="150">
        <f>IFERROR(INDEX(JAN!$AY$8:$AY$73,MATCH($A15,JAN!$A$8:$A$73,0)),"")</f>
        <v/>
      </c>
      <c r="D15" s="150">
        <f>IFERROR(INDEX(FEV!$AY$8:$AY$73,MATCH($A15,FEV!$A$8:$A$73,0)),"")</f>
        <v/>
      </c>
      <c r="E15" s="150">
        <f>IFERROR(INDEX(MAR!$AY$8:$AY$73,MATCH($A15,MAR!$A$8:$A$73,0)),"")</f>
        <v/>
      </c>
      <c r="F15" s="150">
        <f>IFERROR(INDEX(ABR!$AY$8:$AY$73,MATCH($A15,ABR!$A$8:$A$73,0)),"")</f>
        <v/>
      </c>
      <c r="G15" s="150">
        <f>IFERROR(INDEX(MAI!$AY$8:$AY$73,MATCH($A15,MAI!$A$8:$A$73,0)),"")</f>
        <v/>
      </c>
      <c r="H15" s="150">
        <f>IFERROR(INDEX(JUN!$AY$8:$AY$73,MATCH($A15,JUN!$A$8:$A$73,0)),"")</f>
        <v/>
      </c>
      <c r="I15" s="150">
        <f>IFERROR(INDEX(JUL!$AY$8:$AY$73,MATCH($A15,JUL!$A$8:$A$73,0)),"")</f>
        <v/>
      </c>
      <c r="J15" s="150">
        <f>IFERROR(INDEX(AGO!$AY$8:$AY$73,MATCH($A15,AGO!$A$8:$A$73,0)),"")</f>
        <v/>
      </c>
      <c r="K15" s="150">
        <f>IFERROR(INDEX(SET!$AY$8:$AY$73,MATCH($A15,SET!$A$8:$A$73,0)),"")</f>
        <v/>
      </c>
      <c r="L15" s="150">
        <f>IFERROR(INDEX(OUT!$AY$8:$AY$73,MATCH($A15,OUT!$A$8:$A$73,0)),"")</f>
        <v/>
      </c>
      <c r="M15" s="150">
        <f>IFERROR(INDEX(NOV!$AY$8:$AY$73,MATCH($A15,NOV!$A$8:$A$73,0)),"")</f>
        <v/>
      </c>
      <c r="N15" s="150">
        <f>IFERROR(INDEX(DEZ!$AY$8:$AY$73,MATCH($A15,DEZ!$A$8:$A$73,0)),"")</f>
        <v/>
      </c>
      <c r="O15" s="151">
        <f>SUM(C15:N15)</f>
        <v/>
      </c>
      <c r="P15" s="39" t="n"/>
      <c r="Q15" s="150">
        <f>IFERROR(INDEX(JAN!$AU$8:$AU$73,MATCH($A15,JAN!$A$8:$A$73,0)),"")</f>
        <v/>
      </c>
      <c r="R15" s="150">
        <f>IFERROR(INDEX(FEV!$AU$8:$AU$73,MATCH($A15,FEV!$A$8:$A$73,0)),"")</f>
        <v/>
      </c>
      <c r="S15" s="150">
        <f>IFERROR(INDEX(MAR!$AU$8:$AU$73,MATCH($A15,MAR!$A$8:$A$73,0)),"")</f>
        <v/>
      </c>
      <c r="T15" s="150">
        <f>IFERROR(INDEX(ABR!$AU$8:$AU$73,MATCH($A15,ABR!$A$8:$A$73,0)),"")</f>
        <v/>
      </c>
      <c r="U15" s="150">
        <f>IFERROR(INDEX(MAI!$AU$8:$AU$73,MATCH($A15,MAI!$A$8:$A$73,0)),"")</f>
        <v/>
      </c>
      <c r="V15" s="150">
        <f>IFERROR(INDEX(JUN!$AU$8:$AU$73,MATCH($A15,JUN!$A$8:$A$73,0)),"")</f>
        <v/>
      </c>
      <c r="W15" s="150">
        <f>IFERROR(INDEX(JUL!$AU$8:$AU$73,MATCH($A15,JUL!$A$8:$A$73,0)),"")</f>
        <v/>
      </c>
      <c r="X15" s="150">
        <f>IFERROR(INDEX(AGO!$AU$8:$AU$73,MATCH($A15,AGO!$A$8:$A$73,0)),"")</f>
        <v/>
      </c>
      <c r="Y15" s="150">
        <f>IFERROR(INDEX(SET!$AU$8:$AU$73,MATCH($A15,SET!$A$8:$A$73,0)),"")</f>
        <v/>
      </c>
      <c r="Z15" s="150">
        <f>IFERROR(INDEX(OUT!$AU$8:$AU$73,MATCH($A15,OUT!$A$8:$A$73,0)),"")</f>
        <v/>
      </c>
      <c r="AA15" s="150">
        <f>IFERROR(INDEX(NOV!$AU$8:$AU$73,MATCH($A15,NOV!$A$8:$A$73,0)),"")</f>
        <v/>
      </c>
      <c r="AB15" s="150">
        <f>IFERROR(INDEX(DEZ!$AU$8:$AU$73,MATCH($A15,DEZ!$A$8:$A$73,0)),"")</f>
        <v/>
      </c>
      <c r="AC15" s="151">
        <f>SUM(Q15:AB15)</f>
        <v/>
      </c>
      <c r="AD15" s="39" t="n"/>
      <c r="AE15" s="150">
        <f>IFERROR(INDEX(JAN!$AV$8:$AV$73,MATCH($A15,JAN!$A$8:$A$73,0)),"")</f>
        <v/>
      </c>
      <c r="AF15" s="150">
        <f>IFERROR(INDEX(FEV!$AV$8:$AV$73,MATCH($A15,FEV!$A$8:$A$73,0)),"")</f>
        <v/>
      </c>
      <c r="AG15" s="150">
        <f>IFERROR(INDEX(MAR!$AV$8:$AV$73,MATCH($A15,MAR!$A$8:$A$73,0)),"")</f>
        <v/>
      </c>
      <c r="AH15" s="150">
        <f>IFERROR(INDEX(ABR!$AV$8:$AV$73,MATCH($A15,ABR!$A$8:$A$73,0)),"")</f>
        <v/>
      </c>
      <c r="AI15" s="150">
        <f>IFERROR(INDEX(MAI!$AV$8:$AV$73,MATCH($A15,MAI!$A$8:$A$73,0)),"")</f>
        <v/>
      </c>
      <c r="AJ15" s="150">
        <f>IFERROR(INDEX(JUN!$AV$8:$AV$73,MATCH($A15,JUN!$A$8:$A$73,0)),"")</f>
        <v/>
      </c>
      <c r="AK15" s="150">
        <f>IFERROR(INDEX(JUL!$AV$8:$AV$73,MATCH($A15,JUL!$A$8:$A$73,0)),"")</f>
        <v/>
      </c>
      <c r="AL15" s="150">
        <f>IFERROR(INDEX(AGO!$AV$8:$AV$73,MATCH($A15,AGO!$A$8:$A$73,0)),"")</f>
        <v/>
      </c>
      <c r="AM15" s="150">
        <f>IFERROR(INDEX(SET!$AV$8:$AV$73,MATCH($A15,SET!$A$8:$A$73,0)),"")</f>
        <v/>
      </c>
      <c r="AN15" s="150">
        <f>IFERROR(INDEX(OUT!$AV$8:$AV$73,MATCH($A15,OUT!$A$8:$A$73,0)),"")</f>
        <v/>
      </c>
      <c r="AO15" s="150">
        <f>IFERROR(INDEX(NOV!$AV$8:$AV$73,MATCH($A15,NOV!$A$8:$A$73,0)),"")</f>
        <v/>
      </c>
      <c r="AP15" s="150">
        <f>IFERROR(INDEX(DEZ!$AV$8:$AV$73,MATCH($A15,DEZ!$A$8:$A$73,0)),"")</f>
        <v/>
      </c>
      <c r="AQ15" s="151">
        <f>SUM(AE15:AP15)</f>
        <v/>
      </c>
      <c r="AR15" s="39" t="n"/>
      <c r="AS15" s="150">
        <f>IFERROR(INDEX(JAN!$AW$8:$AW$73,MATCH($A15,JAN!$A$8:$A$73,0)),"")</f>
        <v/>
      </c>
      <c r="AT15" s="150">
        <f>IFERROR(INDEX(FEV!$AW$8:$AW$73,MATCH($A15,FEV!$A$8:$A$73,0)),"")</f>
        <v/>
      </c>
      <c r="AU15" s="150">
        <f>IFERROR(INDEX(MAR!$AW$8:$AW$73,MATCH($A15,MAR!$A$8:$A$73,0)),"")</f>
        <v/>
      </c>
      <c r="AV15" s="150">
        <f>IFERROR(INDEX(ABR!$AW$8:$AW$73,MATCH($A15,ABR!$A$8:$A$73,0)),"")</f>
        <v/>
      </c>
      <c r="AW15" s="150">
        <f>IFERROR(INDEX(MAI!$AW$8:$AW$73,MATCH($A15,MAI!$A$8:$A$73,0)),"")</f>
        <v/>
      </c>
      <c r="AX15" s="150">
        <f>IFERROR(INDEX(JUN!$AW$8:$AW$73,MATCH($A15,JUN!$A$8:$A$73,0)),"")</f>
        <v/>
      </c>
      <c r="AY15" s="150">
        <f>IFERROR(INDEX(JUL!$AW$8:$AW$73,MATCH($A15,JUL!$A$8:$A$73,0)),"")</f>
        <v/>
      </c>
      <c r="AZ15" s="150">
        <f>IFERROR(INDEX(AGO!$AW$8:$AW$73,MATCH($A15,AGO!$A$8:$A$73,0)),"")</f>
        <v/>
      </c>
      <c r="BA15" s="150">
        <f>IFERROR(INDEX(SET!$AW$8:$AW$73,MATCH($A15,SET!$A$8:$A$73,0)),"")</f>
        <v/>
      </c>
      <c r="BB15" s="150">
        <f>IFERROR(INDEX(OUT!$AW$8:$AW$73,MATCH($A15,OUT!$A$8:$A$73,0)),"")</f>
        <v/>
      </c>
      <c r="BC15" s="150">
        <f>IFERROR(INDEX(NOV!$AW$8:$AW$73,MATCH($A15,NOV!$A$8:$A$73,0)),"")</f>
        <v/>
      </c>
      <c r="BD15" s="150">
        <f>IFERROR(INDEX(DEZ!$AW$8:$AW$73,MATCH($A15,DEZ!$A$8:$A$73,0)),"")</f>
        <v/>
      </c>
      <c r="BE15" s="151">
        <f>SUM(AS15:BD15)</f>
        <v/>
      </c>
      <c r="BF15" s="39" t="n"/>
      <c r="BG15" s="102" t="n">
        <v>0</v>
      </c>
      <c r="BH15" s="120">
        <f>SUM(AE15:AP15)</f>
        <v/>
      </c>
      <c r="BI15" s="152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3">
        <f>CADASTRO!$C12</f>
        <v/>
      </c>
      <c r="C16" s="150">
        <f>IFERROR(INDEX(JAN!$AY$8:$AY$73,MATCH($A16,JAN!$A$8:$A$73,0)),"")</f>
        <v/>
      </c>
      <c r="D16" s="150">
        <f>IFERROR(INDEX(FEV!$AY$8:$AY$73,MATCH($A16,FEV!$A$8:$A$73,0)),"")</f>
        <v/>
      </c>
      <c r="E16" s="150">
        <f>IFERROR(INDEX(MAR!$AY$8:$AY$73,MATCH($A16,MAR!$A$8:$A$73,0)),"")</f>
        <v/>
      </c>
      <c r="F16" s="150">
        <f>IFERROR(INDEX(ABR!$AY$8:$AY$73,MATCH($A16,ABR!$A$8:$A$73,0)),"")</f>
        <v/>
      </c>
      <c r="G16" s="150">
        <f>IFERROR(INDEX(MAI!$AY$8:$AY$73,MATCH($A16,MAI!$A$8:$A$73,0)),"")</f>
        <v/>
      </c>
      <c r="H16" s="150">
        <f>IFERROR(INDEX(JUN!$AY$8:$AY$73,MATCH($A16,JUN!$A$8:$A$73,0)),"")</f>
        <v/>
      </c>
      <c r="I16" s="150">
        <f>IFERROR(INDEX(JUL!$AY$8:$AY$73,MATCH($A16,JUL!$A$8:$A$73,0)),"")</f>
        <v/>
      </c>
      <c r="J16" s="150">
        <f>IFERROR(INDEX(AGO!$AY$8:$AY$73,MATCH($A16,AGO!$A$8:$A$73,0)),"")</f>
        <v/>
      </c>
      <c r="K16" s="150">
        <f>IFERROR(INDEX(SET!$AY$8:$AY$73,MATCH($A16,SET!$A$8:$A$73,0)),"")</f>
        <v/>
      </c>
      <c r="L16" s="150">
        <f>IFERROR(INDEX(OUT!$AY$8:$AY$73,MATCH($A16,OUT!$A$8:$A$73,0)),"")</f>
        <v/>
      </c>
      <c r="M16" s="150">
        <f>IFERROR(INDEX(NOV!$AY$8:$AY$73,MATCH($A16,NOV!$A$8:$A$73,0)),"")</f>
        <v/>
      </c>
      <c r="N16" s="150">
        <f>IFERROR(INDEX(DEZ!$AY$8:$AY$73,MATCH($A16,DEZ!$A$8:$A$73,0)),"")</f>
        <v/>
      </c>
      <c r="O16" s="151">
        <f>SUM(C16:N16)</f>
        <v/>
      </c>
      <c r="P16" s="39" t="n"/>
      <c r="Q16" s="150">
        <f>IFERROR(INDEX(JAN!$AU$8:$AU$73,MATCH($A16,JAN!$A$8:$A$73,0)),"")</f>
        <v/>
      </c>
      <c r="R16" s="150">
        <f>IFERROR(INDEX(FEV!$AU$8:$AU$73,MATCH($A16,FEV!$A$8:$A$73,0)),"")</f>
        <v/>
      </c>
      <c r="S16" s="150">
        <f>IFERROR(INDEX(MAR!$AU$8:$AU$73,MATCH($A16,MAR!$A$8:$A$73,0)),"")</f>
        <v/>
      </c>
      <c r="T16" s="150">
        <f>IFERROR(INDEX(ABR!$AU$8:$AU$73,MATCH($A16,ABR!$A$8:$A$73,0)),"")</f>
        <v/>
      </c>
      <c r="U16" s="150">
        <f>IFERROR(INDEX(MAI!$AU$8:$AU$73,MATCH($A16,MAI!$A$8:$A$73,0)),"")</f>
        <v/>
      </c>
      <c r="V16" s="150">
        <f>IFERROR(INDEX(JUN!$AU$8:$AU$73,MATCH($A16,JUN!$A$8:$A$73,0)),"")</f>
        <v/>
      </c>
      <c r="W16" s="150">
        <f>IFERROR(INDEX(JUL!$AU$8:$AU$73,MATCH($A16,JUL!$A$8:$A$73,0)),"")</f>
        <v/>
      </c>
      <c r="X16" s="150">
        <f>IFERROR(INDEX(AGO!$AU$8:$AU$73,MATCH($A16,AGO!$A$8:$A$73,0)),"")</f>
        <v/>
      </c>
      <c r="Y16" s="150">
        <f>IFERROR(INDEX(SET!$AU$8:$AU$73,MATCH($A16,SET!$A$8:$A$73,0)),"")</f>
        <v/>
      </c>
      <c r="Z16" s="150">
        <f>IFERROR(INDEX(OUT!$AU$8:$AU$73,MATCH($A16,OUT!$A$8:$A$73,0)),"")</f>
        <v/>
      </c>
      <c r="AA16" s="150">
        <f>IFERROR(INDEX(NOV!$AU$8:$AU$73,MATCH($A16,NOV!$A$8:$A$73,0)),"")</f>
        <v/>
      </c>
      <c r="AB16" s="150">
        <f>IFERROR(INDEX(DEZ!$AU$8:$AU$73,MATCH($A16,DEZ!$A$8:$A$73,0)),"")</f>
        <v/>
      </c>
      <c r="AC16" s="151">
        <f>SUM(Q16:AB16)</f>
        <v/>
      </c>
      <c r="AD16" s="39" t="n"/>
      <c r="AE16" s="150">
        <f>IFERROR(INDEX(JAN!$AV$8:$AV$73,MATCH($A16,JAN!$A$8:$A$73,0)),"")</f>
        <v/>
      </c>
      <c r="AF16" s="150">
        <f>IFERROR(INDEX(FEV!$AV$8:$AV$73,MATCH($A16,FEV!$A$8:$A$73,0)),"")</f>
        <v/>
      </c>
      <c r="AG16" s="150">
        <f>IFERROR(INDEX(MAR!$AV$8:$AV$73,MATCH($A16,MAR!$A$8:$A$73,0)),"")</f>
        <v/>
      </c>
      <c r="AH16" s="150">
        <f>IFERROR(INDEX(ABR!$AV$8:$AV$73,MATCH($A16,ABR!$A$8:$A$73,0)),"")</f>
        <v/>
      </c>
      <c r="AI16" s="150">
        <f>IFERROR(INDEX(MAI!$AV$8:$AV$73,MATCH($A16,MAI!$A$8:$A$73,0)),"")</f>
        <v/>
      </c>
      <c r="AJ16" s="150">
        <f>IFERROR(INDEX(JUN!$AV$8:$AV$73,MATCH($A16,JUN!$A$8:$A$73,0)),"")</f>
        <v/>
      </c>
      <c r="AK16" s="150">
        <f>IFERROR(INDEX(JUL!$AV$8:$AV$73,MATCH($A16,JUL!$A$8:$A$73,0)),"")</f>
        <v/>
      </c>
      <c r="AL16" s="150">
        <f>IFERROR(INDEX(AGO!$AV$8:$AV$73,MATCH($A16,AGO!$A$8:$A$73,0)),"")</f>
        <v/>
      </c>
      <c r="AM16" s="150">
        <f>IFERROR(INDEX(SET!$AV$8:$AV$73,MATCH($A16,SET!$A$8:$A$73,0)),"")</f>
        <v/>
      </c>
      <c r="AN16" s="150">
        <f>IFERROR(INDEX(OUT!$AV$8:$AV$73,MATCH($A16,OUT!$A$8:$A$73,0)),"")</f>
        <v/>
      </c>
      <c r="AO16" s="150">
        <f>IFERROR(INDEX(NOV!$AV$8:$AV$73,MATCH($A16,NOV!$A$8:$A$73,0)),"")</f>
        <v/>
      </c>
      <c r="AP16" s="150">
        <f>IFERROR(INDEX(DEZ!$AV$8:$AV$73,MATCH($A16,DEZ!$A$8:$A$73,0)),"")</f>
        <v/>
      </c>
      <c r="AQ16" s="151">
        <f>SUM(AE16:AP16)</f>
        <v/>
      </c>
      <c r="AR16" s="39" t="n"/>
      <c r="AS16" s="150">
        <f>IFERROR(INDEX(JAN!$AW$8:$AW$73,MATCH($A16,JAN!$A$8:$A$73,0)),"")</f>
        <v/>
      </c>
      <c r="AT16" s="150">
        <f>IFERROR(INDEX(FEV!$AW$8:$AW$73,MATCH($A16,FEV!$A$8:$A$73,0)),"")</f>
        <v/>
      </c>
      <c r="AU16" s="150">
        <f>IFERROR(INDEX(MAR!$AW$8:$AW$73,MATCH($A16,MAR!$A$8:$A$73,0)),"")</f>
        <v/>
      </c>
      <c r="AV16" s="150">
        <f>IFERROR(INDEX(ABR!$AW$8:$AW$73,MATCH($A16,ABR!$A$8:$A$73,0)),"")</f>
        <v/>
      </c>
      <c r="AW16" s="150">
        <f>IFERROR(INDEX(MAI!$AW$8:$AW$73,MATCH($A16,MAI!$A$8:$A$73,0)),"")</f>
        <v/>
      </c>
      <c r="AX16" s="150">
        <f>IFERROR(INDEX(JUN!$AW$8:$AW$73,MATCH($A16,JUN!$A$8:$A$73,0)),"")</f>
        <v/>
      </c>
      <c r="AY16" s="150">
        <f>IFERROR(INDEX(JUL!$AW$8:$AW$73,MATCH($A16,JUL!$A$8:$A$73,0)),"")</f>
        <v/>
      </c>
      <c r="AZ16" s="150">
        <f>IFERROR(INDEX(AGO!$AW$8:$AW$73,MATCH($A16,AGO!$A$8:$A$73,0)),"")</f>
        <v/>
      </c>
      <c r="BA16" s="150">
        <f>IFERROR(INDEX(SET!$AW$8:$AW$73,MATCH($A16,SET!$A$8:$A$73,0)),"")</f>
        <v/>
      </c>
      <c r="BB16" s="150">
        <f>IFERROR(INDEX(OUT!$AW$8:$AW$73,MATCH($A16,OUT!$A$8:$A$73,0)),"")</f>
        <v/>
      </c>
      <c r="BC16" s="150">
        <f>IFERROR(INDEX(NOV!$AW$8:$AW$73,MATCH($A16,NOV!$A$8:$A$73,0)),"")</f>
        <v/>
      </c>
      <c r="BD16" s="150">
        <f>IFERROR(INDEX(DEZ!$AW$8:$AW$73,MATCH($A16,DEZ!$A$8:$A$73,0)),"")</f>
        <v/>
      </c>
      <c r="BE16" s="151">
        <f>SUM(AS16:BD16)</f>
        <v/>
      </c>
      <c r="BF16" s="39" t="n"/>
      <c r="BG16" s="102" t="n">
        <v>0</v>
      </c>
      <c r="BH16" s="120">
        <f>SUM(AE16:AP16)</f>
        <v/>
      </c>
      <c r="BI16" s="152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3">
        <f>CADASTRO!$C13</f>
        <v/>
      </c>
      <c r="C17" s="150">
        <f>IFERROR(INDEX(JAN!$AY$8:$AY$73,MATCH($A17,JAN!$A$8:$A$73,0)),"")</f>
        <v/>
      </c>
      <c r="D17" s="150">
        <f>IFERROR(INDEX(FEV!$AY$8:$AY$73,MATCH($A17,FEV!$A$8:$A$73,0)),"")</f>
        <v/>
      </c>
      <c r="E17" s="150">
        <f>IFERROR(INDEX(MAR!$AY$8:$AY$73,MATCH($A17,MAR!$A$8:$A$73,0)),"")</f>
        <v/>
      </c>
      <c r="F17" s="150">
        <f>IFERROR(INDEX(ABR!$AY$8:$AY$73,MATCH($A17,ABR!$A$8:$A$73,0)),"")</f>
        <v/>
      </c>
      <c r="G17" s="150">
        <f>IFERROR(INDEX(MAI!$AY$8:$AY$73,MATCH($A17,MAI!$A$8:$A$73,0)),"")</f>
        <v/>
      </c>
      <c r="H17" s="150">
        <f>IFERROR(INDEX(JUN!$AY$8:$AY$73,MATCH($A17,JUN!$A$8:$A$73,0)),"")</f>
        <v/>
      </c>
      <c r="I17" s="150">
        <f>IFERROR(INDEX(JUL!$AY$8:$AY$73,MATCH($A17,JUL!$A$8:$A$73,0)),"")</f>
        <v/>
      </c>
      <c r="J17" s="150">
        <f>IFERROR(INDEX(AGO!$AY$8:$AY$73,MATCH($A17,AGO!$A$8:$A$73,0)),"")</f>
        <v/>
      </c>
      <c r="K17" s="150">
        <f>IFERROR(INDEX(SET!$AY$8:$AY$73,MATCH($A17,SET!$A$8:$A$73,0)),"")</f>
        <v/>
      </c>
      <c r="L17" s="150">
        <f>IFERROR(INDEX(OUT!$AY$8:$AY$73,MATCH($A17,OUT!$A$8:$A$73,0)),"")</f>
        <v/>
      </c>
      <c r="M17" s="150">
        <f>IFERROR(INDEX(NOV!$AY$8:$AY$73,MATCH($A17,NOV!$A$8:$A$73,0)),"")</f>
        <v/>
      </c>
      <c r="N17" s="150">
        <f>IFERROR(INDEX(DEZ!$AY$8:$AY$73,MATCH($A17,DEZ!$A$8:$A$73,0)),"")</f>
        <v/>
      </c>
      <c r="O17" s="151">
        <f>SUM(C17:N17)</f>
        <v/>
      </c>
      <c r="P17" s="39" t="n"/>
      <c r="Q17" s="150">
        <f>IFERROR(INDEX(JAN!$AU$8:$AU$73,MATCH($A17,JAN!$A$8:$A$73,0)),"")</f>
        <v/>
      </c>
      <c r="R17" s="150">
        <f>IFERROR(INDEX(FEV!$AU$8:$AU$73,MATCH($A17,FEV!$A$8:$A$73,0)),"")</f>
        <v/>
      </c>
      <c r="S17" s="150">
        <f>IFERROR(INDEX(MAR!$AU$8:$AU$73,MATCH($A17,MAR!$A$8:$A$73,0)),"")</f>
        <v/>
      </c>
      <c r="T17" s="150">
        <f>IFERROR(INDEX(ABR!$AU$8:$AU$73,MATCH($A17,ABR!$A$8:$A$73,0)),"")</f>
        <v/>
      </c>
      <c r="U17" s="150">
        <f>IFERROR(INDEX(MAI!$AU$8:$AU$73,MATCH($A17,MAI!$A$8:$A$73,0)),"")</f>
        <v/>
      </c>
      <c r="V17" s="150">
        <f>IFERROR(INDEX(JUN!$AU$8:$AU$73,MATCH($A17,JUN!$A$8:$A$73,0)),"")</f>
        <v/>
      </c>
      <c r="W17" s="150">
        <f>IFERROR(INDEX(JUL!$AU$8:$AU$73,MATCH($A17,JUL!$A$8:$A$73,0)),"")</f>
        <v/>
      </c>
      <c r="X17" s="150">
        <f>IFERROR(INDEX(AGO!$AU$8:$AU$73,MATCH($A17,AGO!$A$8:$A$73,0)),"")</f>
        <v/>
      </c>
      <c r="Y17" s="150">
        <f>IFERROR(INDEX(SET!$AU$8:$AU$73,MATCH($A17,SET!$A$8:$A$73,0)),"")</f>
        <v/>
      </c>
      <c r="Z17" s="150">
        <f>IFERROR(INDEX(OUT!$AU$8:$AU$73,MATCH($A17,OUT!$A$8:$A$73,0)),"")</f>
        <v/>
      </c>
      <c r="AA17" s="150">
        <f>IFERROR(INDEX(NOV!$AU$8:$AU$73,MATCH($A17,NOV!$A$8:$A$73,0)),"")</f>
        <v/>
      </c>
      <c r="AB17" s="150">
        <f>IFERROR(INDEX(DEZ!$AU$8:$AU$73,MATCH($A17,DEZ!$A$8:$A$73,0)),"")</f>
        <v/>
      </c>
      <c r="AC17" s="151">
        <f>SUM(Q17:AB17)</f>
        <v/>
      </c>
      <c r="AD17" s="39" t="n"/>
      <c r="AE17" s="150">
        <f>IFERROR(INDEX(JAN!$AV$8:$AV$73,MATCH($A17,JAN!$A$8:$A$73,0)),"")</f>
        <v/>
      </c>
      <c r="AF17" s="150">
        <f>IFERROR(INDEX(FEV!$AV$8:$AV$73,MATCH($A17,FEV!$A$8:$A$73,0)),"")</f>
        <v/>
      </c>
      <c r="AG17" s="150">
        <f>IFERROR(INDEX(MAR!$AV$8:$AV$73,MATCH($A17,MAR!$A$8:$A$73,0)),"")</f>
        <v/>
      </c>
      <c r="AH17" s="150">
        <f>IFERROR(INDEX(ABR!$AV$8:$AV$73,MATCH($A17,ABR!$A$8:$A$73,0)),"")</f>
        <v/>
      </c>
      <c r="AI17" s="150">
        <f>IFERROR(INDEX(MAI!$AV$8:$AV$73,MATCH($A17,MAI!$A$8:$A$73,0)),"")</f>
        <v/>
      </c>
      <c r="AJ17" s="150">
        <f>IFERROR(INDEX(JUN!$AV$8:$AV$73,MATCH($A17,JUN!$A$8:$A$73,0)),"")</f>
        <v/>
      </c>
      <c r="AK17" s="150">
        <f>IFERROR(INDEX(JUL!$AV$8:$AV$73,MATCH($A17,JUL!$A$8:$A$73,0)),"")</f>
        <v/>
      </c>
      <c r="AL17" s="150">
        <f>IFERROR(INDEX(AGO!$AV$8:$AV$73,MATCH($A17,AGO!$A$8:$A$73,0)),"")</f>
        <v/>
      </c>
      <c r="AM17" s="150">
        <f>IFERROR(INDEX(SET!$AV$8:$AV$73,MATCH($A17,SET!$A$8:$A$73,0)),"")</f>
        <v/>
      </c>
      <c r="AN17" s="150">
        <f>IFERROR(INDEX(OUT!$AV$8:$AV$73,MATCH($A17,OUT!$A$8:$A$73,0)),"")</f>
        <v/>
      </c>
      <c r="AO17" s="150">
        <f>IFERROR(INDEX(NOV!$AV$8:$AV$73,MATCH($A17,NOV!$A$8:$A$73,0)),"")</f>
        <v/>
      </c>
      <c r="AP17" s="150">
        <f>IFERROR(INDEX(DEZ!$AV$8:$AV$73,MATCH($A17,DEZ!$A$8:$A$73,0)),"")</f>
        <v/>
      </c>
      <c r="AQ17" s="151">
        <f>SUM(AE17:AP17)</f>
        <v/>
      </c>
      <c r="AR17" s="39" t="n"/>
      <c r="AS17" s="150">
        <f>IFERROR(INDEX(JAN!$AW$8:$AW$73,MATCH($A17,JAN!$A$8:$A$73,0)),"")</f>
        <v/>
      </c>
      <c r="AT17" s="150">
        <f>IFERROR(INDEX(FEV!$AW$8:$AW$73,MATCH($A17,FEV!$A$8:$A$73,0)),"")</f>
        <v/>
      </c>
      <c r="AU17" s="150">
        <f>IFERROR(INDEX(MAR!$AW$8:$AW$73,MATCH($A17,MAR!$A$8:$A$73,0)),"")</f>
        <v/>
      </c>
      <c r="AV17" s="150">
        <f>IFERROR(INDEX(ABR!$AW$8:$AW$73,MATCH($A17,ABR!$A$8:$A$73,0)),"")</f>
        <v/>
      </c>
      <c r="AW17" s="150">
        <f>IFERROR(INDEX(MAI!$AW$8:$AW$73,MATCH($A17,MAI!$A$8:$A$73,0)),"")</f>
        <v/>
      </c>
      <c r="AX17" s="150">
        <f>IFERROR(INDEX(JUN!$AW$8:$AW$73,MATCH($A17,JUN!$A$8:$A$73,0)),"")</f>
        <v/>
      </c>
      <c r="AY17" s="150">
        <f>IFERROR(INDEX(JUL!$AW$8:$AW$73,MATCH($A17,JUL!$A$8:$A$73,0)),"")</f>
        <v/>
      </c>
      <c r="AZ17" s="150">
        <f>IFERROR(INDEX(AGO!$AW$8:$AW$73,MATCH($A17,AGO!$A$8:$A$73,0)),"")</f>
        <v/>
      </c>
      <c r="BA17" s="150">
        <f>IFERROR(INDEX(SET!$AW$8:$AW$73,MATCH($A17,SET!$A$8:$A$73,0)),"")</f>
        <v/>
      </c>
      <c r="BB17" s="150">
        <f>IFERROR(INDEX(OUT!$AW$8:$AW$73,MATCH($A17,OUT!$A$8:$A$73,0)),"")</f>
        <v/>
      </c>
      <c r="BC17" s="150">
        <f>IFERROR(INDEX(NOV!$AW$8:$AW$73,MATCH($A17,NOV!$A$8:$A$73,0)),"")</f>
        <v/>
      </c>
      <c r="BD17" s="150">
        <f>IFERROR(INDEX(DEZ!$AW$8:$AW$73,MATCH($A17,DEZ!$A$8:$A$73,0)),"")</f>
        <v/>
      </c>
      <c r="BE17" s="151">
        <f>SUM(AS17:BD17)</f>
        <v/>
      </c>
      <c r="BF17" s="39" t="n"/>
      <c r="BG17" s="102" t="n">
        <v>5</v>
      </c>
      <c r="BH17" s="120">
        <f>SUM(AE17:AP17)</f>
        <v/>
      </c>
      <c r="BI17" s="152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3">
        <f>CADASTRO!$C14</f>
        <v/>
      </c>
      <c r="C18" s="150">
        <f>IFERROR(INDEX(JAN!$AY$8:$AY$73,MATCH($A18,JAN!$A$8:$A$73,0)),"")</f>
        <v/>
      </c>
      <c r="D18" s="150">
        <f>IFERROR(INDEX(FEV!$AY$8:$AY$73,MATCH($A18,FEV!$A$8:$A$73,0)),"")</f>
        <v/>
      </c>
      <c r="E18" s="150">
        <f>IFERROR(INDEX(MAR!$AY$8:$AY$73,MATCH($A18,MAR!$A$8:$A$73,0)),"")</f>
        <v/>
      </c>
      <c r="F18" s="150">
        <f>IFERROR(INDEX(ABR!$AY$8:$AY$73,MATCH($A18,ABR!$A$8:$A$73,0)),"")</f>
        <v/>
      </c>
      <c r="G18" s="150">
        <f>IFERROR(INDEX(MAI!$AY$8:$AY$73,MATCH($A18,MAI!$A$8:$A$73,0)),"")</f>
        <v/>
      </c>
      <c r="H18" s="150">
        <f>IFERROR(INDEX(JUN!$AY$8:$AY$73,MATCH($A18,JUN!$A$8:$A$73,0)),"")</f>
        <v/>
      </c>
      <c r="I18" s="150">
        <f>IFERROR(INDEX(JUL!$AY$8:$AY$73,MATCH($A18,JUL!$A$8:$A$73,0)),"")</f>
        <v/>
      </c>
      <c r="J18" s="150">
        <f>IFERROR(INDEX(AGO!$AY$8:$AY$73,MATCH($A18,AGO!$A$8:$A$73,0)),"")</f>
        <v/>
      </c>
      <c r="K18" s="150">
        <f>IFERROR(INDEX(SET!$AY$8:$AY$73,MATCH($A18,SET!$A$8:$A$73,0)),"")</f>
        <v/>
      </c>
      <c r="L18" s="150">
        <f>IFERROR(INDEX(OUT!$AY$8:$AY$73,MATCH($A18,OUT!$A$8:$A$73,0)),"")</f>
        <v/>
      </c>
      <c r="M18" s="150">
        <f>IFERROR(INDEX(NOV!$AY$8:$AY$73,MATCH($A18,NOV!$A$8:$A$73,0)),"")</f>
        <v/>
      </c>
      <c r="N18" s="150">
        <f>IFERROR(INDEX(DEZ!$AY$8:$AY$73,MATCH($A18,DEZ!$A$8:$A$73,0)),"")</f>
        <v/>
      </c>
      <c r="O18" s="151">
        <f>SUM(C18:N18)</f>
        <v/>
      </c>
      <c r="P18" s="39" t="n"/>
      <c r="Q18" s="150">
        <f>IFERROR(INDEX(JAN!$AU$8:$AU$73,MATCH($A18,JAN!$A$8:$A$73,0)),"")</f>
        <v/>
      </c>
      <c r="R18" s="150">
        <f>IFERROR(INDEX(FEV!$AU$8:$AU$73,MATCH($A18,FEV!$A$8:$A$73,0)),"")</f>
        <v/>
      </c>
      <c r="S18" s="150">
        <f>IFERROR(INDEX(MAR!$AU$8:$AU$73,MATCH($A18,MAR!$A$8:$A$73,0)),"")</f>
        <v/>
      </c>
      <c r="T18" s="150">
        <f>IFERROR(INDEX(ABR!$AU$8:$AU$73,MATCH($A18,ABR!$A$8:$A$73,0)),"")</f>
        <v/>
      </c>
      <c r="U18" s="150">
        <f>IFERROR(INDEX(MAI!$AU$8:$AU$73,MATCH($A18,MAI!$A$8:$A$73,0)),"")</f>
        <v/>
      </c>
      <c r="V18" s="150">
        <f>IFERROR(INDEX(JUN!$AU$8:$AU$73,MATCH($A18,JUN!$A$8:$A$73,0)),"")</f>
        <v/>
      </c>
      <c r="W18" s="150">
        <f>IFERROR(INDEX(JUL!$AU$8:$AU$73,MATCH($A18,JUL!$A$8:$A$73,0)),"")</f>
        <v/>
      </c>
      <c r="X18" s="150">
        <f>IFERROR(INDEX(AGO!$AU$8:$AU$73,MATCH($A18,AGO!$A$8:$A$73,0)),"")</f>
        <v/>
      </c>
      <c r="Y18" s="150">
        <f>IFERROR(INDEX(SET!$AU$8:$AU$73,MATCH($A18,SET!$A$8:$A$73,0)),"")</f>
        <v/>
      </c>
      <c r="Z18" s="150">
        <f>IFERROR(INDEX(OUT!$AU$8:$AU$73,MATCH($A18,OUT!$A$8:$A$73,0)),"")</f>
        <v/>
      </c>
      <c r="AA18" s="150">
        <f>IFERROR(INDEX(NOV!$AU$8:$AU$73,MATCH($A18,NOV!$A$8:$A$73,0)),"")</f>
        <v/>
      </c>
      <c r="AB18" s="150">
        <f>IFERROR(INDEX(DEZ!$AU$8:$AU$73,MATCH($A18,DEZ!$A$8:$A$73,0)),"")</f>
        <v/>
      </c>
      <c r="AC18" s="151">
        <f>SUM(Q18:AB18)</f>
        <v/>
      </c>
      <c r="AD18" s="39" t="n"/>
      <c r="AE18" s="150">
        <f>IFERROR(INDEX(JAN!$AV$8:$AV$73,MATCH($A18,JAN!$A$8:$A$73,0)),"")</f>
        <v/>
      </c>
      <c r="AF18" s="150">
        <f>IFERROR(INDEX(FEV!$AV$8:$AV$73,MATCH($A18,FEV!$A$8:$A$73,0)),"")</f>
        <v/>
      </c>
      <c r="AG18" s="150">
        <f>IFERROR(INDEX(MAR!$AV$8:$AV$73,MATCH($A18,MAR!$A$8:$A$73,0)),"")</f>
        <v/>
      </c>
      <c r="AH18" s="150">
        <f>IFERROR(INDEX(ABR!$AV$8:$AV$73,MATCH($A18,ABR!$A$8:$A$73,0)),"")</f>
        <v/>
      </c>
      <c r="AI18" s="150">
        <f>IFERROR(INDEX(MAI!$AV$8:$AV$73,MATCH($A18,MAI!$A$8:$A$73,0)),"")</f>
        <v/>
      </c>
      <c r="AJ18" s="150">
        <f>IFERROR(INDEX(JUN!$AV$8:$AV$73,MATCH($A18,JUN!$A$8:$A$73,0)),"")</f>
        <v/>
      </c>
      <c r="AK18" s="150">
        <f>IFERROR(INDEX(JUL!$AV$8:$AV$73,MATCH($A18,JUL!$A$8:$A$73,0)),"")</f>
        <v/>
      </c>
      <c r="AL18" s="150">
        <f>IFERROR(INDEX(AGO!$AV$8:$AV$73,MATCH($A18,AGO!$A$8:$A$73,0)),"")</f>
        <v/>
      </c>
      <c r="AM18" s="150">
        <f>IFERROR(INDEX(SET!$AV$8:$AV$73,MATCH($A18,SET!$A$8:$A$73,0)),"")</f>
        <v/>
      </c>
      <c r="AN18" s="150">
        <f>IFERROR(INDEX(OUT!$AV$8:$AV$73,MATCH($A18,OUT!$A$8:$A$73,0)),"")</f>
        <v/>
      </c>
      <c r="AO18" s="150">
        <f>IFERROR(INDEX(NOV!$AV$8:$AV$73,MATCH($A18,NOV!$A$8:$A$73,0)),"")</f>
        <v/>
      </c>
      <c r="AP18" s="150">
        <f>IFERROR(INDEX(DEZ!$AV$8:$AV$73,MATCH($A18,DEZ!$A$8:$A$73,0)),"")</f>
        <v/>
      </c>
      <c r="AQ18" s="151">
        <f>SUM(AE18:AP18)</f>
        <v/>
      </c>
      <c r="AR18" s="39" t="n"/>
      <c r="AS18" s="150">
        <f>IFERROR(INDEX(JAN!$AW$8:$AW$73,MATCH($A18,JAN!$A$8:$A$73,0)),"")</f>
        <v/>
      </c>
      <c r="AT18" s="150">
        <f>IFERROR(INDEX(FEV!$AW$8:$AW$73,MATCH($A18,FEV!$A$8:$A$73,0)),"")</f>
        <v/>
      </c>
      <c r="AU18" s="150">
        <f>IFERROR(INDEX(MAR!$AW$8:$AW$73,MATCH($A18,MAR!$A$8:$A$73,0)),"")</f>
        <v/>
      </c>
      <c r="AV18" s="150">
        <f>IFERROR(INDEX(ABR!$AW$8:$AW$73,MATCH($A18,ABR!$A$8:$A$73,0)),"")</f>
        <v/>
      </c>
      <c r="AW18" s="150">
        <f>IFERROR(INDEX(MAI!$AW$8:$AW$73,MATCH($A18,MAI!$A$8:$A$73,0)),"")</f>
        <v/>
      </c>
      <c r="AX18" s="150">
        <f>IFERROR(INDEX(JUN!$AW$8:$AW$73,MATCH($A18,JUN!$A$8:$A$73,0)),"")</f>
        <v/>
      </c>
      <c r="AY18" s="150">
        <f>IFERROR(INDEX(JUL!$AW$8:$AW$73,MATCH($A18,JUL!$A$8:$A$73,0)),"")</f>
        <v/>
      </c>
      <c r="AZ18" s="150">
        <f>IFERROR(INDEX(AGO!$AW$8:$AW$73,MATCH($A18,AGO!$A$8:$A$73,0)),"")</f>
        <v/>
      </c>
      <c r="BA18" s="150">
        <f>IFERROR(INDEX(SET!$AW$8:$AW$73,MATCH($A18,SET!$A$8:$A$73,0)),"")</f>
        <v/>
      </c>
      <c r="BB18" s="150">
        <f>IFERROR(INDEX(OUT!$AW$8:$AW$73,MATCH($A18,OUT!$A$8:$A$73,0)),"")</f>
        <v/>
      </c>
      <c r="BC18" s="150">
        <f>IFERROR(INDEX(NOV!$AW$8:$AW$73,MATCH($A18,NOV!$A$8:$A$73,0)),"")</f>
        <v/>
      </c>
      <c r="BD18" s="150">
        <f>IFERROR(INDEX(DEZ!$AW$8:$AW$73,MATCH($A18,DEZ!$A$8:$A$73,0)),"")</f>
        <v/>
      </c>
      <c r="BE18" s="151">
        <f>SUM(AS18:BD18)</f>
        <v/>
      </c>
      <c r="BF18" s="39" t="n"/>
      <c r="BG18" s="102" t="n">
        <v>5</v>
      </c>
      <c r="BH18" s="120">
        <f>SUM(AE18:AP18)</f>
        <v/>
      </c>
      <c r="BI18" s="152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3">
        <f>CADASTRO!$C15</f>
        <v/>
      </c>
      <c r="C19" s="150">
        <f>IFERROR(INDEX(JAN!$AY$8:$AY$73,MATCH($A19,JAN!$A$8:$A$73,0)),"")</f>
        <v/>
      </c>
      <c r="D19" s="150">
        <f>IFERROR(INDEX(FEV!$AY$8:$AY$73,MATCH($A19,FEV!$A$8:$A$73,0)),"")</f>
        <v/>
      </c>
      <c r="E19" s="150">
        <f>IFERROR(INDEX(MAR!$AY$8:$AY$73,MATCH($A19,MAR!$A$8:$A$73,0)),"")</f>
        <v/>
      </c>
      <c r="F19" s="150">
        <f>IFERROR(INDEX(ABR!$AY$8:$AY$73,MATCH($A19,ABR!$A$8:$A$73,0)),"")</f>
        <v/>
      </c>
      <c r="G19" s="150">
        <f>IFERROR(INDEX(MAI!$AY$8:$AY$73,MATCH($A19,MAI!$A$8:$A$73,0)),"")</f>
        <v/>
      </c>
      <c r="H19" s="150">
        <f>IFERROR(INDEX(JUN!$AY$8:$AY$73,MATCH($A19,JUN!$A$8:$A$73,0)),"")</f>
        <v/>
      </c>
      <c r="I19" s="150">
        <f>IFERROR(INDEX(JUL!$AY$8:$AY$73,MATCH($A19,JUL!$A$8:$A$73,0)),"")</f>
        <v/>
      </c>
      <c r="J19" s="150">
        <f>IFERROR(INDEX(AGO!$AY$8:$AY$73,MATCH($A19,AGO!$A$8:$A$73,0)),"")</f>
        <v/>
      </c>
      <c r="K19" s="150">
        <f>IFERROR(INDEX(SET!$AY$8:$AY$73,MATCH($A19,SET!$A$8:$A$73,0)),"")</f>
        <v/>
      </c>
      <c r="L19" s="150">
        <f>IFERROR(INDEX(OUT!$AY$8:$AY$73,MATCH($A19,OUT!$A$8:$A$73,0)),"")</f>
        <v/>
      </c>
      <c r="M19" s="150">
        <f>IFERROR(INDEX(NOV!$AY$8:$AY$73,MATCH($A19,NOV!$A$8:$A$73,0)),"")</f>
        <v/>
      </c>
      <c r="N19" s="150">
        <f>IFERROR(INDEX(DEZ!$AY$8:$AY$73,MATCH($A19,DEZ!$A$8:$A$73,0)),"")</f>
        <v/>
      </c>
      <c r="O19" s="151">
        <f>SUM(C19:N19)</f>
        <v/>
      </c>
      <c r="P19" s="39" t="n"/>
      <c r="Q19" s="150">
        <f>IFERROR(INDEX(JAN!$AU$8:$AU$73,MATCH($A19,JAN!$A$8:$A$73,0)),"")</f>
        <v/>
      </c>
      <c r="R19" s="150">
        <f>IFERROR(INDEX(FEV!$AU$8:$AU$73,MATCH($A19,FEV!$A$8:$A$73,0)),"")</f>
        <v/>
      </c>
      <c r="S19" s="150">
        <f>IFERROR(INDEX(MAR!$AU$8:$AU$73,MATCH($A19,MAR!$A$8:$A$73,0)),"")</f>
        <v/>
      </c>
      <c r="T19" s="150">
        <f>IFERROR(INDEX(ABR!$AU$8:$AU$73,MATCH($A19,ABR!$A$8:$A$73,0)),"")</f>
        <v/>
      </c>
      <c r="U19" s="150">
        <f>IFERROR(INDEX(MAI!$AU$8:$AU$73,MATCH($A19,MAI!$A$8:$A$73,0)),"")</f>
        <v/>
      </c>
      <c r="V19" s="150">
        <f>IFERROR(INDEX(JUN!$AU$8:$AU$73,MATCH($A19,JUN!$A$8:$A$73,0)),"")</f>
        <v/>
      </c>
      <c r="W19" s="150">
        <f>IFERROR(INDEX(JUL!$AU$8:$AU$73,MATCH($A19,JUL!$A$8:$A$73,0)),"")</f>
        <v/>
      </c>
      <c r="X19" s="150">
        <f>IFERROR(INDEX(AGO!$AU$8:$AU$73,MATCH($A19,AGO!$A$8:$A$73,0)),"")</f>
        <v/>
      </c>
      <c r="Y19" s="150">
        <f>IFERROR(INDEX(SET!$AU$8:$AU$73,MATCH($A19,SET!$A$8:$A$73,0)),"")</f>
        <v/>
      </c>
      <c r="Z19" s="150">
        <f>IFERROR(INDEX(OUT!$AU$8:$AU$73,MATCH($A19,OUT!$A$8:$A$73,0)),"")</f>
        <v/>
      </c>
      <c r="AA19" s="150">
        <f>IFERROR(INDEX(NOV!$AU$8:$AU$73,MATCH($A19,NOV!$A$8:$A$73,0)),"")</f>
        <v/>
      </c>
      <c r="AB19" s="150">
        <f>IFERROR(INDEX(DEZ!$AU$8:$AU$73,MATCH($A19,DEZ!$A$8:$A$73,0)),"")</f>
        <v/>
      </c>
      <c r="AC19" s="151">
        <f>SUM(Q19:AB19)</f>
        <v/>
      </c>
      <c r="AD19" s="39" t="n"/>
      <c r="AE19" s="150">
        <f>IFERROR(INDEX(JAN!$AV$8:$AV$73,MATCH($A19,JAN!$A$8:$A$73,0)),"")</f>
        <v/>
      </c>
      <c r="AF19" s="150">
        <f>IFERROR(INDEX(FEV!$AV$8:$AV$73,MATCH($A19,FEV!$A$8:$A$73,0)),"")</f>
        <v/>
      </c>
      <c r="AG19" s="150">
        <f>IFERROR(INDEX(MAR!$AV$8:$AV$73,MATCH($A19,MAR!$A$8:$A$73,0)),"")</f>
        <v/>
      </c>
      <c r="AH19" s="150">
        <f>IFERROR(INDEX(ABR!$AV$8:$AV$73,MATCH($A19,ABR!$A$8:$A$73,0)),"")</f>
        <v/>
      </c>
      <c r="AI19" s="150">
        <f>IFERROR(INDEX(MAI!$AV$8:$AV$73,MATCH($A19,MAI!$A$8:$A$73,0)),"")</f>
        <v/>
      </c>
      <c r="AJ19" s="150">
        <f>IFERROR(INDEX(JUN!$AV$8:$AV$73,MATCH($A19,JUN!$A$8:$A$73,0)),"")</f>
        <v/>
      </c>
      <c r="AK19" s="150">
        <f>IFERROR(INDEX(JUL!$AV$8:$AV$73,MATCH($A19,JUL!$A$8:$A$73,0)),"")</f>
        <v/>
      </c>
      <c r="AL19" s="150">
        <f>IFERROR(INDEX(AGO!$AV$8:$AV$73,MATCH($A19,AGO!$A$8:$A$73,0)),"")</f>
        <v/>
      </c>
      <c r="AM19" s="150">
        <f>IFERROR(INDEX(SET!$AV$8:$AV$73,MATCH($A19,SET!$A$8:$A$73,0)),"")</f>
        <v/>
      </c>
      <c r="AN19" s="150">
        <f>IFERROR(INDEX(OUT!$AV$8:$AV$73,MATCH($A19,OUT!$A$8:$A$73,0)),"")</f>
        <v/>
      </c>
      <c r="AO19" s="150">
        <f>IFERROR(INDEX(NOV!$AV$8:$AV$73,MATCH($A19,NOV!$A$8:$A$73,0)),"")</f>
        <v/>
      </c>
      <c r="AP19" s="150">
        <f>IFERROR(INDEX(DEZ!$AV$8:$AV$73,MATCH($A19,DEZ!$A$8:$A$73,0)),"")</f>
        <v/>
      </c>
      <c r="AQ19" s="151">
        <f>SUM(AE19:AP19)</f>
        <v/>
      </c>
      <c r="AR19" s="39" t="n"/>
      <c r="AS19" s="150">
        <f>IFERROR(INDEX(JAN!$AW$8:$AW$73,MATCH($A19,JAN!$A$8:$A$73,0)),"")</f>
        <v/>
      </c>
      <c r="AT19" s="150">
        <f>IFERROR(INDEX(FEV!$AW$8:$AW$73,MATCH($A19,FEV!$A$8:$A$73,0)),"")</f>
        <v/>
      </c>
      <c r="AU19" s="150">
        <f>IFERROR(INDEX(MAR!$AW$8:$AW$73,MATCH($A19,MAR!$A$8:$A$73,0)),"")</f>
        <v/>
      </c>
      <c r="AV19" s="150">
        <f>IFERROR(INDEX(ABR!$AW$8:$AW$73,MATCH($A19,ABR!$A$8:$A$73,0)),"")</f>
        <v/>
      </c>
      <c r="AW19" s="150">
        <f>IFERROR(INDEX(MAI!$AW$8:$AW$73,MATCH($A19,MAI!$A$8:$A$73,0)),"")</f>
        <v/>
      </c>
      <c r="AX19" s="150">
        <f>IFERROR(INDEX(JUN!$AW$8:$AW$73,MATCH($A19,JUN!$A$8:$A$73,0)),"")</f>
        <v/>
      </c>
      <c r="AY19" s="150">
        <f>IFERROR(INDEX(JUL!$AW$8:$AW$73,MATCH($A19,JUL!$A$8:$A$73,0)),"")</f>
        <v/>
      </c>
      <c r="AZ19" s="150">
        <f>IFERROR(INDEX(AGO!$AW$8:$AW$73,MATCH($A19,AGO!$A$8:$A$73,0)),"")</f>
        <v/>
      </c>
      <c r="BA19" s="150">
        <f>IFERROR(INDEX(SET!$AW$8:$AW$73,MATCH($A19,SET!$A$8:$A$73,0)),"")</f>
        <v/>
      </c>
      <c r="BB19" s="150">
        <f>IFERROR(INDEX(OUT!$AW$8:$AW$73,MATCH($A19,OUT!$A$8:$A$73,0)),"")</f>
        <v/>
      </c>
      <c r="BC19" s="150">
        <f>IFERROR(INDEX(NOV!$AW$8:$AW$73,MATCH($A19,NOV!$A$8:$A$73,0)),"")</f>
        <v/>
      </c>
      <c r="BD19" s="150">
        <f>IFERROR(INDEX(DEZ!$AW$8:$AW$73,MATCH($A19,DEZ!$A$8:$A$73,0)),"")</f>
        <v/>
      </c>
      <c r="BE19" s="151">
        <f>SUM(AS19:BD19)</f>
        <v/>
      </c>
      <c r="BF19" s="39" t="n"/>
      <c r="BG19" s="102" t="n">
        <v>5</v>
      </c>
      <c r="BH19" s="120">
        <f>SUM(AE19:AP19)</f>
        <v/>
      </c>
      <c r="BI19" s="152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3">
        <f>CADASTRO!$C16</f>
        <v/>
      </c>
      <c r="C20" s="150">
        <f>IFERROR(INDEX(JAN!$AY$8:$AY$73,MATCH($A20,JAN!$A$8:$A$73,0)),"")</f>
        <v/>
      </c>
      <c r="D20" s="150">
        <f>IFERROR(INDEX(FEV!$AY$8:$AY$73,MATCH($A20,FEV!$A$8:$A$73,0)),"")</f>
        <v/>
      </c>
      <c r="E20" s="150">
        <f>IFERROR(INDEX(MAR!$AY$8:$AY$73,MATCH($A20,MAR!$A$8:$A$73,0)),"")</f>
        <v/>
      </c>
      <c r="F20" s="150">
        <f>IFERROR(INDEX(ABR!$AY$8:$AY$73,MATCH($A20,ABR!$A$8:$A$73,0)),"")</f>
        <v/>
      </c>
      <c r="G20" s="150">
        <f>IFERROR(INDEX(MAI!$AY$8:$AY$73,MATCH($A20,MAI!$A$8:$A$73,0)),"")</f>
        <v/>
      </c>
      <c r="H20" s="150">
        <f>IFERROR(INDEX(JUN!$AY$8:$AY$73,MATCH($A20,JUN!$A$8:$A$73,0)),"")</f>
        <v/>
      </c>
      <c r="I20" s="150">
        <f>IFERROR(INDEX(JUL!$AY$8:$AY$73,MATCH($A20,JUL!$A$8:$A$73,0)),"")</f>
        <v/>
      </c>
      <c r="J20" s="150">
        <f>IFERROR(INDEX(AGO!$AY$8:$AY$73,MATCH($A20,AGO!$A$8:$A$73,0)),"")</f>
        <v/>
      </c>
      <c r="K20" s="150">
        <f>IFERROR(INDEX(SET!$AY$8:$AY$73,MATCH($A20,SET!$A$8:$A$73,0)),"")</f>
        <v/>
      </c>
      <c r="L20" s="150">
        <f>IFERROR(INDEX(OUT!$AY$8:$AY$73,MATCH($A20,OUT!$A$8:$A$73,0)),"")</f>
        <v/>
      </c>
      <c r="M20" s="150">
        <f>IFERROR(INDEX(NOV!$AY$8:$AY$73,MATCH($A20,NOV!$A$8:$A$73,0)),"")</f>
        <v/>
      </c>
      <c r="N20" s="150">
        <f>IFERROR(INDEX(DEZ!$AY$8:$AY$73,MATCH($A20,DEZ!$A$8:$A$73,0)),"")</f>
        <v/>
      </c>
      <c r="O20" s="151">
        <f>SUM(C20:N20)</f>
        <v/>
      </c>
      <c r="P20" s="39" t="n"/>
      <c r="Q20" s="150">
        <f>IFERROR(INDEX(JAN!$AU$8:$AU$73,MATCH($A20,JAN!$A$8:$A$73,0)),"")</f>
        <v/>
      </c>
      <c r="R20" s="150">
        <f>IFERROR(INDEX(FEV!$AU$8:$AU$73,MATCH($A20,FEV!$A$8:$A$73,0)),"")</f>
        <v/>
      </c>
      <c r="S20" s="150">
        <f>IFERROR(INDEX(MAR!$AU$8:$AU$73,MATCH($A20,MAR!$A$8:$A$73,0)),"")</f>
        <v/>
      </c>
      <c r="T20" s="150">
        <f>IFERROR(INDEX(ABR!$AU$8:$AU$73,MATCH($A20,ABR!$A$8:$A$73,0)),"")</f>
        <v/>
      </c>
      <c r="U20" s="150">
        <f>IFERROR(INDEX(MAI!$AU$8:$AU$73,MATCH($A20,MAI!$A$8:$A$73,0)),"")</f>
        <v/>
      </c>
      <c r="V20" s="150">
        <f>IFERROR(INDEX(JUN!$AU$8:$AU$73,MATCH($A20,JUN!$A$8:$A$73,0)),"")</f>
        <v/>
      </c>
      <c r="W20" s="150">
        <f>IFERROR(INDEX(JUL!$AU$8:$AU$73,MATCH($A20,JUL!$A$8:$A$73,0)),"")</f>
        <v/>
      </c>
      <c r="X20" s="150">
        <f>IFERROR(INDEX(AGO!$AU$8:$AU$73,MATCH($A20,AGO!$A$8:$A$73,0)),"")</f>
        <v/>
      </c>
      <c r="Y20" s="150">
        <f>IFERROR(INDEX(SET!$AU$8:$AU$73,MATCH($A20,SET!$A$8:$A$73,0)),"")</f>
        <v/>
      </c>
      <c r="Z20" s="150">
        <f>IFERROR(INDEX(OUT!$AU$8:$AU$73,MATCH($A20,OUT!$A$8:$A$73,0)),"")</f>
        <v/>
      </c>
      <c r="AA20" s="150">
        <f>IFERROR(INDEX(NOV!$AU$8:$AU$73,MATCH($A20,NOV!$A$8:$A$73,0)),"")</f>
        <v/>
      </c>
      <c r="AB20" s="150">
        <f>IFERROR(INDEX(DEZ!$AU$8:$AU$73,MATCH($A20,DEZ!$A$8:$A$73,0)),"")</f>
        <v/>
      </c>
      <c r="AC20" s="151">
        <f>SUM(Q20:AB20)</f>
        <v/>
      </c>
      <c r="AD20" s="39" t="n"/>
      <c r="AE20" s="150">
        <f>IFERROR(INDEX(JAN!$AV$8:$AV$73,MATCH($A20,JAN!$A$8:$A$73,0)),"")</f>
        <v/>
      </c>
      <c r="AF20" s="150">
        <f>IFERROR(INDEX(FEV!$AV$8:$AV$73,MATCH($A20,FEV!$A$8:$A$73,0)),"")</f>
        <v/>
      </c>
      <c r="AG20" s="150">
        <f>IFERROR(INDEX(MAR!$AV$8:$AV$73,MATCH($A20,MAR!$A$8:$A$73,0)),"")</f>
        <v/>
      </c>
      <c r="AH20" s="150">
        <f>IFERROR(INDEX(ABR!$AV$8:$AV$73,MATCH($A20,ABR!$A$8:$A$73,0)),"")</f>
        <v/>
      </c>
      <c r="AI20" s="150">
        <f>IFERROR(INDEX(MAI!$AV$8:$AV$73,MATCH($A20,MAI!$A$8:$A$73,0)),"")</f>
        <v/>
      </c>
      <c r="AJ20" s="150">
        <f>IFERROR(INDEX(JUN!$AV$8:$AV$73,MATCH($A20,JUN!$A$8:$A$73,0)),"")</f>
        <v/>
      </c>
      <c r="AK20" s="150">
        <f>IFERROR(INDEX(JUL!$AV$8:$AV$73,MATCH($A20,JUL!$A$8:$A$73,0)),"")</f>
        <v/>
      </c>
      <c r="AL20" s="150">
        <f>IFERROR(INDEX(AGO!$AV$8:$AV$73,MATCH($A20,AGO!$A$8:$A$73,0)),"")</f>
        <v/>
      </c>
      <c r="AM20" s="150">
        <f>IFERROR(INDEX(SET!$AV$8:$AV$73,MATCH($A20,SET!$A$8:$A$73,0)),"")</f>
        <v/>
      </c>
      <c r="AN20" s="150">
        <f>IFERROR(INDEX(OUT!$AV$8:$AV$73,MATCH($A20,OUT!$A$8:$A$73,0)),"")</f>
        <v/>
      </c>
      <c r="AO20" s="150">
        <f>IFERROR(INDEX(NOV!$AV$8:$AV$73,MATCH($A20,NOV!$A$8:$A$73,0)),"")</f>
        <v/>
      </c>
      <c r="AP20" s="150">
        <f>IFERROR(INDEX(DEZ!$AV$8:$AV$73,MATCH($A20,DEZ!$A$8:$A$73,0)),"")</f>
        <v/>
      </c>
      <c r="AQ20" s="151">
        <f>SUM(AE20:AP20)</f>
        <v/>
      </c>
      <c r="AR20" s="39" t="n"/>
      <c r="AS20" s="150">
        <f>IFERROR(INDEX(JAN!$AW$8:$AW$73,MATCH($A20,JAN!$A$8:$A$73,0)),"")</f>
        <v/>
      </c>
      <c r="AT20" s="150">
        <f>IFERROR(INDEX(FEV!$AW$8:$AW$73,MATCH($A20,FEV!$A$8:$A$73,0)),"")</f>
        <v/>
      </c>
      <c r="AU20" s="150">
        <f>IFERROR(INDEX(MAR!$AW$8:$AW$73,MATCH($A20,MAR!$A$8:$A$73,0)),"")</f>
        <v/>
      </c>
      <c r="AV20" s="150">
        <f>IFERROR(INDEX(ABR!$AW$8:$AW$73,MATCH($A20,ABR!$A$8:$A$73,0)),"")</f>
        <v/>
      </c>
      <c r="AW20" s="150">
        <f>IFERROR(INDEX(MAI!$AW$8:$AW$73,MATCH($A20,MAI!$A$8:$A$73,0)),"")</f>
        <v/>
      </c>
      <c r="AX20" s="150">
        <f>IFERROR(INDEX(JUN!$AW$8:$AW$73,MATCH($A20,JUN!$A$8:$A$73,0)),"")</f>
        <v/>
      </c>
      <c r="AY20" s="150">
        <f>IFERROR(INDEX(JUL!$AW$8:$AW$73,MATCH($A20,JUL!$A$8:$A$73,0)),"")</f>
        <v/>
      </c>
      <c r="AZ20" s="150">
        <f>IFERROR(INDEX(AGO!$AW$8:$AW$73,MATCH($A20,AGO!$A$8:$A$73,0)),"")</f>
        <v/>
      </c>
      <c r="BA20" s="150">
        <f>IFERROR(INDEX(SET!$AW$8:$AW$73,MATCH($A20,SET!$A$8:$A$73,0)),"")</f>
        <v/>
      </c>
      <c r="BB20" s="150">
        <f>IFERROR(INDEX(OUT!$AW$8:$AW$73,MATCH($A20,OUT!$A$8:$A$73,0)),"")</f>
        <v/>
      </c>
      <c r="BC20" s="150">
        <f>IFERROR(INDEX(NOV!$AW$8:$AW$73,MATCH($A20,NOV!$A$8:$A$73,0)),"")</f>
        <v/>
      </c>
      <c r="BD20" s="150">
        <f>IFERROR(INDEX(DEZ!$AW$8:$AW$73,MATCH($A20,DEZ!$A$8:$A$73,0)),"")</f>
        <v/>
      </c>
      <c r="BE20" s="151">
        <f>SUM(AS20:BD20)</f>
        <v/>
      </c>
      <c r="BF20" s="39" t="n"/>
      <c r="BG20" s="102" t="n">
        <v>4</v>
      </c>
      <c r="BH20" s="120">
        <f>SUM(AE20:AP20)</f>
        <v/>
      </c>
      <c r="BI20" s="152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3">
        <f>CADASTRO!$C17</f>
        <v/>
      </c>
      <c r="C21" s="150">
        <f>IFERROR(INDEX(JAN!$AY$8:$AY$73,MATCH($A21,JAN!$A$8:$A$73,0)),"")</f>
        <v/>
      </c>
      <c r="D21" s="150">
        <f>IFERROR(INDEX(FEV!$AY$8:$AY$73,MATCH($A21,FEV!$A$8:$A$73,0)),"")</f>
        <v/>
      </c>
      <c r="E21" s="150">
        <f>IFERROR(INDEX(MAR!$AY$8:$AY$73,MATCH($A21,MAR!$A$8:$A$73,0)),"")</f>
        <v/>
      </c>
      <c r="F21" s="150">
        <f>IFERROR(INDEX(ABR!$AY$8:$AY$73,MATCH($A21,ABR!$A$8:$A$73,0)),"")</f>
        <v/>
      </c>
      <c r="G21" s="150">
        <f>IFERROR(INDEX(MAI!$AY$8:$AY$73,MATCH($A21,MAI!$A$8:$A$73,0)),"")</f>
        <v/>
      </c>
      <c r="H21" s="150">
        <f>IFERROR(INDEX(JUN!$AY$8:$AY$73,MATCH($A21,JUN!$A$8:$A$73,0)),"")</f>
        <v/>
      </c>
      <c r="I21" s="150">
        <f>IFERROR(INDEX(JUL!$AY$8:$AY$73,MATCH($A21,JUL!$A$8:$A$73,0)),"")</f>
        <v/>
      </c>
      <c r="J21" s="150">
        <f>IFERROR(INDEX(AGO!$AY$8:$AY$73,MATCH($A21,AGO!$A$8:$A$73,0)),"")</f>
        <v/>
      </c>
      <c r="K21" s="150">
        <f>IFERROR(INDEX(SET!$AY$8:$AY$73,MATCH($A21,SET!$A$8:$A$73,0)),"")</f>
        <v/>
      </c>
      <c r="L21" s="150">
        <f>IFERROR(INDEX(OUT!$AY$8:$AY$73,MATCH($A21,OUT!$A$8:$A$73,0)),"")</f>
        <v/>
      </c>
      <c r="M21" s="150">
        <f>IFERROR(INDEX(NOV!$AY$8:$AY$73,MATCH($A21,NOV!$A$8:$A$73,0)),"")</f>
        <v/>
      </c>
      <c r="N21" s="150">
        <f>IFERROR(INDEX(DEZ!$AY$8:$AY$73,MATCH($A21,DEZ!$A$8:$A$73,0)),"")</f>
        <v/>
      </c>
      <c r="O21" s="151">
        <f>SUM(C21:N21)</f>
        <v/>
      </c>
      <c r="P21" s="39" t="n"/>
      <c r="Q21" s="150">
        <f>IFERROR(INDEX(JAN!$AU$8:$AU$73,MATCH($A21,JAN!$A$8:$A$73,0)),"")</f>
        <v/>
      </c>
      <c r="R21" s="150">
        <f>IFERROR(INDEX(FEV!$AU$8:$AU$73,MATCH($A21,FEV!$A$8:$A$73,0)),"")</f>
        <v/>
      </c>
      <c r="S21" s="150">
        <f>IFERROR(INDEX(MAR!$AU$8:$AU$73,MATCH($A21,MAR!$A$8:$A$73,0)),"")</f>
        <v/>
      </c>
      <c r="T21" s="150">
        <f>IFERROR(INDEX(ABR!$AU$8:$AU$73,MATCH($A21,ABR!$A$8:$A$73,0)),"")</f>
        <v/>
      </c>
      <c r="U21" s="150">
        <f>IFERROR(INDEX(MAI!$AU$8:$AU$73,MATCH($A21,MAI!$A$8:$A$73,0)),"")</f>
        <v/>
      </c>
      <c r="V21" s="150">
        <f>IFERROR(INDEX(JUN!$AU$8:$AU$73,MATCH($A21,JUN!$A$8:$A$73,0)),"")</f>
        <v/>
      </c>
      <c r="W21" s="150">
        <f>IFERROR(INDEX(JUL!$AU$8:$AU$73,MATCH($A21,JUL!$A$8:$A$73,0)),"")</f>
        <v/>
      </c>
      <c r="X21" s="150">
        <f>IFERROR(INDEX(AGO!$AU$8:$AU$73,MATCH($A21,AGO!$A$8:$A$73,0)),"")</f>
        <v/>
      </c>
      <c r="Y21" s="150">
        <f>IFERROR(INDEX(SET!$AU$8:$AU$73,MATCH($A21,SET!$A$8:$A$73,0)),"")</f>
        <v/>
      </c>
      <c r="Z21" s="150">
        <f>IFERROR(INDEX(OUT!$AU$8:$AU$73,MATCH($A21,OUT!$A$8:$A$73,0)),"")</f>
        <v/>
      </c>
      <c r="AA21" s="150">
        <f>IFERROR(INDEX(NOV!$AU$8:$AU$73,MATCH($A21,NOV!$A$8:$A$73,0)),"")</f>
        <v/>
      </c>
      <c r="AB21" s="150">
        <f>IFERROR(INDEX(DEZ!$AU$8:$AU$73,MATCH($A21,DEZ!$A$8:$A$73,0)),"")</f>
        <v/>
      </c>
      <c r="AC21" s="151">
        <f>SUM(Q21:AB21)</f>
        <v/>
      </c>
      <c r="AD21" s="39" t="n"/>
      <c r="AE21" s="150">
        <f>IFERROR(INDEX(JAN!$AV$8:$AV$73,MATCH($A21,JAN!$A$8:$A$73,0)),"")</f>
        <v/>
      </c>
      <c r="AF21" s="150">
        <f>IFERROR(INDEX(FEV!$AV$8:$AV$73,MATCH($A21,FEV!$A$8:$A$73,0)),"")</f>
        <v/>
      </c>
      <c r="AG21" s="150">
        <f>IFERROR(INDEX(MAR!$AV$8:$AV$73,MATCH($A21,MAR!$A$8:$A$73,0)),"")</f>
        <v/>
      </c>
      <c r="AH21" s="150">
        <f>IFERROR(INDEX(ABR!$AV$8:$AV$73,MATCH($A21,ABR!$A$8:$A$73,0)),"")</f>
        <v/>
      </c>
      <c r="AI21" s="150">
        <f>IFERROR(INDEX(MAI!$AV$8:$AV$73,MATCH($A21,MAI!$A$8:$A$73,0)),"")</f>
        <v/>
      </c>
      <c r="AJ21" s="150">
        <f>IFERROR(INDEX(JUN!$AV$8:$AV$73,MATCH($A21,JUN!$A$8:$A$73,0)),"")</f>
        <v/>
      </c>
      <c r="AK21" s="150">
        <f>IFERROR(INDEX(JUL!$AV$8:$AV$73,MATCH($A21,JUL!$A$8:$A$73,0)),"")</f>
        <v/>
      </c>
      <c r="AL21" s="150">
        <f>IFERROR(INDEX(AGO!$AV$8:$AV$73,MATCH($A21,AGO!$A$8:$A$73,0)),"")</f>
        <v/>
      </c>
      <c r="AM21" s="150">
        <f>IFERROR(INDEX(SET!$AV$8:$AV$73,MATCH($A21,SET!$A$8:$A$73,0)),"")</f>
        <v/>
      </c>
      <c r="AN21" s="150">
        <f>IFERROR(INDEX(OUT!$AV$8:$AV$73,MATCH($A21,OUT!$A$8:$A$73,0)),"")</f>
        <v/>
      </c>
      <c r="AO21" s="150">
        <f>IFERROR(INDEX(NOV!$AV$8:$AV$73,MATCH($A21,NOV!$A$8:$A$73,0)),"")</f>
        <v/>
      </c>
      <c r="AP21" s="150">
        <f>IFERROR(INDEX(DEZ!$AV$8:$AV$73,MATCH($A21,DEZ!$A$8:$A$73,0)),"")</f>
        <v/>
      </c>
      <c r="AQ21" s="151">
        <f>SUM(AE21:AP21)</f>
        <v/>
      </c>
      <c r="AR21" s="39" t="n"/>
      <c r="AS21" s="150">
        <f>IFERROR(INDEX(JAN!$AW$8:$AW$73,MATCH($A21,JAN!$A$8:$A$73,0)),"")</f>
        <v/>
      </c>
      <c r="AT21" s="150">
        <f>IFERROR(INDEX(FEV!$AW$8:$AW$73,MATCH($A21,FEV!$A$8:$A$73,0)),"")</f>
        <v/>
      </c>
      <c r="AU21" s="150">
        <f>IFERROR(INDEX(MAR!$AW$8:$AW$73,MATCH($A21,MAR!$A$8:$A$73,0)),"")</f>
        <v/>
      </c>
      <c r="AV21" s="150">
        <f>IFERROR(INDEX(ABR!$AW$8:$AW$73,MATCH($A21,ABR!$A$8:$A$73,0)),"")</f>
        <v/>
      </c>
      <c r="AW21" s="150">
        <f>IFERROR(INDEX(MAI!$AW$8:$AW$73,MATCH($A21,MAI!$A$8:$A$73,0)),"")</f>
        <v/>
      </c>
      <c r="AX21" s="150">
        <f>IFERROR(INDEX(JUN!$AW$8:$AW$73,MATCH($A21,JUN!$A$8:$A$73,0)),"")</f>
        <v/>
      </c>
      <c r="AY21" s="150">
        <f>IFERROR(INDEX(JUL!$AW$8:$AW$73,MATCH($A21,JUL!$A$8:$A$73,0)),"")</f>
        <v/>
      </c>
      <c r="AZ21" s="150">
        <f>IFERROR(INDEX(AGO!$AW$8:$AW$73,MATCH($A21,AGO!$A$8:$A$73,0)),"")</f>
        <v/>
      </c>
      <c r="BA21" s="150">
        <f>IFERROR(INDEX(SET!$AW$8:$AW$73,MATCH($A21,SET!$A$8:$A$73,0)),"")</f>
        <v/>
      </c>
      <c r="BB21" s="150">
        <f>IFERROR(INDEX(OUT!$AW$8:$AW$73,MATCH($A21,OUT!$A$8:$A$73,0)),"")</f>
        <v/>
      </c>
      <c r="BC21" s="150">
        <f>IFERROR(INDEX(NOV!$AW$8:$AW$73,MATCH($A21,NOV!$A$8:$A$73,0)),"")</f>
        <v/>
      </c>
      <c r="BD21" s="150">
        <f>IFERROR(INDEX(DEZ!$AW$8:$AW$73,MATCH($A21,DEZ!$A$8:$A$73,0)),"")</f>
        <v/>
      </c>
      <c r="BE21" s="151">
        <f>SUM(AS21:BD21)</f>
        <v/>
      </c>
      <c r="BF21" s="39" t="n"/>
      <c r="BG21" s="102" t="n">
        <v>5</v>
      </c>
      <c r="BH21" s="120">
        <f>SUM(AE21:AP21)</f>
        <v/>
      </c>
      <c r="BI21" s="152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3">
        <f>CADASTRO!$C18</f>
        <v/>
      </c>
      <c r="C22" s="150">
        <f>IFERROR(INDEX(JAN!$AY$8:$AY$73,MATCH($A22,JAN!$A$8:$A$73,0)),"")</f>
        <v/>
      </c>
      <c r="D22" s="150">
        <f>IFERROR(INDEX(FEV!$AY$8:$AY$73,MATCH($A22,FEV!$A$8:$A$73,0)),"")</f>
        <v/>
      </c>
      <c r="E22" s="150">
        <f>IFERROR(INDEX(MAR!$AY$8:$AY$73,MATCH($A22,MAR!$A$8:$A$73,0)),"")</f>
        <v/>
      </c>
      <c r="F22" s="150">
        <f>IFERROR(INDEX(ABR!$AY$8:$AY$73,MATCH($A22,ABR!$A$8:$A$73,0)),"")</f>
        <v/>
      </c>
      <c r="G22" s="150">
        <f>IFERROR(INDEX(MAI!$AY$8:$AY$73,MATCH($A22,MAI!$A$8:$A$73,0)),"")</f>
        <v/>
      </c>
      <c r="H22" s="150">
        <f>IFERROR(INDEX(JUN!$AY$8:$AY$73,MATCH($A22,JUN!$A$8:$A$73,0)),"")</f>
        <v/>
      </c>
      <c r="I22" s="150">
        <f>IFERROR(INDEX(JUL!$AY$8:$AY$73,MATCH($A22,JUL!$A$8:$A$73,0)),"")</f>
        <v/>
      </c>
      <c r="J22" s="150">
        <f>IFERROR(INDEX(AGO!$AY$8:$AY$73,MATCH($A22,AGO!$A$8:$A$73,0)),"")</f>
        <v/>
      </c>
      <c r="K22" s="150">
        <f>IFERROR(INDEX(SET!$AY$8:$AY$73,MATCH($A22,SET!$A$8:$A$73,0)),"")</f>
        <v/>
      </c>
      <c r="L22" s="150">
        <f>IFERROR(INDEX(OUT!$AY$8:$AY$73,MATCH($A22,OUT!$A$8:$A$73,0)),"")</f>
        <v/>
      </c>
      <c r="M22" s="150">
        <f>IFERROR(INDEX(NOV!$AY$8:$AY$73,MATCH($A22,NOV!$A$8:$A$73,0)),"")</f>
        <v/>
      </c>
      <c r="N22" s="150">
        <f>IFERROR(INDEX(DEZ!$AY$8:$AY$73,MATCH($A22,DEZ!$A$8:$A$73,0)),"")</f>
        <v/>
      </c>
      <c r="O22" s="151">
        <f>SUM(C22:N22)</f>
        <v/>
      </c>
      <c r="P22" s="39" t="n"/>
      <c r="Q22" s="150">
        <f>IFERROR(INDEX(JAN!$AU$8:$AU$73,MATCH($A22,JAN!$A$8:$A$73,0)),"")</f>
        <v/>
      </c>
      <c r="R22" s="150">
        <f>IFERROR(INDEX(FEV!$AU$8:$AU$73,MATCH($A22,FEV!$A$8:$A$73,0)),"")</f>
        <v/>
      </c>
      <c r="S22" s="150">
        <f>IFERROR(INDEX(MAR!$AU$8:$AU$73,MATCH($A22,MAR!$A$8:$A$73,0)),"")</f>
        <v/>
      </c>
      <c r="T22" s="150">
        <f>IFERROR(INDEX(ABR!$AU$8:$AU$73,MATCH($A22,ABR!$A$8:$A$73,0)),"")</f>
        <v/>
      </c>
      <c r="U22" s="150">
        <f>IFERROR(INDEX(MAI!$AU$8:$AU$73,MATCH($A22,MAI!$A$8:$A$73,0)),"")</f>
        <v/>
      </c>
      <c r="V22" s="150">
        <f>IFERROR(INDEX(JUN!$AU$8:$AU$73,MATCH($A22,JUN!$A$8:$A$73,0)),"")</f>
        <v/>
      </c>
      <c r="W22" s="150">
        <f>IFERROR(INDEX(JUL!$AU$8:$AU$73,MATCH($A22,JUL!$A$8:$A$73,0)),"")</f>
        <v/>
      </c>
      <c r="X22" s="150">
        <f>IFERROR(INDEX(AGO!$AU$8:$AU$73,MATCH($A22,AGO!$A$8:$A$73,0)),"")</f>
        <v/>
      </c>
      <c r="Y22" s="150">
        <f>IFERROR(INDEX(SET!$AU$8:$AU$73,MATCH($A22,SET!$A$8:$A$73,0)),"")</f>
        <v/>
      </c>
      <c r="Z22" s="150">
        <f>IFERROR(INDEX(OUT!$AU$8:$AU$73,MATCH($A22,OUT!$A$8:$A$73,0)),"")</f>
        <v/>
      </c>
      <c r="AA22" s="150">
        <f>IFERROR(INDEX(NOV!$AU$8:$AU$73,MATCH($A22,NOV!$A$8:$A$73,0)),"")</f>
        <v/>
      </c>
      <c r="AB22" s="150">
        <f>IFERROR(INDEX(DEZ!$AU$8:$AU$73,MATCH($A22,DEZ!$A$8:$A$73,0)),"")</f>
        <v/>
      </c>
      <c r="AC22" s="151">
        <f>SUM(Q22:AB22)</f>
        <v/>
      </c>
      <c r="AD22" s="39" t="n"/>
      <c r="AE22" s="150">
        <f>IFERROR(INDEX(JAN!$AV$8:$AV$73,MATCH($A22,JAN!$A$8:$A$73,0)),"")</f>
        <v/>
      </c>
      <c r="AF22" s="150">
        <f>IFERROR(INDEX(FEV!$AV$8:$AV$73,MATCH($A22,FEV!$A$8:$A$73,0)),"")</f>
        <v/>
      </c>
      <c r="AG22" s="150">
        <f>IFERROR(INDEX(MAR!$AV$8:$AV$73,MATCH($A22,MAR!$A$8:$A$73,0)),"")</f>
        <v/>
      </c>
      <c r="AH22" s="150">
        <f>IFERROR(INDEX(ABR!$AV$8:$AV$73,MATCH($A22,ABR!$A$8:$A$73,0)),"")</f>
        <v/>
      </c>
      <c r="AI22" s="150">
        <f>IFERROR(INDEX(MAI!$AV$8:$AV$73,MATCH($A22,MAI!$A$8:$A$73,0)),"")</f>
        <v/>
      </c>
      <c r="AJ22" s="150">
        <f>IFERROR(INDEX(JUN!$AV$8:$AV$73,MATCH($A22,JUN!$A$8:$A$73,0)),"")</f>
        <v/>
      </c>
      <c r="AK22" s="150">
        <f>IFERROR(INDEX(JUL!$AV$8:$AV$73,MATCH($A22,JUL!$A$8:$A$73,0)),"")</f>
        <v/>
      </c>
      <c r="AL22" s="150">
        <f>IFERROR(INDEX(AGO!$AV$8:$AV$73,MATCH($A22,AGO!$A$8:$A$73,0)),"")</f>
        <v/>
      </c>
      <c r="AM22" s="150">
        <f>IFERROR(INDEX(SET!$AV$8:$AV$73,MATCH($A22,SET!$A$8:$A$73,0)),"")</f>
        <v/>
      </c>
      <c r="AN22" s="150">
        <f>IFERROR(INDEX(OUT!$AV$8:$AV$73,MATCH($A22,OUT!$A$8:$A$73,0)),"")</f>
        <v/>
      </c>
      <c r="AO22" s="150">
        <f>IFERROR(INDEX(NOV!$AV$8:$AV$73,MATCH($A22,NOV!$A$8:$A$73,0)),"")</f>
        <v/>
      </c>
      <c r="AP22" s="150">
        <f>IFERROR(INDEX(DEZ!$AV$8:$AV$73,MATCH($A22,DEZ!$A$8:$A$73,0)),"")</f>
        <v/>
      </c>
      <c r="AQ22" s="151">
        <f>SUM(AE22:AP22)</f>
        <v/>
      </c>
      <c r="AR22" s="39" t="n"/>
      <c r="AS22" s="150">
        <f>IFERROR(INDEX(JAN!$AW$8:$AW$73,MATCH($A22,JAN!$A$8:$A$73,0)),"")</f>
        <v/>
      </c>
      <c r="AT22" s="150">
        <f>IFERROR(INDEX(FEV!$AW$8:$AW$73,MATCH($A22,FEV!$A$8:$A$73,0)),"")</f>
        <v/>
      </c>
      <c r="AU22" s="150">
        <f>IFERROR(INDEX(MAR!$AW$8:$AW$73,MATCH($A22,MAR!$A$8:$A$73,0)),"")</f>
        <v/>
      </c>
      <c r="AV22" s="150">
        <f>IFERROR(INDEX(ABR!$AW$8:$AW$73,MATCH($A22,ABR!$A$8:$A$73,0)),"")</f>
        <v/>
      </c>
      <c r="AW22" s="150">
        <f>IFERROR(INDEX(MAI!$AW$8:$AW$73,MATCH($A22,MAI!$A$8:$A$73,0)),"")</f>
        <v/>
      </c>
      <c r="AX22" s="150">
        <f>IFERROR(INDEX(JUN!$AW$8:$AW$73,MATCH($A22,JUN!$A$8:$A$73,0)),"")</f>
        <v/>
      </c>
      <c r="AY22" s="150">
        <f>IFERROR(INDEX(JUL!$AW$8:$AW$73,MATCH($A22,JUL!$A$8:$A$73,0)),"")</f>
        <v/>
      </c>
      <c r="AZ22" s="150">
        <f>IFERROR(INDEX(AGO!$AW$8:$AW$73,MATCH($A22,AGO!$A$8:$A$73,0)),"")</f>
        <v/>
      </c>
      <c r="BA22" s="150">
        <f>IFERROR(INDEX(SET!$AW$8:$AW$73,MATCH($A22,SET!$A$8:$A$73,0)),"")</f>
        <v/>
      </c>
      <c r="BB22" s="150">
        <f>IFERROR(INDEX(OUT!$AW$8:$AW$73,MATCH($A22,OUT!$A$8:$A$73,0)),"")</f>
        <v/>
      </c>
      <c r="BC22" s="150">
        <f>IFERROR(INDEX(NOV!$AW$8:$AW$73,MATCH($A22,NOV!$A$8:$A$73,0)),"")</f>
        <v/>
      </c>
      <c r="BD22" s="150">
        <f>IFERROR(INDEX(DEZ!$AW$8:$AW$73,MATCH($A22,DEZ!$A$8:$A$73,0)),"")</f>
        <v/>
      </c>
      <c r="BE22" s="151">
        <f>SUM(AS22:BD22)</f>
        <v/>
      </c>
      <c r="BF22" s="39" t="n"/>
      <c r="BG22" s="102" t="n">
        <v>5</v>
      </c>
      <c r="BH22" s="120">
        <f>SUM(AE22:AP22)</f>
        <v/>
      </c>
      <c r="BI22" s="152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3">
        <f>CADASTRO!$C19</f>
        <v/>
      </c>
      <c r="C23" s="150">
        <f>IFERROR(INDEX(JAN!$AY$8:$AY$73,MATCH($A23,JAN!$A$8:$A$73,0)),"")</f>
        <v/>
      </c>
      <c r="D23" s="150">
        <f>IFERROR(INDEX(FEV!$AY$8:$AY$73,MATCH($A23,FEV!$A$8:$A$73,0)),"")</f>
        <v/>
      </c>
      <c r="E23" s="150">
        <f>IFERROR(INDEX(MAR!$AY$8:$AY$73,MATCH($A23,MAR!$A$8:$A$73,0)),"")</f>
        <v/>
      </c>
      <c r="F23" s="150">
        <f>IFERROR(INDEX(ABR!$AY$8:$AY$73,MATCH($A23,ABR!$A$8:$A$73,0)),"")</f>
        <v/>
      </c>
      <c r="G23" s="150">
        <f>IFERROR(INDEX(MAI!$AY$8:$AY$73,MATCH($A23,MAI!$A$8:$A$73,0)),"")</f>
        <v/>
      </c>
      <c r="H23" s="150">
        <f>IFERROR(INDEX(JUN!$AY$8:$AY$73,MATCH($A23,JUN!$A$8:$A$73,0)),"")</f>
        <v/>
      </c>
      <c r="I23" s="150">
        <f>IFERROR(INDEX(JUL!$AY$8:$AY$73,MATCH($A23,JUL!$A$8:$A$73,0)),"")</f>
        <v/>
      </c>
      <c r="J23" s="150">
        <f>IFERROR(INDEX(AGO!$AY$8:$AY$73,MATCH($A23,AGO!$A$8:$A$73,0)),"")</f>
        <v/>
      </c>
      <c r="K23" s="150">
        <f>IFERROR(INDEX(SET!$AY$8:$AY$73,MATCH($A23,SET!$A$8:$A$73,0)),"")</f>
        <v/>
      </c>
      <c r="L23" s="150">
        <f>IFERROR(INDEX(OUT!$AY$8:$AY$73,MATCH($A23,OUT!$A$8:$A$73,0)),"")</f>
        <v/>
      </c>
      <c r="M23" s="150">
        <f>IFERROR(INDEX(NOV!$AY$8:$AY$73,MATCH($A23,NOV!$A$8:$A$73,0)),"")</f>
        <v/>
      </c>
      <c r="N23" s="150">
        <f>IFERROR(INDEX(DEZ!$AY$8:$AY$73,MATCH($A23,DEZ!$A$8:$A$73,0)),"")</f>
        <v/>
      </c>
      <c r="O23" s="151">
        <f>SUM(C23:N23)</f>
        <v/>
      </c>
      <c r="P23" s="39" t="n"/>
      <c r="Q23" s="150">
        <f>IFERROR(INDEX(JAN!$AU$8:$AU$73,MATCH($A23,JAN!$A$8:$A$73,0)),"")</f>
        <v/>
      </c>
      <c r="R23" s="150">
        <f>IFERROR(INDEX(FEV!$AU$8:$AU$73,MATCH($A23,FEV!$A$8:$A$73,0)),"")</f>
        <v/>
      </c>
      <c r="S23" s="150">
        <f>IFERROR(INDEX(MAR!$AU$8:$AU$73,MATCH($A23,MAR!$A$8:$A$73,0)),"")</f>
        <v/>
      </c>
      <c r="T23" s="150">
        <f>IFERROR(INDEX(ABR!$AU$8:$AU$73,MATCH($A23,ABR!$A$8:$A$73,0)),"")</f>
        <v/>
      </c>
      <c r="U23" s="150">
        <f>IFERROR(INDEX(MAI!$AU$8:$AU$73,MATCH($A23,MAI!$A$8:$A$73,0)),"")</f>
        <v/>
      </c>
      <c r="V23" s="150">
        <f>IFERROR(INDEX(JUN!$AU$8:$AU$73,MATCH($A23,JUN!$A$8:$A$73,0)),"")</f>
        <v/>
      </c>
      <c r="W23" s="150">
        <f>IFERROR(INDEX(JUL!$AU$8:$AU$73,MATCH($A23,JUL!$A$8:$A$73,0)),"")</f>
        <v/>
      </c>
      <c r="X23" s="150">
        <f>IFERROR(INDEX(AGO!$AU$8:$AU$73,MATCH($A23,AGO!$A$8:$A$73,0)),"")</f>
        <v/>
      </c>
      <c r="Y23" s="150">
        <f>IFERROR(INDEX(SET!$AU$8:$AU$73,MATCH($A23,SET!$A$8:$A$73,0)),"")</f>
        <v/>
      </c>
      <c r="Z23" s="150">
        <f>IFERROR(INDEX(OUT!$AU$8:$AU$73,MATCH($A23,OUT!$A$8:$A$73,0)),"")</f>
        <v/>
      </c>
      <c r="AA23" s="150">
        <f>IFERROR(INDEX(NOV!$AU$8:$AU$73,MATCH($A23,NOV!$A$8:$A$73,0)),"")</f>
        <v/>
      </c>
      <c r="AB23" s="150">
        <f>IFERROR(INDEX(DEZ!$AU$8:$AU$73,MATCH($A23,DEZ!$A$8:$A$73,0)),"")</f>
        <v/>
      </c>
      <c r="AC23" s="151">
        <f>SUM(Q23:AB23)</f>
        <v/>
      </c>
      <c r="AD23" s="39" t="n"/>
      <c r="AE23" s="150">
        <f>IFERROR(INDEX(JAN!$AV$8:$AV$73,MATCH($A23,JAN!$A$8:$A$73,0)),"")</f>
        <v/>
      </c>
      <c r="AF23" s="150">
        <f>IFERROR(INDEX(FEV!$AV$8:$AV$73,MATCH($A23,FEV!$A$8:$A$73,0)),"")</f>
        <v/>
      </c>
      <c r="AG23" s="150">
        <f>IFERROR(INDEX(MAR!$AV$8:$AV$73,MATCH($A23,MAR!$A$8:$A$73,0)),"")</f>
        <v/>
      </c>
      <c r="AH23" s="150">
        <f>IFERROR(INDEX(ABR!$AV$8:$AV$73,MATCH($A23,ABR!$A$8:$A$73,0)),"")</f>
        <v/>
      </c>
      <c r="AI23" s="150">
        <f>IFERROR(INDEX(MAI!$AV$8:$AV$73,MATCH($A23,MAI!$A$8:$A$73,0)),"")</f>
        <v/>
      </c>
      <c r="AJ23" s="150">
        <f>IFERROR(INDEX(JUN!$AV$8:$AV$73,MATCH($A23,JUN!$A$8:$A$73,0)),"")</f>
        <v/>
      </c>
      <c r="AK23" s="150">
        <f>IFERROR(INDEX(JUL!$AV$8:$AV$73,MATCH($A23,JUL!$A$8:$A$73,0)),"")</f>
        <v/>
      </c>
      <c r="AL23" s="150">
        <f>IFERROR(INDEX(AGO!$AV$8:$AV$73,MATCH($A23,AGO!$A$8:$A$73,0)),"")</f>
        <v/>
      </c>
      <c r="AM23" s="150">
        <f>IFERROR(INDEX(SET!$AV$8:$AV$73,MATCH($A23,SET!$A$8:$A$73,0)),"")</f>
        <v/>
      </c>
      <c r="AN23" s="150">
        <f>IFERROR(INDEX(OUT!$AV$8:$AV$73,MATCH($A23,OUT!$A$8:$A$73,0)),"")</f>
        <v/>
      </c>
      <c r="AO23" s="150">
        <f>IFERROR(INDEX(NOV!$AV$8:$AV$73,MATCH($A23,NOV!$A$8:$A$73,0)),"")</f>
        <v/>
      </c>
      <c r="AP23" s="150">
        <f>IFERROR(INDEX(DEZ!$AV$8:$AV$73,MATCH($A23,DEZ!$A$8:$A$73,0)),"")</f>
        <v/>
      </c>
      <c r="AQ23" s="151">
        <f>SUM(AE23:AP23)</f>
        <v/>
      </c>
      <c r="AR23" s="39" t="n"/>
      <c r="AS23" s="150">
        <f>IFERROR(INDEX(JAN!$AW$8:$AW$73,MATCH($A23,JAN!$A$8:$A$73,0)),"")</f>
        <v/>
      </c>
      <c r="AT23" s="150">
        <f>IFERROR(INDEX(FEV!$AW$8:$AW$73,MATCH($A23,FEV!$A$8:$A$73,0)),"")</f>
        <v/>
      </c>
      <c r="AU23" s="150">
        <f>IFERROR(INDEX(MAR!$AW$8:$AW$73,MATCH($A23,MAR!$A$8:$A$73,0)),"")</f>
        <v/>
      </c>
      <c r="AV23" s="150">
        <f>IFERROR(INDEX(ABR!$AW$8:$AW$73,MATCH($A23,ABR!$A$8:$A$73,0)),"")</f>
        <v/>
      </c>
      <c r="AW23" s="150">
        <f>IFERROR(INDEX(MAI!$AW$8:$AW$73,MATCH($A23,MAI!$A$8:$A$73,0)),"")</f>
        <v/>
      </c>
      <c r="AX23" s="150">
        <f>IFERROR(INDEX(JUN!$AW$8:$AW$73,MATCH($A23,JUN!$A$8:$A$73,0)),"")</f>
        <v/>
      </c>
      <c r="AY23" s="150">
        <f>IFERROR(INDEX(JUL!$AW$8:$AW$73,MATCH($A23,JUL!$A$8:$A$73,0)),"")</f>
        <v/>
      </c>
      <c r="AZ23" s="150">
        <f>IFERROR(INDEX(AGO!$AW$8:$AW$73,MATCH($A23,AGO!$A$8:$A$73,0)),"")</f>
        <v/>
      </c>
      <c r="BA23" s="150">
        <f>IFERROR(INDEX(SET!$AW$8:$AW$73,MATCH($A23,SET!$A$8:$A$73,0)),"")</f>
        <v/>
      </c>
      <c r="BB23" s="150">
        <f>IFERROR(INDEX(OUT!$AW$8:$AW$73,MATCH($A23,OUT!$A$8:$A$73,0)),"")</f>
        <v/>
      </c>
      <c r="BC23" s="150">
        <f>IFERROR(INDEX(NOV!$AW$8:$AW$73,MATCH($A23,NOV!$A$8:$A$73,0)),"")</f>
        <v/>
      </c>
      <c r="BD23" s="150">
        <f>IFERROR(INDEX(DEZ!$AW$8:$AW$73,MATCH($A23,DEZ!$A$8:$A$73,0)),"")</f>
        <v/>
      </c>
      <c r="BE23" s="151">
        <f>SUM(AS23:BD23)</f>
        <v/>
      </c>
      <c r="BF23" s="39" t="n"/>
      <c r="BG23" s="102" t="n">
        <v>0</v>
      </c>
      <c r="BH23" s="120">
        <f>SUM(AE23:AP23)</f>
        <v/>
      </c>
      <c r="BI23" s="152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3">
        <f>CADASTRO!$C20</f>
        <v/>
      </c>
      <c r="C24" s="150">
        <f>IFERROR(INDEX(JAN!$AY$8:$AY$73,MATCH($A24,JAN!$A$8:$A$73,0)),"")</f>
        <v/>
      </c>
      <c r="D24" s="150">
        <f>IFERROR(INDEX(FEV!$AY$8:$AY$73,MATCH($A24,FEV!$A$8:$A$73,0)),"")</f>
        <v/>
      </c>
      <c r="E24" s="150">
        <f>IFERROR(INDEX(MAR!$AY$8:$AY$73,MATCH($A24,MAR!$A$8:$A$73,0)),"")</f>
        <v/>
      </c>
      <c r="F24" s="150">
        <f>IFERROR(INDEX(ABR!$AY$8:$AY$73,MATCH($A24,ABR!$A$8:$A$73,0)),"")</f>
        <v/>
      </c>
      <c r="G24" s="150">
        <f>IFERROR(INDEX(MAI!$AY$8:$AY$73,MATCH($A24,MAI!$A$8:$A$73,0)),"")</f>
        <v/>
      </c>
      <c r="H24" s="150">
        <f>IFERROR(INDEX(JUN!$AY$8:$AY$73,MATCH($A24,JUN!$A$8:$A$73,0)),"")</f>
        <v/>
      </c>
      <c r="I24" s="150">
        <f>IFERROR(INDEX(JUL!$AY$8:$AY$73,MATCH($A24,JUL!$A$8:$A$73,0)),"")</f>
        <v/>
      </c>
      <c r="J24" s="150">
        <f>IFERROR(INDEX(AGO!$AY$8:$AY$73,MATCH($A24,AGO!$A$8:$A$73,0)),"")</f>
        <v/>
      </c>
      <c r="K24" s="150">
        <f>IFERROR(INDEX(SET!$AY$8:$AY$73,MATCH($A24,SET!$A$8:$A$73,0)),"")</f>
        <v/>
      </c>
      <c r="L24" s="150">
        <f>IFERROR(INDEX(OUT!$AY$8:$AY$73,MATCH($A24,OUT!$A$8:$A$73,0)),"")</f>
        <v/>
      </c>
      <c r="M24" s="150">
        <f>IFERROR(INDEX(NOV!$AY$8:$AY$73,MATCH($A24,NOV!$A$8:$A$73,0)),"")</f>
        <v/>
      </c>
      <c r="N24" s="150">
        <f>IFERROR(INDEX(DEZ!$AY$8:$AY$73,MATCH($A24,DEZ!$A$8:$A$73,0)),"")</f>
        <v/>
      </c>
      <c r="O24" s="151">
        <f>SUM(C24:N24)</f>
        <v/>
      </c>
      <c r="P24" s="39" t="n"/>
      <c r="Q24" s="150">
        <f>IFERROR(INDEX(JAN!$AU$8:$AU$73,MATCH($A24,JAN!$A$8:$A$73,0)),"")</f>
        <v/>
      </c>
      <c r="R24" s="150">
        <f>IFERROR(INDEX(FEV!$AU$8:$AU$73,MATCH($A24,FEV!$A$8:$A$73,0)),"")</f>
        <v/>
      </c>
      <c r="S24" s="150">
        <f>IFERROR(INDEX(MAR!$AU$8:$AU$73,MATCH($A24,MAR!$A$8:$A$73,0)),"")</f>
        <v/>
      </c>
      <c r="T24" s="150">
        <f>IFERROR(INDEX(ABR!$AU$8:$AU$73,MATCH($A24,ABR!$A$8:$A$73,0)),"")</f>
        <v/>
      </c>
      <c r="U24" s="150">
        <f>IFERROR(INDEX(MAI!$AU$8:$AU$73,MATCH($A24,MAI!$A$8:$A$73,0)),"")</f>
        <v/>
      </c>
      <c r="V24" s="150">
        <f>IFERROR(INDEX(JUN!$AU$8:$AU$73,MATCH($A24,JUN!$A$8:$A$73,0)),"")</f>
        <v/>
      </c>
      <c r="W24" s="150">
        <f>IFERROR(INDEX(JUL!$AU$8:$AU$73,MATCH($A24,JUL!$A$8:$A$73,0)),"")</f>
        <v/>
      </c>
      <c r="X24" s="150">
        <f>IFERROR(INDEX(AGO!$AU$8:$AU$73,MATCH($A24,AGO!$A$8:$A$73,0)),"")</f>
        <v/>
      </c>
      <c r="Y24" s="150">
        <f>IFERROR(INDEX(SET!$AU$8:$AU$73,MATCH($A24,SET!$A$8:$A$73,0)),"")</f>
        <v/>
      </c>
      <c r="Z24" s="150">
        <f>IFERROR(INDEX(OUT!$AU$8:$AU$73,MATCH($A24,OUT!$A$8:$A$73,0)),"")</f>
        <v/>
      </c>
      <c r="AA24" s="150">
        <f>IFERROR(INDEX(NOV!$AU$8:$AU$73,MATCH($A24,NOV!$A$8:$A$73,0)),"")</f>
        <v/>
      </c>
      <c r="AB24" s="150">
        <f>IFERROR(INDEX(DEZ!$AU$8:$AU$73,MATCH($A24,DEZ!$A$8:$A$73,0)),"")</f>
        <v/>
      </c>
      <c r="AC24" s="151">
        <f>SUM(Q24:AB24)</f>
        <v/>
      </c>
      <c r="AD24" s="39" t="n"/>
      <c r="AE24" s="150">
        <f>IFERROR(INDEX(JAN!$AV$8:$AV$73,MATCH($A24,JAN!$A$8:$A$73,0)),"")</f>
        <v/>
      </c>
      <c r="AF24" s="150">
        <f>IFERROR(INDEX(FEV!$AV$8:$AV$73,MATCH($A24,FEV!$A$8:$A$73,0)),"")</f>
        <v/>
      </c>
      <c r="AG24" s="150">
        <f>IFERROR(INDEX(MAR!$AV$8:$AV$73,MATCH($A24,MAR!$A$8:$A$73,0)),"")</f>
        <v/>
      </c>
      <c r="AH24" s="150">
        <f>IFERROR(INDEX(ABR!$AV$8:$AV$73,MATCH($A24,ABR!$A$8:$A$73,0)),"")</f>
        <v/>
      </c>
      <c r="AI24" s="150">
        <f>IFERROR(INDEX(MAI!$AV$8:$AV$73,MATCH($A24,MAI!$A$8:$A$73,0)),"")</f>
        <v/>
      </c>
      <c r="AJ24" s="150">
        <f>IFERROR(INDEX(JUN!$AV$8:$AV$73,MATCH($A24,JUN!$A$8:$A$73,0)),"")</f>
        <v/>
      </c>
      <c r="AK24" s="150">
        <f>IFERROR(INDEX(JUL!$AV$8:$AV$73,MATCH($A24,JUL!$A$8:$A$73,0)),"")</f>
        <v/>
      </c>
      <c r="AL24" s="150">
        <f>IFERROR(INDEX(AGO!$AV$8:$AV$73,MATCH($A24,AGO!$A$8:$A$73,0)),"")</f>
        <v/>
      </c>
      <c r="AM24" s="150">
        <f>IFERROR(INDEX(SET!$AV$8:$AV$73,MATCH($A24,SET!$A$8:$A$73,0)),"")</f>
        <v/>
      </c>
      <c r="AN24" s="150">
        <f>IFERROR(INDEX(OUT!$AV$8:$AV$73,MATCH($A24,OUT!$A$8:$A$73,0)),"")</f>
        <v/>
      </c>
      <c r="AO24" s="150">
        <f>IFERROR(INDEX(NOV!$AV$8:$AV$73,MATCH($A24,NOV!$A$8:$A$73,0)),"")</f>
        <v/>
      </c>
      <c r="AP24" s="150">
        <f>IFERROR(INDEX(DEZ!$AV$8:$AV$73,MATCH($A24,DEZ!$A$8:$A$73,0)),"")</f>
        <v/>
      </c>
      <c r="AQ24" s="151">
        <f>SUM(AE24:AP24)</f>
        <v/>
      </c>
      <c r="AR24" s="39" t="n"/>
      <c r="AS24" s="150">
        <f>IFERROR(INDEX(JAN!$AW$8:$AW$73,MATCH($A24,JAN!$A$8:$A$73,0)),"")</f>
        <v/>
      </c>
      <c r="AT24" s="150">
        <f>IFERROR(INDEX(FEV!$AW$8:$AW$73,MATCH($A24,FEV!$A$8:$A$73,0)),"")</f>
        <v/>
      </c>
      <c r="AU24" s="150">
        <f>IFERROR(INDEX(MAR!$AW$8:$AW$73,MATCH($A24,MAR!$A$8:$A$73,0)),"")</f>
        <v/>
      </c>
      <c r="AV24" s="150">
        <f>IFERROR(INDEX(ABR!$AW$8:$AW$73,MATCH($A24,ABR!$A$8:$A$73,0)),"")</f>
        <v/>
      </c>
      <c r="AW24" s="150">
        <f>IFERROR(INDEX(MAI!$AW$8:$AW$73,MATCH($A24,MAI!$A$8:$A$73,0)),"")</f>
        <v/>
      </c>
      <c r="AX24" s="150">
        <f>IFERROR(INDEX(JUN!$AW$8:$AW$73,MATCH($A24,JUN!$A$8:$A$73,0)),"")</f>
        <v/>
      </c>
      <c r="AY24" s="150">
        <f>IFERROR(INDEX(JUL!$AW$8:$AW$73,MATCH($A24,JUL!$A$8:$A$73,0)),"")</f>
        <v/>
      </c>
      <c r="AZ24" s="150">
        <f>IFERROR(INDEX(AGO!$AW$8:$AW$73,MATCH($A24,AGO!$A$8:$A$73,0)),"")</f>
        <v/>
      </c>
      <c r="BA24" s="150">
        <f>IFERROR(INDEX(SET!$AW$8:$AW$73,MATCH($A24,SET!$A$8:$A$73,0)),"")</f>
        <v/>
      </c>
      <c r="BB24" s="150">
        <f>IFERROR(INDEX(OUT!$AW$8:$AW$73,MATCH($A24,OUT!$A$8:$A$73,0)),"")</f>
        <v/>
      </c>
      <c r="BC24" s="150">
        <f>IFERROR(INDEX(NOV!$AW$8:$AW$73,MATCH($A24,NOV!$A$8:$A$73,0)),"")</f>
        <v/>
      </c>
      <c r="BD24" s="150">
        <f>IFERROR(INDEX(DEZ!$AW$8:$AW$73,MATCH($A24,DEZ!$A$8:$A$73,0)),"")</f>
        <v/>
      </c>
      <c r="BE24" s="151">
        <f>SUM(AS24:BD24)</f>
        <v/>
      </c>
      <c r="BF24" s="39" t="n"/>
      <c r="BG24" s="102" t="n">
        <v>4</v>
      </c>
      <c r="BH24" s="120">
        <f>SUM(AE24:AP24)</f>
        <v/>
      </c>
      <c r="BI24" s="152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3">
        <f>CADASTRO!$C21</f>
        <v/>
      </c>
      <c r="C25" s="150">
        <f>IFERROR(INDEX(JAN!$AY$8:$AY$73,MATCH($A25,JAN!$A$8:$A$73,0)),"")</f>
        <v/>
      </c>
      <c r="D25" s="150">
        <f>IFERROR(INDEX(FEV!$AY$8:$AY$73,MATCH($A25,FEV!$A$8:$A$73,0)),"")</f>
        <v/>
      </c>
      <c r="E25" s="150">
        <f>IFERROR(INDEX(MAR!$AY$8:$AY$73,MATCH($A25,MAR!$A$8:$A$73,0)),"")</f>
        <v/>
      </c>
      <c r="F25" s="150">
        <f>IFERROR(INDEX(ABR!$AY$8:$AY$73,MATCH($A25,ABR!$A$8:$A$73,0)),"")</f>
        <v/>
      </c>
      <c r="G25" s="150">
        <f>IFERROR(INDEX(MAI!$AY$8:$AY$73,MATCH($A25,MAI!$A$8:$A$73,0)),"")</f>
        <v/>
      </c>
      <c r="H25" s="150">
        <f>IFERROR(INDEX(JUN!$AY$8:$AY$73,MATCH($A25,JUN!$A$8:$A$73,0)),"")</f>
        <v/>
      </c>
      <c r="I25" s="150">
        <f>IFERROR(INDEX(JUL!$AY$8:$AY$73,MATCH($A25,JUL!$A$8:$A$73,0)),"")</f>
        <v/>
      </c>
      <c r="J25" s="150">
        <f>IFERROR(INDEX(AGO!$AY$8:$AY$73,MATCH($A25,AGO!$A$8:$A$73,0)),"")</f>
        <v/>
      </c>
      <c r="K25" s="150">
        <f>IFERROR(INDEX(SET!$AY$8:$AY$73,MATCH($A25,SET!$A$8:$A$73,0)),"")</f>
        <v/>
      </c>
      <c r="L25" s="150">
        <f>IFERROR(INDEX(OUT!$AY$8:$AY$73,MATCH($A25,OUT!$A$8:$A$73,0)),"")</f>
        <v/>
      </c>
      <c r="M25" s="150">
        <f>IFERROR(INDEX(NOV!$AY$8:$AY$73,MATCH($A25,NOV!$A$8:$A$73,0)),"")</f>
        <v/>
      </c>
      <c r="N25" s="150">
        <f>IFERROR(INDEX(DEZ!$AY$8:$AY$73,MATCH($A25,DEZ!$A$8:$A$73,0)),"")</f>
        <v/>
      </c>
      <c r="O25" s="151">
        <f>SUM(C25:N25)</f>
        <v/>
      </c>
      <c r="P25" s="39" t="n"/>
      <c r="Q25" s="150">
        <f>IFERROR(INDEX(JAN!$AU$8:$AU$73,MATCH($A25,JAN!$A$8:$A$73,0)),"")</f>
        <v/>
      </c>
      <c r="R25" s="150">
        <f>IFERROR(INDEX(FEV!$AU$8:$AU$73,MATCH($A25,FEV!$A$8:$A$73,0)),"")</f>
        <v/>
      </c>
      <c r="S25" s="150">
        <f>IFERROR(INDEX(MAR!$AU$8:$AU$73,MATCH($A25,MAR!$A$8:$A$73,0)),"")</f>
        <v/>
      </c>
      <c r="T25" s="150">
        <f>IFERROR(INDEX(ABR!$AU$8:$AU$73,MATCH($A25,ABR!$A$8:$A$73,0)),"")</f>
        <v/>
      </c>
      <c r="U25" s="150">
        <f>IFERROR(INDEX(MAI!$AU$8:$AU$73,MATCH($A25,MAI!$A$8:$A$73,0)),"")</f>
        <v/>
      </c>
      <c r="V25" s="150">
        <f>IFERROR(INDEX(JUN!$AU$8:$AU$73,MATCH($A25,JUN!$A$8:$A$73,0)),"")</f>
        <v/>
      </c>
      <c r="W25" s="150">
        <f>IFERROR(INDEX(JUL!$AU$8:$AU$73,MATCH($A25,JUL!$A$8:$A$73,0)),"")</f>
        <v/>
      </c>
      <c r="X25" s="150">
        <f>IFERROR(INDEX(AGO!$AU$8:$AU$73,MATCH($A25,AGO!$A$8:$A$73,0)),"")</f>
        <v/>
      </c>
      <c r="Y25" s="150">
        <f>IFERROR(INDEX(SET!$AU$8:$AU$73,MATCH($A25,SET!$A$8:$A$73,0)),"")</f>
        <v/>
      </c>
      <c r="Z25" s="150">
        <f>IFERROR(INDEX(OUT!$AU$8:$AU$73,MATCH($A25,OUT!$A$8:$A$73,0)),"")</f>
        <v/>
      </c>
      <c r="AA25" s="150">
        <f>IFERROR(INDEX(NOV!$AU$8:$AU$73,MATCH($A25,NOV!$A$8:$A$73,0)),"")</f>
        <v/>
      </c>
      <c r="AB25" s="150">
        <f>IFERROR(INDEX(DEZ!$AU$8:$AU$73,MATCH($A25,DEZ!$A$8:$A$73,0)),"")</f>
        <v/>
      </c>
      <c r="AC25" s="151">
        <f>SUM(Q25:AB25)</f>
        <v/>
      </c>
      <c r="AD25" s="39" t="n"/>
      <c r="AE25" s="150">
        <f>IFERROR(INDEX(JAN!$AV$8:$AV$73,MATCH($A25,JAN!$A$8:$A$73,0)),"")</f>
        <v/>
      </c>
      <c r="AF25" s="150">
        <f>IFERROR(INDEX(FEV!$AV$8:$AV$73,MATCH($A25,FEV!$A$8:$A$73,0)),"")</f>
        <v/>
      </c>
      <c r="AG25" s="150">
        <f>IFERROR(INDEX(MAR!$AV$8:$AV$73,MATCH($A25,MAR!$A$8:$A$73,0)),"")</f>
        <v/>
      </c>
      <c r="AH25" s="150">
        <f>IFERROR(INDEX(ABR!$AV$8:$AV$73,MATCH($A25,ABR!$A$8:$A$73,0)),"")</f>
        <v/>
      </c>
      <c r="AI25" s="150">
        <f>IFERROR(INDEX(MAI!$AV$8:$AV$73,MATCH($A25,MAI!$A$8:$A$73,0)),"")</f>
        <v/>
      </c>
      <c r="AJ25" s="150">
        <f>IFERROR(INDEX(JUN!$AV$8:$AV$73,MATCH($A25,JUN!$A$8:$A$73,0)),"")</f>
        <v/>
      </c>
      <c r="AK25" s="150">
        <f>IFERROR(INDEX(JUL!$AV$8:$AV$73,MATCH($A25,JUL!$A$8:$A$73,0)),"")</f>
        <v/>
      </c>
      <c r="AL25" s="150">
        <f>IFERROR(INDEX(AGO!$AV$8:$AV$73,MATCH($A25,AGO!$A$8:$A$73,0)),"")</f>
        <v/>
      </c>
      <c r="AM25" s="150">
        <f>IFERROR(INDEX(SET!$AV$8:$AV$73,MATCH($A25,SET!$A$8:$A$73,0)),"")</f>
        <v/>
      </c>
      <c r="AN25" s="150">
        <f>IFERROR(INDEX(OUT!$AV$8:$AV$73,MATCH($A25,OUT!$A$8:$A$73,0)),"")</f>
        <v/>
      </c>
      <c r="AO25" s="150">
        <f>IFERROR(INDEX(NOV!$AV$8:$AV$73,MATCH($A25,NOV!$A$8:$A$73,0)),"")</f>
        <v/>
      </c>
      <c r="AP25" s="150">
        <f>IFERROR(INDEX(DEZ!$AV$8:$AV$73,MATCH($A25,DEZ!$A$8:$A$73,0)),"")</f>
        <v/>
      </c>
      <c r="AQ25" s="151">
        <f>SUM(AE25:AP25)</f>
        <v/>
      </c>
      <c r="AR25" s="39" t="n"/>
      <c r="AS25" s="150">
        <f>IFERROR(INDEX(JAN!$AW$8:$AW$73,MATCH($A25,JAN!$A$8:$A$73,0)),"")</f>
        <v/>
      </c>
      <c r="AT25" s="150">
        <f>IFERROR(INDEX(FEV!$AW$8:$AW$73,MATCH($A25,FEV!$A$8:$A$73,0)),"")</f>
        <v/>
      </c>
      <c r="AU25" s="150">
        <f>IFERROR(INDEX(MAR!$AW$8:$AW$73,MATCH($A25,MAR!$A$8:$A$73,0)),"")</f>
        <v/>
      </c>
      <c r="AV25" s="150">
        <f>IFERROR(INDEX(ABR!$AW$8:$AW$73,MATCH($A25,ABR!$A$8:$A$73,0)),"")</f>
        <v/>
      </c>
      <c r="AW25" s="150">
        <f>IFERROR(INDEX(MAI!$AW$8:$AW$73,MATCH($A25,MAI!$A$8:$A$73,0)),"")</f>
        <v/>
      </c>
      <c r="AX25" s="150">
        <f>IFERROR(INDEX(JUN!$AW$8:$AW$73,MATCH($A25,JUN!$A$8:$A$73,0)),"")</f>
        <v/>
      </c>
      <c r="AY25" s="150">
        <f>IFERROR(INDEX(JUL!$AW$8:$AW$73,MATCH($A25,JUL!$A$8:$A$73,0)),"")</f>
        <v/>
      </c>
      <c r="AZ25" s="150">
        <f>IFERROR(INDEX(AGO!$AW$8:$AW$73,MATCH($A25,AGO!$A$8:$A$73,0)),"")</f>
        <v/>
      </c>
      <c r="BA25" s="150">
        <f>IFERROR(INDEX(SET!$AW$8:$AW$73,MATCH($A25,SET!$A$8:$A$73,0)),"")</f>
        <v/>
      </c>
      <c r="BB25" s="150">
        <f>IFERROR(INDEX(OUT!$AW$8:$AW$73,MATCH($A25,OUT!$A$8:$A$73,0)),"")</f>
        <v/>
      </c>
      <c r="BC25" s="150">
        <f>IFERROR(INDEX(NOV!$AW$8:$AW$73,MATCH($A25,NOV!$A$8:$A$73,0)),"")</f>
        <v/>
      </c>
      <c r="BD25" s="150">
        <f>IFERROR(INDEX(DEZ!$AW$8:$AW$73,MATCH($A25,DEZ!$A$8:$A$73,0)),"")</f>
        <v/>
      </c>
      <c r="BE25" s="151">
        <f>SUM(AS25:BD25)</f>
        <v/>
      </c>
      <c r="BF25" s="39" t="n"/>
      <c r="BG25" s="102" t="n">
        <v>0</v>
      </c>
      <c r="BH25" s="120">
        <f>SUM(AE25:AP25)</f>
        <v/>
      </c>
      <c r="BI25" s="152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3">
        <f>CADASTRO!$C22</f>
        <v/>
      </c>
      <c r="C26" s="150">
        <f>IFERROR(INDEX(JAN!$AY$8:$AY$73,MATCH($A26,JAN!$A$8:$A$73,0)),"")</f>
        <v/>
      </c>
      <c r="D26" s="150">
        <f>IFERROR(INDEX(FEV!$AY$8:$AY$73,MATCH($A26,FEV!$A$8:$A$73,0)),"")</f>
        <v/>
      </c>
      <c r="E26" s="150">
        <f>IFERROR(INDEX(MAR!$AY$8:$AY$73,MATCH($A26,MAR!$A$8:$A$73,0)),"")</f>
        <v/>
      </c>
      <c r="F26" s="150">
        <f>IFERROR(INDEX(ABR!$AY$8:$AY$73,MATCH($A26,ABR!$A$8:$A$73,0)),"")</f>
        <v/>
      </c>
      <c r="G26" s="150">
        <f>IFERROR(INDEX(MAI!$AY$8:$AY$73,MATCH($A26,MAI!$A$8:$A$73,0)),"")</f>
        <v/>
      </c>
      <c r="H26" s="150">
        <f>IFERROR(INDEX(JUN!$AY$8:$AY$73,MATCH($A26,JUN!$A$8:$A$73,0)),"")</f>
        <v/>
      </c>
      <c r="I26" s="150">
        <f>IFERROR(INDEX(JUL!$AY$8:$AY$73,MATCH($A26,JUL!$A$8:$A$73,0)),"")</f>
        <v/>
      </c>
      <c r="J26" s="150">
        <f>IFERROR(INDEX(AGO!$AY$8:$AY$73,MATCH($A26,AGO!$A$8:$A$73,0)),"")</f>
        <v/>
      </c>
      <c r="K26" s="150">
        <f>IFERROR(INDEX(SET!$AY$8:$AY$73,MATCH($A26,SET!$A$8:$A$73,0)),"")</f>
        <v/>
      </c>
      <c r="L26" s="150">
        <f>IFERROR(INDEX(OUT!$AY$8:$AY$73,MATCH($A26,OUT!$A$8:$A$73,0)),"")</f>
        <v/>
      </c>
      <c r="M26" s="150">
        <f>IFERROR(INDEX(NOV!$AY$8:$AY$73,MATCH($A26,NOV!$A$8:$A$73,0)),"")</f>
        <v/>
      </c>
      <c r="N26" s="150">
        <f>IFERROR(INDEX(DEZ!$AY$8:$AY$73,MATCH($A26,DEZ!$A$8:$A$73,0)),"")</f>
        <v/>
      </c>
      <c r="O26" s="151">
        <f>SUM(C26:N26)</f>
        <v/>
      </c>
      <c r="P26" s="39" t="n"/>
      <c r="Q26" s="150">
        <f>IFERROR(INDEX(JAN!$AU$8:$AU$73,MATCH($A26,JAN!$A$8:$A$73,0)),"")</f>
        <v/>
      </c>
      <c r="R26" s="150">
        <f>IFERROR(INDEX(FEV!$AU$8:$AU$73,MATCH($A26,FEV!$A$8:$A$73,0)),"")</f>
        <v/>
      </c>
      <c r="S26" s="150">
        <f>IFERROR(INDEX(MAR!$AU$8:$AU$73,MATCH($A26,MAR!$A$8:$A$73,0)),"")</f>
        <v/>
      </c>
      <c r="T26" s="150">
        <f>IFERROR(INDEX(ABR!$AU$8:$AU$73,MATCH($A26,ABR!$A$8:$A$73,0)),"")</f>
        <v/>
      </c>
      <c r="U26" s="150">
        <f>IFERROR(INDEX(MAI!$AU$8:$AU$73,MATCH($A26,MAI!$A$8:$A$73,0)),"")</f>
        <v/>
      </c>
      <c r="V26" s="150">
        <f>IFERROR(INDEX(JUN!$AU$8:$AU$73,MATCH($A26,JUN!$A$8:$A$73,0)),"")</f>
        <v/>
      </c>
      <c r="W26" s="150">
        <f>IFERROR(INDEX(JUL!$AU$8:$AU$73,MATCH($A26,JUL!$A$8:$A$73,0)),"")</f>
        <v/>
      </c>
      <c r="X26" s="150">
        <f>IFERROR(INDEX(AGO!$AU$8:$AU$73,MATCH($A26,AGO!$A$8:$A$73,0)),"")</f>
        <v/>
      </c>
      <c r="Y26" s="150">
        <f>IFERROR(INDEX(SET!$AU$8:$AU$73,MATCH($A26,SET!$A$8:$A$73,0)),"")</f>
        <v/>
      </c>
      <c r="Z26" s="150">
        <f>IFERROR(INDEX(OUT!$AU$8:$AU$73,MATCH($A26,OUT!$A$8:$A$73,0)),"")</f>
        <v/>
      </c>
      <c r="AA26" s="150">
        <f>IFERROR(INDEX(NOV!$AU$8:$AU$73,MATCH($A26,NOV!$A$8:$A$73,0)),"")</f>
        <v/>
      </c>
      <c r="AB26" s="150">
        <f>IFERROR(INDEX(DEZ!$AU$8:$AU$73,MATCH($A26,DEZ!$A$8:$A$73,0)),"")</f>
        <v/>
      </c>
      <c r="AC26" s="151">
        <f>SUM(Q26:AB26)</f>
        <v/>
      </c>
      <c r="AD26" s="39" t="n"/>
      <c r="AE26" s="150">
        <f>IFERROR(INDEX(JAN!$AV$8:$AV$73,MATCH($A26,JAN!$A$8:$A$73,0)),"")</f>
        <v/>
      </c>
      <c r="AF26" s="150">
        <f>IFERROR(INDEX(FEV!$AV$8:$AV$73,MATCH($A26,FEV!$A$8:$A$73,0)),"")</f>
        <v/>
      </c>
      <c r="AG26" s="150">
        <f>IFERROR(INDEX(MAR!$AV$8:$AV$73,MATCH($A26,MAR!$A$8:$A$73,0)),"")</f>
        <v/>
      </c>
      <c r="AH26" s="150">
        <f>IFERROR(INDEX(ABR!$AV$8:$AV$73,MATCH($A26,ABR!$A$8:$A$73,0)),"")</f>
        <v/>
      </c>
      <c r="AI26" s="150">
        <f>IFERROR(INDEX(MAI!$AV$8:$AV$73,MATCH($A26,MAI!$A$8:$A$73,0)),"")</f>
        <v/>
      </c>
      <c r="AJ26" s="150">
        <f>IFERROR(INDEX(JUN!$AV$8:$AV$73,MATCH($A26,JUN!$A$8:$A$73,0)),"")</f>
        <v/>
      </c>
      <c r="AK26" s="150">
        <f>IFERROR(INDEX(JUL!$AV$8:$AV$73,MATCH($A26,JUL!$A$8:$A$73,0)),"")</f>
        <v/>
      </c>
      <c r="AL26" s="150">
        <f>IFERROR(INDEX(AGO!$AV$8:$AV$73,MATCH($A26,AGO!$A$8:$A$73,0)),"")</f>
        <v/>
      </c>
      <c r="AM26" s="150">
        <f>IFERROR(INDEX(SET!$AV$8:$AV$73,MATCH($A26,SET!$A$8:$A$73,0)),"")</f>
        <v/>
      </c>
      <c r="AN26" s="150">
        <f>IFERROR(INDEX(OUT!$AV$8:$AV$73,MATCH($A26,OUT!$A$8:$A$73,0)),"")</f>
        <v/>
      </c>
      <c r="AO26" s="150">
        <f>IFERROR(INDEX(NOV!$AV$8:$AV$73,MATCH($A26,NOV!$A$8:$A$73,0)),"")</f>
        <v/>
      </c>
      <c r="AP26" s="150">
        <f>IFERROR(INDEX(DEZ!$AV$8:$AV$73,MATCH($A26,DEZ!$A$8:$A$73,0)),"")</f>
        <v/>
      </c>
      <c r="AQ26" s="151">
        <f>SUM(AE26:AP26)</f>
        <v/>
      </c>
      <c r="AR26" s="39" t="n"/>
      <c r="AS26" s="150">
        <f>IFERROR(INDEX(JAN!$AW$8:$AW$73,MATCH($A26,JAN!$A$8:$A$73,0)),"")</f>
        <v/>
      </c>
      <c r="AT26" s="150">
        <f>IFERROR(INDEX(FEV!$AW$8:$AW$73,MATCH($A26,FEV!$A$8:$A$73,0)),"")</f>
        <v/>
      </c>
      <c r="AU26" s="150">
        <f>IFERROR(INDEX(MAR!$AW$8:$AW$73,MATCH($A26,MAR!$A$8:$A$73,0)),"")</f>
        <v/>
      </c>
      <c r="AV26" s="150">
        <f>IFERROR(INDEX(ABR!$AW$8:$AW$73,MATCH($A26,ABR!$A$8:$A$73,0)),"")</f>
        <v/>
      </c>
      <c r="AW26" s="150">
        <f>IFERROR(INDEX(MAI!$AW$8:$AW$73,MATCH($A26,MAI!$A$8:$A$73,0)),"")</f>
        <v/>
      </c>
      <c r="AX26" s="150">
        <f>IFERROR(INDEX(JUN!$AW$8:$AW$73,MATCH($A26,JUN!$A$8:$A$73,0)),"")</f>
        <v/>
      </c>
      <c r="AY26" s="150">
        <f>IFERROR(INDEX(JUL!$AW$8:$AW$73,MATCH($A26,JUL!$A$8:$A$73,0)),"")</f>
        <v/>
      </c>
      <c r="AZ26" s="150">
        <f>IFERROR(INDEX(AGO!$AW$8:$AW$73,MATCH($A26,AGO!$A$8:$A$73,0)),"")</f>
        <v/>
      </c>
      <c r="BA26" s="150">
        <f>IFERROR(INDEX(SET!$AW$8:$AW$73,MATCH($A26,SET!$A$8:$A$73,0)),"")</f>
        <v/>
      </c>
      <c r="BB26" s="150">
        <f>IFERROR(INDEX(OUT!$AW$8:$AW$73,MATCH($A26,OUT!$A$8:$A$73,0)),"")</f>
        <v/>
      </c>
      <c r="BC26" s="150">
        <f>IFERROR(INDEX(NOV!$AW$8:$AW$73,MATCH($A26,NOV!$A$8:$A$73,0)),"")</f>
        <v/>
      </c>
      <c r="BD26" s="150">
        <f>IFERROR(INDEX(DEZ!$AW$8:$AW$73,MATCH($A26,DEZ!$A$8:$A$73,0)),"")</f>
        <v/>
      </c>
      <c r="BE26" s="151">
        <f>SUM(AS26:BD26)</f>
        <v/>
      </c>
      <c r="BF26" s="39" t="n"/>
      <c r="BG26" s="102" t="n">
        <v>3</v>
      </c>
      <c r="BH26" s="120">
        <f>SUM(AE26:AP26)</f>
        <v/>
      </c>
      <c r="BI26" s="152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3">
        <f>CADASTRO!$C23</f>
        <v/>
      </c>
      <c r="C27" s="150">
        <f>IFERROR(INDEX(JAN!$AY$8:$AY$73,MATCH($A27,JAN!$A$8:$A$73,0)),"")</f>
        <v/>
      </c>
      <c r="D27" s="150">
        <f>IFERROR(INDEX(FEV!$AY$8:$AY$73,MATCH($A27,FEV!$A$8:$A$73,0)),"")</f>
        <v/>
      </c>
      <c r="E27" s="150">
        <f>IFERROR(INDEX(MAR!$AY$8:$AY$73,MATCH($A27,MAR!$A$8:$A$73,0)),"")</f>
        <v/>
      </c>
      <c r="F27" s="150">
        <f>IFERROR(INDEX(ABR!$AY$8:$AY$73,MATCH($A27,ABR!$A$8:$A$73,0)),"")</f>
        <v/>
      </c>
      <c r="G27" s="150">
        <f>IFERROR(INDEX(MAI!$AY$8:$AY$73,MATCH($A27,MAI!$A$8:$A$73,0)),"")</f>
        <v/>
      </c>
      <c r="H27" s="150">
        <f>IFERROR(INDEX(JUN!$AY$8:$AY$73,MATCH($A27,JUN!$A$8:$A$73,0)),"")</f>
        <v/>
      </c>
      <c r="I27" s="150">
        <f>IFERROR(INDEX(JUL!$AY$8:$AY$73,MATCH($A27,JUL!$A$8:$A$73,0)),"")</f>
        <v/>
      </c>
      <c r="J27" s="150">
        <f>IFERROR(INDEX(AGO!$AY$8:$AY$73,MATCH($A27,AGO!$A$8:$A$73,0)),"")</f>
        <v/>
      </c>
      <c r="K27" s="150">
        <f>IFERROR(INDEX(SET!$AY$8:$AY$73,MATCH($A27,SET!$A$8:$A$73,0)),"")</f>
        <v/>
      </c>
      <c r="L27" s="150">
        <f>IFERROR(INDEX(OUT!$AY$8:$AY$73,MATCH($A27,OUT!$A$8:$A$73,0)),"")</f>
        <v/>
      </c>
      <c r="M27" s="150">
        <f>IFERROR(INDEX(NOV!$AY$8:$AY$73,MATCH($A27,NOV!$A$8:$A$73,0)),"")</f>
        <v/>
      </c>
      <c r="N27" s="150">
        <f>IFERROR(INDEX(DEZ!$AY$8:$AY$73,MATCH($A27,DEZ!$A$8:$A$73,0)),"")</f>
        <v/>
      </c>
      <c r="O27" s="151">
        <f>SUM(C27:N27)</f>
        <v/>
      </c>
      <c r="P27" s="39" t="n"/>
      <c r="Q27" s="150">
        <f>IFERROR(INDEX(JAN!$AU$8:$AU$73,MATCH($A27,JAN!$A$8:$A$73,0)),"")</f>
        <v/>
      </c>
      <c r="R27" s="150">
        <f>IFERROR(INDEX(FEV!$AU$8:$AU$73,MATCH($A27,FEV!$A$8:$A$73,0)),"")</f>
        <v/>
      </c>
      <c r="S27" s="150">
        <f>IFERROR(INDEX(MAR!$AU$8:$AU$73,MATCH($A27,MAR!$A$8:$A$73,0)),"")</f>
        <v/>
      </c>
      <c r="T27" s="150">
        <f>IFERROR(INDEX(ABR!$AU$8:$AU$73,MATCH($A27,ABR!$A$8:$A$73,0)),"")</f>
        <v/>
      </c>
      <c r="U27" s="150">
        <f>IFERROR(INDEX(MAI!$AU$8:$AU$73,MATCH($A27,MAI!$A$8:$A$73,0)),"")</f>
        <v/>
      </c>
      <c r="V27" s="150">
        <f>IFERROR(INDEX(JUN!$AU$8:$AU$73,MATCH($A27,JUN!$A$8:$A$73,0)),"")</f>
        <v/>
      </c>
      <c r="W27" s="150">
        <f>IFERROR(INDEX(JUL!$AU$8:$AU$73,MATCH($A27,JUL!$A$8:$A$73,0)),"")</f>
        <v/>
      </c>
      <c r="X27" s="150">
        <f>IFERROR(INDEX(AGO!$AU$8:$AU$73,MATCH($A27,AGO!$A$8:$A$73,0)),"")</f>
        <v/>
      </c>
      <c r="Y27" s="150">
        <f>IFERROR(INDEX(SET!$AU$8:$AU$73,MATCH($A27,SET!$A$8:$A$73,0)),"")</f>
        <v/>
      </c>
      <c r="Z27" s="150">
        <f>IFERROR(INDEX(OUT!$AU$8:$AU$73,MATCH($A27,OUT!$A$8:$A$73,0)),"")</f>
        <v/>
      </c>
      <c r="AA27" s="150">
        <f>IFERROR(INDEX(NOV!$AU$8:$AU$73,MATCH($A27,NOV!$A$8:$A$73,0)),"")</f>
        <v/>
      </c>
      <c r="AB27" s="150">
        <f>IFERROR(INDEX(DEZ!$AU$8:$AU$73,MATCH($A27,DEZ!$A$8:$A$73,0)),"")</f>
        <v/>
      </c>
      <c r="AC27" s="151">
        <f>SUM(Q27:AB27)</f>
        <v/>
      </c>
      <c r="AD27" s="39" t="n"/>
      <c r="AE27" s="150">
        <f>IFERROR(INDEX(JAN!$AV$8:$AV$73,MATCH($A27,JAN!$A$8:$A$73,0)),"")</f>
        <v/>
      </c>
      <c r="AF27" s="150">
        <f>IFERROR(INDEX(FEV!$AV$8:$AV$73,MATCH($A27,FEV!$A$8:$A$73,0)),"")</f>
        <v/>
      </c>
      <c r="AG27" s="150">
        <f>IFERROR(INDEX(MAR!$AV$8:$AV$73,MATCH($A27,MAR!$A$8:$A$73,0)),"")</f>
        <v/>
      </c>
      <c r="AH27" s="150">
        <f>IFERROR(INDEX(ABR!$AV$8:$AV$73,MATCH($A27,ABR!$A$8:$A$73,0)),"")</f>
        <v/>
      </c>
      <c r="AI27" s="150">
        <f>IFERROR(INDEX(MAI!$AV$8:$AV$73,MATCH($A27,MAI!$A$8:$A$73,0)),"")</f>
        <v/>
      </c>
      <c r="AJ27" s="150">
        <f>IFERROR(INDEX(JUN!$AV$8:$AV$73,MATCH($A27,JUN!$A$8:$A$73,0)),"")</f>
        <v/>
      </c>
      <c r="AK27" s="150">
        <f>IFERROR(INDEX(JUL!$AV$8:$AV$73,MATCH($A27,JUL!$A$8:$A$73,0)),"")</f>
        <v/>
      </c>
      <c r="AL27" s="150">
        <f>IFERROR(INDEX(AGO!$AV$8:$AV$73,MATCH($A27,AGO!$A$8:$A$73,0)),"")</f>
        <v/>
      </c>
      <c r="AM27" s="150">
        <f>IFERROR(INDEX(SET!$AV$8:$AV$73,MATCH($A27,SET!$A$8:$A$73,0)),"")</f>
        <v/>
      </c>
      <c r="AN27" s="150">
        <f>IFERROR(INDEX(OUT!$AV$8:$AV$73,MATCH($A27,OUT!$A$8:$A$73,0)),"")</f>
        <v/>
      </c>
      <c r="AO27" s="150">
        <f>IFERROR(INDEX(NOV!$AV$8:$AV$73,MATCH($A27,NOV!$A$8:$A$73,0)),"")</f>
        <v/>
      </c>
      <c r="AP27" s="150">
        <f>IFERROR(INDEX(DEZ!$AV$8:$AV$73,MATCH($A27,DEZ!$A$8:$A$73,0)),"")</f>
        <v/>
      </c>
      <c r="AQ27" s="151">
        <f>SUM(AE27:AP27)</f>
        <v/>
      </c>
      <c r="AR27" s="39" t="n"/>
      <c r="AS27" s="150">
        <f>IFERROR(INDEX(JAN!$AW$8:$AW$73,MATCH($A27,JAN!$A$8:$A$73,0)),"")</f>
        <v/>
      </c>
      <c r="AT27" s="150">
        <f>IFERROR(INDEX(FEV!$AW$8:$AW$73,MATCH($A27,FEV!$A$8:$A$73,0)),"")</f>
        <v/>
      </c>
      <c r="AU27" s="150">
        <f>IFERROR(INDEX(MAR!$AW$8:$AW$73,MATCH($A27,MAR!$A$8:$A$73,0)),"")</f>
        <v/>
      </c>
      <c r="AV27" s="150">
        <f>IFERROR(INDEX(ABR!$AW$8:$AW$73,MATCH($A27,ABR!$A$8:$A$73,0)),"")</f>
        <v/>
      </c>
      <c r="AW27" s="150">
        <f>IFERROR(INDEX(MAI!$AW$8:$AW$73,MATCH($A27,MAI!$A$8:$A$73,0)),"")</f>
        <v/>
      </c>
      <c r="AX27" s="150">
        <f>IFERROR(INDEX(JUN!$AW$8:$AW$73,MATCH($A27,JUN!$A$8:$A$73,0)),"")</f>
        <v/>
      </c>
      <c r="AY27" s="150">
        <f>IFERROR(INDEX(JUL!$AW$8:$AW$73,MATCH($A27,JUL!$A$8:$A$73,0)),"")</f>
        <v/>
      </c>
      <c r="AZ27" s="150">
        <f>IFERROR(INDEX(AGO!$AW$8:$AW$73,MATCH($A27,AGO!$A$8:$A$73,0)),"")</f>
        <v/>
      </c>
      <c r="BA27" s="150">
        <f>IFERROR(INDEX(SET!$AW$8:$AW$73,MATCH($A27,SET!$A$8:$A$73,0)),"")</f>
        <v/>
      </c>
      <c r="BB27" s="150">
        <f>IFERROR(INDEX(OUT!$AW$8:$AW$73,MATCH($A27,OUT!$A$8:$A$73,0)),"")</f>
        <v/>
      </c>
      <c r="BC27" s="150">
        <f>IFERROR(INDEX(NOV!$AW$8:$AW$73,MATCH($A27,NOV!$A$8:$A$73,0)),"")</f>
        <v/>
      </c>
      <c r="BD27" s="150">
        <f>IFERROR(INDEX(DEZ!$AW$8:$AW$73,MATCH($A27,DEZ!$A$8:$A$73,0)),"")</f>
        <v/>
      </c>
      <c r="BE27" s="151">
        <f>SUM(AS27:BD27)</f>
        <v/>
      </c>
      <c r="BF27" s="39" t="n"/>
      <c r="BG27" s="102" t="n">
        <v>2</v>
      </c>
      <c r="BH27" s="120">
        <f>SUM(AE27:AP27)</f>
        <v/>
      </c>
      <c r="BI27" s="152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3">
        <f>CADASTRO!$C24</f>
        <v/>
      </c>
      <c r="C28" s="150">
        <f>IFERROR(INDEX(JAN!$AY$8:$AY$73,MATCH($A28,JAN!$A$8:$A$73,0)),"")</f>
        <v/>
      </c>
      <c r="D28" s="150">
        <f>IFERROR(INDEX(FEV!$AY$8:$AY$73,MATCH($A28,FEV!$A$8:$A$73,0)),"")</f>
        <v/>
      </c>
      <c r="E28" s="150">
        <f>IFERROR(INDEX(MAR!$AY$8:$AY$73,MATCH($A28,MAR!$A$8:$A$73,0)),"")</f>
        <v/>
      </c>
      <c r="F28" s="150">
        <f>IFERROR(INDEX(ABR!$AY$8:$AY$73,MATCH($A28,ABR!$A$8:$A$73,0)),"")</f>
        <v/>
      </c>
      <c r="G28" s="150">
        <f>IFERROR(INDEX(MAI!$AY$8:$AY$73,MATCH($A28,MAI!$A$8:$A$73,0)),"")</f>
        <v/>
      </c>
      <c r="H28" s="150">
        <f>IFERROR(INDEX(JUN!$AY$8:$AY$73,MATCH($A28,JUN!$A$8:$A$73,0)),"")</f>
        <v/>
      </c>
      <c r="I28" s="150">
        <f>IFERROR(INDEX(JUL!$AY$8:$AY$73,MATCH($A28,JUL!$A$8:$A$73,0)),"")</f>
        <v/>
      </c>
      <c r="J28" s="150">
        <f>IFERROR(INDEX(AGO!$AY$8:$AY$73,MATCH($A28,AGO!$A$8:$A$73,0)),"")</f>
        <v/>
      </c>
      <c r="K28" s="150">
        <f>IFERROR(INDEX(SET!$AY$8:$AY$73,MATCH($A28,SET!$A$8:$A$73,0)),"")</f>
        <v/>
      </c>
      <c r="L28" s="150">
        <f>IFERROR(INDEX(OUT!$AY$8:$AY$73,MATCH($A28,OUT!$A$8:$A$73,0)),"")</f>
        <v/>
      </c>
      <c r="M28" s="150">
        <f>IFERROR(INDEX(NOV!$AY$8:$AY$73,MATCH($A28,NOV!$A$8:$A$73,0)),"")</f>
        <v/>
      </c>
      <c r="N28" s="150">
        <f>IFERROR(INDEX(DEZ!$AY$8:$AY$73,MATCH($A28,DEZ!$A$8:$A$73,0)),"")</f>
        <v/>
      </c>
      <c r="O28" s="151">
        <f>SUM(C28:N28)</f>
        <v/>
      </c>
      <c r="P28" s="39" t="n"/>
      <c r="Q28" s="150">
        <f>IFERROR(INDEX(JAN!$AU$8:$AU$73,MATCH($A28,JAN!$A$8:$A$73,0)),"")</f>
        <v/>
      </c>
      <c r="R28" s="150">
        <f>IFERROR(INDEX(FEV!$AU$8:$AU$73,MATCH($A28,FEV!$A$8:$A$73,0)),"")</f>
        <v/>
      </c>
      <c r="S28" s="150">
        <f>IFERROR(INDEX(MAR!$AU$8:$AU$73,MATCH($A28,MAR!$A$8:$A$73,0)),"")</f>
        <v/>
      </c>
      <c r="T28" s="150">
        <f>IFERROR(INDEX(ABR!$AU$8:$AU$73,MATCH($A28,ABR!$A$8:$A$73,0)),"")</f>
        <v/>
      </c>
      <c r="U28" s="150">
        <f>IFERROR(INDEX(MAI!$AU$8:$AU$73,MATCH($A28,MAI!$A$8:$A$73,0)),"")</f>
        <v/>
      </c>
      <c r="V28" s="150">
        <f>IFERROR(INDEX(JUN!$AU$8:$AU$73,MATCH($A28,JUN!$A$8:$A$73,0)),"")</f>
        <v/>
      </c>
      <c r="W28" s="150">
        <f>IFERROR(INDEX(JUL!$AU$8:$AU$73,MATCH($A28,JUL!$A$8:$A$73,0)),"")</f>
        <v/>
      </c>
      <c r="X28" s="150">
        <f>IFERROR(INDEX(AGO!$AU$8:$AU$73,MATCH($A28,AGO!$A$8:$A$73,0)),"")</f>
        <v/>
      </c>
      <c r="Y28" s="150">
        <f>IFERROR(INDEX(SET!$AU$8:$AU$73,MATCH($A28,SET!$A$8:$A$73,0)),"")</f>
        <v/>
      </c>
      <c r="Z28" s="150">
        <f>IFERROR(INDEX(OUT!$AU$8:$AU$73,MATCH($A28,OUT!$A$8:$A$73,0)),"")</f>
        <v/>
      </c>
      <c r="AA28" s="150">
        <f>IFERROR(INDEX(NOV!$AU$8:$AU$73,MATCH($A28,NOV!$A$8:$A$73,0)),"")</f>
        <v/>
      </c>
      <c r="AB28" s="150">
        <f>IFERROR(INDEX(DEZ!$AU$8:$AU$73,MATCH($A28,DEZ!$A$8:$A$73,0)),"")</f>
        <v/>
      </c>
      <c r="AC28" s="151">
        <f>SUM(Q28:AB28)</f>
        <v/>
      </c>
      <c r="AD28" s="39" t="n"/>
      <c r="AE28" s="150">
        <f>IFERROR(INDEX(JAN!$AV$8:$AV$73,MATCH($A28,JAN!$A$8:$A$73,0)),"")</f>
        <v/>
      </c>
      <c r="AF28" s="150">
        <f>IFERROR(INDEX(FEV!$AV$8:$AV$73,MATCH($A28,FEV!$A$8:$A$73,0)),"")</f>
        <v/>
      </c>
      <c r="AG28" s="150">
        <f>IFERROR(INDEX(MAR!$AV$8:$AV$73,MATCH($A28,MAR!$A$8:$A$73,0)),"")</f>
        <v/>
      </c>
      <c r="AH28" s="150">
        <f>IFERROR(INDEX(ABR!$AV$8:$AV$73,MATCH($A28,ABR!$A$8:$A$73,0)),"")</f>
        <v/>
      </c>
      <c r="AI28" s="150">
        <f>IFERROR(INDEX(MAI!$AV$8:$AV$73,MATCH($A28,MAI!$A$8:$A$73,0)),"")</f>
        <v/>
      </c>
      <c r="AJ28" s="150">
        <f>IFERROR(INDEX(JUN!$AV$8:$AV$73,MATCH($A28,JUN!$A$8:$A$73,0)),"")</f>
        <v/>
      </c>
      <c r="AK28" s="150">
        <f>IFERROR(INDEX(JUL!$AV$8:$AV$73,MATCH($A28,JUL!$A$8:$A$73,0)),"")</f>
        <v/>
      </c>
      <c r="AL28" s="150">
        <f>IFERROR(INDEX(AGO!$AV$8:$AV$73,MATCH($A28,AGO!$A$8:$A$73,0)),"")</f>
        <v/>
      </c>
      <c r="AM28" s="150">
        <f>IFERROR(INDEX(SET!$AV$8:$AV$73,MATCH($A28,SET!$A$8:$A$73,0)),"")</f>
        <v/>
      </c>
      <c r="AN28" s="150">
        <f>IFERROR(INDEX(OUT!$AV$8:$AV$73,MATCH($A28,OUT!$A$8:$A$73,0)),"")</f>
        <v/>
      </c>
      <c r="AO28" s="150">
        <f>IFERROR(INDEX(NOV!$AV$8:$AV$73,MATCH($A28,NOV!$A$8:$A$73,0)),"")</f>
        <v/>
      </c>
      <c r="AP28" s="150">
        <f>IFERROR(INDEX(DEZ!$AV$8:$AV$73,MATCH($A28,DEZ!$A$8:$A$73,0)),"")</f>
        <v/>
      </c>
      <c r="AQ28" s="151">
        <f>SUM(AE28:AP28)</f>
        <v/>
      </c>
      <c r="AR28" s="39" t="n"/>
      <c r="AS28" s="150">
        <f>IFERROR(INDEX(JAN!$AW$8:$AW$73,MATCH($A28,JAN!$A$8:$A$73,0)),"")</f>
        <v/>
      </c>
      <c r="AT28" s="150">
        <f>IFERROR(INDEX(FEV!$AW$8:$AW$73,MATCH($A28,FEV!$A$8:$A$73,0)),"")</f>
        <v/>
      </c>
      <c r="AU28" s="150">
        <f>IFERROR(INDEX(MAR!$AW$8:$AW$73,MATCH($A28,MAR!$A$8:$A$73,0)),"")</f>
        <v/>
      </c>
      <c r="AV28" s="150">
        <f>IFERROR(INDEX(ABR!$AW$8:$AW$73,MATCH($A28,ABR!$A$8:$A$73,0)),"")</f>
        <v/>
      </c>
      <c r="AW28" s="150">
        <f>IFERROR(INDEX(MAI!$AW$8:$AW$73,MATCH($A28,MAI!$A$8:$A$73,0)),"")</f>
        <v/>
      </c>
      <c r="AX28" s="150">
        <f>IFERROR(INDEX(JUN!$AW$8:$AW$73,MATCH($A28,JUN!$A$8:$A$73,0)),"")</f>
        <v/>
      </c>
      <c r="AY28" s="150">
        <f>IFERROR(INDEX(JUL!$AW$8:$AW$73,MATCH($A28,JUL!$A$8:$A$73,0)),"")</f>
        <v/>
      </c>
      <c r="AZ28" s="150">
        <f>IFERROR(INDEX(AGO!$AW$8:$AW$73,MATCH($A28,AGO!$A$8:$A$73,0)),"")</f>
        <v/>
      </c>
      <c r="BA28" s="150">
        <f>IFERROR(INDEX(SET!$AW$8:$AW$73,MATCH($A28,SET!$A$8:$A$73,0)),"")</f>
        <v/>
      </c>
      <c r="BB28" s="150">
        <f>IFERROR(INDEX(OUT!$AW$8:$AW$73,MATCH($A28,OUT!$A$8:$A$73,0)),"")</f>
        <v/>
      </c>
      <c r="BC28" s="150">
        <f>IFERROR(INDEX(NOV!$AW$8:$AW$73,MATCH($A28,NOV!$A$8:$A$73,0)),"")</f>
        <v/>
      </c>
      <c r="BD28" s="150">
        <f>IFERROR(INDEX(DEZ!$AW$8:$AW$73,MATCH($A28,DEZ!$A$8:$A$73,0)),"")</f>
        <v/>
      </c>
      <c r="BE28" s="151">
        <f>SUM(AS28:BD28)</f>
        <v/>
      </c>
      <c r="BF28" s="39" t="n"/>
      <c r="BG28" s="102" t="n">
        <v>4</v>
      </c>
      <c r="BH28" s="120">
        <f>SUM(AE28:AP28)</f>
        <v/>
      </c>
      <c r="BI28" s="152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3">
        <f>CADASTRO!$C25</f>
        <v/>
      </c>
      <c r="C29" s="150">
        <f>IFERROR(INDEX(JAN!$AY$8:$AY$73,MATCH($A29,JAN!$A$8:$A$73,0)),"")</f>
        <v/>
      </c>
      <c r="D29" s="150">
        <f>IFERROR(INDEX(FEV!$AY$8:$AY$73,MATCH($A29,FEV!$A$8:$A$73,0)),"")</f>
        <v/>
      </c>
      <c r="E29" s="150">
        <f>IFERROR(INDEX(MAR!$AY$8:$AY$73,MATCH($A29,MAR!$A$8:$A$73,0)),"")</f>
        <v/>
      </c>
      <c r="F29" s="150">
        <f>IFERROR(INDEX(ABR!$AY$8:$AY$73,MATCH($A29,ABR!$A$8:$A$73,0)),"")</f>
        <v/>
      </c>
      <c r="G29" s="150">
        <f>IFERROR(INDEX(MAI!$AY$8:$AY$73,MATCH($A29,MAI!$A$8:$A$73,0)),"")</f>
        <v/>
      </c>
      <c r="H29" s="150">
        <f>IFERROR(INDEX(JUN!$AY$8:$AY$73,MATCH($A29,JUN!$A$8:$A$73,0)),"")</f>
        <v/>
      </c>
      <c r="I29" s="150">
        <f>IFERROR(INDEX(JUL!$AY$8:$AY$73,MATCH($A29,JUL!$A$8:$A$73,0)),"")</f>
        <v/>
      </c>
      <c r="J29" s="150">
        <f>IFERROR(INDEX(AGO!$AY$8:$AY$73,MATCH($A29,AGO!$A$8:$A$73,0)),"")</f>
        <v/>
      </c>
      <c r="K29" s="150">
        <f>IFERROR(INDEX(SET!$AY$8:$AY$73,MATCH($A29,SET!$A$8:$A$73,0)),"")</f>
        <v/>
      </c>
      <c r="L29" s="150">
        <f>IFERROR(INDEX(OUT!$AY$8:$AY$73,MATCH($A29,OUT!$A$8:$A$73,0)),"")</f>
        <v/>
      </c>
      <c r="M29" s="150">
        <f>IFERROR(INDEX(NOV!$AY$8:$AY$73,MATCH($A29,NOV!$A$8:$A$73,0)),"")</f>
        <v/>
      </c>
      <c r="N29" s="150">
        <f>IFERROR(INDEX(DEZ!$AY$8:$AY$73,MATCH($A29,DEZ!$A$8:$A$73,0)),"")</f>
        <v/>
      </c>
      <c r="O29" s="151">
        <f>SUM(C29:N29)</f>
        <v/>
      </c>
      <c r="P29" s="39" t="n"/>
      <c r="Q29" s="150">
        <f>IFERROR(INDEX(JAN!$AU$8:$AU$73,MATCH($A29,JAN!$A$8:$A$73,0)),"")</f>
        <v/>
      </c>
      <c r="R29" s="150">
        <f>IFERROR(INDEX(FEV!$AU$8:$AU$73,MATCH($A29,FEV!$A$8:$A$73,0)),"")</f>
        <v/>
      </c>
      <c r="S29" s="150">
        <f>IFERROR(INDEX(MAR!$AU$8:$AU$73,MATCH($A29,MAR!$A$8:$A$73,0)),"")</f>
        <v/>
      </c>
      <c r="T29" s="150">
        <f>IFERROR(INDEX(ABR!$AU$8:$AU$73,MATCH($A29,ABR!$A$8:$A$73,0)),"")</f>
        <v/>
      </c>
      <c r="U29" s="150">
        <f>IFERROR(INDEX(MAI!$AU$8:$AU$73,MATCH($A29,MAI!$A$8:$A$73,0)),"")</f>
        <v/>
      </c>
      <c r="V29" s="150">
        <f>IFERROR(INDEX(JUN!$AU$8:$AU$73,MATCH($A29,JUN!$A$8:$A$73,0)),"")</f>
        <v/>
      </c>
      <c r="W29" s="150">
        <f>IFERROR(INDEX(JUL!$AU$8:$AU$73,MATCH($A29,JUL!$A$8:$A$73,0)),"")</f>
        <v/>
      </c>
      <c r="X29" s="150">
        <f>IFERROR(INDEX(AGO!$AU$8:$AU$73,MATCH($A29,AGO!$A$8:$A$73,0)),"")</f>
        <v/>
      </c>
      <c r="Y29" s="150">
        <f>IFERROR(INDEX(SET!$AU$8:$AU$73,MATCH($A29,SET!$A$8:$A$73,0)),"")</f>
        <v/>
      </c>
      <c r="Z29" s="150">
        <f>IFERROR(INDEX(OUT!$AU$8:$AU$73,MATCH($A29,OUT!$A$8:$A$73,0)),"")</f>
        <v/>
      </c>
      <c r="AA29" s="150">
        <f>IFERROR(INDEX(NOV!$AU$8:$AU$73,MATCH($A29,NOV!$A$8:$A$73,0)),"")</f>
        <v/>
      </c>
      <c r="AB29" s="150">
        <f>IFERROR(INDEX(DEZ!$AU$8:$AU$73,MATCH($A29,DEZ!$A$8:$A$73,0)),"")</f>
        <v/>
      </c>
      <c r="AC29" s="151">
        <f>SUM(Q29:AB29)</f>
        <v/>
      </c>
      <c r="AD29" s="39" t="n"/>
      <c r="AE29" s="150">
        <f>IFERROR(INDEX(JAN!$AV$8:$AV$73,MATCH($A29,JAN!$A$8:$A$73,0)),"")</f>
        <v/>
      </c>
      <c r="AF29" s="150">
        <f>IFERROR(INDEX(FEV!$AV$8:$AV$73,MATCH($A29,FEV!$A$8:$A$73,0)),"")</f>
        <v/>
      </c>
      <c r="AG29" s="150">
        <f>IFERROR(INDEX(MAR!$AV$8:$AV$73,MATCH($A29,MAR!$A$8:$A$73,0)),"")</f>
        <v/>
      </c>
      <c r="AH29" s="150">
        <f>IFERROR(INDEX(ABR!$AV$8:$AV$73,MATCH($A29,ABR!$A$8:$A$73,0)),"")</f>
        <v/>
      </c>
      <c r="AI29" s="150">
        <f>IFERROR(INDEX(MAI!$AV$8:$AV$73,MATCH($A29,MAI!$A$8:$A$73,0)),"")</f>
        <v/>
      </c>
      <c r="AJ29" s="150">
        <f>IFERROR(INDEX(JUN!$AV$8:$AV$73,MATCH($A29,JUN!$A$8:$A$73,0)),"")</f>
        <v/>
      </c>
      <c r="AK29" s="150">
        <f>IFERROR(INDEX(JUL!$AV$8:$AV$73,MATCH($A29,JUL!$A$8:$A$73,0)),"")</f>
        <v/>
      </c>
      <c r="AL29" s="150">
        <f>IFERROR(INDEX(AGO!$AV$8:$AV$73,MATCH($A29,AGO!$A$8:$A$73,0)),"")</f>
        <v/>
      </c>
      <c r="AM29" s="150">
        <f>IFERROR(INDEX(SET!$AV$8:$AV$73,MATCH($A29,SET!$A$8:$A$73,0)),"")</f>
        <v/>
      </c>
      <c r="AN29" s="150">
        <f>IFERROR(INDEX(OUT!$AV$8:$AV$73,MATCH($A29,OUT!$A$8:$A$73,0)),"")</f>
        <v/>
      </c>
      <c r="AO29" s="150">
        <f>IFERROR(INDEX(NOV!$AV$8:$AV$73,MATCH($A29,NOV!$A$8:$A$73,0)),"")</f>
        <v/>
      </c>
      <c r="AP29" s="150">
        <f>IFERROR(INDEX(DEZ!$AV$8:$AV$73,MATCH($A29,DEZ!$A$8:$A$73,0)),"")</f>
        <v/>
      </c>
      <c r="AQ29" s="151">
        <f>SUM(AE29:AP29)</f>
        <v/>
      </c>
      <c r="AR29" s="39" t="n"/>
      <c r="AS29" s="150">
        <f>IFERROR(INDEX(JAN!$AW$8:$AW$73,MATCH($A29,JAN!$A$8:$A$73,0)),"")</f>
        <v/>
      </c>
      <c r="AT29" s="150">
        <f>IFERROR(INDEX(FEV!$AW$8:$AW$73,MATCH($A29,FEV!$A$8:$A$73,0)),"")</f>
        <v/>
      </c>
      <c r="AU29" s="150">
        <f>IFERROR(INDEX(MAR!$AW$8:$AW$73,MATCH($A29,MAR!$A$8:$A$73,0)),"")</f>
        <v/>
      </c>
      <c r="AV29" s="150">
        <f>IFERROR(INDEX(ABR!$AW$8:$AW$73,MATCH($A29,ABR!$A$8:$A$73,0)),"")</f>
        <v/>
      </c>
      <c r="AW29" s="150">
        <f>IFERROR(INDEX(MAI!$AW$8:$AW$73,MATCH($A29,MAI!$A$8:$A$73,0)),"")</f>
        <v/>
      </c>
      <c r="AX29" s="150">
        <f>IFERROR(INDEX(JUN!$AW$8:$AW$73,MATCH($A29,JUN!$A$8:$A$73,0)),"")</f>
        <v/>
      </c>
      <c r="AY29" s="150">
        <f>IFERROR(INDEX(JUL!$AW$8:$AW$73,MATCH($A29,JUL!$A$8:$A$73,0)),"")</f>
        <v/>
      </c>
      <c r="AZ29" s="150">
        <f>IFERROR(INDEX(AGO!$AW$8:$AW$73,MATCH($A29,AGO!$A$8:$A$73,0)),"")</f>
        <v/>
      </c>
      <c r="BA29" s="150">
        <f>IFERROR(INDEX(SET!$AW$8:$AW$73,MATCH($A29,SET!$A$8:$A$73,0)),"")</f>
        <v/>
      </c>
      <c r="BB29" s="150">
        <f>IFERROR(INDEX(OUT!$AW$8:$AW$73,MATCH($A29,OUT!$A$8:$A$73,0)),"")</f>
        <v/>
      </c>
      <c r="BC29" s="150">
        <f>IFERROR(INDEX(NOV!$AW$8:$AW$73,MATCH($A29,NOV!$A$8:$A$73,0)),"")</f>
        <v/>
      </c>
      <c r="BD29" s="150">
        <f>IFERROR(INDEX(DEZ!$AW$8:$AW$73,MATCH($A29,DEZ!$A$8:$A$73,0)),"")</f>
        <v/>
      </c>
      <c r="BE29" s="151">
        <f>SUM(AS29:BD29)</f>
        <v/>
      </c>
      <c r="BF29" s="39" t="n"/>
      <c r="BG29" s="102" t="n">
        <v>3</v>
      </c>
      <c r="BH29" s="120">
        <f>SUM(AE29:AP29)</f>
        <v/>
      </c>
      <c r="BI29" s="152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3">
        <f>CADASTRO!$C26</f>
        <v/>
      </c>
      <c r="C30" s="150">
        <f>IFERROR(INDEX(JAN!$AY$8:$AY$73,MATCH($A30,JAN!$A$8:$A$73,0)),"")</f>
        <v/>
      </c>
      <c r="D30" s="150">
        <f>IFERROR(INDEX(FEV!$AY$8:$AY$73,MATCH($A30,FEV!$A$8:$A$73,0)),"")</f>
        <v/>
      </c>
      <c r="E30" s="150">
        <f>IFERROR(INDEX(MAR!$AY$8:$AY$73,MATCH($A30,MAR!$A$8:$A$73,0)),"")</f>
        <v/>
      </c>
      <c r="F30" s="150">
        <f>IFERROR(INDEX(ABR!$AY$8:$AY$73,MATCH($A30,ABR!$A$8:$A$73,0)),"")</f>
        <v/>
      </c>
      <c r="G30" s="150">
        <f>IFERROR(INDEX(MAI!$AY$8:$AY$73,MATCH($A30,MAI!$A$8:$A$73,0)),"")</f>
        <v/>
      </c>
      <c r="H30" s="150">
        <f>IFERROR(INDEX(JUN!$AY$8:$AY$73,MATCH($A30,JUN!$A$8:$A$73,0)),"")</f>
        <v/>
      </c>
      <c r="I30" s="150">
        <f>IFERROR(INDEX(JUL!$AY$8:$AY$73,MATCH($A30,JUL!$A$8:$A$73,0)),"")</f>
        <v/>
      </c>
      <c r="J30" s="150">
        <f>IFERROR(INDEX(AGO!$AY$8:$AY$73,MATCH($A30,AGO!$A$8:$A$73,0)),"")</f>
        <v/>
      </c>
      <c r="K30" s="150">
        <f>IFERROR(INDEX(SET!$AY$8:$AY$73,MATCH($A30,SET!$A$8:$A$73,0)),"")</f>
        <v/>
      </c>
      <c r="L30" s="150">
        <f>IFERROR(INDEX(OUT!$AY$8:$AY$73,MATCH($A30,OUT!$A$8:$A$73,0)),"")</f>
        <v/>
      </c>
      <c r="M30" s="150">
        <f>IFERROR(INDEX(NOV!$AY$8:$AY$73,MATCH($A30,NOV!$A$8:$A$73,0)),"")</f>
        <v/>
      </c>
      <c r="N30" s="150">
        <f>IFERROR(INDEX(DEZ!$AY$8:$AY$73,MATCH($A30,DEZ!$A$8:$A$73,0)),"")</f>
        <v/>
      </c>
      <c r="O30" s="151">
        <f>SUM(C30:N30)</f>
        <v/>
      </c>
      <c r="P30" s="39" t="n"/>
      <c r="Q30" s="150">
        <f>IFERROR(INDEX(JAN!$AU$8:$AU$73,MATCH($A30,JAN!$A$8:$A$73,0)),"")</f>
        <v/>
      </c>
      <c r="R30" s="150">
        <f>IFERROR(INDEX(FEV!$AU$8:$AU$73,MATCH($A30,FEV!$A$8:$A$73,0)),"")</f>
        <v/>
      </c>
      <c r="S30" s="150">
        <f>IFERROR(INDEX(MAR!$AU$8:$AU$73,MATCH($A30,MAR!$A$8:$A$73,0)),"")</f>
        <v/>
      </c>
      <c r="T30" s="150">
        <f>IFERROR(INDEX(ABR!$AU$8:$AU$73,MATCH($A30,ABR!$A$8:$A$73,0)),"")</f>
        <v/>
      </c>
      <c r="U30" s="150">
        <f>IFERROR(INDEX(MAI!$AU$8:$AU$73,MATCH($A30,MAI!$A$8:$A$73,0)),"")</f>
        <v/>
      </c>
      <c r="V30" s="150">
        <f>IFERROR(INDEX(JUN!$AU$8:$AU$73,MATCH($A30,JUN!$A$8:$A$73,0)),"")</f>
        <v/>
      </c>
      <c r="W30" s="150">
        <f>IFERROR(INDEX(JUL!$AU$8:$AU$73,MATCH($A30,JUL!$A$8:$A$73,0)),"")</f>
        <v/>
      </c>
      <c r="X30" s="150">
        <f>IFERROR(INDEX(AGO!$AU$8:$AU$73,MATCH($A30,AGO!$A$8:$A$73,0)),"")</f>
        <v/>
      </c>
      <c r="Y30" s="150">
        <f>IFERROR(INDEX(SET!$AU$8:$AU$73,MATCH($A30,SET!$A$8:$A$73,0)),"")</f>
        <v/>
      </c>
      <c r="Z30" s="150">
        <f>IFERROR(INDEX(OUT!$AU$8:$AU$73,MATCH($A30,OUT!$A$8:$A$73,0)),"")</f>
        <v/>
      </c>
      <c r="AA30" s="150">
        <f>IFERROR(INDEX(NOV!$AU$8:$AU$73,MATCH($A30,NOV!$A$8:$A$73,0)),"")</f>
        <v/>
      </c>
      <c r="AB30" s="150">
        <f>IFERROR(INDEX(DEZ!$AU$8:$AU$73,MATCH($A30,DEZ!$A$8:$A$73,0)),"")</f>
        <v/>
      </c>
      <c r="AC30" s="151">
        <f>SUM(Q30:AB30)</f>
        <v/>
      </c>
      <c r="AD30" s="39" t="n"/>
      <c r="AE30" s="150">
        <f>IFERROR(INDEX(JAN!$AV$8:$AV$73,MATCH($A30,JAN!$A$8:$A$73,0)),"")</f>
        <v/>
      </c>
      <c r="AF30" s="150">
        <f>IFERROR(INDEX(FEV!$AV$8:$AV$73,MATCH($A30,FEV!$A$8:$A$73,0)),"")</f>
        <v/>
      </c>
      <c r="AG30" s="150">
        <f>IFERROR(INDEX(MAR!$AV$8:$AV$73,MATCH($A30,MAR!$A$8:$A$73,0)),"")</f>
        <v/>
      </c>
      <c r="AH30" s="150">
        <f>IFERROR(INDEX(ABR!$AV$8:$AV$73,MATCH($A30,ABR!$A$8:$A$73,0)),"")</f>
        <v/>
      </c>
      <c r="AI30" s="150">
        <f>IFERROR(INDEX(MAI!$AV$8:$AV$73,MATCH($A30,MAI!$A$8:$A$73,0)),"")</f>
        <v/>
      </c>
      <c r="AJ30" s="150">
        <f>IFERROR(INDEX(JUN!$AV$8:$AV$73,MATCH($A30,JUN!$A$8:$A$73,0)),"")</f>
        <v/>
      </c>
      <c r="AK30" s="150">
        <f>IFERROR(INDEX(JUL!$AV$8:$AV$73,MATCH($A30,JUL!$A$8:$A$73,0)),"")</f>
        <v/>
      </c>
      <c r="AL30" s="150">
        <f>IFERROR(INDEX(AGO!$AV$8:$AV$73,MATCH($A30,AGO!$A$8:$A$73,0)),"")</f>
        <v/>
      </c>
      <c r="AM30" s="150">
        <f>IFERROR(INDEX(SET!$AV$8:$AV$73,MATCH($A30,SET!$A$8:$A$73,0)),"")</f>
        <v/>
      </c>
      <c r="AN30" s="150">
        <f>IFERROR(INDEX(OUT!$AV$8:$AV$73,MATCH($A30,OUT!$A$8:$A$73,0)),"")</f>
        <v/>
      </c>
      <c r="AO30" s="150">
        <f>IFERROR(INDEX(NOV!$AV$8:$AV$73,MATCH($A30,NOV!$A$8:$A$73,0)),"")</f>
        <v/>
      </c>
      <c r="AP30" s="150">
        <f>IFERROR(INDEX(DEZ!$AV$8:$AV$73,MATCH($A30,DEZ!$A$8:$A$73,0)),"")</f>
        <v/>
      </c>
      <c r="AQ30" s="151">
        <f>SUM(AE30:AP30)</f>
        <v/>
      </c>
      <c r="AR30" s="39" t="n"/>
      <c r="AS30" s="150">
        <f>IFERROR(INDEX(JAN!$AW$8:$AW$73,MATCH($A30,JAN!$A$8:$A$73,0)),"")</f>
        <v/>
      </c>
      <c r="AT30" s="150">
        <f>IFERROR(INDEX(FEV!$AW$8:$AW$73,MATCH($A30,FEV!$A$8:$A$73,0)),"")</f>
        <v/>
      </c>
      <c r="AU30" s="150">
        <f>IFERROR(INDEX(MAR!$AW$8:$AW$73,MATCH($A30,MAR!$A$8:$A$73,0)),"")</f>
        <v/>
      </c>
      <c r="AV30" s="150">
        <f>IFERROR(INDEX(ABR!$AW$8:$AW$73,MATCH($A30,ABR!$A$8:$A$73,0)),"")</f>
        <v/>
      </c>
      <c r="AW30" s="150">
        <f>IFERROR(INDEX(MAI!$AW$8:$AW$73,MATCH($A30,MAI!$A$8:$A$73,0)),"")</f>
        <v/>
      </c>
      <c r="AX30" s="150">
        <f>IFERROR(INDEX(JUN!$AW$8:$AW$73,MATCH($A30,JUN!$A$8:$A$73,0)),"")</f>
        <v/>
      </c>
      <c r="AY30" s="150">
        <f>IFERROR(INDEX(JUL!$AW$8:$AW$73,MATCH($A30,JUL!$A$8:$A$73,0)),"")</f>
        <v/>
      </c>
      <c r="AZ30" s="150">
        <f>IFERROR(INDEX(AGO!$AW$8:$AW$73,MATCH($A30,AGO!$A$8:$A$73,0)),"")</f>
        <v/>
      </c>
      <c r="BA30" s="150">
        <f>IFERROR(INDEX(SET!$AW$8:$AW$73,MATCH($A30,SET!$A$8:$A$73,0)),"")</f>
        <v/>
      </c>
      <c r="BB30" s="150">
        <f>IFERROR(INDEX(OUT!$AW$8:$AW$73,MATCH($A30,OUT!$A$8:$A$73,0)),"")</f>
        <v/>
      </c>
      <c r="BC30" s="150">
        <f>IFERROR(INDEX(NOV!$AW$8:$AW$73,MATCH($A30,NOV!$A$8:$A$73,0)),"")</f>
        <v/>
      </c>
      <c r="BD30" s="150">
        <f>IFERROR(INDEX(DEZ!$AW$8:$AW$73,MATCH($A30,DEZ!$A$8:$A$73,0)),"")</f>
        <v/>
      </c>
      <c r="BE30" s="151">
        <f>SUM(AS30:BD30)</f>
        <v/>
      </c>
      <c r="BF30" s="39" t="n"/>
      <c r="BG30" s="102" t="n">
        <v>4</v>
      </c>
      <c r="BH30" s="120">
        <f>SUM(AE30:AP30)</f>
        <v/>
      </c>
      <c r="BI30" s="152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3">
        <f>CADASTRO!$C27</f>
        <v/>
      </c>
      <c r="C31" s="150">
        <f>IFERROR(INDEX(JAN!$AY$8:$AY$73,MATCH($A31,JAN!$A$8:$A$73,0)),"")</f>
        <v/>
      </c>
      <c r="D31" s="150">
        <f>IFERROR(INDEX(FEV!$AY$8:$AY$73,MATCH($A31,FEV!$A$8:$A$73,0)),"")</f>
        <v/>
      </c>
      <c r="E31" s="150">
        <f>IFERROR(INDEX(MAR!$AY$8:$AY$73,MATCH($A31,MAR!$A$8:$A$73,0)),"")</f>
        <v/>
      </c>
      <c r="F31" s="150">
        <f>IFERROR(INDEX(ABR!$AY$8:$AY$73,MATCH($A31,ABR!$A$8:$A$73,0)),"")</f>
        <v/>
      </c>
      <c r="G31" s="150">
        <f>IFERROR(INDEX(MAI!$AY$8:$AY$73,MATCH($A31,MAI!$A$8:$A$73,0)),"")</f>
        <v/>
      </c>
      <c r="H31" s="150">
        <f>IFERROR(INDEX(JUN!$AY$8:$AY$73,MATCH($A31,JUN!$A$8:$A$73,0)),"")</f>
        <v/>
      </c>
      <c r="I31" s="150">
        <f>IFERROR(INDEX(JUL!$AY$8:$AY$73,MATCH($A31,JUL!$A$8:$A$73,0)),"")</f>
        <v/>
      </c>
      <c r="J31" s="150">
        <f>IFERROR(INDEX(AGO!$AY$8:$AY$73,MATCH($A31,AGO!$A$8:$A$73,0)),"")</f>
        <v/>
      </c>
      <c r="K31" s="150">
        <f>IFERROR(INDEX(SET!$AY$8:$AY$73,MATCH($A31,SET!$A$8:$A$73,0)),"")</f>
        <v/>
      </c>
      <c r="L31" s="150">
        <f>IFERROR(INDEX(OUT!$AY$8:$AY$73,MATCH($A31,OUT!$A$8:$A$73,0)),"")</f>
        <v/>
      </c>
      <c r="M31" s="150">
        <f>IFERROR(INDEX(NOV!$AY$8:$AY$73,MATCH($A31,NOV!$A$8:$A$73,0)),"")</f>
        <v/>
      </c>
      <c r="N31" s="150">
        <f>IFERROR(INDEX(DEZ!$AY$8:$AY$73,MATCH($A31,DEZ!$A$8:$A$73,0)),"")</f>
        <v/>
      </c>
      <c r="O31" s="151">
        <f>SUM(C31:N31)</f>
        <v/>
      </c>
      <c r="P31" s="39" t="n"/>
      <c r="Q31" s="150">
        <f>IFERROR(INDEX(JAN!$AU$8:$AU$73,MATCH($A31,JAN!$A$8:$A$73,0)),"")</f>
        <v/>
      </c>
      <c r="R31" s="150">
        <f>IFERROR(INDEX(FEV!$AU$8:$AU$73,MATCH($A31,FEV!$A$8:$A$73,0)),"")</f>
        <v/>
      </c>
      <c r="S31" s="150">
        <f>IFERROR(INDEX(MAR!$AU$8:$AU$73,MATCH($A31,MAR!$A$8:$A$73,0)),"")</f>
        <v/>
      </c>
      <c r="T31" s="150">
        <f>IFERROR(INDEX(ABR!$AU$8:$AU$73,MATCH($A31,ABR!$A$8:$A$73,0)),"")</f>
        <v/>
      </c>
      <c r="U31" s="150">
        <f>IFERROR(INDEX(MAI!$AU$8:$AU$73,MATCH($A31,MAI!$A$8:$A$73,0)),"")</f>
        <v/>
      </c>
      <c r="V31" s="150">
        <f>IFERROR(INDEX(JUN!$AU$8:$AU$73,MATCH($A31,JUN!$A$8:$A$73,0)),"")</f>
        <v/>
      </c>
      <c r="W31" s="150">
        <f>IFERROR(INDEX(JUL!$AU$8:$AU$73,MATCH($A31,JUL!$A$8:$A$73,0)),"")</f>
        <v/>
      </c>
      <c r="X31" s="150">
        <f>IFERROR(INDEX(AGO!$AU$8:$AU$73,MATCH($A31,AGO!$A$8:$A$73,0)),"")</f>
        <v/>
      </c>
      <c r="Y31" s="150">
        <f>IFERROR(INDEX(SET!$AU$8:$AU$73,MATCH($A31,SET!$A$8:$A$73,0)),"")</f>
        <v/>
      </c>
      <c r="Z31" s="150">
        <f>IFERROR(INDEX(OUT!$AU$8:$AU$73,MATCH($A31,OUT!$A$8:$A$73,0)),"")</f>
        <v/>
      </c>
      <c r="AA31" s="150">
        <f>IFERROR(INDEX(NOV!$AU$8:$AU$73,MATCH($A31,NOV!$A$8:$A$73,0)),"")</f>
        <v/>
      </c>
      <c r="AB31" s="150">
        <f>IFERROR(INDEX(DEZ!$AU$8:$AU$73,MATCH($A31,DEZ!$A$8:$A$73,0)),"")</f>
        <v/>
      </c>
      <c r="AC31" s="151">
        <f>SUM(Q31:AB31)</f>
        <v/>
      </c>
      <c r="AD31" s="39" t="n"/>
      <c r="AE31" s="150">
        <f>IFERROR(INDEX(JAN!$AV$8:$AV$73,MATCH($A31,JAN!$A$8:$A$73,0)),"")</f>
        <v/>
      </c>
      <c r="AF31" s="150">
        <f>IFERROR(INDEX(FEV!$AV$8:$AV$73,MATCH($A31,FEV!$A$8:$A$73,0)),"")</f>
        <v/>
      </c>
      <c r="AG31" s="150">
        <f>IFERROR(INDEX(MAR!$AV$8:$AV$73,MATCH($A31,MAR!$A$8:$A$73,0)),"")</f>
        <v/>
      </c>
      <c r="AH31" s="150">
        <f>IFERROR(INDEX(ABR!$AV$8:$AV$73,MATCH($A31,ABR!$A$8:$A$73,0)),"")</f>
        <v/>
      </c>
      <c r="AI31" s="150">
        <f>IFERROR(INDEX(MAI!$AV$8:$AV$73,MATCH($A31,MAI!$A$8:$A$73,0)),"")</f>
        <v/>
      </c>
      <c r="AJ31" s="150">
        <f>IFERROR(INDEX(JUN!$AV$8:$AV$73,MATCH($A31,JUN!$A$8:$A$73,0)),"")</f>
        <v/>
      </c>
      <c r="AK31" s="150">
        <f>IFERROR(INDEX(JUL!$AV$8:$AV$73,MATCH($A31,JUL!$A$8:$A$73,0)),"")</f>
        <v/>
      </c>
      <c r="AL31" s="150">
        <f>IFERROR(INDEX(AGO!$AV$8:$AV$73,MATCH($A31,AGO!$A$8:$A$73,0)),"")</f>
        <v/>
      </c>
      <c r="AM31" s="150">
        <f>IFERROR(INDEX(SET!$AV$8:$AV$73,MATCH($A31,SET!$A$8:$A$73,0)),"")</f>
        <v/>
      </c>
      <c r="AN31" s="150">
        <f>IFERROR(INDEX(OUT!$AV$8:$AV$73,MATCH($A31,OUT!$A$8:$A$73,0)),"")</f>
        <v/>
      </c>
      <c r="AO31" s="150">
        <f>IFERROR(INDEX(NOV!$AV$8:$AV$73,MATCH($A31,NOV!$A$8:$A$73,0)),"")</f>
        <v/>
      </c>
      <c r="AP31" s="150">
        <f>IFERROR(INDEX(DEZ!$AV$8:$AV$73,MATCH($A31,DEZ!$A$8:$A$73,0)),"")</f>
        <v/>
      </c>
      <c r="AQ31" s="151">
        <f>SUM(AE31:AP31)</f>
        <v/>
      </c>
      <c r="AR31" s="39" t="n"/>
      <c r="AS31" s="150">
        <f>IFERROR(INDEX(JAN!$AW$8:$AW$73,MATCH($A31,JAN!$A$8:$A$73,0)),"")</f>
        <v/>
      </c>
      <c r="AT31" s="150">
        <f>IFERROR(INDEX(FEV!$AW$8:$AW$73,MATCH($A31,FEV!$A$8:$A$73,0)),"")</f>
        <v/>
      </c>
      <c r="AU31" s="150">
        <f>IFERROR(INDEX(MAR!$AW$8:$AW$73,MATCH($A31,MAR!$A$8:$A$73,0)),"")</f>
        <v/>
      </c>
      <c r="AV31" s="150">
        <f>IFERROR(INDEX(ABR!$AW$8:$AW$73,MATCH($A31,ABR!$A$8:$A$73,0)),"")</f>
        <v/>
      </c>
      <c r="AW31" s="150">
        <f>IFERROR(INDEX(MAI!$AW$8:$AW$73,MATCH($A31,MAI!$A$8:$A$73,0)),"")</f>
        <v/>
      </c>
      <c r="AX31" s="150">
        <f>IFERROR(INDEX(JUN!$AW$8:$AW$73,MATCH($A31,JUN!$A$8:$A$73,0)),"")</f>
        <v/>
      </c>
      <c r="AY31" s="150">
        <f>IFERROR(INDEX(JUL!$AW$8:$AW$73,MATCH($A31,JUL!$A$8:$A$73,0)),"")</f>
        <v/>
      </c>
      <c r="AZ31" s="150">
        <f>IFERROR(INDEX(AGO!$AW$8:$AW$73,MATCH($A31,AGO!$A$8:$A$73,0)),"")</f>
        <v/>
      </c>
      <c r="BA31" s="150">
        <f>IFERROR(INDEX(SET!$AW$8:$AW$73,MATCH($A31,SET!$A$8:$A$73,0)),"")</f>
        <v/>
      </c>
      <c r="BB31" s="150">
        <f>IFERROR(INDEX(OUT!$AW$8:$AW$73,MATCH($A31,OUT!$A$8:$A$73,0)),"")</f>
        <v/>
      </c>
      <c r="BC31" s="150">
        <f>IFERROR(INDEX(NOV!$AW$8:$AW$73,MATCH($A31,NOV!$A$8:$A$73,0)),"")</f>
        <v/>
      </c>
      <c r="BD31" s="150">
        <f>IFERROR(INDEX(DEZ!$AW$8:$AW$73,MATCH($A31,DEZ!$A$8:$A$73,0)),"")</f>
        <v/>
      </c>
      <c r="BE31" s="151">
        <f>SUM(AS31:BD31)</f>
        <v/>
      </c>
      <c r="BF31" s="39" t="n"/>
      <c r="BG31" s="102" t="n">
        <v>3</v>
      </c>
      <c r="BH31" s="120">
        <f>SUM(AE31:AP31)</f>
        <v/>
      </c>
      <c r="BI31" s="152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3">
        <f>CADASTRO!$C28</f>
        <v/>
      </c>
      <c r="C32" s="150">
        <f>IFERROR(INDEX(JAN!$AY$8:$AY$73,MATCH($A32,JAN!$A$8:$A$73,0)),"")</f>
        <v/>
      </c>
      <c r="D32" s="150">
        <f>IFERROR(INDEX(FEV!$AY$8:$AY$73,MATCH($A32,FEV!$A$8:$A$73,0)),"")</f>
        <v/>
      </c>
      <c r="E32" s="150">
        <f>IFERROR(INDEX(MAR!$AY$8:$AY$73,MATCH($A32,MAR!$A$8:$A$73,0)),"")</f>
        <v/>
      </c>
      <c r="F32" s="150">
        <f>IFERROR(INDEX(ABR!$AY$8:$AY$73,MATCH($A32,ABR!$A$8:$A$73,0)),"")</f>
        <v/>
      </c>
      <c r="G32" s="150">
        <f>IFERROR(INDEX(MAI!$AY$8:$AY$73,MATCH($A32,MAI!$A$8:$A$73,0)),"")</f>
        <v/>
      </c>
      <c r="H32" s="150">
        <f>IFERROR(INDEX(JUN!$AY$8:$AY$73,MATCH($A32,JUN!$A$8:$A$73,0)),"")</f>
        <v/>
      </c>
      <c r="I32" s="150">
        <f>IFERROR(INDEX(JUL!$AY$8:$AY$73,MATCH($A32,JUL!$A$8:$A$73,0)),"")</f>
        <v/>
      </c>
      <c r="J32" s="150">
        <f>IFERROR(INDEX(AGO!$AY$8:$AY$73,MATCH($A32,AGO!$A$8:$A$73,0)),"")</f>
        <v/>
      </c>
      <c r="K32" s="150">
        <f>IFERROR(INDEX(SET!$AY$8:$AY$73,MATCH($A32,SET!$A$8:$A$73,0)),"")</f>
        <v/>
      </c>
      <c r="L32" s="150">
        <f>IFERROR(INDEX(OUT!$AY$8:$AY$73,MATCH($A32,OUT!$A$8:$A$73,0)),"")</f>
        <v/>
      </c>
      <c r="M32" s="150">
        <f>IFERROR(INDEX(NOV!$AY$8:$AY$73,MATCH($A32,NOV!$A$8:$A$73,0)),"")</f>
        <v/>
      </c>
      <c r="N32" s="150">
        <f>IFERROR(INDEX(DEZ!$AY$8:$AY$73,MATCH($A32,DEZ!$A$8:$A$73,0)),"")</f>
        <v/>
      </c>
      <c r="O32" s="151">
        <f>SUM(C32:N32)</f>
        <v/>
      </c>
      <c r="P32" s="39" t="n"/>
      <c r="Q32" s="150">
        <f>IFERROR(INDEX(JAN!$AU$8:$AU$73,MATCH($A32,JAN!$A$8:$A$73,0)),"")</f>
        <v/>
      </c>
      <c r="R32" s="150">
        <f>IFERROR(INDEX(FEV!$AU$8:$AU$73,MATCH($A32,FEV!$A$8:$A$73,0)),"")</f>
        <v/>
      </c>
      <c r="S32" s="150">
        <f>IFERROR(INDEX(MAR!$AU$8:$AU$73,MATCH($A32,MAR!$A$8:$A$73,0)),"")</f>
        <v/>
      </c>
      <c r="T32" s="150">
        <f>IFERROR(INDEX(ABR!$AU$8:$AU$73,MATCH($A32,ABR!$A$8:$A$73,0)),"")</f>
        <v/>
      </c>
      <c r="U32" s="150">
        <f>IFERROR(INDEX(MAI!$AU$8:$AU$73,MATCH($A32,MAI!$A$8:$A$73,0)),"")</f>
        <v/>
      </c>
      <c r="V32" s="150">
        <f>IFERROR(INDEX(JUN!$AU$8:$AU$73,MATCH($A32,JUN!$A$8:$A$73,0)),"")</f>
        <v/>
      </c>
      <c r="W32" s="150">
        <f>IFERROR(INDEX(JUL!$AU$8:$AU$73,MATCH($A32,JUL!$A$8:$A$73,0)),"")</f>
        <v/>
      </c>
      <c r="X32" s="150">
        <f>IFERROR(INDEX(AGO!$AU$8:$AU$73,MATCH($A32,AGO!$A$8:$A$73,0)),"")</f>
        <v/>
      </c>
      <c r="Y32" s="150">
        <f>IFERROR(INDEX(SET!$AU$8:$AU$73,MATCH($A32,SET!$A$8:$A$73,0)),"")</f>
        <v/>
      </c>
      <c r="Z32" s="150">
        <f>IFERROR(INDEX(OUT!$AU$8:$AU$73,MATCH($A32,OUT!$A$8:$A$73,0)),"")</f>
        <v/>
      </c>
      <c r="AA32" s="150">
        <f>IFERROR(INDEX(NOV!$AU$8:$AU$73,MATCH($A32,NOV!$A$8:$A$73,0)),"")</f>
        <v/>
      </c>
      <c r="AB32" s="150">
        <f>IFERROR(INDEX(DEZ!$AU$8:$AU$73,MATCH($A32,DEZ!$A$8:$A$73,0)),"")</f>
        <v/>
      </c>
      <c r="AC32" s="151">
        <f>SUM(Q32:AB32)</f>
        <v/>
      </c>
      <c r="AD32" s="39" t="n"/>
      <c r="AE32" s="150">
        <f>IFERROR(INDEX(JAN!$AV$8:$AV$73,MATCH($A32,JAN!$A$8:$A$73,0)),"")</f>
        <v/>
      </c>
      <c r="AF32" s="150">
        <f>IFERROR(INDEX(FEV!$AV$8:$AV$73,MATCH($A32,FEV!$A$8:$A$73,0)),"")</f>
        <v/>
      </c>
      <c r="AG32" s="150">
        <f>IFERROR(INDEX(MAR!$AV$8:$AV$73,MATCH($A32,MAR!$A$8:$A$73,0)),"")</f>
        <v/>
      </c>
      <c r="AH32" s="150">
        <f>IFERROR(INDEX(ABR!$AV$8:$AV$73,MATCH($A32,ABR!$A$8:$A$73,0)),"")</f>
        <v/>
      </c>
      <c r="AI32" s="150">
        <f>IFERROR(INDEX(MAI!$AV$8:$AV$73,MATCH($A32,MAI!$A$8:$A$73,0)),"")</f>
        <v/>
      </c>
      <c r="AJ32" s="150">
        <f>IFERROR(INDEX(JUN!$AV$8:$AV$73,MATCH($A32,JUN!$A$8:$A$73,0)),"")</f>
        <v/>
      </c>
      <c r="AK32" s="150">
        <f>IFERROR(INDEX(JUL!$AV$8:$AV$73,MATCH($A32,JUL!$A$8:$A$73,0)),"")</f>
        <v/>
      </c>
      <c r="AL32" s="150">
        <f>IFERROR(INDEX(AGO!$AV$8:$AV$73,MATCH($A32,AGO!$A$8:$A$73,0)),"")</f>
        <v/>
      </c>
      <c r="AM32" s="150">
        <f>IFERROR(INDEX(SET!$AV$8:$AV$73,MATCH($A32,SET!$A$8:$A$73,0)),"")</f>
        <v/>
      </c>
      <c r="AN32" s="150">
        <f>IFERROR(INDEX(OUT!$AV$8:$AV$73,MATCH($A32,OUT!$A$8:$A$73,0)),"")</f>
        <v/>
      </c>
      <c r="AO32" s="150">
        <f>IFERROR(INDEX(NOV!$AV$8:$AV$73,MATCH($A32,NOV!$A$8:$A$73,0)),"")</f>
        <v/>
      </c>
      <c r="AP32" s="150">
        <f>IFERROR(INDEX(DEZ!$AV$8:$AV$73,MATCH($A32,DEZ!$A$8:$A$73,0)),"")</f>
        <v/>
      </c>
      <c r="AQ32" s="151">
        <f>SUM(AE32:AP32)</f>
        <v/>
      </c>
      <c r="AR32" s="39" t="n"/>
      <c r="AS32" s="150">
        <f>IFERROR(INDEX(JAN!$AW$8:$AW$73,MATCH($A32,JAN!$A$8:$A$73,0)),"")</f>
        <v/>
      </c>
      <c r="AT32" s="150">
        <f>IFERROR(INDEX(FEV!$AW$8:$AW$73,MATCH($A32,FEV!$A$8:$A$73,0)),"")</f>
        <v/>
      </c>
      <c r="AU32" s="150">
        <f>IFERROR(INDEX(MAR!$AW$8:$AW$73,MATCH($A32,MAR!$A$8:$A$73,0)),"")</f>
        <v/>
      </c>
      <c r="AV32" s="150">
        <f>IFERROR(INDEX(ABR!$AW$8:$AW$73,MATCH($A32,ABR!$A$8:$A$73,0)),"")</f>
        <v/>
      </c>
      <c r="AW32" s="150">
        <f>IFERROR(INDEX(MAI!$AW$8:$AW$73,MATCH($A32,MAI!$A$8:$A$73,0)),"")</f>
        <v/>
      </c>
      <c r="AX32" s="150">
        <f>IFERROR(INDEX(JUN!$AW$8:$AW$73,MATCH($A32,JUN!$A$8:$A$73,0)),"")</f>
        <v/>
      </c>
      <c r="AY32" s="150">
        <f>IFERROR(INDEX(JUL!$AW$8:$AW$73,MATCH($A32,JUL!$A$8:$A$73,0)),"")</f>
        <v/>
      </c>
      <c r="AZ32" s="150">
        <f>IFERROR(INDEX(AGO!$AW$8:$AW$73,MATCH($A32,AGO!$A$8:$A$73,0)),"")</f>
        <v/>
      </c>
      <c r="BA32" s="150">
        <f>IFERROR(INDEX(SET!$AW$8:$AW$73,MATCH($A32,SET!$A$8:$A$73,0)),"")</f>
        <v/>
      </c>
      <c r="BB32" s="150">
        <f>IFERROR(INDEX(OUT!$AW$8:$AW$73,MATCH($A32,OUT!$A$8:$A$73,0)),"")</f>
        <v/>
      </c>
      <c r="BC32" s="150">
        <f>IFERROR(INDEX(NOV!$AW$8:$AW$73,MATCH($A32,NOV!$A$8:$A$73,0)),"")</f>
        <v/>
      </c>
      <c r="BD32" s="150">
        <f>IFERROR(INDEX(DEZ!$AW$8:$AW$73,MATCH($A32,DEZ!$A$8:$A$73,0)),"")</f>
        <v/>
      </c>
      <c r="BE32" s="151">
        <f>SUM(AS32:BD32)</f>
        <v/>
      </c>
      <c r="BF32" s="39" t="n"/>
      <c r="BG32" s="102" t="n">
        <v>4</v>
      </c>
      <c r="BH32" s="120">
        <f>SUM(AE32:AP32)</f>
        <v/>
      </c>
      <c r="BI32" s="152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3">
        <f>CADASTRO!$C29</f>
        <v/>
      </c>
      <c r="C33" s="150">
        <f>IFERROR(INDEX(JAN!$AY$8:$AY$73,MATCH($A33,JAN!$A$8:$A$73,0)),"")</f>
        <v/>
      </c>
      <c r="D33" s="150">
        <f>IFERROR(INDEX(FEV!$AY$8:$AY$73,MATCH($A33,FEV!$A$8:$A$73,0)),"")</f>
        <v/>
      </c>
      <c r="E33" s="150">
        <f>IFERROR(INDEX(MAR!$AY$8:$AY$73,MATCH($A33,MAR!$A$8:$A$73,0)),"")</f>
        <v/>
      </c>
      <c r="F33" s="150">
        <f>IFERROR(INDEX(ABR!$AY$8:$AY$73,MATCH($A33,ABR!$A$8:$A$73,0)),"")</f>
        <v/>
      </c>
      <c r="G33" s="150">
        <f>IFERROR(INDEX(MAI!$AY$8:$AY$73,MATCH($A33,MAI!$A$8:$A$73,0)),"")</f>
        <v/>
      </c>
      <c r="H33" s="150">
        <f>IFERROR(INDEX(JUN!$AY$8:$AY$73,MATCH($A33,JUN!$A$8:$A$73,0)),"")</f>
        <v/>
      </c>
      <c r="I33" s="150">
        <f>IFERROR(INDEX(JUL!$AY$8:$AY$73,MATCH($A33,JUL!$A$8:$A$73,0)),"")</f>
        <v/>
      </c>
      <c r="J33" s="150">
        <f>IFERROR(INDEX(AGO!$AY$8:$AY$73,MATCH($A33,AGO!$A$8:$A$73,0)),"")</f>
        <v/>
      </c>
      <c r="K33" s="150">
        <f>IFERROR(INDEX(SET!$AY$8:$AY$73,MATCH($A33,SET!$A$8:$A$73,0)),"")</f>
        <v/>
      </c>
      <c r="L33" s="150">
        <f>IFERROR(INDEX(OUT!$AY$8:$AY$73,MATCH($A33,OUT!$A$8:$A$73,0)),"")</f>
        <v/>
      </c>
      <c r="M33" s="150">
        <f>IFERROR(INDEX(NOV!$AY$8:$AY$73,MATCH($A33,NOV!$A$8:$A$73,0)),"")</f>
        <v/>
      </c>
      <c r="N33" s="150">
        <f>IFERROR(INDEX(DEZ!$AY$8:$AY$73,MATCH($A33,DEZ!$A$8:$A$73,0)),"")</f>
        <v/>
      </c>
      <c r="O33" s="151">
        <f>SUM(C33:N33)</f>
        <v/>
      </c>
      <c r="P33" s="39" t="n"/>
      <c r="Q33" s="150">
        <f>IFERROR(INDEX(JAN!$AU$8:$AU$73,MATCH($A33,JAN!$A$8:$A$73,0)),"")</f>
        <v/>
      </c>
      <c r="R33" s="150">
        <f>IFERROR(INDEX(FEV!$AU$8:$AU$73,MATCH($A33,FEV!$A$8:$A$73,0)),"")</f>
        <v/>
      </c>
      <c r="S33" s="150">
        <f>IFERROR(INDEX(MAR!$AU$8:$AU$73,MATCH($A33,MAR!$A$8:$A$73,0)),"")</f>
        <v/>
      </c>
      <c r="T33" s="150">
        <f>IFERROR(INDEX(ABR!$AU$8:$AU$73,MATCH($A33,ABR!$A$8:$A$73,0)),"")</f>
        <v/>
      </c>
      <c r="U33" s="150">
        <f>IFERROR(INDEX(MAI!$AU$8:$AU$73,MATCH($A33,MAI!$A$8:$A$73,0)),"")</f>
        <v/>
      </c>
      <c r="V33" s="150">
        <f>IFERROR(INDEX(JUN!$AU$8:$AU$73,MATCH($A33,JUN!$A$8:$A$73,0)),"")</f>
        <v/>
      </c>
      <c r="W33" s="150">
        <f>IFERROR(INDEX(JUL!$AU$8:$AU$73,MATCH($A33,JUL!$A$8:$A$73,0)),"")</f>
        <v/>
      </c>
      <c r="X33" s="150">
        <f>IFERROR(INDEX(AGO!$AU$8:$AU$73,MATCH($A33,AGO!$A$8:$A$73,0)),"")</f>
        <v/>
      </c>
      <c r="Y33" s="150">
        <f>IFERROR(INDEX(SET!$AU$8:$AU$73,MATCH($A33,SET!$A$8:$A$73,0)),"")</f>
        <v/>
      </c>
      <c r="Z33" s="150">
        <f>IFERROR(INDEX(OUT!$AU$8:$AU$73,MATCH($A33,OUT!$A$8:$A$73,0)),"")</f>
        <v/>
      </c>
      <c r="AA33" s="150">
        <f>IFERROR(INDEX(NOV!$AU$8:$AU$73,MATCH($A33,NOV!$A$8:$A$73,0)),"")</f>
        <v/>
      </c>
      <c r="AB33" s="150">
        <f>IFERROR(INDEX(DEZ!$AU$8:$AU$73,MATCH($A33,DEZ!$A$8:$A$73,0)),"")</f>
        <v/>
      </c>
      <c r="AC33" s="151">
        <f>SUM(Q33:AB33)</f>
        <v/>
      </c>
      <c r="AD33" s="39" t="n"/>
      <c r="AE33" s="150">
        <f>IFERROR(INDEX(JAN!$AV$8:$AV$73,MATCH($A33,JAN!$A$8:$A$73,0)),"")</f>
        <v/>
      </c>
      <c r="AF33" s="150">
        <f>IFERROR(INDEX(FEV!$AV$8:$AV$73,MATCH($A33,FEV!$A$8:$A$73,0)),"")</f>
        <v/>
      </c>
      <c r="AG33" s="150">
        <f>IFERROR(INDEX(MAR!$AV$8:$AV$73,MATCH($A33,MAR!$A$8:$A$73,0)),"")</f>
        <v/>
      </c>
      <c r="AH33" s="150">
        <f>IFERROR(INDEX(ABR!$AV$8:$AV$73,MATCH($A33,ABR!$A$8:$A$73,0)),"")</f>
        <v/>
      </c>
      <c r="AI33" s="150">
        <f>IFERROR(INDEX(MAI!$AV$8:$AV$73,MATCH($A33,MAI!$A$8:$A$73,0)),"")</f>
        <v/>
      </c>
      <c r="AJ33" s="150">
        <f>IFERROR(INDEX(JUN!$AV$8:$AV$73,MATCH($A33,JUN!$A$8:$A$73,0)),"")</f>
        <v/>
      </c>
      <c r="AK33" s="150">
        <f>IFERROR(INDEX(JUL!$AV$8:$AV$73,MATCH($A33,JUL!$A$8:$A$73,0)),"")</f>
        <v/>
      </c>
      <c r="AL33" s="150">
        <f>IFERROR(INDEX(AGO!$AV$8:$AV$73,MATCH($A33,AGO!$A$8:$A$73,0)),"")</f>
        <v/>
      </c>
      <c r="AM33" s="150">
        <f>IFERROR(INDEX(SET!$AV$8:$AV$73,MATCH($A33,SET!$A$8:$A$73,0)),"")</f>
        <v/>
      </c>
      <c r="AN33" s="150">
        <f>IFERROR(INDEX(OUT!$AV$8:$AV$73,MATCH($A33,OUT!$A$8:$A$73,0)),"")</f>
        <v/>
      </c>
      <c r="AO33" s="150">
        <f>IFERROR(INDEX(NOV!$AV$8:$AV$73,MATCH($A33,NOV!$A$8:$A$73,0)),"")</f>
        <v/>
      </c>
      <c r="AP33" s="150">
        <f>IFERROR(INDEX(DEZ!$AV$8:$AV$73,MATCH($A33,DEZ!$A$8:$A$73,0)),"")</f>
        <v/>
      </c>
      <c r="AQ33" s="151">
        <f>SUM(AE33:AP33)</f>
        <v/>
      </c>
      <c r="AR33" s="39" t="n"/>
      <c r="AS33" s="150">
        <f>IFERROR(INDEX(JAN!$AW$8:$AW$73,MATCH($A33,JAN!$A$8:$A$73,0)),"")</f>
        <v/>
      </c>
      <c r="AT33" s="150">
        <f>IFERROR(INDEX(FEV!$AW$8:$AW$73,MATCH($A33,FEV!$A$8:$A$73,0)),"")</f>
        <v/>
      </c>
      <c r="AU33" s="150">
        <f>IFERROR(INDEX(MAR!$AW$8:$AW$73,MATCH($A33,MAR!$A$8:$A$73,0)),"")</f>
        <v/>
      </c>
      <c r="AV33" s="150">
        <f>IFERROR(INDEX(ABR!$AW$8:$AW$73,MATCH($A33,ABR!$A$8:$A$73,0)),"")</f>
        <v/>
      </c>
      <c r="AW33" s="150">
        <f>IFERROR(INDEX(MAI!$AW$8:$AW$73,MATCH($A33,MAI!$A$8:$A$73,0)),"")</f>
        <v/>
      </c>
      <c r="AX33" s="150">
        <f>IFERROR(INDEX(JUN!$AW$8:$AW$73,MATCH($A33,JUN!$A$8:$A$73,0)),"")</f>
        <v/>
      </c>
      <c r="AY33" s="150">
        <f>IFERROR(INDEX(JUL!$AW$8:$AW$73,MATCH($A33,JUL!$A$8:$A$73,0)),"")</f>
        <v/>
      </c>
      <c r="AZ33" s="150">
        <f>IFERROR(INDEX(AGO!$AW$8:$AW$73,MATCH($A33,AGO!$A$8:$A$73,0)),"")</f>
        <v/>
      </c>
      <c r="BA33" s="150">
        <f>IFERROR(INDEX(SET!$AW$8:$AW$73,MATCH($A33,SET!$A$8:$A$73,0)),"")</f>
        <v/>
      </c>
      <c r="BB33" s="150">
        <f>IFERROR(INDEX(OUT!$AW$8:$AW$73,MATCH($A33,OUT!$A$8:$A$73,0)),"")</f>
        <v/>
      </c>
      <c r="BC33" s="150">
        <f>IFERROR(INDEX(NOV!$AW$8:$AW$73,MATCH($A33,NOV!$A$8:$A$73,0)),"")</f>
        <v/>
      </c>
      <c r="BD33" s="150">
        <f>IFERROR(INDEX(DEZ!$AW$8:$AW$73,MATCH($A33,DEZ!$A$8:$A$73,0)),"")</f>
        <v/>
      </c>
      <c r="BE33" s="151">
        <f>SUM(AS33:BD33)</f>
        <v/>
      </c>
      <c r="BF33" s="39" t="n"/>
      <c r="BG33" s="102" t="n">
        <v>3</v>
      </c>
      <c r="BH33" s="120">
        <f>SUM(AE33:AP33)</f>
        <v/>
      </c>
      <c r="BI33" s="152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3">
        <f>CADASTRO!$C30</f>
        <v/>
      </c>
      <c r="C34" s="150">
        <f>IFERROR(INDEX(JAN!$AY$8:$AY$73,MATCH($A34,JAN!$A$8:$A$73,0)),"")</f>
        <v/>
      </c>
      <c r="D34" s="150">
        <f>IFERROR(INDEX(FEV!$AY$8:$AY$73,MATCH($A34,FEV!$A$8:$A$73,0)),"")</f>
        <v/>
      </c>
      <c r="E34" s="150">
        <f>IFERROR(INDEX(MAR!$AY$8:$AY$73,MATCH($A34,MAR!$A$8:$A$73,0)),"")</f>
        <v/>
      </c>
      <c r="F34" s="150">
        <f>IFERROR(INDEX(ABR!$AY$8:$AY$73,MATCH($A34,ABR!$A$8:$A$73,0)),"")</f>
        <v/>
      </c>
      <c r="G34" s="150">
        <f>IFERROR(INDEX(MAI!$AY$8:$AY$73,MATCH($A34,MAI!$A$8:$A$73,0)),"")</f>
        <v/>
      </c>
      <c r="H34" s="150">
        <f>IFERROR(INDEX(JUN!$AY$8:$AY$73,MATCH($A34,JUN!$A$8:$A$73,0)),"")</f>
        <v/>
      </c>
      <c r="I34" s="150">
        <f>IFERROR(INDEX(JUL!$AY$8:$AY$73,MATCH($A34,JUL!$A$8:$A$73,0)),"")</f>
        <v/>
      </c>
      <c r="J34" s="150">
        <f>IFERROR(INDEX(AGO!$AY$8:$AY$73,MATCH($A34,AGO!$A$8:$A$73,0)),"")</f>
        <v/>
      </c>
      <c r="K34" s="150">
        <f>IFERROR(INDEX(SET!$AY$8:$AY$73,MATCH($A34,SET!$A$8:$A$73,0)),"")</f>
        <v/>
      </c>
      <c r="L34" s="150">
        <f>IFERROR(INDEX(OUT!$AY$8:$AY$73,MATCH($A34,OUT!$A$8:$A$73,0)),"")</f>
        <v/>
      </c>
      <c r="M34" s="150">
        <f>IFERROR(INDEX(NOV!$AY$8:$AY$73,MATCH($A34,NOV!$A$8:$A$73,0)),"")</f>
        <v/>
      </c>
      <c r="N34" s="150">
        <f>IFERROR(INDEX(DEZ!$AY$8:$AY$73,MATCH($A34,DEZ!$A$8:$A$73,0)),"")</f>
        <v/>
      </c>
      <c r="O34" s="151">
        <f>SUM(C34:N34)</f>
        <v/>
      </c>
      <c r="P34" s="39" t="n"/>
      <c r="Q34" s="150">
        <f>IFERROR(INDEX(JAN!$AU$8:$AU$73,MATCH($A34,JAN!$A$8:$A$73,0)),"")</f>
        <v/>
      </c>
      <c r="R34" s="150">
        <f>IFERROR(INDEX(FEV!$AU$8:$AU$73,MATCH($A34,FEV!$A$8:$A$73,0)),"")</f>
        <v/>
      </c>
      <c r="S34" s="150">
        <f>IFERROR(INDEX(MAR!$AU$8:$AU$73,MATCH($A34,MAR!$A$8:$A$73,0)),"")</f>
        <v/>
      </c>
      <c r="T34" s="150">
        <f>IFERROR(INDEX(ABR!$AU$8:$AU$73,MATCH($A34,ABR!$A$8:$A$73,0)),"")</f>
        <v/>
      </c>
      <c r="U34" s="150">
        <f>IFERROR(INDEX(MAI!$AU$8:$AU$73,MATCH($A34,MAI!$A$8:$A$73,0)),"")</f>
        <v/>
      </c>
      <c r="V34" s="150">
        <f>IFERROR(INDEX(JUN!$AU$8:$AU$73,MATCH($A34,JUN!$A$8:$A$73,0)),"")</f>
        <v/>
      </c>
      <c r="W34" s="150">
        <f>IFERROR(INDEX(JUL!$AU$8:$AU$73,MATCH($A34,JUL!$A$8:$A$73,0)),"")</f>
        <v/>
      </c>
      <c r="X34" s="150">
        <f>IFERROR(INDEX(AGO!$AU$8:$AU$73,MATCH($A34,AGO!$A$8:$A$73,0)),"")</f>
        <v/>
      </c>
      <c r="Y34" s="150">
        <f>IFERROR(INDEX(SET!$AU$8:$AU$73,MATCH($A34,SET!$A$8:$A$73,0)),"")</f>
        <v/>
      </c>
      <c r="Z34" s="150">
        <f>IFERROR(INDEX(OUT!$AU$8:$AU$73,MATCH($A34,OUT!$A$8:$A$73,0)),"")</f>
        <v/>
      </c>
      <c r="AA34" s="150">
        <f>IFERROR(INDEX(NOV!$AU$8:$AU$73,MATCH($A34,NOV!$A$8:$A$73,0)),"")</f>
        <v/>
      </c>
      <c r="AB34" s="150">
        <f>IFERROR(INDEX(DEZ!$AU$8:$AU$73,MATCH($A34,DEZ!$A$8:$A$73,0)),"")</f>
        <v/>
      </c>
      <c r="AC34" s="151">
        <f>SUM(Q34:AB34)</f>
        <v/>
      </c>
      <c r="AD34" s="39" t="n"/>
      <c r="AE34" s="150">
        <f>IFERROR(INDEX(JAN!$AV$8:$AV$73,MATCH($A34,JAN!$A$8:$A$73,0)),"")</f>
        <v/>
      </c>
      <c r="AF34" s="150">
        <f>IFERROR(INDEX(FEV!$AV$8:$AV$73,MATCH($A34,FEV!$A$8:$A$73,0)),"")</f>
        <v/>
      </c>
      <c r="AG34" s="150">
        <f>IFERROR(INDEX(MAR!$AV$8:$AV$73,MATCH($A34,MAR!$A$8:$A$73,0)),"")</f>
        <v/>
      </c>
      <c r="AH34" s="150">
        <f>IFERROR(INDEX(ABR!$AV$8:$AV$73,MATCH($A34,ABR!$A$8:$A$73,0)),"")</f>
        <v/>
      </c>
      <c r="AI34" s="150">
        <f>IFERROR(INDEX(MAI!$AV$8:$AV$73,MATCH($A34,MAI!$A$8:$A$73,0)),"")</f>
        <v/>
      </c>
      <c r="AJ34" s="150">
        <f>IFERROR(INDEX(JUN!$AV$8:$AV$73,MATCH($A34,JUN!$A$8:$A$73,0)),"")</f>
        <v/>
      </c>
      <c r="AK34" s="150">
        <f>IFERROR(INDEX(JUL!$AV$8:$AV$73,MATCH($A34,JUL!$A$8:$A$73,0)),"")</f>
        <v/>
      </c>
      <c r="AL34" s="150">
        <f>IFERROR(INDEX(AGO!$AV$8:$AV$73,MATCH($A34,AGO!$A$8:$A$73,0)),"")</f>
        <v/>
      </c>
      <c r="AM34" s="150">
        <f>IFERROR(INDEX(SET!$AV$8:$AV$73,MATCH($A34,SET!$A$8:$A$73,0)),"")</f>
        <v/>
      </c>
      <c r="AN34" s="150">
        <f>IFERROR(INDEX(OUT!$AV$8:$AV$73,MATCH($A34,OUT!$A$8:$A$73,0)),"")</f>
        <v/>
      </c>
      <c r="AO34" s="150">
        <f>IFERROR(INDEX(NOV!$AV$8:$AV$73,MATCH($A34,NOV!$A$8:$A$73,0)),"")</f>
        <v/>
      </c>
      <c r="AP34" s="150">
        <f>IFERROR(INDEX(DEZ!$AV$8:$AV$73,MATCH($A34,DEZ!$A$8:$A$73,0)),"")</f>
        <v/>
      </c>
      <c r="AQ34" s="151">
        <f>SUM(AE34:AP34)</f>
        <v/>
      </c>
      <c r="AR34" s="39" t="n"/>
      <c r="AS34" s="150">
        <f>IFERROR(INDEX(JAN!$AW$8:$AW$73,MATCH($A34,JAN!$A$8:$A$73,0)),"")</f>
        <v/>
      </c>
      <c r="AT34" s="150">
        <f>IFERROR(INDEX(FEV!$AW$8:$AW$73,MATCH($A34,FEV!$A$8:$A$73,0)),"")</f>
        <v/>
      </c>
      <c r="AU34" s="150">
        <f>IFERROR(INDEX(MAR!$AW$8:$AW$73,MATCH($A34,MAR!$A$8:$A$73,0)),"")</f>
        <v/>
      </c>
      <c r="AV34" s="150">
        <f>IFERROR(INDEX(ABR!$AW$8:$AW$73,MATCH($A34,ABR!$A$8:$A$73,0)),"")</f>
        <v/>
      </c>
      <c r="AW34" s="150">
        <f>IFERROR(INDEX(MAI!$AW$8:$AW$73,MATCH($A34,MAI!$A$8:$A$73,0)),"")</f>
        <v/>
      </c>
      <c r="AX34" s="150">
        <f>IFERROR(INDEX(JUN!$AW$8:$AW$73,MATCH($A34,JUN!$A$8:$A$73,0)),"")</f>
        <v/>
      </c>
      <c r="AY34" s="150">
        <f>IFERROR(INDEX(JUL!$AW$8:$AW$73,MATCH($A34,JUL!$A$8:$A$73,0)),"")</f>
        <v/>
      </c>
      <c r="AZ34" s="150">
        <f>IFERROR(INDEX(AGO!$AW$8:$AW$73,MATCH($A34,AGO!$A$8:$A$73,0)),"")</f>
        <v/>
      </c>
      <c r="BA34" s="150">
        <f>IFERROR(INDEX(SET!$AW$8:$AW$73,MATCH($A34,SET!$A$8:$A$73,0)),"")</f>
        <v/>
      </c>
      <c r="BB34" s="150">
        <f>IFERROR(INDEX(OUT!$AW$8:$AW$73,MATCH($A34,OUT!$A$8:$A$73,0)),"")</f>
        <v/>
      </c>
      <c r="BC34" s="150">
        <f>IFERROR(INDEX(NOV!$AW$8:$AW$73,MATCH($A34,NOV!$A$8:$A$73,0)),"")</f>
        <v/>
      </c>
      <c r="BD34" s="150">
        <f>IFERROR(INDEX(DEZ!$AW$8:$AW$73,MATCH($A34,DEZ!$A$8:$A$73,0)),"")</f>
        <v/>
      </c>
      <c r="BE34" s="151">
        <f>SUM(AS34:BD34)</f>
        <v/>
      </c>
      <c r="BF34" s="39" t="n"/>
      <c r="BG34" s="102" t="n">
        <v>3</v>
      </c>
      <c r="BH34" s="120">
        <f>SUM(AE34:AP34)</f>
        <v/>
      </c>
      <c r="BI34" s="152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3">
        <f>CADASTRO!$C31</f>
        <v/>
      </c>
      <c r="C35" s="150">
        <f>IFERROR(INDEX(JAN!$AY$8:$AY$73,MATCH($A35,JAN!$A$8:$A$73,0)),"")</f>
        <v/>
      </c>
      <c r="D35" s="150">
        <f>IFERROR(INDEX(FEV!$AY$8:$AY$73,MATCH($A35,FEV!$A$8:$A$73,0)),"")</f>
        <v/>
      </c>
      <c r="E35" s="150">
        <f>IFERROR(INDEX(MAR!$AY$8:$AY$73,MATCH($A35,MAR!$A$8:$A$73,0)),"")</f>
        <v/>
      </c>
      <c r="F35" s="150">
        <f>IFERROR(INDEX(ABR!$AY$8:$AY$73,MATCH($A35,ABR!$A$8:$A$73,0)),"")</f>
        <v/>
      </c>
      <c r="G35" s="150">
        <f>IFERROR(INDEX(MAI!$AY$8:$AY$73,MATCH($A35,MAI!$A$8:$A$73,0)),"")</f>
        <v/>
      </c>
      <c r="H35" s="150">
        <f>IFERROR(INDEX(JUN!$AY$8:$AY$73,MATCH($A35,JUN!$A$8:$A$73,0)),"")</f>
        <v/>
      </c>
      <c r="I35" s="150">
        <f>IFERROR(INDEX(JUL!$AY$8:$AY$73,MATCH($A35,JUL!$A$8:$A$73,0)),"")</f>
        <v/>
      </c>
      <c r="J35" s="150">
        <f>IFERROR(INDEX(AGO!$AY$8:$AY$73,MATCH($A35,AGO!$A$8:$A$73,0)),"")</f>
        <v/>
      </c>
      <c r="K35" s="150">
        <f>IFERROR(INDEX(SET!$AY$8:$AY$73,MATCH($A35,SET!$A$8:$A$73,0)),"")</f>
        <v/>
      </c>
      <c r="L35" s="150">
        <f>IFERROR(INDEX(OUT!$AY$8:$AY$73,MATCH($A35,OUT!$A$8:$A$73,0)),"")</f>
        <v/>
      </c>
      <c r="M35" s="150">
        <f>IFERROR(INDEX(NOV!$AY$8:$AY$73,MATCH($A35,NOV!$A$8:$A$73,0)),"")</f>
        <v/>
      </c>
      <c r="N35" s="150">
        <f>IFERROR(INDEX(DEZ!$AY$8:$AY$73,MATCH($A35,DEZ!$A$8:$A$73,0)),"")</f>
        <v/>
      </c>
      <c r="O35" s="151">
        <f>SUM(C35:N35)</f>
        <v/>
      </c>
      <c r="P35" s="39" t="n"/>
      <c r="Q35" s="150">
        <f>IFERROR(INDEX(JAN!$AU$8:$AU$73,MATCH($A35,JAN!$A$8:$A$73,0)),"")</f>
        <v/>
      </c>
      <c r="R35" s="150">
        <f>IFERROR(INDEX(FEV!$AU$8:$AU$73,MATCH($A35,FEV!$A$8:$A$73,0)),"")</f>
        <v/>
      </c>
      <c r="S35" s="150">
        <f>IFERROR(INDEX(MAR!$AU$8:$AU$73,MATCH($A35,MAR!$A$8:$A$73,0)),"")</f>
        <v/>
      </c>
      <c r="T35" s="150">
        <f>IFERROR(INDEX(ABR!$AU$8:$AU$73,MATCH($A35,ABR!$A$8:$A$73,0)),"")</f>
        <v/>
      </c>
      <c r="U35" s="150">
        <f>IFERROR(INDEX(MAI!$AU$8:$AU$73,MATCH($A35,MAI!$A$8:$A$73,0)),"")</f>
        <v/>
      </c>
      <c r="V35" s="150">
        <f>IFERROR(INDEX(JUN!$AU$8:$AU$73,MATCH($A35,JUN!$A$8:$A$73,0)),"")</f>
        <v/>
      </c>
      <c r="W35" s="150">
        <f>IFERROR(INDEX(JUL!$AU$8:$AU$73,MATCH($A35,JUL!$A$8:$A$73,0)),"")</f>
        <v/>
      </c>
      <c r="X35" s="150">
        <f>IFERROR(INDEX(AGO!$AU$8:$AU$73,MATCH($A35,AGO!$A$8:$A$73,0)),"")</f>
        <v/>
      </c>
      <c r="Y35" s="150">
        <f>IFERROR(INDEX(SET!$AU$8:$AU$73,MATCH($A35,SET!$A$8:$A$73,0)),"")</f>
        <v/>
      </c>
      <c r="Z35" s="150">
        <f>IFERROR(INDEX(OUT!$AU$8:$AU$73,MATCH($A35,OUT!$A$8:$A$73,0)),"")</f>
        <v/>
      </c>
      <c r="AA35" s="150">
        <f>IFERROR(INDEX(NOV!$AU$8:$AU$73,MATCH($A35,NOV!$A$8:$A$73,0)),"")</f>
        <v/>
      </c>
      <c r="AB35" s="150">
        <f>IFERROR(INDEX(DEZ!$AU$8:$AU$73,MATCH($A35,DEZ!$A$8:$A$73,0)),"")</f>
        <v/>
      </c>
      <c r="AC35" s="151">
        <f>SUM(Q35:AB35)</f>
        <v/>
      </c>
      <c r="AD35" s="39" t="n"/>
      <c r="AE35" s="150">
        <f>IFERROR(INDEX(JAN!$AV$8:$AV$73,MATCH($A35,JAN!$A$8:$A$73,0)),"")</f>
        <v/>
      </c>
      <c r="AF35" s="150">
        <f>IFERROR(INDEX(FEV!$AV$8:$AV$73,MATCH($A35,FEV!$A$8:$A$73,0)),"")</f>
        <v/>
      </c>
      <c r="AG35" s="150">
        <f>IFERROR(INDEX(MAR!$AV$8:$AV$73,MATCH($A35,MAR!$A$8:$A$73,0)),"")</f>
        <v/>
      </c>
      <c r="AH35" s="150">
        <f>IFERROR(INDEX(ABR!$AV$8:$AV$73,MATCH($A35,ABR!$A$8:$A$73,0)),"")</f>
        <v/>
      </c>
      <c r="AI35" s="150">
        <f>IFERROR(INDEX(MAI!$AV$8:$AV$73,MATCH($A35,MAI!$A$8:$A$73,0)),"")</f>
        <v/>
      </c>
      <c r="AJ35" s="150">
        <f>IFERROR(INDEX(JUN!$AV$8:$AV$73,MATCH($A35,JUN!$A$8:$A$73,0)),"")</f>
        <v/>
      </c>
      <c r="AK35" s="150">
        <f>IFERROR(INDEX(JUL!$AV$8:$AV$73,MATCH($A35,JUL!$A$8:$A$73,0)),"")</f>
        <v/>
      </c>
      <c r="AL35" s="150">
        <f>IFERROR(INDEX(AGO!$AV$8:$AV$73,MATCH($A35,AGO!$A$8:$A$73,0)),"")</f>
        <v/>
      </c>
      <c r="AM35" s="150">
        <f>IFERROR(INDEX(SET!$AV$8:$AV$73,MATCH($A35,SET!$A$8:$A$73,0)),"")</f>
        <v/>
      </c>
      <c r="AN35" s="150">
        <f>IFERROR(INDEX(OUT!$AV$8:$AV$73,MATCH($A35,OUT!$A$8:$A$73,0)),"")</f>
        <v/>
      </c>
      <c r="AO35" s="150">
        <f>IFERROR(INDEX(NOV!$AV$8:$AV$73,MATCH($A35,NOV!$A$8:$A$73,0)),"")</f>
        <v/>
      </c>
      <c r="AP35" s="150">
        <f>IFERROR(INDEX(DEZ!$AV$8:$AV$73,MATCH($A35,DEZ!$A$8:$A$73,0)),"")</f>
        <v/>
      </c>
      <c r="AQ35" s="151">
        <f>SUM(AE35:AP35)</f>
        <v/>
      </c>
      <c r="AR35" s="39" t="n"/>
      <c r="AS35" s="150">
        <f>IFERROR(INDEX(JAN!$AW$8:$AW$73,MATCH($A35,JAN!$A$8:$A$73,0)),"")</f>
        <v/>
      </c>
      <c r="AT35" s="150">
        <f>IFERROR(INDEX(FEV!$AW$8:$AW$73,MATCH($A35,FEV!$A$8:$A$73,0)),"")</f>
        <v/>
      </c>
      <c r="AU35" s="150">
        <f>IFERROR(INDEX(MAR!$AW$8:$AW$73,MATCH($A35,MAR!$A$8:$A$73,0)),"")</f>
        <v/>
      </c>
      <c r="AV35" s="150">
        <f>IFERROR(INDEX(ABR!$AW$8:$AW$73,MATCH($A35,ABR!$A$8:$A$73,0)),"")</f>
        <v/>
      </c>
      <c r="AW35" s="150">
        <f>IFERROR(INDEX(MAI!$AW$8:$AW$73,MATCH($A35,MAI!$A$8:$A$73,0)),"")</f>
        <v/>
      </c>
      <c r="AX35" s="150">
        <f>IFERROR(INDEX(JUN!$AW$8:$AW$73,MATCH($A35,JUN!$A$8:$A$73,0)),"")</f>
        <v/>
      </c>
      <c r="AY35" s="150">
        <f>IFERROR(INDEX(JUL!$AW$8:$AW$73,MATCH($A35,JUL!$A$8:$A$73,0)),"")</f>
        <v/>
      </c>
      <c r="AZ35" s="150">
        <f>IFERROR(INDEX(AGO!$AW$8:$AW$73,MATCH($A35,AGO!$A$8:$A$73,0)),"")</f>
        <v/>
      </c>
      <c r="BA35" s="150">
        <f>IFERROR(INDEX(SET!$AW$8:$AW$73,MATCH($A35,SET!$A$8:$A$73,0)),"")</f>
        <v/>
      </c>
      <c r="BB35" s="150">
        <f>IFERROR(INDEX(OUT!$AW$8:$AW$73,MATCH($A35,OUT!$A$8:$A$73,0)),"")</f>
        <v/>
      </c>
      <c r="BC35" s="150">
        <f>IFERROR(INDEX(NOV!$AW$8:$AW$73,MATCH($A35,NOV!$A$8:$A$73,0)),"")</f>
        <v/>
      </c>
      <c r="BD35" s="150">
        <f>IFERROR(INDEX(DEZ!$AW$8:$AW$73,MATCH($A35,DEZ!$A$8:$A$73,0)),"")</f>
        <v/>
      </c>
      <c r="BE35" s="151">
        <f>SUM(AS35:BD35)</f>
        <v/>
      </c>
      <c r="BF35" s="39" t="n"/>
      <c r="BG35" s="102" t="n">
        <v>6</v>
      </c>
      <c r="BH35" s="120">
        <f>SUM(AE35:AP35)</f>
        <v/>
      </c>
      <c r="BI35" s="152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3">
        <f>CADASTRO!$C32</f>
        <v/>
      </c>
      <c r="C36" s="150">
        <f>IFERROR(INDEX(JAN!$AY$8:$AY$73,MATCH($A36,JAN!$A$8:$A$73,0)),"")</f>
        <v/>
      </c>
      <c r="D36" s="150">
        <f>IFERROR(INDEX(FEV!$AY$8:$AY$73,MATCH($A36,FEV!$A$8:$A$73,0)),"")</f>
        <v/>
      </c>
      <c r="E36" s="150">
        <f>IFERROR(INDEX(MAR!$AY$8:$AY$73,MATCH($A36,MAR!$A$8:$A$73,0)),"")</f>
        <v/>
      </c>
      <c r="F36" s="150">
        <f>IFERROR(INDEX(ABR!$AY$8:$AY$73,MATCH($A36,ABR!$A$8:$A$73,0)),"")</f>
        <v/>
      </c>
      <c r="G36" s="150">
        <f>IFERROR(INDEX(MAI!$AY$8:$AY$73,MATCH($A36,MAI!$A$8:$A$73,0)),"")</f>
        <v/>
      </c>
      <c r="H36" s="150">
        <f>IFERROR(INDEX(JUN!$AY$8:$AY$73,MATCH($A36,JUN!$A$8:$A$73,0)),"")</f>
        <v/>
      </c>
      <c r="I36" s="150">
        <f>IFERROR(INDEX(JUL!$AY$8:$AY$73,MATCH($A36,JUL!$A$8:$A$73,0)),"")</f>
        <v/>
      </c>
      <c r="J36" s="150">
        <f>IFERROR(INDEX(AGO!$AY$8:$AY$73,MATCH($A36,AGO!$A$8:$A$73,0)),"")</f>
        <v/>
      </c>
      <c r="K36" s="150">
        <f>IFERROR(INDEX(SET!$AY$8:$AY$73,MATCH($A36,SET!$A$8:$A$73,0)),"")</f>
        <v/>
      </c>
      <c r="L36" s="150">
        <f>IFERROR(INDEX(OUT!$AY$8:$AY$73,MATCH($A36,OUT!$A$8:$A$73,0)),"")</f>
        <v/>
      </c>
      <c r="M36" s="150">
        <f>IFERROR(INDEX(NOV!$AY$8:$AY$73,MATCH($A36,NOV!$A$8:$A$73,0)),"")</f>
        <v/>
      </c>
      <c r="N36" s="150">
        <f>IFERROR(INDEX(DEZ!$AY$8:$AY$73,MATCH($A36,DEZ!$A$8:$A$73,0)),"")</f>
        <v/>
      </c>
      <c r="O36" s="151">
        <f>SUM(C36:N36)</f>
        <v/>
      </c>
      <c r="P36" s="39" t="n"/>
      <c r="Q36" s="150">
        <f>IFERROR(INDEX(JAN!$AU$8:$AU$73,MATCH($A36,JAN!$A$8:$A$73,0)),"")</f>
        <v/>
      </c>
      <c r="R36" s="150">
        <f>IFERROR(INDEX(FEV!$AU$8:$AU$73,MATCH($A36,FEV!$A$8:$A$73,0)),"")</f>
        <v/>
      </c>
      <c r="S36" s="150">
        <f>IFERROR(INDEX(MAR!$AU$8:$AU$73,MATCH($A36,MAR!$A$8:$A$73,0)),"")</f>
        <v/>
      </c>
      <c r="T36" s="150">
        <f>IFERROR(INDEX(ABR!$AU$8:$AU$73,MATCH($A36,ABR!$A$8:$A$73,0)),"")</f>
        <v/>
      </c>
      <c r="U36" s="150">
        <f>IFERROR(INDEX(MAI!$AU$8:$AU$73,MATCH($A36,MAI!$A$8:$A$73,0)),"")</f>
        <v/>
      </c>
      <c r="V36" s="150">
        <f>IFERROR(INDEX(JUN!$AU$8:$AU$73,MATCH($A36,JUN!$A$8:$A$73,0)),"")</f>
        <v/>
      </c>
      <c r="W36" s="150">
        <f>IFERROR(INDEX(JUL!$AU$8:$AU$73,MATCH($A36,JUL!$A$8:$A$73,0)),"")</f>
        <v/>
      </c>
      <c r="X36" s="150">
        <f>IFERROR(INDEX(AGO!$AU$8:$AU$73,MATCH($A36,AGO!$A$8:$A$73,0)),"")</f>
        <v/>
      </c>
      <c r="Y36" s="150">
        <f>IFERROR(INDEX(SET!$AU$8:$AU$73,MATCH($A36,SET!$A$8:$A$73,0)),"")</f>
        <v/>
      </c>
      <c r="Z36" s="150">
        <f>IFERROR(INDEX(OUT!$AU$8:$AU$73,MATCH($A36,OUT!$A$8:$A$73,0)),"")</f>
        <v/>
      </c>
      <c r="AA36" s="150">
        <f>IFERROR(INDEX(NOV!$AU$8:$AU$73,MATCH($A36,NOV!$A$8:$A$73,0)),"")</f>
        <v/>
      </c>
      <c r="AB36" s="150">
        <f>IFERROR(INDEX(DEZ!$AU$8:$AU$73,MATCH($A36,DEZ!$A$8:$A$73,0)),"")</f>
        <v/>
      </c>
      <c r="AC36" s="151">
        <f>SUM(Q36:AB36)</f>
        <v/>
      </c>
      <c r="AD36" s="39" t="n"/>
      <c r="AE36" s="150">
        <f>IFERROR(INDEX(JAN!$AV$8:$AV$73,MATCH($A36,JAN!$A$8:$A$73,0)),"")</f>
        <v/>
      </c>
      <c r="AF36" s="150">
        <f>IFERROR(INDEX(FEV!$AV$8:$AV$73,MATCH($A36,FEV!$A$8:$A$73,0)),"")</f>
        <v/>
      </c>
      <c r="AG36" s="150">
        <f>IFERROR(INDEX(MAR!$AV$8:$AV$73,MATCH($A36,MAR!$A$8:$A$73,0)),"")</f>
        <v/>
      </c>
      <c r="AH36" s="150">
        <f>IFERROR(INDEX(ABR!$AV$8:$AV$73,MATCH($A36,ABR!$A$8:$A$73,0)),"")</f>
        <v/>
      </c>
      <c r="AI36" s="150">
        <f>IFERROR(INDEX(MAI!$AV$8:$AV$73,MATCH($A36,MAI!$A$8:$A$73,0)),"")</f>
        <v/>
      </c>
      <c r="AJ36" s="150">
        <f>IFERROR(INDEX(JUN!$AV$8:$AV$73,MATCH($A36,JUN!$A$8:$A$73,0)),"")</f>
        <v/>
      </c>
      <c r="AK36" s="150">
        <f>IFERROR(INDEX(JUL!$AV$8:$AV$73,MATCH($A36,JUL!$A$8:$A$73,0)),"")</f>
        <v/>
      </c>
      <c r="AL36" s="150">
        <f>IFERROR(INDEX(AGO!$AV$8:$AV$73,MATCH($A36,AGO!$A$8:$A$73,0)),"")</f>
        <v/>
      </c>
      <c r="AM36" s="150">
        <f>IFERROR(INDEX(SET!$AV$8:$AV$73,MATCH($A36,SET!$A$8:$A$73,0)),"")</f>
        <v/>
      </c>
      <c r="AN36" s="150">
        <f>IFERROR(INDEX(OUT!$AV$8:$AV$73,MATCH($A36,OUT!$A$8:$A$73,0)),"")</f>
        <v/>
      </c>
      <c r="AO36" s="150">
        <f>IFERROR(INDEX(NOV!$AV$8:$AV$73,MATCH($A36,NOV!$A$8:$A$73,0)),"")</f>
        <v/>
      </c>
      <c r="AP36" s="150">
        <f>IFERROR(INDEX(DEZ!$AV$8:$AV$73,MATCH($A36,DEZ!$A$8:$A$73,0)),"")</f>
        <v/>
      </c>
      <c r="AQ36" s="151">
        <f>SUM(AE36:AP36)</f>
        <v/>
      </c>
      <c r="AR36" s="39" t="n"/>
      <c r="AS36" s="150">
        <f>IFERROR(INDEX(JAN!$AW$8:$AW$73,MATCH($A36,JAN!$A$8:$A$73,0)),"")</f>
        <v/>
      </c>
      <c r="AT36" s="150">
        <f>IFERROR(INDEX(FEV!$AW$8:$AW$73,MATCH($A36,FEV!$A$8:$A$73,0)),"")</f>
        <v/>
      </c>
      <c r="AU36" s="150">
        <f>IFERROR(INDEX(MAR!$AW$8:$AW$73,MATCH($A36,MAR!$A$8:$A$73,0)),"")</f>
        <v/>
      </c>
      <c r="AV36" s="150">
        <f>IFERROR(INDEX(ABR!$AW$8:$AW$73,MATCH($A36,ABR!$A$8:$A$73,0)),"")</f>
        <v/>
      </c>
      <c r="AW36" s="150">
        <f>IFERROR(INDEX(MAI!$AW$8:$AW$73,MATCH($A36,MAI!$A$8:$A$73,0)),"")</f>
        <v/>
      </c>
      <c r="AX36" s="150">
        <f>IFERROR(INDEX(JUN!$AW$8:$AW$73,MATCH($A36,JUN!$A$8:$A$73,0)),"")</f>
        <v/>
      </c>
      <c r="AY36" s="150">
        <f>IFERROR(INDEX(JUL!$AW$8:$AW$73,MATCH($A36,JUL!$A$8:$A$73,0)),"")</f>
        <v/>
      </c>
      <c r="AZ36" s="150">
        <f>IFERROR(INDEX(AGO!$AW$8:$AW$73,MATCH($A36,AGO!$A$8:$A$73,0)),"")</f>
        <v/>
      </c>
      <c r="BA36" s="150">
        <f>IFERROR(INDEX(SET!$AW$8:$AW$73,MATCH($A36,SET!$A$8:$A$73,0)),"")</f>
        <v/>
      </c>
      <c r="BB36" s="150">
        <f>IFERROR(INDEX(OUT!$AW$8:$AW$73,MATCH($A36,OUT!$A$8:$A$73,0)),"")</f>
        <v/>
      </c>
      <c r="BC36" s="150">
        <f>IFERROR(INDEX(NOV!$AW$8:$AW$73,MATCH($A36,NOV!$A$8:$A$73,0)),"")</f>
        <v/>
      </c>
      <c r="BD36" s="150">
        <f>IFERROR(INDEX(DEZ!$AW$8:$AW$73,MATCH($A36,DEZ!$A$8:$A$73,0)),"")</f>
        <v/>
      </c>
      <c r="BE36" s="151">
        <f>SUM(AS36:BD36)</f>
        <v/>
      </c>
      <c r="BF36" s="39" t="n"/>
      <c r="BG36" s="102" t="n">
        <v>5</v>
      </c>
      <c r="BH36" s="120">
        <f>SUM(AE36:AP36)</f>
        <v/>
      </c>
      <c r="BI36" s="152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3">
        <f>CADASTRO!$C33</f>
        <v/>
      </c>
      <c r="C37" s="150">
        <f>IFERROR(INDEX(JAN!$AY$8:$AY$73,MATCH($A37,JAN!$A$8:$A$73,0)),"")</f>
        <v/>
      </c>
      <c r="D37" s="150">
        <f>IFERROR(INDEX(FEV!$AY$8:$AY$73,MATCH($A37,FEV!$A$8:$A$73,0)),"")</f>
        <v/>
      </c>
      <c r="E37" s="150">
        <f>IFERROR(INDEX(MAR!$AY$8:$AY$73,MATCH($A37,MAR!$A$8:$A$73,0)),"")</f>
        <v/>
      </c>
      <c r="F37" s="150">
        <f>IFERROR(INDEX(ABR!$AY$8:$AY$73,MATCH($A37,ABR!$A$8:$A$73,0)),"")</f>
        <v/>
      </c>
      <c r="G37" s="150">
        <f>IFERROR(INDEX(MAI!$AY$8:$AY$73,MATCH($A37,MAI!$A$8:$A$73,0)),"")</f>
        <v/>
      </c>
      <c r="H37" s="150">
        <f>IFERROR(INDEX(JUN!$AY$8:$AY$73,MATCH($A37,JUN!$A$8:$A$73,0)),"")</f>
        <v/>
      </c>
      <c r="I37" s="150">
        <f>IFERROR(INDEX(JUL!$AY$8:$AY$73,MATCH($A37,JUL!$A$8:$A$73,0)),"")</f>
        <v/>
      </c>
      <c r="J37" s="150">
        <f>IFERROR(INDEX(AGO!$AY$8:$AY$73,MATCH($A37,AGO!$A$8:$A$73,0)),"")</f>
        <v/>
      </c>
      <c r="K37" s="150">
        <f>IFERROR(INDEX(SET!$AY$8:$AY$73,MATCH($A37,SET!$A$8:$A$73,0)),"")</f>
        <v/>
      </c>
      <c r="L37" s="150">
        <f>IFERROR(INDEX(OUT!$AY$8:$AY$73,MATCH($A37,OUT!$A$8:$A$73,0)),"")</f>
        <v/>
      </c>
      <c r="M37" s="150">
        <f>IFERROR(INDEX(NOV!$AY$8:$AY$73,MATCH($A37,NOV!$A$8:$A$73,0)),"")</f>
        <v/>
      </c>
      <c r="N37" s="150">
        <f>IFERROR(INDEX(DEZ!$AY$8:$AY$73,MATCH($A37,DEZ!$A$8:$A$73,0)),"")</f>
        <v/>
      </c>
      <c r="O37" s="151">
        <f>SUM(C37:N37)</f>
        <v/>
      </c>
      <c r="P37" s="39" t="n"/>
      <c r="Q37" s="150">
        <f>IFERROR(INDEX(JAN!$AU$8:$AU$73,MATCH($A37,JAN!$A$8:$A$73,0)),"")</f>
        <v/>
      </c>
      <c r="R37" s="150">
        <f>IFERROR(INDEX(FEV!$AU$8:$AU$73,MATCH($A37,FEV!$A$8:$A$73,0)),"")</f>
        <v/>
      </c>
      <c r="S37" s="150">
        <f>IFERROR(INDEX(MAR!$AU$8:$AU$73,MATCH($A37,MAR!$A$8:$A$73,0)),"")</f>
        <v/>
      </c>
      <c r="T37" s="150">
        <f>IFERROR(INDEX(ABR!$AU$8:$AU$73,MATCH($A37,ABR!$A$8:$A$73,0)),"")</f>
        <v/>
      </c>
      <c r="U37" s="150">
        <f>IFERROR(INDEX(MAI!$AU$8:$AU$73,MATCH($A37,MAI!$A$8:$A$73,0)),"")</f>
        <v/>
      </c>
      <c r="V37" s="150">
        <f>IFERROR(INDEX(JUN!$AU$8:$AU$73,MATCH($A37,JUN!$A$8:$A$73,0)),"")</f>
        <v/>
      </c>
      <c r="W37" s="150">
        <f>IFERROR(INDEX(JUL!$AU$8:$AU$73,MATCH($A37,JUL!$A$8:$A$73,0)),"")</f>
        <v/>
      </c>
      <c r="X37" s="150">
        <f>IFERROR(INDEX(AGO!$AU$8:$AU$73,MATCH($A37,AGO!$A$8:$A$73,0)),"")</f>
        <v/>
      </c>
      <c r="Y37" s="150">
        <f>IFERROR(INDEX(SET!$AU$8:$AU$73,MATCH($A37,SET!$A$8:$A$73,0)),"")</f>
        <v/>
      </c>
      <c r="Z37" s="150">
        <f>IFERROR(INDEX(OUT!$AU$8:$AU$73,MATCH($A37,OUT!$A$8:$A$73,0)),"")</f>
        <v/>
      </c>
      <c r="AA37" s="150">
        <f>IFERROR(INDEX(NOV!$AU$8:$AU$73,MATCH($A37,NOV!$A$8:$A$73,0)),"")</f>
        <v/>
      </c>
      <c r="AB37" s="150">
        <f>IFERROR(INDEX(DEZ!$AU$8:$AU$73,MATCH($A37,DEZ!$A$8:$A$73,0)),"")</f>
        <v/>
      </c>
      <c r="AC37" s="151">
        <f>SUM(Q37:AB37)</f>
        <v/>
      </c>
      <c r="AD37" s="39" t="n"/>
      <c r="AE37" s="150">
        <f>IFERROR(INDEX(JAN!$AV$8:$AV$73,MATCH($A37,JAN!$A$8:$A$73,0)),"")</f>
        <v/>
      </c>
      <c r="AF37" s="150">
        <f>IFERROR(INDEX(FEV!$AV$8:$AV$73,MATCH($A37,FEV!$A$8:$A$73,0)),"")</f>
        <v/>
      </c>
      <c r="AG37" s="150">
        <f>IFERROR(INDEX(MAR!$AV$8:$AV$73,MATCH($A37,MAR!$A$8:$A$73,0)),"")</f>
        <v/>
      </c>
      <c r="AH37" s="150">
        <f>IFERROR(INDEX(ABR!$AV$8:$AV$73,MATCH($A37,ABR!$A$8:$A$73,0)),"")</f>
        <v/>
      </c>
      <c r="AI37" s="150">
        <f>IFERROR(INDEX(MAI!$AV$8:$AV$73,MATCH($A37,MAI!$A$8:$A$73,0)),"")</f>
        <v/>
      </c>
      <c r="AJ37" s="150">
        <f>IFERROR(INDEX(JUN!$AV$8:$AV$73,MATCH($A37,JUN!$A$8:$A$73,0)),"")</f>
        <v/>
      </c>
      <c r="AK37" s="150">
        <f>IFERROR(INDEX(JUL!$AV$8:$AV$73,MATCH($A37,JUL!$A$8:$A$73,0)),"")</f>
        <v/>
      </c>
      <c r="AL37" s="150">
        <f>IFERROR(INDEX(AGO!$AV$8:$AV$73,MATCH($A37,AGO!$A$8:$A$73,0)),"")</f>
        <v/>
      </c>
      <c r="AM37" s="150">
        <f>IFERROR(INDEX(SET!$AV$8:$AV$73,MATCH($A37,SET!$A$8:$A$73,0)),"")</f>
        <v/>
      </c>
      <c r="AN37" s="150">
        <f>IFERROR(INDEX(OUT!$AV$8:$AV$73,MATCH($A37,OUT!$A$8:$A$73,0)),"")</f>
        <v/>
      </c>
      <c r="AO37" s="150">
        <f>IFERROR(INDEX(NOV!$AV$8:$AV$73,MATCH($A37,NOV!$A$8:$A$73,0)),"")</f>
        <v/>
      </c>
      <c r="AP37" s="150">
        <f>IFERROR(INDEX(DEZ!$AV$8:$AV$73,MATCH($A37,DEZ!$A$8:$A$73,0)),"")</f>
        <v/>
      </c>
      <c r="AQ37" s="151">
        <f>SUM(AE37:AP37)</f>
        <v/>
      </c>
      <c r="AR37" s="39" t="n"/>
      <c r="AS37" s="150">
        <f>IFERROR(INDEX(JAN!$AW$8:$AW$73,MATCH($A37,JAN!$A$8:$A$73,0)),"")</f>
        <v/>
      </c>
      <c r="AT37" s="150">
        <f>IFERROR(INDEX(FEV!$AW$8:$AW$73,MATCH($A37,FEV!$A$8:$A$73,0)),"")</f>
        <v/>
      </c>
      <c r="AU37" s="150">
        <f>IFERROR(INDEX(MAR!$AW$8:$AW$73,MATCH($A37,MAR!$A$8:$A$73,0)),"")</f>
        <v/>
      </c>
      <c r="AV37" s="150">
        <f>IFERROR(INDEX(ABR!$AW$8:$AW$73,MATCH($A37,ABR!$A$8:$A$73,0)),"")</f>
        <v/>
      </c>
      <c r="AW37" s="150">
        <f>IFERROR(INDEX(MAI!$AW$8:$AW$73,MATCH($A37,MAI!$A$8:$A$73,0)),"")</f>
        <v/>
      </c>
      <c r="AX37" s="150">
        <f>IFERROR(INDEX(JUN!$AW$8:$AW$73,MATCH($A37,JUN!$A$8:$A$73,0)),"")</f>
        <v/>
      </c>
      <c r="AY37" s="150">
        <f>IFERROR(INDEX(JUL!$AW$8:$AW$73,MATCH($A37,JUL!$A$8:$A$73,0)),"")</f>
        <v/>
      </c>
      <c r="AZ37" s="150">
        <f>IFERROR(INDEX(AGO!$AW$8:$AW$73,MATCH($A37,AGO!$A$8:$A$73,0)),"")</f>
        <v/>
      </c>
      <c r="BA37" s="150">
        <f>IFERROR(INDEX(SET!$AW$8:$AW$73,MATCH($A37,SET!$A$8:$A$73,0)),"")</f>
        <v/>
      </c>
      <c r="BB37" s="150">
        <f>IFERROR(INDEX(OUT!$AW$8:$AW$73,MATCH($A37,OUT!$A$8:$A$73,0)),"")</f>
        <v/>
      </c>
      <c r="BC37" s="150">
        <f>IFERROR(INDEX(NOV!$AW$8:$AW$73,MATCH($A37,NOV!$A$8:$A$73,0)),"")</f>
        <v/>
      </c>
      <c r="BD37" s="150">
        <f>IFERROR(INDEX(DEZ!$AW$8:$AW$73,MATCH($A37,DEZ!$A$8:$A$73,0)),"")</f>
        <v/>
      </c>
      <c r="BE37" s="151">
        <f>SUM(AS37:BD37)</f>
        <v/>
      </c>
      <c r="BF37" s="39" t="n"/>
      <c r="BG37" s="102" t="n">
        <v>3</v>
      </c>
      <c r="BH37" s="120">
        <f>SUM(AE37:AP37)</f>
        <v/>
      </c>
      <c r="BI37" s="152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3">
        <f>CADASTRO!$C34</f>
        <v/>
      </c>
      <c r="C38" s="150">
        <f>IFERROR(INDEX(JAN!$AY$8:$AY$73,MATCH($A38,JAN!$A$8:$A$73,0)),"")</f>
        <v/>
      </c>
      <c r="D38" s="150">
        <f>IFERROR(INDEX(FEV!$AY$8:$AY$73,MATCH($A38,FEV!$A$8:$A$73,0)),"")</f>
        <v/>
      </c>
      <c r="E38" s="150">
        <f>IFERROR(INDEX(MAR!$AY$8:$AY$73,MATCH($A38,MAR!$A$8:$A$73,0)),"")</f>
        <v/>
      </c>
      <c r="F38" s="150">
        <f>IFERROR(INDEX(ABR!$AY$8:$AY$73,MATCH($A38,ABR!$A$8:$A$73,0)),"")</f>
        <v/>
      </c>
      <c r="G38" s="150">
        <f>IFERROR(INDEX(MAI!$AY$8:$AY$73,MATCH($A38,MAI!$A$8:$A$73,0)),"")</f>
        <v/>
      </c>
      <c r="H38" s="150">
        <f>IFERROR(INDEX(JUN!$AY$8:$AY$73,MATCH($A38,JUN!$A$8:$A$73,0)),"")</f>
        <v/>
      </c>
      <c r="I38" s="150">
        <f>IFERROR(INDEX(JUL!$AY$8:$AY$73,MATCH($A38,JUL!$A$8:$A$73,0)),"")</f>
        <v/>
      </c>
      <c r="J38" s="150">
        <f>IFERROR(INDEX(AGO!$AY$8:$AY$73,MATCH($A38,AGO!$A$8:$A$73,0)),"")</f>
        <v/>
      </c>
      <c r="K38" s="150">
        <f>IFERROR(INDEX(SET!$AY$8:$AY$73,MATCH($A38,SET!$A$8:$A$73,0)),"")</f>
        <v/>
      </c>
      <c r="L38" s="150">
        <f>IFERROR(INDEX(OUT!$AY$8:$AY$73,MATCH($A38,OUT!$A$8:$A$73,0)),"")</f>
        <v/>
      </c>
      <c r="M38" s="150">
        <f>IFERROR(INDEX(NOV!$AY$8:$AY$73,MATCH($A38,NOV!$A$8:$A$73,0)),"")</f>
        <v/>
      </c>
      <c r="N38" s="150">
        <f>IFERROR(INDEX(DEZ!$AY$8:$AY$73,MATCH($A38,DEZ!$A$8:$A$73,0)),"")</f>
        <v/>
      </c>
      <c r="O38" s="151">
        <f>SUM(C38:N38)</f>
        <v/>
      </c>
      <c r="P38" s="39" t="n"/>
      <c r="Q38" s="150">
        <f>IFERROR(INDEX(JAN!$AU$8:$AU$73,MATCH($A38,JAN!$A$8:$A$73,0)),"")</f>
        <v/>
      </c>
      <c r="R38" s="150">
        <f>IFERROR(INDEX(FEV!$AU$8:$AU$73,MATCH($A38,FEV!$A$8:$A$73,0)),"")</f>
        <v/>
      </c>
      <c r="S38" s="150">
        <f>IFERROR(INDEX(MAR!$AU$8:$AU$73,MATCH($A38,MAR!$A$8:$A$73,0)),"")</f>
        <v/>
      </c>
      <c r="T38" s="150">
        <f>IFERROR(INDEX(ABR!$AU$8:$AU$73,MATCH($A38,ABR!$A$8:$A$73,0)),"")</f>
        <v/>
      </c>
      <c r="U38" s="150">
        <f>IFERROR(INDEX(MAI!$AU$8:$AU$73,MATCH($A38,MAI!$A$8:$A$73,0)),"")</f>
        <v/>
      </c>
      <c r="V38" s="150">
        <f>IFERROR(INDEX(JUN!$AU$8:$AU$73,MATCH($A38,JUN!$A$8:$A$73,0)),"")</f>
        <v/>
      </c>
      <c r="W38" s="150">
        <f>IFERROR(INDEX(JUL!$AU$8:$AU$73,MATCH($A38,JUL!$A$8:$A$73,0)),"")</f>
        <v/>
      </c>
      <c r="X38" s="150">
        <f>IFERROR(INDEX(AGO!$AU$8:$AU$73,MATCH($A38,AGO!$A$8:$A$73,0)),"")</f>
        <v/>
      </c>
      <c r="Y38" s="150">
        <f>IFERROR(INDEX(SET!$AU$8:$AU$73,MATCH($A38,SET!$A$8:$A$73,0)),"")</f>
        <v/>
      </c>
      <c r="Z38" s="150">
        <f>IFERROR(INDEX(OUT!$AU$8:$AU$73,MATCH($A38,OUT!$A$8:$A$73,0)),"")</f>
        <v/>
      </c>
      <c r="AA38" s="150">
        <f>IFERROR(INDEX(NOV!$AU$8:$AU$73,MATCH($A38,NOV!$A$8:$A$73,0)),"")</f>
        <v/>
      </c>
      <c r="AB38" s="150">
        <f>IFERROR(INDEX(DEZ!$AU$8:$AU$73,MATCH($A38,DEZ!$A$8:$A$73,0)),"")</f>
        <v/>
      </c>
      <c r="AC38" s="151">
        <f>SUM(Q38:AB38)</f>
        <v/>
      </c>
      <c r="AD38" s="39" t="n"/>
      <c r="AE38" s="150">
        <f>IFERROR(INDEX(JAN!$AV$8:$AV$73,MATCH($A38,JAN!$A$8:$A$73,0)),"")</f>
        <v/>
      </c>
      <c r="AF38" s="150">
        <f>IFERROR(INDEX(FEV!$AV$8:$AV$73,MATCH($A38,FEV!$A$8:$A$73,0)),"")</f>
        <v/>
      </c>
      <c r="AG38" s="150">
        <f>IFERROR(INDEX(MAR!$AV$8:$AV$73,MATCH($A38,MAR!$A$8:$A$73,0)),"")</f>
        <v/>
      </c>
      <c r="AH38" s="150">
        <f>IFERROR(INDEX(ABR!$AV$8:$AV$73,MATCH($A38,ABR!$A$8:$A$73,0)),"")</f>
        <v/>
      </c>
      <c r="AI38" s="150">
        <f>IFERROR(INDEX(MAI!$AV$8:$AV$73,MATCH($A38,MAI!$A$8:$A$73,0)),"")</f>
        <v/>
      </c>
      <c r="AJ38" s="150">
        <f>IFERROR(INDEX(JUN!$AV$8:$AV$73,MATCH($A38,JUN!$A$8:$A$73,0)),"")</f>
        <v/>
      </c>
      <c r="AK38" s="150">
        <f>IFERROR(INDEX(JUL!$AV$8:$AV$73,MATCH($A38,JUL!$A$8:$A$73,0)),"")</f>
        <v/>
      </c>
      <c r="AL38" s="150">
        <f>IFERROR(INDEX(AGO!$AV$8:$AV$73,MATCH($A38,AGO!$A$8:$A$73,0)),"")</f>
        <v/>
      </c>
      <c r="AM38" s="150">
        <f>IFERROR(INDEX(SET!$AV$8:$AV$73,MATCH($A38,SET!$A$8:$A$73,0)),"")</f>
        <v/>
      </c>
      <c r="AN38" s="150">
        <f>IFERROR(INDEX(OUT!$AV$8:$AV$73,MATCH($A38,OUT!$A$8:$A$73,0)),"")</f>
        <v/>
      </c>
      <c r="AO38" s="150">
        <f>IFERROR(INDEX(NOV!$AV$8:$AV$73,MATCH($A38,NOV!$A$8:$A$73,0)),"")</f>
        <v/>
      </c>
      <c r="AP38" s="150">
        <f>IFERROR(INDEX(DEZ!$AV$8:$AV$73,MATCH($A38,DEZ!$A$8:$A$73,0)),"")</f>
        <v/>
      </c>
      <c r="AQ38" s="151">
        <f>SUM(AE38:AP38)</f>
        <v/>
      </c>
      <c r="AR38" s="39" t="n"/>
      <c r="AS38" s="150">
        <f>IFERROR(INDEX(JAN!$AW$8:$AW$73,MATCH($A38,JAN!$A$8:$A$73,0)),"")</f>
        <v/>
      </c>
      <c r="AT38" s="150">
        <f>IFERROR(INDEX(FEV!$AW$8:$AW$73,MATCH($A38,FEV!$A$8:$A$73,0)),"")</f>
        <v/>
      </c>
      <c r="AU38" s="150">
        <f>IFERROR(INDEX(MAR!$AW$8:$AW$73,MATCH($A38,MAR!$A$8:$A$73,0)),"")</f>
        <v/>
      </c>
      <c r="AV38" s="150">
        <f>IFERROR(INDEX(ABR!$AW$8:$AW$73,MATCH($A38,ABR!$A$8:$A$73,0)),"")</f>
        <v/>
      </c>
      <c r="AW38" s="150">
        <f>IFERROR(INDEX(MAI!$AW$8:$AW$73,MATCH($A38,MAI!$A$8:$A$73,0)),"")</f>
        <v/>
      </c>
      <c r="AX38" s="150">
        <f>IFERROR(INDEX(JUN!$AW$8:$AW$73,MATCH($A38,JUN!$A$8:$A$73,0)),"")</f>
        <v/>
      </c>
      <c r="AY38" s="150">
        <f>IFERROR(INDEX(JUL!$AW$8:$AW$73,MATCH($A38,JUL!$A$8:$A$73,0)),"")</f>
        <v/>
      </c>
      <c r="AZ38" s="150">
        <f>IFERROR(INDEX(AGO!$AW$8:$AW$73,MATCH($A38,AGO!$A$8:$A$73,0)),"")</f>
        <v/>
      </c>
      <c r="BA38" s="150">
        <f>IFERROR(INDEX(SET!$AW$8:$AW$73,MATCH($A38,SET!$A$8:$A$73,0)),"")</f>
        <v/>
      </c>
      <c r="BB38" s="150">
        <f>IFERROR(INDEX(OUT!$AW$8:$AW$73,MATCH($A38,OUT!$A$8:$A$73,0)),"")</f>
        <v/>
      </c>
      <c r="BC38" s="150">
        <f>IFERROR(INDEX(NOV!$AW$8:$AW$73,MATCH($A38,NOV!$A$8:$A$73,0)),"")</f>
        <v/>
      </c>
      <c r="BD38" s="150">
        <f>IFERROR(INDEX(DEZ!$AW$8:$AW$73,MATCH($A38,DEZ!$A$8:$A$73,0)),"")</f>
        <v/>
      </c>
      <c r="BE38" s="151">
        <f>SUM(AS38:BD38)</f>
        <v/>
      </c>
      <c r="BF38" s="39" t="n"/>
      <c r="BG38" s="102" t="n">
        <v>3</v>
      </c>
      <c r="BH38" s="120">
        <f>SUM(AE38:AP38)</f>
        <v/>
      </c>
      <c r="BI38" s="152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3">
        <f>CADASTRO!$C35</f>
        <v/>
      </c>
      <c r="C39" s="150">
        <f>IFERROR(INDEX(JAN!$AY$8:$AY$73,MATCH($A39,JAN!$A$8:$A$73,0)),"")</f>
        <v/>
      </c>
      <c r="D39" s="150">
        <f>IFERROR(INDEX(FEV!$AY$8:$AY$73,MATCH($A39,FEV!$A$8:$A$73,0)),"")</f>
        <v/>
      </c>
      <c r="E39" s="150">
        <f>IFERROR(INDEX(MAR!$AY$8:$AY$73,MATCH($A39,MAR!$A$8:$A$73,0)),"")</f>
        <v/>
      </c>
      <c r="F39" s="150">
        <f>IFERROR(INDEX(ABR!$AY$8:$AY$73,MATCH($A39,ABR!$A$8:$A$73,0)),"")</f>
        <v/>
      </c>
      <c r="G39" s="150">
        <f>IFERROR(INDEX(MAI!$AY$8:$AY$73,MATCH($A39,MAI!$A$8:$A$73,0)),"")</f>
        <v/>
      </c>
      <c r="H39" s="150">
        <f>IFERROR(INDEX(JUN!$AY$8:$AY$73,MATCH($A39,JUN!$A$8:$A$73,0)),"")</f>
        <v/>
      </c>
      <c r="I39" s="150">
        <f>IFERROR(INDEX(JUL!$AY$8:$AY$73,MATCH($A39,JUL!$A$8:$A$73,0)),"")</f>
        <v/>
      </c>
      <c r="J39" s="150">
        <f>IFERROR(INDEX(AGO!$AY$8:$AY$73,MATCH($A39,AGO!$A$8:$A$73,0)),"")</f>
        <v/>
      </c>
      <c r="K39" s="150">
        <f>IFERROR(INDEX(SET!$AY$8:$AY$73,MATCH($A39,SET!$A$8:$A$73,0)),"")</f>
        <v/>
      </c>
      <c r="L39" s="150">
        <f>IFERROR(INDEX(OUT!$AY$8:$AY$73,MATCH($A39,OUT!$A$8:$A$73,0)),"")</f>
        <v/>
      </c>
      <c r="M39" s="150">
        <f>IFERROR(INDEX(NOV!$AY$8:$AY$73,MATCH($A39,NOV!$A$8:$A$73,0)),"")</f>
        <v/>
      </c>
      <c r="N39" s="150">
        <f>IFERROR(INDEX(DEZ!$AY$8:$AY$73,MATCH($A39,DEZ!$A$8:$A$73,0)),"")</f>
        <v/>
      </c>
      <c r="O39" s="151">
        <f>SUM(C39:N39)</f>
        <v/>
      </c>
      <c r="P39" s="39" t="n"/>
      <c r="Q39" s="150">
        <f>IFERROR(INDEX(JAN!$AU$8:$AU$73,MATCH($A39,JAN!$A$8:$A$73,0)),"")</f>
        <v/>
      </c>
      <c r="R39" s="150">
        <f>IFERROR(INDEX(FEV!$AU$8:$AU$73,MATCH($A39,FEV!$A$8:$A$73,0)),"")</f>
        <v/>
      </c>
      <c r="S39" s="150">
        <f>IFERROR(INDEX(MAR!$AU$8:$AU$73,MATCH($A39,MAR!$A$8:$A$73,0)),"")</f>
        <v/>
      </c>
      <c r="T39" s="150">
        <f>IFERROR(INDEX(ABR!$AU$8:$AU$73,MATCH($A39,ABR!$A$8:$A$73,0)),"")</f>
        <v/>
      </c>
      <c r="U39" s="150">
        <f>IFERROR(INDEX(MAI!$AU$8:$AU$73,MATCH($A39,MAI!$A$8:$A$73,0)),"")</f>
        <v/>
      </c>
      <c r="V39" s="150">
        <f>IFERROR(INDEX(JUN!$AU$8:$AU$73,MATCH($A39,JUN!$A$8:$A$73,0)),"")</f>
        <v/>
      </c>
      <c r="W39" s="150">
        <f>IFERROR(INDEX(JUL!$AU$8:$AU$73,MATCH($A39,JUL!$A$8:$A$73,0)),"")</f>
        <v/>
      </c>
      <c r="X39" s="150">
        <f>IFERROR(INDEX(AGO!$AU$8:$AU$73,MATCH($A39,AGO!$A$8:$A$73,0)),"")</f>
        <v/>
      </c>
      <c r="Y39" s="150">
        <f>IFERROR(INDEX(SET!$AU$8:$AU$73,MATCH($A39,SET!$A$8:$A$73,0)),"")</f>
        <v/>
      </c>
      <c r="Z39" s="150">
        <f>IFERROR(INDEX(OUT!$AU$8:$AU$73,MATCH($A39,OUT!$A$8:$A$73,0)),"")</f>
        <v/>
      </c>
      <c r="AA39" s="150">
        <f>IFERROR(INDEX(NOV!$AU$8:$AU$73,MATCH($A39,NOV!$A$8:$A$73,0)),"")</f>
        <v/>
      </c>
      <c r="AB39" s="150">
        <f>IFERROR(INDEX(DEZ!$AU$8:$AU$73,MATCH($A39,DEZ!$A$8:$A$73,0)),"")</f>
        <v/>
      </c>
      <c r="AC39" s="151">
        <f>SUM(Q39:AB39)</f>
        <v/>
      </c>
      <c r="AD39" s="39" t="n"/>
      <c r="AE39" s="150">
        <f>IFERROR(INDEX(JAN!$AV$8:$AV$73,MATCH($A39,JAN!$A$8:$A$73,0)),"")</f>
        <v/>
      </c>
      <c r="AF39" s="150">
        <f>IFERROR(INDEX(FEV!$AV$8:$AV$73,MATCH($A39,FEV!$A$8:$A$73,0)),"")</f>
        <v/>
      </c>
      <c r="AG39" s="150">
        <f>IFERROR(INDEX(MAR!$AV$8:$AV$73,MATCH($A39,MAR!$A$8:$A$73,0)),"")</f>
        <v/>
      </c>
      <c r="AH39" s="150">
        <f>IFERROR(INDEX(ABR!$AV$8:$AV$73,MATCH($A39,ABR!$A$8:$A$73,0)),"")</f>
        <v/>
      </c>
      <c r="AI39" s="150">
        <f>IFERROR(INDEX(MAI!$AV$8:$AV$73,MATCH($A39,MAI!$A$8:$A$73,0)),"")</f>
        <v/>
      </c>
      <c r="AJ39" s="150">
        <f>IFERROR(INDEX(JUN!$AV$8:$AV$73,MATCH($A39,JUN!$A$8:$A$73,0)),"")</f>
        <v/>
      </c>
      <c r="AK39" s="150">
        <f>IFERROR(INDEX(JUL!$AV$8:$AV$73,MATCH($A39,JUL!$A$8:$A$73,0)),"")</f>
        <v/>
      </c>
      <c r="AL39" s="150">
        <f>IFERROR(INDEX(AGO!$AV$8:$AV$73,MATCH($A39,AGO!$A$8:$A$73,0)),"")</f>
        <v/>
      </c>
      <c r="AM39" s="150">
        <f>IFERROR(INDEX(SET!$AV$8:$AV$73,MATCH($A39,SET!$A$8:$A$73,0)),"")</f>
        <v/>
      </c>
      <c r="AN39" s="150">
        <f>IFERROR(INDEX(OUT!$AV$8:$AV$73,MATCH($A39,OUT!$A$8:$A$73,0)),"")</f>
        <v/>
      </c>
      <c r="AO39" s="150">
        <f>IFERROR(INDEX(NOV!$AV$8:$AV$73,MATCH($A39,NOV!$A$8:$A$73,0)),"")</f>
        <v/>
      </c>
      <c r="AP39" s="150">
        <f>IFERROR(INDEX(DEZ!$AV$8:$AV$73,MATCH($A39,DEZ!$A$8:$A$73,0)),"")</f>
        <v/>
      </c>
      <c r="AQ39" s="151">
        <f>SUM(AE39:AP39)</f>
        <v/>
      </c>
      <c r="AR39" s="39" t="n"/>
      <c r="AS39" s="150">
        <f>IFERROR(INDEX(JAN!$AW$8:$AW$73,MATCH($A39,JAN!$A$8:$A$73,0)),"")</f>
        <v/>
      </c>
      <c r="AT39" s="150">
        <f>IFERROR(INDEX(FEV!$AW$8:$AW$73,MATCH($A39,FEV!$A$8:$A$73,0)),"")</f>
        <v/>
      </c>
      <c r="AU39" s="150">
        <f>IFERROR(INDEX(MAR!$AW$8:$AW$73,MATCH($A39,MAR!$A$8:$A$73,0)),"")</f>
        <v/>
      </c>
      <c r="AV39" s="150">
        <f>IFERROR(INDEX(ABR!$AW$8:$AW$73,MATCH($A39,ABR!$A$8:$A$73,0)),"")</f>
        <v/>
      </c>
      <c r="AW39" s="150">
        <f>IFERROR(INDEX(MAI!$AW$8:$AW$73,MATCH($A39,MAI!$A$8:$A$73,0)),"")</f>
        <v/>
      </c>
      <c r="AX39" s="150">
        <f>IFERROR(INDEX(JUN!$AW$8:$AW$73,MATCH($A39,JUN!$A$8:$A$73,0)),"")</f>
        <v/>
      </c>
      <c r="AY39" s="150">
        <f>IFERROR(INDEX(JUL!$AW$8:$AW$73,MATCH($A39,JUL!$A$8:$A$73,0)),"")</f>
        <v/>
      </c>
      <c r="AZ39" s="150">
        <f>IFERROR(INDEX(AGO!$AW$8:$AW$73,MATCH($A39,AGO!$A$8:$A$73,0)),"")</f>
        <v/>
      </c>
      <c r="BA39" s="150">
        <f>IFERROR(INDEX(SET!$AW$8:$AW$73,MATCH($A39,SET!$A$8:$A$73,0)),"")</f>
        <v/>
      </c>
      <c r="BB39" s="150">
        <f>IFERROR(INDEX(OUT!$AW$8:$AW$73,MATCH($A39,OUT!$A$8:$A$73,0)),"")</f>
        <v/>
      </c>
      <c r="BC39" s="150">
        <f>IFERROR(INDEX(NOV!$AW$8:$AW$73,MATCH($A39,NOV!$A$8:$A$73,0)),"")</f>
        <v/>
      </c>
      <c r="BD39" s="150">
        <f>IFERROR(INDEX(DEZ!$AW$8:$AW$73,MATCH($A39,DEZ!$A$8:$A$73,0)),"")</f>
        <v/>
      </c>
      <c r="BE39" s="151">
        <f>SUM(AS39:BD39)</f>
        <v/>
      </c>
      <c r="BF39" s="39" t="n"/>
      <c r="BG39" s="102" t="n">
        <v>4</v>
      </c>
      <c r="BH39" s="120">
        <f>SUM(AE39:AP39)</f>
        <v/>
      </c>
      <c r="BI39" s="152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3">
        <f>CADASTRO!$C36</f>
        <v/>
      </c>
      <c r="C40" s="150">
        <f>IFERROR(INDEX(JAN!$AY$8:$AY$73,MATCH($A40,JAN!$A$8:$A$73,0)),"")</f>
        <v/>
      </c>
      <c r="D40" s="150">
        <f>IFERROR(INDEX(FEV!$AY$8:$AY$73,MATCH($A40,FEV!$A$8:$A$73,0)),"")</f>
        <v/>
      </c>
      <c r="E40" s="150">
        <f>IFERROR(INDEX(MAR!$AY$8:$AY$73,MATCH($A40,MAR!$A$8:$A$73,0)),"")</f>
        <v/>
      </c>
      <c r="F40" s="150">
        <f>IFERROR(INDEX(ABR!$AY$8:$AY$73,MATCH($A40,ABR!$A$8:$A$73,0)),"")</f>
        <v/>
      </c>
      <c r="G40" s="150">
        <f>IFERROR(INDEX(MAI!$AY$8:$AY$73,MATCH($A40,MAI!$A$8:$A$73,0)),"")</f>
        <v/>
      </c>
      <c r="H40" s="150">
        <f>IFERROR(INDEX(JUN!$AY$8:$AY$73,MATCH($A40,JUN!$A$8:$A$73,0)),"")</f>
        <v/>
      </c>
      <c r="I40" s="150">
        <f>IFERROR(INDEX(JUL!$AY$8:$AY$73,MATCH($A40,JUL!$A$8:$A$73,0)),"")</f>
        <v/>
      </c>
      <c r="J40" s="150">
        <f>IFERROR(INDEX(AGO!$AY$8:$AY$73,MATCH($A40,AGO!$A$8:$A$73,0)),"")</f>
        <v/>
      </c>
      <c r="K40" s="150">
        <f>IFERROR(INDEX(SET!$AY$8:$AY$73,MATCH($A40,SET!$A$8:$A$73,0)),"")</f>
        <v/>
      </c>
      <c r="L40" s="150">
        <f>IFERROR(INDEX(OUT!$AY$8:$AY$73,MATCH($A40,OUT!$A$8:$A$73,0)),"")</f>
        <v/>
      </c>
      <c r="M40" s="150">
        <f>IFERROR(INDEX(NOV!$AY$8:$AY$73,MATCH($A40,NOV!$A$8:$A$73,0)),"")</f>
        <v/>
      </c>
      <c r="N40" s="150">
        <f>IFERROR(INDEX(DEZ!$AY$8:$AY$73,MATCH($A40,DEZ!$A$8:$A$73,0)),"")</f>
        <v/>
      </c>
      <c r="O40" s="151">
        <f>SUM(C40:N40)</f>
        <v/>
      </c>
      <c r="P40" s="39" t="n"/>
      <c r="Q40" s="150">
        <f>IFERROR(INDEX(JAN!$AU$8:$AU$73,MATCH($A40,JAN!$A$8:$A$73,0)),"")</f>
        <v/>
      </c>
      <c r="R40" s="150">
        <f>IFERROR(INDEX(FEV!$AU$8:$AU$73,MATCH($A40,FEV!$A$8:$A$73,0)),"")</f>
        <v/>
      </c>
      <c r="S40" s="150">
        <f>IFERROR(INDEX(MAR!$AU$8:$AU$73,MATCH($A40,MAR!$A$8:$A$73,0)),"")</f>
        <v/>
      </c>
      <c r="T40" s="150">
        <f>IFERROR(INDEX(ABR!$AU$8:$AU$73,MATCH($A40,ABR!$A$8:$A$73,0)),"")</f>
        <v/>
      </c>
      <c r="U40" s="150">
        <f>IFERROR(INDEX(MAI!$AU$8:$AU$73,MATCH($A40,MAI!$A$8:$A$73,0)),"")</f>
        <v/>
      </c>
      <c r="V40" s="150">
        <f>IFERROR(INDEX(JUN!$AU$8:$AU$73,MATCH($A40,JUN!$A$8:$A$73,0)),"")</f>
        <v/>
      </c>
      <c r="W40" s="150">
        <f>IFERROR(INDEX(JUL!$AU$8:$AU$73,MATCH($A40,JUL!$A$8:$A$73,0)),"")</f>
        <v/>
      </c>
      <c r="X40" s="150">
        <f>IFERROR(INDEX(AGO!$AU$8:$AU$73,MATCH($A40,AGO!$A$8:$A$73,0)),"")</f>
        <v/>
      </c>
      <c r="Y40" s="150">
        <f>IFERROR(INDEX(SET!$AU$8:$AU$73,MATCH($A40,SET!$A$8:$A$73,0)),"")</f>
        <v/>
      </c>
      <c r="Z40" s="150">
        <f>IFERROR(INDEX(OUT!$AU$8:$AU$73,MATCH($A40,OUT!$A$8:$A$73,0)),"")</f>
        <v/>
      </c>
      <c r="AA40" s="150">
        <f>IFERROR(INDEX(NOV!$AU$8:$AU$73,MATCH($A40,NOV!$A$8:$A$73,0)),"")</f>
        <v/>
      </c>
      <c r="AB40" s="150">
        <f>IFERROR(INDEX(DEZ!$AU$8:$AU$73,MATCH($A40,DEZ!$A$8:$A$73,0)),"")</f>
        <v/>
      </c>
      <c r="AC40" s="151">
        <f>SUM(Q40:AB40)</f>
        <v/>
      </c>
      <c r="AD40" s="39" t="n"/>
      <c r="AE40" s="150">
        <f>IFERROR(INDEX(JAN!$AV$8:$AV$73,MATCH($A40,JAN!$A$8:$A$73,0)),"")</f>
        <v/>
      </c>
      <c r="AF40" s="150">
        <f>IFERROR(INDEX(FEV!$AV$8:$AV$73,MATCH($A40,FEV!$A$8:$A$73,0)),"")</f>
        <v/>
      </c>
      <c r="AG40" s="150">
        <f>IFERROR(INDEX(MAR!$AV$8:$AV$73,MATCH($A40,MAR!$A$8:$A$73,0)),"")</f>
        <v/>
      </c>
      <c r="AH40" s="150">
        <f>IFERROR(INDEX(ABR!$AV$8:$AV$73,MATCH($A40,ABR!$A$8:$A$73,0)),"")</f>
        <v/>
      </c>
      <c r="AI40" s="150">
        <f>IFERROR(INDEX(MAI!$AV$8:$AV$73,MATCH($A40,MAI!$A$8:$A$73,0)),"")</f>
        <v/>
      </c>
      <c r="AJ40" s="150">
        <f>IFERROR(INDEX(JUN!$AV$8:$AV$73,MATCH($A40,JUN!$A$8:$A$73,0)),"")</f>
        <v/>
      </c>
      <c r="AK40" s="150">
        <f>IFERROR(INDEX(JUL!$AV$8:$AV$73,MATCH($A40,JUL!$A$8:$A$73,0)),"")</f>
        <v/>
      </c>
      <c r="AL40" s="150">
        <f>IFERROR(INDEX(AGO!$AV$8:$AV$73,MATCH($A40,AGO!$A$8:$A$73,0)),"")</f>
        <v/>
      </c>
      <c r="AM40" s="150">
        <f>IFERROR(INDEX(SET!$AV$8:$AV$73,MATCH($A40,SET!$A$8:$A$73,0)),"")</f>
        <v/>
      </c>
      <c r="AN40" s="150">
        <f>IFERROR(INDEX(OUT!$AV$8:$AV$73,MATCH($A40,OUT!$A$8:$A$73,0)),"")</f>
        <v/>
      </c>
      <c r="AO40" s="150">
        <f>IFERROR(INDEX(NOV!$AV$8:$AV$73,MATCH($A40,NOV!$A$8:$A$73,0)),"")</f>
        <v/>
      </c>
      <c r="AP40" s="150">
        <f>IFERROR(INDEX(DEZ!$AV$8:$AV$73,MATCH($A40,DEZ!$A$8:$A$73,0)),"")</f>
        <v/>
      </c>
      <c r="AQ40" s="151">
        <f>SUM(AE40:AP40)</f>
        <v/>
      </c>
      <c r="AR40" s="39" t="n"/>
      <c r="AS40" s="150">
        <f>IFERROR(INDEX(JAN!$AW$8:$AW$73,MATCH($A40,JAN!$A$8:$A$73,0)),"")</f>
        <v/>
      </c>
      <c r="AT40" s="150">
        <f>IFERROR(INDEX(FEV!$AW$8:$AW$73,MATCH($A40,FEV!$A$8:$A$73,0)),"")</f>
        <v/>
      </c>
      <c r="AU40" s="150">
        <f>IFERROR(INDEX(MAR!$AW$8:$AW$73,MATCH($A40,MAR!$A$8:$A$73,0)),"")</f>
        <v/>
      </c>
      <c r="AV40" s="150">
        <f>IFERROR(INDEX(ABR!$AW$8:$AW$73,MATCH($A40,ABR!$A$8:$A$73,0)),"")</f>
        <v/>
      </c>
      <c r="AW40" s="150">
        <f>IFERROR(INDEX(MAI!$AW$8:$AW$73,MATCH($A40,MAI!$A$8:$A$73,0)),"")</f>
        <v/>
      </c>
      <c r="AX40" s="150">
        <f>IFERROR(INDEX(JUN!$AW$8:$AW$73,MATCH($A40,JUN!$A$8:$A$73,0)),"")</f>
        <v/>
      </c>
      <c r="AY40" s="150">
        <f>IFERROR(INDEX(JUL!$AW$8:$AW$73,MATCH($A40,JUL!$A$8:$A$73,0)),"")</f>
        <v/>
      </c>
      <c r="AZ40" s="150">
        <f>IFERROR(INDEX(AGO!$AW$8:$AW$73,MATCH($A40,AGO!$A$8:$A$73,0)),"")</f>
        <v/>
      </c>
      <c r="BA40" s="150">
        <f>IFERROR(INDEX(SET!$AW$8:$AW$73,MATCH($A40,SET!$A$8:$A$73,0)),"")</f>
        <v/>
      </c>
      <c r="BB40" s="150">
        <f>IFERROR(INDEX(OUT!$AW$8:$AW$73,MATCH($A40,OUT!$A$8:$A$73,0)),"")</f>
        <v/>
      </c>
      <c r="BC40" s="150">
        <f>IFERROR(INDEX(NOV!$AW$8:$AW$73,MATCH($A40,NOV!$A$8:$A$73,0)),"")</f>
        <v/>
      </c>
      <c r="BD40" s="150">
        <f>IFERROR(INDEX(DEZ!$AW$8:$AW$73,MATCH($A40,DEZ!$A$8:$A$73,0)),"")</f>
        <v/>
      </c>
      <c r="BE40" s="151">
        <f>SUM(AS40:BD40)</f>
        <v/>
      </c>
      <c r="BF40" s="39" t="n"/>
      <c r="BG40" s="102" t="n">
        <v>0</v>
      </c>
      <c r="BH40" s="120">
        <f>SUM(AE40:AP40)</f>
        <v/>
      </c>
      <c r="BI40" s="152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3">
        <f>CADASTRO!$C37</f>
        <v/>
      </c>
      <c r="C41" s="150">
        <f>IFERROR(INDEX(JAN!$AY$8:$AY$73,MATCH($A41,JAN!$A$8:$A$73,0)),"")</f>
        <v/>
      </c>
      <c r="D41" s="150">
        <f>IFERROR(INDEX(FEV!$AY$8:$AY$73,MATCH($A41,FEV!$A$8:$A$73,0)),"")</f>
        <v/>
      </c>
      <c r="E41" s="150">
        <f>IFERROR(INDEX(MAR!$AY$8:$AY$73,MATCH($A41,MAR!$A$8:$A$73,0)),"")</f>
        <v/>
      </c>
      <c r="F41" s="150">
        <f>IFERROR(INDEX(ABR!$AY$8:$AY$73,MATCH($A41,ABR!$A$8:$A$73,0)),"")</f>
        <v/>
      </c>
      <c r="G41" s="150">
        <f>IFERROR(INDEX(MAI!$AY$8:$AY$73,MATCH($A41,MAI!$A$8:$A$73,0)),"")</f>
        <v/>
      </c>
      <c r="H41" s="150">
        <f>IFERROR(INDEX(JUN!$AY$8:$AY$73,MATCH($A41,JUN!$A$8:$A$73,0)),"")</f>
        <v/>
      </c>
      <c r="I41" s="150">
        <f>IFERROR(INDEX(JUL!$AY$8:$AY$73,MATCH($A41,JUL!$A$8:$A$73,0)),"")</f>
        <v/>
      </c>
      <c r="J41" s="150">
        <f>IFERROR(INDEX(AGO!$AY$8:$AY$73,MATCH($A41,AGO!$A$8:$A$73,0)),"")</f>
        <v/>
      </c>
      <c r="K41" s="150">
        <f>IFERROR(INDEX(SET!$AY$8:$AY$73,MATCH($A41,SET!$A$8:$A$73,0)),"")</f>
        <v/>
      </c>
      <c r="L41" s="150">
        <f>IFERROR(INDEX(OUT!$AY$8:$AY$73,MATCH($A41,OUT!$A$8:$A$73,0)),"")</f>
        <v/>
      </c>
      <c r="M41" s="150">
        <f>IFERROR(INDEX(NOV!$AY$8:$AY$73,MATCH($A41,NOV!$A$8:$A$73,0)),"")</f>
        <v/>
      </c>
      <c r="N41" s="150">
        <f>IFERROR(INDEX(DEZ!$AY$8:$AY$73,MATCH($A41,DEZ!$A$8:$A$73,0)),"")</f>
        <v/>
      </c>
      <c r="O41" s="151">
        <f>SUM(C41:N41)</f>
        <v/>
      </c>
      <c r="P41" s="39" t="n"/>
      <c r="Q41" s="150">
        <f>IFERROR(INDEX(JAN!$AU$8:$AU$73,MATCH($A41,JAN!$A$8:$A$73,0)),"")</f>
        <v/>
      </c>
      <c r="R41" s="150">
        <f>IFERROR(INDEX(FEV!$AU$8:$AU$73,MATCH($A41,FEV!$A$8:$A$73,0)),"")</f>
        <v/>
      </c>
      <c r="S41" s="150">
        <f>IFERROR(INDEX(MAR!$AU$8:$AU$73,MATCH($A41,MAR!$A$8:$A$73,0)),"")</f>
        <v/>
      </c>
      <c r="T41" s="150">
        <f>IFERROR(INDEX(ABR!$AU$8:$AU$73,MATCH($A41,ABR!$A$8:$A$73,0)),"")</f>
        <v/>
      </c>
      <c r="U41" s="150">
        <f>IFERROR(INDEX(MAI!$AU$8:$AU$73,MATCH($A41,MAI!$A$8:$A$73,0)),"")</f>
        <v/>
      </c>
      <c r="V41" s="150">
        <f>IFERROR(INDEX(JUN!$AU$8:$AU$73,MATCH($A41,JUN!$A$8:$A$73,0)),"")</f>
        <v/>
      </c>
      <c r="W41" s="150">
        <f>IFERROR(INDEX(JUL!$AU$8:$AU$73,MATCH($A41,JUL!$A$8:$A$73,0)),"")</f>
        <v/>
      </c>
      <c r="X41" s="150">
        <f>IFERROR(INDEX(AGO!$AU$8:$AU$73,MATCH($A41,AGO!$A$8:$A$73,0)),"")</f>
        <v/>
      </c>
      <c r="Y41" s="150">
        <f>IFERROR(INDEX(SET!$AU$8:$AU$73,MATCH($A41,SET!$A$8:$A$73,0)),"")</f>
        <v/>
      </c>
      <c r="Z41" s="150">
        <f>IFERROR(INDEX(OUT!$AU$8:$AU$73,MATCH($A41,OUT!$A$8:$A$73,0)),"")</f>
        <v/>
      </c>
      <c r="AA41" s="150">
        <f>IFERROR(INDEX(NOV!$AU$8:$AU$73,MATCH($A41,NOV!$A$8:$A$73,0)),"")</f>
        <v/>
      </c>
      <c r="AB41" s="150">
        <f>IFERROR(INDEX(DEZ!$AU$8:$AU$73,MATCH($A41,DEZ!$A$8:$A$73,0)),"")</f>
        <v/>
      </c>
      <c r="AC41" s="151">
        <f>SUM(Q41:AB41)</f>
        <v/>
      </c>
      <c r="AD41" s="39" t="n"/>
      <c r="AE41" s="150">
        <f>IFERROR(INDEX(JAN!$AV$8:$AV$73,MATCH($A41,JAN!$A$8:$A$73,0)),"")</f>
        <v/>
      </c>
      <c r="AF41" s="150">
        <f>IFERROR(INDEX(FEV!$AV$8:$AV$73,MATCH($A41,FEV!$A$8:$A$73,0)),"")</f>
        <v/>
      </c>
      <c r="AG41" s="150">
        <f>IFERROR(INDEX(MAR!$AV$8:$AV$73,MATCH($A41,MAR!$A$8:$A$73,0)),"")</f>
        <v/>
      </c>
      <c r="AH41" s="150">
        <f>IFERROR(INDEX(ABR!$AV$8:$AV$73,MATCH($A41,ABR!$A$8:$A$73,0)),"")</f>
        <v/>
      </c>
      <c r="AI41" s="150">
        <f>IFERROR(INDEX(MAI!$AV$8:$AV$73,MATCH($A41,MAI!$A$8:$A$73,0)),"")</f>
        <v/>
      </c>
      <c r="AJ41" s="150">
        <f>IFERROR(INDEX(JUN!$AV$8:$AV$73,MATCH($A41,JUN!$A$8:$A$73,0)),"")</f>
        <v/>
      </c>
      <c r="AK41" s="150">
        <f>IFERROR(INDEX(JUL!$AV$8:$AV$73,MATCH($A41,JUL!$A$8:$A$73,0)),"")</f>
        <v/>
      </c>
      <c r="AL41" s="150">
        <f>IFERROR(INDEX(AGO!$AV$8:$AV$73,MATCH($A41,AGO!$A$8:$A$73,0)),"")</f>
        <v/>
      </c>
      <c r="AM41" s="150">
        <f>IFERROR(INDEX(SET!$AV$8:$AV$73,MATCH($A41,SET!$A$8:$A$73,0)),"")</f>
        <v/>
      </c>
      <c r="AN41" s="150">
        <f>IFERROR(INDEX(OUT!$AV$8:$AV$73,MATCH($A41,OUT!$A$8:$A$73,0)),"")</f>
        <v/>
      </c>
      <c r="AO41" s="150">
        <f>IFERROR(INDEX(NOV!$AV$8:$AV$73,MATCH($A41,NOV!$A$8:$A$73,0)),"")</f>
        <v/>
      </c>
      <c r="AP41" s="150">
        <f>IFERROR(INDEX(DEZ!$AV$8:$AV$73,MATCH($A41,DEZ!$A$8:$A$73,0)),"")</f>
        <v/>
      </c>
      <c r="AQ41" s="151">
        <f>SUM(AE41:AP41)</f>
        <v/>
      </c>
      <c r="AR41" s="39" t="n"/>
      <c r="AS41" s="150">
        <f>IFERROR(INDEX(JAN!$AW$8:$AW$73,MATCH($A41,JAN!$A$8:$A$73,0)),"")</f>
        <v/>
      </c>
      <c r="AT41" s="150">
        <f>IFERROR(INDEX(FEV!$AW$8:$AW$73,MATCH($A41,FEV!$A$8:$A$73,0)),"")</f>
        <v/>
      </c>
      <c r="AU41" s="150">
        <f>IFERROR(INDEX(MAR!$AW$8:$AW$73,MATCH($A41,MAR!$A$8:$A$73,0)),"")</f>
        <v/>
      </c>
      <c r="AV41" s="150">
        <f>IFERROR(INDEX(ABR!$AW$8:$AW$73,MATCH($A41,ABR!$A$8:$A$73,0)),"")</f>
        <v/>
      </c>
      <c r="AW41" s="150">
        <f>IFERROR(INDEX(MAI!$AW$8:$AW$73,MATCH($A41,MAI!$A$8:$A$73,0)),"")</f>
        <v/>
      </c>
      <c r="AX41" s="150">
        <f>IFERROR(INDEX(JUN!$AW$8:$AW$73,MATCH($A41,JUN!$A$8:$A$73,0)),"")</f>
        <v/>
      </c>
      <c r="AY41" s="150">
        <f>IFERROR(INDEX(JUL!$AW$8:$AW$73,MATCH($A41,JUL!$A$8:$A$73,0)),"")</f>
        <v/>
      </c>
      <c r="AZ41" s="150">
        <f>IFERROR(INDEX(AGO!$AW$8:$AW$73,MATCH($A41,AGO!$A$8:$A$73,0)),"")</f>
        <v/>
      </c>
      <c r="BA41" s="150">
        <f>IFERROR(INDEX(SET!$AW$8:$AW$73,MATCH($A41,SET!$A$8:$A$73,0)),"")</f>
        <v/>
      </c>
      <c r="BB41" s="150">
        <f>IFERROR(INDEX(OUT!$AW$8:$AW$73,MATCH($A41,OUT!$A$8:$A$73,0)),"")</f>
        <v/>
      </c>
      <c r="BC41" s="150">
        <f>IFERROR(INDEX(NOV!$AW$8:$AW$73,MATCH($A41,NOV!$A$8:$A$73,0)),"")</f>
        <v/>
      </c>
      <c r="BD41" s="150">
        <f>IFERROR(INDEX(DEZ!$AW$8:$AW$73,MATCH($A41,DEZ!$A$8:$A$73,0)),"")</f>
        <v/>
      </c>
      <c r="BE41" s="151">
        <f>SUM(AS41:BD41)</f>
        <v/>
      </c>
      <c r="BF41" s="39" t="n"/>
      <c r="BG41" s="102" t="n">
        <v>4</v>
      </c>
      <c r="BH41" s="120">
        <f>SUM(AE41:AP41)</f>
        <v/>
      </c>
      <c r="BI41" s="152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3">
        <f>CADASTRO!$C38</f>
        <v/>
      </c>
      <c r="C42" s="150">
        <f>IFERROR(INDEX(JAN!$AY$8:$AY$73,MATCH($A42,JAN!$A$8:$A$73,0)),"")</f>
        <v/>
      </c>
      <c r="D42" s="150">
        <f>IFERROR(INDEX(FEV!$AY$8:$AY$73,MATCH($A42,FEV!$A$8:$A$73,0)),"")</f>
        <v/>
      </c>
      <c r="E42" s="150">
        <f>IFERROR(INDEX(MAR!$AY$8:$AY$73,MATCH($A42,MAR!$A$8:$A$73,0)),"")</f>
        <v/>
      </c>
      <c r="F42" s="150">
        <f>IFERROR(INDEX(ABR!$AY$8:$AY$73,MATCH($A42,ABR!$A$8:$A$73,0)),"")</f>
        <v/>
      </c>
      <c r="G42" s="150">
        <f>IFERROR(INDEX(MAI!$AY$8:$AY$73,MATCH($A42,MAI!$A$8:$A$73,0)),"")</f>
        <v/>
      </c>
      <c r="H42" s="150">
        <f>IFERROR(INDEX(JUN!$AY$8:$AY$73,MATCH($A42,JUN!$A$8:$A$73,0)),"")</f>
        <v/>
      </c>
      <c r="I42" s="150">
        <f>IFERROR(INDEX(JUL!$AY$8:$AY$73,MATCH($A42,JUL!$A$8:$A$73,0)),"")</f>
        <v/>
      </c>
      <c r="J42" s="150">
        <f>IFERROR(INDEX(AGO!$AY$8:$AY$73,MATCH($A42,AGO!$A$8:$A$73,0)),"")</f>
        <v/>
      </c>
      <c r="K42" s="150">
        <f>IFERROR(INDEX(SET!$AY$8:$AY$73,MATCH($A42,SET!$A$8:$A$73,0)),"")</f>
        <v/>
      </c>
      <c r="L42" s="150">
        <f>IFERROR(INDEX(OUT!$AY$8:$AY$73,MATCH($A42,OUT!$A$8:$A$73,0)),"")</f>
        <v/>
      </c>
      <c r="M42" s="150">
        <f>IFERROR(INDEX(NOV!$AY$8:$AY$73,MATCH($A42,NOV!$A$8:$A$73,0)),"")</f>
        <v/>
      </c>
      <c r="N42" s="150">
        <f>IFERROR(INDEX(DEZ!$AY$8:$AY$73,MATCH($A42,DEZ!$A$8:$A$73,0)),"")</f>
        <v/>
      </c>
      <c r="O42" s="151">
        <f>SUM(C42:N42)</f>
        <v/>
      </c>
      <c r="P42" s="39" t="n"/>
      <c r="Q42" s="150">
        <f>IFERROR(INDEX(JAN!$AU$8:$AU$73,MATCH($A42,JAN!$A$8:$A$73,0)),"")</f>
        <v/>
      </c>
      <c r="R42" s="150">
        <f>IFERROR(INDEX(FEV!$AU$8:$AU$73,MATCH($A42,FEV!$A$8:$A$73,0)),"")</f>
        <v/>
      </c>
      <c r="S42" s="150">
        <f>IFERROR(INDEX(MAR!$AU$8:$AU$73,MATCH($A42,MAR!$A$8:$A$73,0)),"")</f>
        <v/>
      </c>
      <c r="T42" s="150">
        <f>IFERROR(INDEX(ABR!$AU$8:$AU$73,MATCH($A42,ABR!$A$8:$A$73,0)),"")</f>
        <v/>
      </c>
      <c r="U42" s="150">
        <f>IFERROR(INDEX(MAI!$AU$8:$AU$73,MATCH($A42,MAI!$A$8:$A$73,0)),"")</f>
        <v/>
      </c>
      <c r="V42" s="150">
        <f>IFERROR(INDEX(JUN!$AU$8:$AU$73,MATCH($A42,JUN!$A$8:$A$73,0)),"")</f>
        <v/>
      </c>
      <c r="W42" s="150">
        <f>IFERROR(INDEX(JUL!$AU$8:$AU$73,MATCH($A42,JUL!$A$8:$A$73,0)),"")</f>
        <v/>
      </c>
      <c r="X42" s="150">
        <f>IFERROR(INDEX(AGO!$AU$8:$AU$73,MATCH($A42,AGO!$A$8:$A$73,0)),"")</f>
        <v/>
      </c>
      <c r="Y42" s="150">
        <f>IFERROR(INDEX(SET!$AU$8:$AU$73,MATCH($A42,SET!$A$8:$A$73,0)),"")</f>
        <v/>
      </c>
      <c r="Z42" s="150">
        <f>IFERROR(INDEX(OUT!$AU$8:$AU$73,MATCH($A42,OUT!$A$8:$A$73,0)),"")</f>
        <v/>
      </c>
      <c r="AA42" s="150">
        <f>IFERROR(INDEX(NOV!$AU$8:$AU$73,MATCH($A42,NOV!$A$8:$A$73,0)),"")</f>
        <v/>
      </c>
      <c r="AB42" s="150">
        <f>IFERROR(INDEX(DEZ!$AU$8:$AU$73,MATCH($A42,DEZ!$A$8:$A$73,0)),"")</f>
        <v/>
      </c>
      <c r="AC42" s="151">
        <f>SUM(Q42:AB42)</f>
        <v/>
      </c>
      <c r="AD42" s="39" t="n"/>
      <c r="AE42" s="150">
        <f>IFERROR(INDEX(JAN!$AV$8:$AV$73,MATCH($A42,JAN!$A$8:$A$73,0)),"")</f>
        <v/>
      </c>
      <c r="AF42" s="150">
        <f>IFERROR(INDEX(FEV!$AV$8:$AV$73,MATCH($A42,FEV!$A$8:$A$73,0)),"")</f>
        <v/>
      </c>
      <c r="AG42" s="150">
        <f>IFERROR(INDEX(MAR!$AV$8:$AV$73,MATCH($A42,MAR!$A$8:$A$73,0)),"")</f>
        <v/>
      </c>
      <c r="AH42" s="150">
        <f>IFERROR(INDEX(ABR!$AV$8:$AV$73,MATCH($A42,ABR!$A$8:$A$73,0)),"")</f>
        <v/>
      </c>
      <c r="AI42" s="150">
        <f>IFERROR(INDEX(MAI!$AV$8:$AV$73,MATCH($A42,MAI!$A$8:$A$73,0)),"")</f>
        <v/>
      </c>
      <c r="AJ42" s="150">
        <f>IFERROR(INDEX(JUN!$AV$8:$AV$73,MATCH($A42,JUN!$A$8:$A$73,0)),"")</f>
        <v/>
      </c>
      <c r="AK42" s="150">
        <f>IFERROR(INDEX(JUL!$AV$8:$AV$73,MATCH($A42,JUL!$A$8:$A$73,0)),"")</f>
        <v/>
      </c>
      <c r="AL42" s="150">
        <f>IFERROR(INDEX(AGO!$AV$8:$AV$73,MATCH($A42,AGO!$A$8:$A$73,0)),"")</f>
        <v/>
      </c>
      <c r="AM42" s="150">
        <f>IFERROR(INDEX(SET!$AV$8:$AV$73,MATCH($A42,SET!$A$8:$A$73,0)),"")</f>
        <v/>
      </c>
      <c r="AN42" s="150">
        <f>IFERROR(INDEX(OUT!$AV$8:$AV$73,MATCH($A42,OUT!$A$8:$A$73,0)),"")</f>
        <v/>
      </c>
      <c r="AO42" s="150">
        <f>IFERROR(INDEX(NOV!$AV$8:$AV$73,MATCH($A42,NOV!$A$8:$A$73,0)),"")</f>
        <v/>
      </c>
      <c r="AP42" s="150">
        <f>IFERROR(INDEX(DEZ!$AV$8:$AV$73,MATCH($A42,DEZ!$A$8:$A$73,0)),"")</f>
        <v/>
      </c>
      <c r="AQ42" s="151">
        <f>SUM(AE42:AP42)</f>
        <v/>
      </c>
      <c r="AR42" s="39" t="n"/>
      <c r="AS42" s="150">
        <f>IFERROR(INDEX(JAN!$AW$8:$AW$73,MATCH($A42,JAN!$A$8:$A$73,0)),"")</f>
        <v/>
      </c>
      <c r="AT42" s="150">
        <f>IFERROR(INDEX(FEV!$AW$8:$AW$73,MATCH($A42,FEV!$A$8:$A$73,0)),"")</f>
        <v/>
      </c>
      <c r="AU42" s="150">
        <f>IFERROR(INDEX(MAR!$AW$8:$AW$73,MATCH($A42,MAR!$A$8:$A$73,0)),"")</f>
        <v/>
      </c>
      <c r="AV42" s="150">
        <f>IFERROR(INDEX(ABR!$AW$8:$AW$73,MATCH($A42,ABR!$A$8:$A$73,0)),"")</f>
        <v/>
      </c>
      <c r="AW42" s="150">
        <f>IFERROR(INDEX(MAI!$AW$8:$AW$73,MATCH($A42,MAI!$A$8:$A$73,0)),"")</f>
        <v/>
      </c>
      <c r="AX42" s="150">
        <f>IFERROR(INDEX(JUN!$AW$8:$AW$73,MATCH($A42,JUN!$A$8:$A$73,0)),"")</f>
        <v/>
      </c>
      <c r="AY42" s="150">
        <f>IFERROR(INDEX(JUL!$AW$8:$AW$73,MATCH($A42,JUL!$A$8:$A$73,0)),"")</f>
        <v/>
      </c>
      <c r="AZ42" s="150">
        <f>IFERROR(INDEX(AGO!$AW$8:$AW$73,MATCH($A42,AGO!$A$8:$A$73,0)),"")</f>
        <v/>
      </c>
      <c r="BA42" s="150">
        <f>IFERROR(INDEX(SET!$AW$8:$AW$73,MATCH($A42,SET!$A$8:$A$73,0)),"")</f>
        <v/>
      </c>
      <c r="BB42" s="150">
        <f>IFERROR(INDEX(OUT!$AW$8:$AW$73,MATCH($A42,OUT!$A$8:$A$73,0)),"")</f>
        <v/>
      </c>
      <c r="BC42" s="150">
        <f>IFERROR(INDEX(NOV!$AW$8:$AW$73,MATCH($A42,NOV!$A$8:$A$73,0)),"")</f>
        <v/>
      </c>
      <c r="BD42" s="150">
        <f>IFERROR(INDEX(DEZ!$AW$8:$AW$73,MATCH($A42,DEZ!$A$8:$A$73,0)),"")</f>
        <v/>
      </c>
      <c r="BE42" s="151">
        <f>SUM(AS42:BD42)</f>
        <v/>
      </c>
      <c r="BF42" s="39" t="n"/>
      <c r="BG42" s="102" t="n">
        <v>3</v>
      </c>
      <c r="BH42" s="120">
        <f>SUM(AE42:AP42)</f>
        <v/>
      </c>
      <c r="BI42" s="152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3">
        <f>CADASTRO!$C39</f>
        <v/>
      </c>
      <c r="C43" s="150">
        <f>IFERROR(INDEX(JAN!$AY$8:$AY$73,MATCH($A43,JAN!$A$8:$A$73,0)),"")</f>
        <v/>
      </c>
      <c r="D43" s="150">
        <f>IFERROR(INDEX(FEV!$AY$8:$AY$73,MATCH($A43,FEV!$A$8:$A$73,0)),"")</f>
        <v/>
      </c>
      <c r="E43" s="150">
        <f>IFERROR(INDEX(MAR!$AY$8:$AY$73,MATCH($A43,MAR!$A$8:$A$73,0)),"")</f>
        <v/>
      </c>
      <c r="F43" s="150">
        <f>IFERROR(INDEX(ABR!$AY$8:$AY$73,MATCH($A43,ABR!$A$8:$A$73,0)),"")</f>
        <v/>
      </c>
      <c r="G43" s="150">
        <f>IFERROR(INDEX(MAI!$AY$8:$AY$73,MATCH($A43,MAI!$A$8:$A$73,0)),"")</f>
        <v/>
      </c>
      <c r="H43" s="150">
        <f>IFERROR(INDEX(JUN!$AY$8:$AY$73,MATCH($A43,JUN!$A$8:$A$73,0)),"")</f>
        <v/>
      </c>
      <c r="I43" s="150">
        <f>IFERROR(INDEX(JUL!$AY$8:$AY$73,MATCH($A43,JUL!$A$8:$A$73,0)),"")</f>
        <v/>
      </c>
      <c r="J43" s="150">
        <f>IFERROR(INDEX(AGO!$AY$8:$AY$73,MATCH($A43,AGO!$A$8:$A$73,0)),"")</f>
        <v/>
      </c>
      <c r="K43" s="150">
        <f>IFERROR(INDEX(SET!$AY$8:$AY$73,MATCH($A43,SET!$A$8:$A$73,0)),"")</f>
        <v/>
      </c>
      <c r="L43" s="150">
        <f>IFERROR(INDEX(OUT!$AY$8:$AY$73,MATCH($A43,OUT!$A$8:$A$73,0)),"")</f>
        <v/>
      </c>
      <c r="M43" s="150">
        <f>IFERROR(INDEX(NOV!$AY$8:$AY$73,MATCH($A43,NOV!$A$8:$A$73,0)),"")</f>
        <v/>
      </c>
      <c r="N43" s="150">
        <f>IFERROR(INDEX(DEZ!$AY$8:$AY$73,MATCH($A43,DEZ!$A$8:$A$73,0)),"")</f>
        <v/>
      </c>
      <c r="O43" s="151">
        <f>SUM(C43:N43)</f>
        <v/>
      </c>
      <c r="P43" s="39" t="n"/>
      <c r="Q43" s="150">
        <f>IFERROR(INDEX(JAN!$AU$8:$AU$73,MATCH($A43,JAN!$A$8:$A$73,0)),"")</f>
        <v/>
      </c>
      <c r="R43" s="150">
        <f>IFERROR(INDEX(FEV!$AU$8:$AU$73,MATCH($A43,FEV!$A$8:$A$73,0)),"")</f>
        <v/>
      </c>
      <c r="S43" s="150">
        <f>IFERROR(INDEX(MAR!$AU$8:$AU$73,MATCH($A43,MAR!$A$8:$A$73,0)),"")</f>
        <v/>
      </c>
      <c r="T43" s="150">
        <f>IFERROR(INDEX(ABR!$AU$8:$AU$73,MATCH($A43,ABR!$A$8:$A$73,0)),"")</f>
        <v/>
      </c>
      <c r="U43" s="150">
        <f>IFERROR(INDEX(MAI!$AU$8:$AU$73,MATCH($A43,MAI!$A$8:$A$73,0)),"")</f>
        <v/>
      </c>
      <c r="V43" s="150">
        <f>IFERROR(INDEX(JUN!$AU$8:$AU$73,MATCH($A43,JUN!$A$8:$A$73,0)),"")</f>
        <v/>
      </c>
      <c r="W43" s="150">
        <f>IFERROR(INDEX(JUL!$AU$8:$AU$73,MATCH($A43,JUL!$A$8:$A$73,0)),"")</f>
        <v/>
      </c>
      <c r="X43" s="150">
        <f>IFERROR(INDEX(AGO!$AU$8:$AU$73,MATCH($A43,AGO!$A$8:$A$73,0)),"")</f>
        <v/>
      </c>
      <c r="Y43" s="150">
        <f>IFERROR(INDEX(SET!$AU$8:$AU$73,MATCH($A43,SET!$A$8:$A$73,0)),"")</f>
        <v/>
      </c>
      <c r="Z43" s="150">
        <f>IFERROR(INDEX(OUT!$AU$8:$AU$73,MATCH($A43,OUT!$A$8:$A$73,0)),"")</f>
        <v/>
      </c>
      <c r="AA43" s="150">
        <f>IFERROR(INDEX(NOV!$AU$8:$AU$73,MATCH($A43,NOV!$A$8:$A$73,0)),"")</f>
        <v/>
      </c>
      <c r="AB43" s="150">
        <f>IFERROR(INDEX(DEZ!$AU$8:$AU$73,MATCH($A43,DEZ!$A$8:$A$73,0)),"")</f>
        <v/>
      </c>
      <c r="AC43" s="151">
        <f>SUM(Q43:AB43)</f>
        <v/>
      </c>
      <c r="AD43" s="39" t="n"/>
      <c r="AE43" s="150">
        <f>IFERROR(INDEX(JAN!$AV$8:$AV$73,MATCH($A43,JAN!$A$8:$A$73,0)),"")</f>
        <v/>
      </c>
      <c r="AF43" s="150">
        <f>IFERROR(INDEX(FEV!$AV$8:$AV$73,MATCH($A43,FEV!$A$8:$A$73,0)),"")</f>
        <v/>
      </c>
      <c r="AG43" s="150">
        <f>IFERROR(INDEX(MAR!$AV$8:$AV$73,MATCH($A43,MAR!$A$8:$A$73,0)),"")</f>
        <v/>
      </c>
      <c r="AH43" s="150">
        <f>IFERROR(INDEX(ABR!$AV$8:$AV$73,MATCH($A43,ABR!$A$8:$A$73,0)),"")</f>
        <v/>
      </c>
      <c r="AI43" s="150">
        <f>IFERROR(INDEX(MAI!$AV$8:$AV$73,MATCH($A43,MAI!$A$8:$A$73,0)),"")</f>
        <v/>
      </c>
      <c r="AJ43" s="150">
        <f>IFERROR(INDEX(JUN!$AV$8:$AV$73,MATCH($A43,JUN!$A$8:$A$73,0)),"")</f>
        <v/>
      </c>
      <c r="AK43" s="150">
        <f>IFERROR(INDEX(JUL!$AV$8:$AV$73,MATCH($A43,JUL!$A$8:$A$73,0)),"")</f>
        <v/>
      </c>
      <c r="AL43" s="150">
        <f>IFERROR(INDEX(AGO!$AV$8:$AV$73,MATCH($A43,AGO!$A$8:$A$73,0)),"")</f>
        <v/>
      </c>
      <c r="AM43" s="150">
        <f>IFERROR(INDEX(SET!$AV$8:$AV$73,MATCH($A43,SET!$A$8:$A$73,0)),"")</f>
        <v/>
      </c>
      <c r="AN43" s="150">
        <f>IFERROR(INDEX(OUT!$AV$8:$AV$73,MATCH($A43,OUT!$A$8:$A$73,0)),"")</f>
        <v/>
      </c>
      <c r="AO43" s="150">
        <f>IFERROR(INDEX(NOV!$AV$8:$AV$73,MATCH($A43,NOV!$A$8:$A$73,0)),"")</f>
        <v/>
      </c>
      <c r="AP43" s="150">
        <f>IFERROR(INDEX(DEZ!$AV$8:$AV$73,MATCH($A43,DEZ!$A$8:$A$73,0)),"")</f>
        <v/>
      </c>
      <c r="AQ43" s="151">
        <f>SUM(AE43:AP43)</f>
        <v/>
      </c>
      <c r="AR43" s="39" t="n"/>
      <c r="AS43" s="150">
        <f>IFERROR(INDEX(JAN!$AW$8:$AW$73,MATCH($A43,JAN!$A$8:$A$73,0)),"")</f>
        <v/>
      </c>
      <c r="AT43" s="150">
        <f>IFERROR(INDEX(FEV!$AW$8:$AW$73,MATCH($A43,FEV!$A$8:$A$73,0)),"")</f>
        <v/>
      </c>
      <c r="AU43" s="150">
        <f>IFERROR(INDEX(MAR!$AW$8:$AW$73,MATCH($A43,MAR!$A$8:$A$73,0)),"")</f>
        <v/>
      </c>
      <c r="AV43" s="150">
        <f>IFERROR(INDEX(ABR!$AW$8:$AW$73,MATCH($A43,ABR!$A$8:$A$73,0)),"")</f>
        <v/>
      </c>
      <c r="AW43" s="150">
        <f>IFERROR(INDEX(MAI!$AW$8:$AW$73,MATCH($A43,MAI!$A$8:$A$73,0)),"")</f>
        <v/>
      </c>
      <c r="AX43" s="150">
        <f>IFERROR(INDEX(JUN!$AW$8:$AW$73,MATCH($A43,JUN!$A$8:$A$73,0)),"")</f>
        <v/>
      </c>
      <c r="AY43" s="150">
        <f>IFERROR(INDEX(JUL!$AW$8:$AW$73,MATCH($A43,JUL!$A$8:$A$73,0)),"")</f>
        <v/>
      </c>
      <c r="AZ43" s="150">
        <f>IFERROR(INDEX(AGO!$AW$8:$AW$73,MATCH($A43,AGO!$A$8:$A$73,0)),"")</f>
        <v/>
      </c>
      <c r="BA43" s="150">
        <f>IFERROR(INDEX(SET!$AW$8:$AW$73,MATCH($A43,SET!$A$8:$A$73,0)),"")</f>
        <v/>
      </c>
      <c r="BB43" s="150">
        <f>IFERROR(INDEX(OUT!$AW$8:$AW$73,MATCH($A43,OUT!$A$8:$A$73,0)),"")</f>
        <v/>
      </c>
      <c r="BC43" s="150">
        <f>IFERROR(INDEX(NOV!$AW$8:$AW$73,MATCH($A43,NOV!$A$8:$A$73,0)),"")</f>
        <v/>
      </c>
      <c r="BD43" s="150">
        <f>IFERROR(INDEX(DEZ!$AW$8:$AW$73,MATCH($A43,DEZ!$A$8:$A$73,0)),"")</f>
        <v/>
      </c>
      <c r="BE43" s="151">
        <f>SUM(AS43:BD43)</f>
        <v/>
      </c>
      <c r="BF43" s="39" t="n"/>
      <c r="BG43" s="102" t="n">
        <v>3</v>
      </c>
      <c r="BH43" s="120">
        <f>SUM(AE43:AP43)</f>
        <v/>
      </c>
      <c r="BI43" s="152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3">
        <f>CADASTRO!$C40</f>
        <v/>
      </c>
      <c r="C44" s="150">
        <f>IFERROR(INDEX(JAN!$AY$8:$AY$73,MATCH($A44,JAN!$A$8:$A$73,0)),"")</f>
        <v/>
      </c>
      <c r="D44" s="150">
        <f>IFERROR(INDEX(FEV!$AY$8:$AY$73,MATCH($A44,FEV!$A$8:$A$73,0)),"")</f>
        <v/>
      </c>
      <c r="E44" s="150">
        <f>IFERROR(INDEX(MAR!$AY$8:$AY$73,MATCH($A44,MAR!$A$8:$A$73,0)),"")</f>
        <v/>
      </c>
      <c r="F44" s="150">
        <f>IFERROR(INDEX(ABR!$AY$8:$AY$73,MATCH($A44,ABR!$A$8:$A$73,0)),"")</f>
        <v/>
      </c>
      <c r="G44" s="150">
        <f>IFERROR(INDEX(MAI!$AY$8:$AY$73,MATCH($A44,MAI!$A$8:$A$73,0)),"")</f>
        <v/>
      </c>
      <c r="H44" s="150">
        <f>IFERROR(INDEX(JUN!$AY$8:$AY$73,MATCH($A44,JUN!$A$8:$A$73,0)),"")</f>
        <v/>
      </c>
      <c r="I44" s="150">
        <f>IFERROR(INDEX(JUL!$AY$8:$AY$73,MATCH($A44,JUL!$A$8:$A$73,0)),"")</f>
        <v/>
      </c>
      <c r="J44" s="150">
        <f>IFERROR(INDEX(AGO!$AY$8:$AY$73,MATCH($A44,AGO!$A$8:$A$73,0)),"")</f>
        <v/>
      </c>
      <c r="K44" s="150">
        <f>IFERROR(INDEX(SET!$AY$8:$AY$73,MATCH($A44,SET!$A$8:$A$73,0)),"")</f>
        <v/>
      </c>
      <c r="L44" s="150">
        <f>IFERROR(INDEX(OUT!$AY$8:$AY$73,MATCH($A44,OUT!$A$8:$A$73,0)),"")</f>
        <v/>
      </c>
      <c r="M44" s="150">
        <f>IFERROR(INDEX(NOV!$AY$8:$AY$73,MATCH($A44,NOV!$A$8:$A$73,0)),"")</f>
        <v/>
      </c>
      <c r="N44" s="150">
        <f>IFERROR(INDEX(DEZ!$AY$8:$AY$73,MATCH($A44,DEZ!$A$8:$A$73,0)),"")</f>
        <v/>
      </c>
      <c r="O44" s="151">
        <f>SUM(C44:N44)</f>
        <v/>
      </c>
      <c r="P44" s="39" t="n"/>
      <c r="Q44" s="150">
        <f>IFERROR(INDEX(JAN!$AU$8:$AU$73,MATCH($A44,JAN!$A$8:$A$73,0)),"")</f>
        <v/>
      </c>
      <c r="R44" s="150">
        <f>IFERROR(INDEX(FEV!$AU$8:$AU$73,MATCH($A44,FEV!$A$8:$A$73,0)),"")</f>
        <v/>
      </c>
      <c r="S44" s="150">
        <f>IFERROR(INDEX(MAR!$AU$8:$AU$73,MATCH($A44,MAR!$A$8:$A$73,0)),"")</f>
        <v/>
      </c>
      <c r="T44" s="150">
        <f>IFERROR(INDEX(ABR!$AU$8:$AU$73,MATCH($A44,ABR!$A$8:$A$73,0)),"")</f>
        <v/>
      </c>
      <c r="U44" s="150">
        <f>IFERROR(INDEX(MAI!$AU$8:$AU$73,MATCH($A44,MAI!$A$8:$A$73,0)),"")</f>
        <v/>
      </c>
      <c r="V44" s="150">
        <f>IFERROR(INDEX(JUN!$AU$8:$AU$73,MATCH($A44,JUN!$A$8:$A$73,0)),"")</f>
        <v/>
      </c>
      <c r="W44" s="150">
        <f>IFERROR(INDEX(JUL!$AU$8:$AU$73,MATCH($A44,JUL!$A$8:$A$73,0)),"")</f>
        <v/>
      </c>
      <c r="X44" s="150">
        <f>IFERROR(INDEX(AGO!$AU$8:$AU$73,MATCH($A44,AGO!$A$8:$A$73,0)),"")</f>
        <v/>
      </c>
      <c r="Y44" s="150">
        <f>IFERROR(INDEX(SET!$AU$8:$AU$73,MATCH($A44,SET!$A$8:$A$73,0)),"")</f>
        <v/>
      </c>
      <c r="Z44" s="150">
        <f>IFERROR(INDEX(OUT!$AU$8:$AU$73,MATCH($A44,OUT!$A$8:$A$73,0)),"")</f>
        <v/>
      </c>
      <c r="AA44" s="150">
        <f>IFERROR(INDEX(NOV!$AU$8:$AU$73,MATCH($A44,NOV!$A$8:$A$73,0)),"")</f>
        <v/>
      </c>
      <c r="AB44" s="150">
        <f>IFERROR(INDEX(DEZ!$AU$8:$AU$73,MATCH($A44,DEZ!$A$8:$A$73,0)),"")</f>
        <v/>
      </c>
      <c r="AC44" s="151">
        <f>SUM(Q44:AB44)</f>
        <v/>
      </c>
      <c r="AD44" s="39" t="n"/>
      <c r="AE44" s="150">
        <f>IFERROR(INDEX(JAN!$AV$8:$AV$73,MATCH($A44,JAN!$A$8:$A$73,0)),"")</f>
        <v/>
      </c>
      <c r="AF44" s="150">
        <f>IFERROR(INDEX(FEV!$AV$8:$AV$73,MATCH($A44,FEV!$A$8:$A$73,0)),"")</f>
        <v/>
      </c>
      <c r="AG44" s="150">
        <f>IFERROR(INDEX(MAR!$AV$8:$AV$73,MATCH($A44,MAR!$A$8:$A$73,0)),"")</f>
        <v/>
      </c>
      <c r="AH44" s="150">
        <f>IFERROR(INDEX(ABR!$AV$8:$AV$73,MATCH($A44,ABR!$A$8:$A$73,0)),"")</f>
        <v/>
      </c>
      <c r="AI44" s="150">
        <f>IFERROR(INDEX(MAI!$AV$8:$AV$73,MATCH($A44,MAI!$A$8:$A$73,0)),"")</f>
        <v/>
      </c>
      <c r="AJ44" s="150">
        <f>IFERROR(INDEX(JUN!$AV$8:$AV$73,MATCH($A44,JUN!$A$8:$A$73,0)),"")</f>
        <v/>
      </c>
      <c r="AK44" s="150">
        <f>IFERROR(INDEX(JUL!$AV$8:$AV$73,MATCH($A44,JUL!$A$8:$A$73,0)),"")</f>
        <v/>
      </c>
      <c r="AL44" s="150">
        <f>IFERROR(INDEX(AGO!$AV$8:$AV$73,MATCH($A44,AGO!$A$8:$A$73,0)),"")</f>
        <v/>
      </c>
      <c r="AM44" s="150">
        <f>IFERROR(INDEX(SET!$AV$8:$AV$73,MATCH($A44,SET!$A$8:$A$73,0)),"")</f>
        <v/>
      </c>
      <c r="AN44" s="150">
        <f>IFERROR(INDEX(OUT!$AV$8:$AV$73,MATCH($A44,OUT!$A$8:$A$73,0)),"")</f>
        <v/>
      </c>
      <c r="AO44" s="150">
        <f>IFERROR(INDEX(NOV!$AV$8:$AV$73,MATCH($A44,NOV!$A$8:$A$73,0)),"")</f>
        <v/>
      </c>
      <c r="AP44" s="150">
        <f>IFERROR(INDEX(DEZ!$AV$8:$AV$73,MATCH($A44,DEZ!$A$8:$A$73,0)),"")</f>
        <v/>
      </c>
      <c r="AQ44" s="151">
        <f>SUM(AE44:AP44)</f>
        <v/>
      </c>
      <c r="AR44" s="39" t="n"/>
      <c r="AS44" s="150">
        <f>IFERROR(INDEX(JAN!$AW$8:$AW$73,MATCH($A44,JAN!$A$8:$A$73,0)),"")</f>
        <v/>
      </c>
      <c r="AT44" s="150">
        <f>IFERROR(INDEX(FEV!$AW$8:$AW$73,MATCH($A44,FEV!$A$8:$A$73,0)),"")</f>
        <v/>
      </c>
      <c r="AU44" s="150">
        <f>IFERROR(INDEX(MAR!$AW$8:$AW$73,MATCH($A44,MAR!$A$8:$A$73,0)),"")</f>
        <v/>
      </c>
      <c r="AV44" s="150">
        <f>IFERROR(INDEX(ABR!$AW$8:$AW$73,MATCH($A44,ABR!$A$8:$A$73,0)),"")</f>
        <v/>
      </c>
      <c r="AW44" s="150">
        <f>IFERROR(INDEX(MAI!$AW$8:$AW$73,MATCH($A44,MAI!$A$8:$A$73,0)),"")</f>
        <v/>
      </c>
      <c r="AX44" s="150">
        <f>IFERROR(INDEX(JUN!$AW$8:$AW$73,MATCH($A44,JUN!$A$8:$A$73,0)),"")</f>
        <v/>
      </c>
      <c r="AY44" s="150">
        <f>IFERROR(INDEX(JUL!$AW$8:$AW$73,MATCH($A44,JUL!$A$8:$A$73,0)),"")</f>
        <v/>
      </c>
      <c r="AZ44" s="150">
        <f>IFERROR(INDEX(AGO!$AW$8:$AW$73,MATCH($A44,AGO!$A$8:$A$73,0)),"")</f>
        <v/>
      </c>
      <c r="BA44" s="150">
        <f>IFERROR(INDEX(SET!$AW$8:$AW$73,MATCH($A44,SET!$A$8:$A$73,0)),"")</f>
        <v/>
      </c>
      <c r="BB44" s="150">
        <f>IFERROR(INDEX(OUT!$AW$8:$AW$73,MATCH($A44,OUT!$A$8:$A$73,0)),"")</f>
        <v/>
      </c>
      <c r="BC44" s="150">
        <f>IFERROR(INDEX(NOV!$AW$8:$AW$73,MATCH($A44,NOV!$A$8:$A$73,0)),"")</f>
        <v/>
      </c>
      <c r="BD44" s="150">
        <f>IFERROR(INDEX(DEZ!$AW$8:$AW$73,MATCH($A44,DEZ!$A$8:$A$73,0)),"")</f>
        <v/>
      </c>
      <c r="BE44" s="151">
        <f>SUM(AS44:BD44)</f>
        <v/>
      </c>
      <c r="BF44" s="39" t="n"/>
      <c r="BG44" s="102" t="n">
        <v>3</v>
      </c>
      <c r="BH44" s="120">
        <f>SUM(AE44:AP44)</f>
        <v/>
      </c>
      <c r="BI44" s="152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3">
        <f>CADASTRO!$C41</f>
        <v/>
      </c>
      <c r="C45" s="150">
        <f>IFERROR(INDEX(JAN!$AY$8:$AY$73,MATCH($A45,JAN!$A$8:$A$73,0)),"")</f>
        <v/>
      </c>
      <c r="D45" s="150">
        <f>IFERROR(INDEX(FEV!$AY$8:$AY$73,MATCH($A45,FEV!$A$8:$A$73,0)),"")</f>
        <v/>
      </c>
      <c r="E45" s="150">
        <f>IFERROR(INDEX(MAR!$AY$8:$AY$73,MATCH($A45,MAR!$A$8:$A$73,0)),"")</f>
        <v/>
      </c>
      <c r="F45" s="150">
        <f>IFERROR(INDEX(ABR!$AY$8:$AY$73,MATCH($A45,ABR!$A$8:$A$73,0)),"")</f>
        <v/>
      </c>
      <c r="G45" s="150">
        <f>IFERROR(INDEX(MAI!$AY$8:$AY$73,MATCH($A45,MAI!$A$8:$A$73,0)),"")</f>
        <v/>
      </c>
      <c r="H45" s="150">
        <f>IFERROR(INDEX(JUN!$AY$8:$AY$73,MATCH($A45,JUN!$A$8:$A$73,0)),"")</f>
        <v/>
      </c>
      <c r="I45" s="150">
        <f>IFERROR(INDEX(JUL!$AY$8:$AY$73,MATCH($A45,JUL!$A$8:$A$73,0)),"")</f>
        <v/>
      </c>
      <c r="J45" s="150">
        <f>IFERROR(INDEX(AGO!$AY$8:$AY$73,MATCH($A45,AGO!$A$8:$A$73,0)),"")</f>
        <v/>
      </c>
      <c r="K45" s="150">
        <f>IFERROR(INDEX(SET!$AY$8:$AY$73,MATCH($A45,SET!$A$8:$A$73,0)),"")</f>
        <v/>
      </c>
      <c r="L45" s="150">
        <f>IFERROR(INDEX(OUT!$AY$8:$AY$73,MATCH($A45,OUT!$A$8:$A$73,0)),"")</f>
        <v/>
      </c>
      <c r="M45" s="150">
        <f>IFERROR(INDEX(NOV!$AY$8:$AY$73,MATCH($A45,NOV!$A$8:$A$73,0)),"")</f>
        <v/>
      </c>
      <c r="N45" s="150">
        <f>IFERROR(INDEX(DEZ!$AY$8:$AY$73,MATCH($A45,DEZ!$A$8:$A$73,0)),"")</f>
        <v/>
      </c>
      <c r="O45" s="151">
        <f>SUM(C45:N45)</f>
        <v/>
      </c>
      <c r="P45" s="39" t="n"/>
      <c r="Q45" s="150">
        <f>IFERROR(INDEX(JAN!$AU$8:$AU$73,MATCH($A45,JAN!$A$8:$A$73,0)),"")</f>
        <v/>
      </c>
      <c r="R45" s="150">
        <f>IFERROR(INDEX(FEV!$AU$8:$AU$73,MATCH($A45,FEV!$A$8:$A$73,0)),"")</f>
        <v/>
      </c>
      <c r="S45" s="150">
        <f>IFERROR(INDEX(MAR!$AU$8:$AU$73,MATCH($A45,MAR!$A$8:$A$73,0)),"")</f>
        <v/>
      </c>
      <c r="T45" s="150">
        <f>IFERROR(INDEX(ABR!$AU$8:$AU$73,MATCH($A45,ABR!$A$8:$A$73,0)),"")</f>
        <v/>
      </c>
      <c r="U45" s="150">
        <f>IFERROR(INDEX(MAI!$AU$8:$AU$73,MATCH($A45,MAI!$A$8:$A$73,0)),"")</f>
        <v/>
      </c>
      <c r="V45" s="150">
        <f>IFERROR(INDEX(JUN!$AU$8:$AU$73,MATCH($A45,JUN!$A$8:$A$73,0)),"")</f>
        <v/>
      </c>
      <c r="W45" s="150">
        <f>IFERROR(INDEX(JUL!$AU$8:$AU$73,MATCH($A45,JUL!$A$8:$A$73,0)),"")</f>
        <v/>
      </c>
      <c r="X45" s="150">
        <f>IFERROR(INDEX(AGO!$AU$8:$AU$73,MATCH($A45,AGO!$A$8:$A$73,0)),"")</f>
        <v/>
      </c>
      <c r="Y45" s="150">
        <f>IFERROR(INDEX(SET!$AU$8:$AU$73,MATCH($A45,SET!$A$8:$A$73,0)),"")</f>
        <v/>
      </c>
      <c r="Z45" s="150">
        <f>IFERROR(INDEX(OUT!$AU$8:$AU$73,MATCH($A45,OUT!$A$8:$A$73,0)),"")</f>
        <v/>
      </c>
      <c r="AA45" s="150">
        <f>IFERROR(INDEX(NOV!$AU$8:$AU$73,MATCH($A45,NOV!$A$8:$A$73,0)),"")</f>
        <v/>
      </c>
      <c r="AB45" s="150">
        <f>IFERROR(INDEX(DEZ!$AU$8:$AU$73,MATCH($A45,DEZ!$A$8:$A$73,0)),"")</f>
        <v/>
      </c>
      <c r="AC45" s="151">
        <f>SUM(Q45:AB45)</f>
        <v/>
      </c>
      <c r="AD45" s="39" t="n"/>
      <c r="AE45" s="150">
        <f>IFERROR(INDEX(JAN!$AV$8:$AV$73,MATCH($A45,JAN!$A$8:$A$73,0)),"")</f>
        <v/>
      </c>
      <c r="AF45" s="150">
        <f>IFERROR(INDEX(FEV!$AV$8:$AV$73,MATCH($A45,FEV!$A$8:$A$73,0)),"")</f>
        <v/>
      </c>
      <c r="AG45" s="150">
        <f>IFERROR(INDEX(MAR!$AV$8:$AV$73,MATCH($A45,MAR!$A$8:$A$73,0)),"")</f>
        <v/>
      </c>
      <c r="AH45" s="150">
        <f>IFERROR(INDEX(ABR!$AV$8:$AV$73,MATCH($A45,ABR!$A$8:$A$73,0)),"")</f>
        <v/>
      </c>
      <c r="AI45" s="150">
        <f>IFERROR(INDEX(MAI!$AV$8:$AV$73,MATCH($A45,MAI!$A$8:$A$73,0)),"")</f>
        <v/>
      </c>
      <c r="AJ45" s="150">
        <f>IFERROR(INDEX(JUN!$AV$8:$AV$73,MATCH($A45,JUN!$A$8:$A$73,0)),"")</f>
        <v/>
      </c>
      <c r="AK45" s="150">
        <f>IFERROR(INDEX(JUL!$AV$8:$AV$73,MATCH($A45,JUL!$A$8:$A$73,0)),"")</f>
        <v/>
      </c>
      <c r="AL45" s="150">
        <f>IFERROR(INDEX(AGO!$AV$8:$AV$73,MATCH($A45,AGO!$A$8:$A$73,0)),"")</f>
        <v/>
      </c>
      <c r="AM45" s="150">
        <f>IFERROR(INDEX(SET!$AV$8:$AV$73,MATCH($A45,SET!$A$8:$A$73,0)),"")</f>
        <v/>
      </c>
      <c r="AN45" s="150">
        <f>IFERROR(INDEX(OUT!$AV$8:$AV$73,MATCH($A45,OUT!$A$8:$A$73,0)),"")</f>
        <v/>
      </c>
      <c r="AO45" s="150">
        <f>IFERROR(INDEX(NOV!$AV$8:$AV$73,MATCH($A45,NOV!$A$8:$A$73,0)),"")</f>
        <v/>
      </c>
      <c r="AP45" s="150">
        <f>IFERROR(INDEX(DEZ!$AV$8:$AV$73,MATCH($A45,DEZ!$A$8:$A$73,0)),"")</f>
        <v/>
      </c>
      <c r="AQ45" s="151">
        <f>SUM(AE45:AP45)</f>
        <v/>
      </c>
      <c r="AR45" s="39" t="n"/>
      <c r="AS45" s="150">
        <f>IFERROR(INDEX(JAN!$AW$8:$AW$73,MATCH($A45,JAN!$A$8:$A$73,0)),"")</f>
        <v/>
      </c>
      <c r="AT45" s="150">
        <f>IFERROR(INDEX(FEV!$AW$8:$AW$73,MATCH($A45,FEV!$A$8:$A$73,0)),"")</f>
        <v/>
      </c>
      <c r="AU45" s="150">
        <f>IFERROR(INDEX(MAR!$AW$8:$AW$73,MATCH($A45,MAR!$A$8:$A$73,0)),"")</f>
        <v/>
      </c>
      <c r="AV45" s="150">
        <f>IFERROR(INDEX(ABR!$AW$8:$AW$73,MATCH($A45,ABR!$A$8:$A$73,0)),"")</f>
        <v/>
      </c>
      <c r="AW45" s="150">
        <f>IFERROR(INDEX(MAI!$AW$8:$AW$73,MATCH($A45,MAI!$A$8:$A$73,0)),"")</f>
        <v/>
      </c>
      <c r="AX45" s="150">
        <f>IFERROR(INDEX(JUN!$AW$8:$AW$73,MATCH($A45,JUN!$A$8:$A$73,0)),"")</f>
        <v/>
      </c>
      <c r="AY45" s="150">
        <f>IFERROR(INDEX(JUL!$AW$8:$AW$73,MATCH($A45,JUL!$A$8:$A$73,0)),"")</f>
        <v/>
      </c>
      <c r="AZ45" s="150">
        <f>IFERROR(INDEX(AGO!$AW$8:$AW$73,MATCH($A45,AGO!$A$8:$A$73,0)),"")</f>
        <v/>
      </c>
      <c r="BA45" s="150">
        <f>IFERROR(INDEX(SET!$AW$8:$AW$73,MATCH($A45,SET!$A$8:$A$73,0)),"")</f>
        <v/>
      </c>
      <c r="BB45" s="150">
        <f>IFERROR(INDEX(OUT!$AW$8:$AW$73,MATCH($A45,OUT!$A$8:$A$73,0)),"")</f>
        <v/>
      </c>
      <c r="BC45" s="150">
        <f>IFERROR(INDEX(NOV!$AW$8:$AW$73,MATCH($A45,NOV!$A$8:$A$73,0)),"")</f>
        <v/>
      </c>
      <c r="BD45" s="150">
        <f>IFERROR(INDEX(DEZ!$AW$8:$AW$73,MATCH($A45,DEZ!$A$8:$A$73,0)),"")</f>
        <v/>
      </c>
      <c r="BE45" s="151">
        <f>SUM(AS45:BD45)</f>
        <v/>
      </c>
      <c r="BF45" s="39" t="n"/>
      <c r="BG45" s="102" t="n">
        <v>3</v>
      </c>
      <c r="BH45" s="120">
        <f>SUM(AE45:AP45)</f>
        <v/>
      </c>
      <c r="BI45" s="152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3">
        <f>CADASTRO!$C42</f>
        <v/>
      </c>
      <c r="C46" s="150">
        <f>IFERROR(INDEX(JAN!$AY$8:$AY$73,MATCH($A46,JAN!$A$8:$A$73,0)),"")</f>
        <v/>
      </c>
      <c r="D46" s="150">
        <f>IFERROR(INDEX(FEV!$AY$8:$AY$73,MATCH($A46,FEV!$A$8:$A$73,0)),"")</f>
        <v/>
      </c>
      <c r="E46" s="150">
        <f>IFERROR(INDEX(MAR!$AY$8:$AY$73,MATCH($A46,MAR!$A$8:$A$73,0)),"")</f>
        <v/>
      </c>
      <c r="F46" s="150">
        <f>IFERROR(INDEX(ABR!$AY$8:$AY$73,MATCH($A46,ABR!$A$8:$A$73,0)),"")</f>
        <v/>
      </c>
      <c r="G46" s="150">
        <f>IFERROR(INDEX(MAI!$AY$8:$AY$73,MATCH($A46,MAI!$A$8:$A$73,0)),"")</f>
        <v/>
      </c>
      <c r="H46" s="150">
        <f>IFERROR(INDEX(JUN!$AY$8:$AY$73,MATCH($A46,JUN!$A$8:$A$73,0)),"")</f>
        <v/>
      </c>
      <c r="I46" s="150">
        <f>IFERROR(INDEX(JUL!$AY$8:$AY$73,MATCH($A46,JUL!$A$8:$A$73,0)),"")</f>
        <v/>
      </c>
      <c r="J46" s="150">
        <f>IFERROR(INDEX(AGO!$AY$8:$AY$73,MATCH($A46,AGO!$A$8:$A$73,0)),"")</f>
        <v/>
      </c>
      <c r="K46" s="150">
        <f>IFERROR(INDEX(SET!$AY$8:$AY$73,MATCH($A46,SET!$A$8:$A$73,0)),"")</f>
        <v/>
      </c>
      <c r="L46" s="150">
        <f>IFERROR(INDEX(OUT!$AY$8:$AY$73,MATCH($A46,OUT!$A$8:$A$73,0)),"")</f>
        <v/>
      </c>
      <c r="M46" s="150">
        <f>IFERROR(INDEX(NOV!$AY$8:$AY$73,MATCH($A46,NOV!$A$8:$A$73,0)),"")</f>
        <v/>
      </c>
      <c r="N46" s="150">
        <f>IFERROR(INDEX(DEZ!$AY$8:$AY$73,MATCH($A46,DEZ!$A$8:$A$73,0)),"")</f>
        <v/>
      </c>
      <c r="O46" s="151">
        <f>SUM(C46:N46)</f>
        <v/>
      </c>
      <c r="P46" s="39" t="n"/>
      <c r="Q46" s="150">
        <f>IFERROR(INDEX(JAN!$AU$8:$AU$73,MATCH($A46,JAN!$A$8:$A$73,0)),"")</f>
        <v/>
      </c>
      <c r="R46" s="150">
        <f>IFERROR(INDEX(FEV!$AU$8:$AU$73,MATCH($A46,FEV!$A$8:$A$73,0)),"")</f>
        <v/>
      </c>
      <c r="S46" s="150">
        <f>IFERROR(INDEX(MAR!$AU$8:$AU$73,MATCH($A46,MAR!$A$8:$A$73,0)),"")</f>
        <v/>
      </c>
      <c r="T46" s="150">
        <f>IFERROR(INDEX(ABR!$AU$8:$AU$73,MATCH($A46,ABR!$A$8:$A$73,0)),"")</f>
        <v/>
      </c>
      <c r="U46" s="150">
        <f>IFERROR(INDEX(MAI!$AU$8:$AU$73,MATCH($A46,MAI!$A$8:$A$73,0)),"")</f>
        <v/>
      </c>
      <c r="V46" s="150">
        <f>IFERROR(INDEX(JUN!$AU$8:$AU$73,MATCH($A46,JUN!$A$8:$A$73,0)),"")</f>
        <v/>
      </c>
      <c r="W46" s="150">
        <f>IFERROR(INDEX(JUL!$AU$8:$AU$73,MATCH($A46,JUL!$A$8:$A$73,0)),"")</f>
        <v/>
      </c>
      <c r="X46" s="150">
        <f>IFERROR(INDEX(AGO!$AU$8:$AU$73,MATCH($A46,AGO!$A$8:$A$73,0)),"")</f>
        <v/>
      </c>
      <c r="Y46" s="150">
        <f>IFERROR(INDEX(SET!$AU$8:$AU$73,MATCH($A46,SET!$A$8:$A$73,0)),"")</f>
        <v/>
      </c>
      <c r="Z46" s="150">
        <f>IFERROR(INDEX(OUT!$AU$8:$AU$73,MATCH($A46,OUT!$A$8:$A$73,0)),"")</f>
        <v/>
      </c>
      <c r="AA46" s="150">
        <f>IFERROR(INDEX(NOV!$AU$8:$AU$73,MATCH($A46,NOV!$A$8:$A$73,0)),"")</f>
        <v/>
      </c>
      <c r="AB46" s="150">
        <f>IFERROR(INDEX(DEZ!$AU$8:$AU$73,MATCH($A46,DEZ!$A$8:$A$73,0)),"")</f>
        <v/>
      </c>
      <c r="AC46" s="151">
        <f>SUM(Q46:AB46)</f>
        <v/>
      </c>
      <c r="AD46" s="39" t="n"/>
      <c r="AE46" s="150">
        <f>IFERROR(INDEX(JAN!$AV$8:$AV$73,MATCH($A46,JAN!$A$8:$A$73,0)),"")</f>
        <v/>
      </c>
      <c r="AF46" s="150">
        <f>IFERROR(INDEX(FEV!$AV$8:$AV$73,MATCH($A46,FEV!$A$8:$A$73,0)),"")</f>
        <v/>
      </c>
      <c r="AG46" s="150">
        <f>IFERROR(INDEX(MAR!$AV$8:$AV$73,MATCH($A46,MAR!$A$8:$A$73,0)),"")</f>
        <v/>
      </c>
      <c r="AH46" s="150">
        <f>IFERROR(INDEX(ABR!$AV$8:$AV$73,MATCH($A46,ABR!$A$8:$A$73,0)),"")</f>
        <v/>
      </c>
      <c r="AI46" s="150">
        <f>IFERROR(INDEX(MAI!$AV$8:$AV$73,MATCH($A46,MAI!$A$8:$A$73,0)),"")</f>
        <v/>
      </c>
      <c r="AJ46" s="150">
        <f>IFERROR(INDEX(JUN!$AV$8:$AV$73,MATCH($A46,JUN!$A$8:$A$73,0)),"")</f>
        <v/>
      </c>
      <c r="AK46" s="150">
        <f>IFERROR(INDEX(JUL!$AV$8:$AV$73,MATCH($A46,JUL!$A$8:$A$73,0)),"")</f>
        <v/>
      </c>
      <c r="AL46" s="150">
        <f>IFERROR(INDEX(AGO!$AV$8:$AV$73,MATCH($A46,AGO!$A$8:$A$73,0)),"")</f>
        <v/>
      </c>
      <c r="AM46" s="150">
        <f>IFERROR(INDEX(SET!$AV$8:$AV$73,MATCH($A46,SET!$A$8:$A$73,0)),"")</f>
        <v/>
      </c>
      <c r="AN46" s="150">
        <f>IFERROR(INDEX(OUT!$AV$8:$AV$73,MATCH($A46,OUT!$A$8:$A$73,0)),"")</f>
        <v/>
      </c>
      <c r="AO46" s="150">
        <f>IFERROR(INDEX(NOV!$AV$8:$AV$73,MATCH($A46,NOV!$A$8:$A$73,0)),"")</f>
        <v/>
      </c>
      <c r="AP46" s="150">
        <f>IFERROR(INDEX(DEZ!$AV$8:$AV$73,MATCH($A46,DEZ!$A$8:$A$73,0)),"")</f>
        <v/>
      </c>
      <c r="AQ46" s="151">
        <f>SUM(AE46:AP46)</f>
        <v/>
      </c>
      <c r="AR46" s="39" t="n"/>
      <c r="AS46" s="150">
        <f>IFERROR(INDEX(JAN!$AW$8:$AW$73,MATCH($A46,JAN!$A$8:$A$73,0)),"")</f>
        <v/>
      </c>
      <c r="AT46" s="150">
        <f>IFERROR(INDEX(FEV!$AW$8:$AW$73,MATCH($A46,FEV!$A$8:$A$73,0)),"")</f>
        <v/>
      </c>
      <c r="AU46" s="150">
        <f>IFERROR(INDEX(MAR!$AW$8:$AW$73,MATCH($A46,MAR!$A$8:$A$73,0)),"")</f>
        <v/>
      </c>
      <c r="AV46" s="150">
        <f>IFERROR(INDEX(ABR!$AW$8:$AW$73,MATCH($A46,ABR!$A$8:$A$73,0)),"")</f>
        <v/>
      </c>
      <c r="AW46" s="150">
        <f>IFERROR(INDEX(MAI!$AW$8:$AW$73,MATCH($A46,MAI!$A$8:$A$73,0)),"")</f>
        <v/>
      </c>
      <c r="AX46" s="150">
        <f>IFERROR(INDEX(JUN!$AW$8:$AW$73,MATCH($A46,JUN!$A$8:$A$73,0)),"")</f>
        <v/>
      </c>
      <c r="AY46" s="150">
        <f>IFERROR(INDEX(JUL!$AW$8:$AW$73,MATCH($A46,JUL!$A$8:$A$73,0)),"")</f>
        <v/>
      </c>
      <c r="AZ46" s="150">
        <f>IFERROR(INDEX(AGO!$AW$8:$AW$73,MATCH($A46,AGO!$A$8:$A$73,0)),"")</f>
        <v/>
      </c>
      <c r="BA46" s="150">
        <f>IFERROR(INDEX(SET!$AW$8:$AW$73,MATCH($A46,SET!$A$8:$A$73,0)),"")</f>
        <v/>
      </c>
      <c r="BB46" s="150">
        <f>IFERROR(INDEX(OUT!$AW$8:$AW$73,MATCH($A46,OUT!$A$8:$A$73,0)),"")</f>
        <v/>
      </c>
      <c r="BC46" s="150">
        <f>IFERROR(INDEX(NOV!$AW$8:$AW$73,MATCH($A46,NOV!$A$8:$A$73,0)),"")</f>
        <v/>
      </c>
      <c r="BD46" s="150">
        <f>IFERROR(INDEX(DEZ!$AW$8:$AW$73,MATCH($A46,DEZ!$A$8:$A$73,0)),"")</f>
        <v/>
      </c>
      <c r="BE46" s="151">
        <f>SUM(AS46:BD46)</f>
        <v/>
      </c>
      <c r="BF46" s="39" t="n"/>
      <c r="BG46" s="102" t="n">
        <v>11</v>
      </c>
      <c r="BH46" s="120">
        <f>SUM(AE46:AP46)</f>
        <v/>
      </c>
      <c r="BI46" s="152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3">
        <f>CADASTRO!$C43</f>
        <v/>
      </c>
      <c r="C47" s="150">
        <f>IFERROR(INDEX(JAN!$AY$8:$AY$73,MATCH($A47,JAN!$A$8:$A$73,0)),"")</f>
        <v/>
      </c>
      <c r="D47" s="150">
        <f>IFERROR(INDEX(FEV!$AY$8:$AY$73,MATCH($A47,FEV!$A$8:$A$73,0)),"")</f>
        <v/>
      </c>
      <c r="E47" s="150">
        <f>IFERROR(INDEX(MAR!$AY$8:$AY$73,MATCH($A47,MAR!$A$8:$A$73,0)),"")</f>
        <v/>
      </c>
      <c r="F47" s="150">
        <f>IFERROR(INDEX(ABR!$AY$8:$AY$73,MATCH($A47,ABR!$A$8:$A$73,0)),"")</f>
        <v/>
      </c>
      <c r="G47" s="150">
        <f>IFERROR(INDEX(MAI!$AY$8:$AY$73,MATCH($A47,MAI!$A$8:$A$73,0)),"")</f>
        <v/>
      </c>
      <c r="H47" s="150">
        <f>IFERROR(INDEX(JUN!$AY$8:$AY$73,MATCH($A47,JUN!$A$8:$A$73,0)),"")</f>
        <v/>
      </c>
      <c r="I47" s="150">
        <f>IFERROR(INDEX(JUL!$AY$8:$AY$73,MATCH($A47,JUL!$A$8:$A$73,0)),"")</f>
        <v/>
      </c>
      <c r="J47" s="150">
        <f>IFERROR(INDEX(AGO!$AY$8:$AY$73,MATCH($A47,AGO!$A$8:$A$73,0)),"")</f>
        <v/>
      </c>
      <c r="K47" s="150">
        <f>IFERROR(INDEX(SET!$AY$8:$AY$73,MATCH($A47,SET!$A$8:$A$73,0)),"")</f>
        <v/>
      </c>
      <c r="L47" s="150">
        <f>IFERROR(INDEX(OUT!$AY$8:$AY$73,MATCH($A47,OUT!$A$8:$A$73,0)),"")</f>
        <v/>
      </c>
      <c r="M47" s="150">
        <f>IFERROR(INDEX(NOV!$AY$8:$AY$73,MATCH($A47,NOV!$A$8:$A$73,0)),"")</f>
        <v/>
      </c>
      <c r="N47" s="150">
        <f>IFERROR(INDEX(DEZ!$AY$8:$AY$73,MATCH($A47,DEZ!$A$8:$A$73,0)),"")</f>
        <v/>
      </c>
      <c r="O47" s="151">
        <f>SUM(C47:N47)</f>
        <v/>
      </c>
      <c r="P47" s="39" t="n"/>
      <c r="Q47" s="150">
        <f>IFERROR(INDEX(JAN!$AU$8:$AU$73,MATCH($A47,JAN!$A$8:$A$73,0)),"")</f>
        <v/>
      </c>
      <c r="R47" s="150">
        <f>IFERROR(INDEX(FEV!$AU$8:$AU$73,MATCH($A47,FEV!$A$8:$A$73,0)),"")</f>
        <v/>
      </c>
      <c r="S47" s="150">
        <f>IFERROR(INDEX(MAR!$AU$8:$AU$73,MATCH($A47,MAR!$A$8:$A$73,0)),"")</f>
        <v/>
      </c>
      <c r="T47" s="150">
        <f>IFERROR(INDEX(ABR!$AU$8:$AU$73,MATCH($A47,ABR!$A$8:$A$73,0)),"")</f>
        <v/>
      </c>
      <c r="U47" s="150">
        <f>IFERROR(INDEX(MAI!$AU$8:$AU$73,MATCH($A47,MAI!$A$8:$A$73,0)),"")</f>
        <v/>
      </c>
      <c r="V47" s="150">
        <f>IFERROR(INDEX(JUN!$AU$8:$AU$73,MATCH($A47,JUN!$A$8:$A$73,0)),"")</f>
        <v/>
      </c>
      <c r="W47" s="150">
        <f>IFERROR(INDEX(JUL!$AU$8:$AU$73,MATCH($A47,JUL!$A$8:$A$73,0)),"")</f>
        <v/>
      </c>
      <c r="X47" s="150">
        <f>IFERROR(INDEX(AGO!$AU$8:$AU$73,MATCH($A47,AGO!$A$8:$A$73,0)),"")</f>
        <v/>
      </c>
      <c r="Y47" s="150">
        <f>IFERROR(INDEX(SET!$AU$8:$AU$73,MATCH($A47,SET!$A$8:$A$73,0)),"")</f>
        <v/>
      </c>
      <c r="Z47" s="150">
        <f>IFERROR(INDEX(OUT!$AU$8:$AU$73,MATCH($A47,OUT!$A$8:$A$73,0)),"")</f>
        <v/>
      </c>
      <c r="AA47" s="150">
        <f>IFERROR(INDEX(NOV!$AU$8:$AU$73,MATCH($A47,NOV!$A$8:$A$73,0)),"")</f>
        <v/>
      </c>
      <c r="AB47" s="150">
        <f>IFERROR(INDEX(DEZ!$AU$8:$AU$73,MATCH($A47,DEZ!$A$8:$A$73,0)),"")</f>
        <v/>
      </c>
      <c r="AC47" s="151">
        <f>SUM(Q47:AB47)</f>
        <v/>
      </c>
      <c r="AD47" s="39" t="n"/>
      <c r="AE47" s="150">
        <f>IFERROR(INDEX(JAN!$AV$8:$AV$73,MATCH($A47,JAN!$A$8:$A$73,0)),"")</f>
        <v/>
      </c>
      <c r="AF47" s="150">
        <f>IFERROR(INDEX(FEV!$AV$8:$AV$73,MATCH($A47,FEV!$A$8:$A$73,0)),"")</f>
        <v/>
      </c>
      <c r="AG47" s="150">
        <f>IFERROR(INDEX(MAR!$AV$8:$AV$73,MATCH($A47,MAR!$A$8:$A$73,0)),"")</f>
        <v/>
      </c>
      <c r="AH47" s="150">
        <f>IFERROR(INDEX(ABR!$AV$8:$AV$73,MATCH($A47,ABR!$A$8:$A$73,0)),"")</f>
        <v/>
      </c>
      <c r="AI47" s="150">
        <f>IFERROR(INDEX(MAI!$AV$8:$AV$73,MATCH($A47,MAI!$A$8:$A$73,0)),"")</f>
        <v/>
      </c>
      <c r="AJ47" s="150">
        <f>IFERROR(INDEX(JUN!$AV$8:$AV$73,MATCH($A47,JUN!$A$8:$A$73,0)),"")</f>
        <v/>
      </c>
      <c r="AK47" s="150">
        <f>IFERROR(INDEX(JUL!$AV$8:$AV$73,MATCH($A47,JUL!$A$8:$A$73,0)),"")</f>
        <v/>
      </c>
      <c r="AL47" s="150">
        <f>IFERROR(INDEX(AGO!$AV$8:$AV$73,MATCH($A47,AGO!$A$8:$A$73,0)),"")</f>
        <v/>
      </c>
      <c r="AM47" s="150">
        <f>IFERROR(INDEX(SET!$AV$8:$AV$73,MATCH($A47,SET!$A$8:$A$73,0)),"")</f>
        <v/>
      </c>
      <c r="AN47" s="150">
        <f>IFERROR(INDEX(OUT!$AV$8:$AV$73,MATCH($A47,OUT!$A$8:$A$73,0)),"")</f>
        <v/>
      </c>
      <c r="AO47" s="150">
        <f>IFERROR(INDEX(NOV!$AV$8:$AV$73,MATCH($A47,NOV!$A$8:$A$73,0)),"")</f>
        <v/>
      </c>
      <c r="AP47" s="150">
        <f>IFERROR(INDEX(DEZ!$AV$8:$AV$73,MATCH($A47,DEZ!$A$8:$A$73,0)),"")</f>
        <v/>
      </c>
      <c r="AQ47" s="151">
        <f>SUM(AE47:AP47)</f>
        <v/>
      </c>
      <c r="AR47" s="39" t="n"/>
      <c r="AS47" s="150">
        <f>IFERROR(INDEX(JAN!$AW$8:$AW$73,MATCH($A47,JAN!$A$8:$A$73,0)),"")</f>
        <v/>
      </c>
      <c r="AT47" s="150">
        <f>IFERROR(INDEX(FEV!$AW$8:$AW$73,MATCH($A47,FEV!$A$8:$A$73,0)),"")</f>
        <v/>
      </c>
      <c r="AU47" s="150">
        <f>IFERROR(INDEX(MAR!$AW$8:$AW$73,MATCH($A47,MAR!$A$8:$A$73,0)),"")</f>
        <v/>
      </c>
      <c r="AV47" s="150">
        <f>IFERROR(INDEX(ABR!$AW$8:$AW$73,MATCH($A47,ABR!$A$8:$A$73,0)),"")</f>
        <v/>
      </c>
      <c r="AW47" s="150">
        <f>IFERROR(INDEX(MAI!$AW$8:$AW$73,MATCH($A47,MAI!$A$8:$A$73,0)),"")</f>
        <v/>
      </c>
      <c r="AX47" s="150">
        <f>IFERROR(INDEX(JUN!$AW$8:$AW$73,MATCH($A47,JUN!$A$8:$A$73,0)),"")</f>
        <v/>
      </c>
      <c r="AY47" s="150">
        <f>IFERROR(INDEX(JUL!$AW$8:$AW$73,MATCH($A47,JUL!$A$8:$A$73,0)),"")</f>
        <v/>
      </c>
      <c r="AZ47" s="150">
        <f>IFERROR(INDEX(AGO!$AW$8:$AW$73,MATCH($A47,AGO!$A$8:$A$73,0)),"")</f>
        <v/>
      </c>
      <c r="BA47" s="150">
        <f>IFERROR(INDEX(SET!$AW$8:$AW$73,MATCH($A47,SET!$A$8:$A$73,0)),"")</f>
        <v/>
      </c>
      <c r="BB47" s="150">
        <f>IFERROR(INDEX(OUT!$AW$8:$AW$73,MATCH($A47,OUT!$A$8:$A$73,0)),"")</f>
        <v/>
      </c>
      <c r="BC47" s="150">
        <f>IFERROR(INDEX(NOV!$AW$8:$AW$73,MATCH($A47,NOV!$A$8:$A$73,0)),"")</f>
        <v/>
      </c>
      <c r="BD47" s="150">
        <f>IFERROR(INDEX(DEZ!$AW$8:$AW$73,MATCH($A47,DEZ!$A$8:$A$73,0)),"")</f>
        <v/>
      </c>
      <c r="BE47" s="151">
        <f>SUM(AS47:BD47)</f>
        <v/>
      </c>
      <c r="BF47" s="39" t="n"/>
      <c r="BG47" s="102" t="n">
        <v>5</v>
      </c>
      <c r="BH47" s="120">
        <f>SUM(AE47:AP47)</f>
        <v/>
      </c>
      <c r="BI47" s="152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3">
        <f>CADASTRO!$C44</f>
        <v/>
      </c>
      <c r="C48" s="150">
        <f>IFERROR(INDEX(JAN!$AY$8:$AY$73,MATCH($A48,JAN!$A$8:$A$73,0)),"")</f>
        <v/>
      </c>
      <c r="D48" s="150">
        <f>IFERROR(INDEX(FEV!$AY$8:$AY$73,MATCH($A48,FEV!$A$8:$A$73,0)),"")</f>
        <v/>
      </c>
      <c r="E48" s="150">
        <f>IFERROR(INDEX(MAR!$AY$8:$AY$73,MATCH($A48,MAR!$A$8:$A$73,0)),"")</f>
        <v/>
      </c>
      <c r="F48" s="150">
        <f>IFERROR(INDEX(ABR!$AY$8:$AY$73,MATCH($A48,ABR!$A$8:$A$73,0)),"")</f>
        <v/>
      </c>
      <c r="G48" s="150">
        <f>IFERROR(INDEX(MAI!$AY$8:$AY$73,MATCH($A48,MAI!$A$8:$A$73,0)),"")</f>
        <v/>
      </c>
      <c r="H48" s="150">
        <f>IFERROR(INDEX(JUN!$AY$8:$AY$73,MATCH($A48,JUN!$A$8:$A$73,0)),"")</f>
        <v/>
      </c>
      <c r="I48" s="150">
        <f>IFERROR(INDEX(JUL!$AY$8:$AY$73,MATCH($A48,JUL!$A$8:$A$73,0)),"")</f>
        <v/>
      </c>
      <c r="J48" s="150">
        <f>IFERROR(INDEX(AGO!$AY$8:$AY$73,MATCH($A48,AGO!$A$8:$A$73,0)),"")</f>
        <v/>
      </c>
      <c r="K48" s="150">
        <f>IFERROR(INDEX(SET!$AY$8:$AY$73,MATCH($A48,SET!$A$8:$A$73,0)),"")</f>
        <v/>
      </c>
      <c r="L48" s="150">
        <f>IFERROR(INDEX(OUT!$AY$8:$AY$73,MATCH($A48,OUT!$A$8:$A$73,0)),"")</f>
        <v/>
      </c>
      <c r="M48" s="150">
        <f>IFERROR(INDEX(NOV!$AY$8:$AY$73,MATCH($A48,NOV!$A$8:$A$73,0)),"")</f>
        <v/>
      </c>
      <c r="N48" s="150">
        <f>IFERROR(INDEX(DEZ!$AY$8:$AY$73,MATCH($A48,DEZ!$A$8:$A$73,0)),"")</f>
        <v/>
      </c>
      <c r="O48" s="151">
        <f>SUM(C48:N48)</f>
        <v/>
      </c>
      <c r="P48" s="39" t="n"/>
      <c r="Q48" s="150">
        <f>IFERROR(INDEX(JAN!$AU$8:$AU$73,MATCH($A48,JAN!$A$8:$A$73,0)),"")</f>
        <v/>
      </c>
      <c r="R48" s="150">
        <f>IFERROR(INDEX(FEV!$AU$8:$AU$73,MATCH($A48,FEV!$A$8:$A$73,0)),"")</f>
        <v/>
      </c>
      <c r="S48" s="150">
        <f>IFERROR(INDEX(MAR!$AU$8:$AU$73,MATCH($A48,MAR!$A$8:$A$73,0)),"")</f>
        <v/>
      </c>
      <c r="T48" s="150">
        <f>IFERROR(INDEX(ABR!$AU$8:$AU$73,MATCH($A48,ABR!$A$8:$A$73,0)),"")</f>
        <v/>
      </c>
      <c r="U48" s="150">
        <f>IFERROR(INDEX(MAI!$AU$8:$AU$73,MATCH($A48,MAI!$A$8:$A$73,0)),"")</f>
        <v/>
      </c>
      <c r="V48" s="150">
        <f>IFERROR(INDEX(JUN!$AU$8:$AU$73,MATCH($A48,JUN!$A$8:$A$73,0)),"")</f>
        <v/>
      </c>
      <c r="W48" s="150">
        <f>IFERROR(INDEX(JUL!$AU$8:$AU$73,MATCH($A48,JUL!$A$8:$A$73,0)),"")</f>
        <v/>
      </c>
      <c r="X48" s="150">
        <f>IFERROR(INDEX(AGO!$AU$8:$AU$73,MATCH($A48,AGO!$A$8:$A$73,0)),"")</f>
        <v/>
      </c>
      <c r="Y48" s="150">
        <f>IFERROR(INDEX(SET!$AU$8:$AU$73,MATCH($A48,SET!$A$8:$A$73,0)),"")</f>
        <v/>
      </c>
      <c r="Z48" s="150">
        <f>IFERROR(INDEX(OUT!$AU$8:$AU$73,MATCH($A48,OUT!$A$8:$A$73,0)),"")</f>
        <v/>
      </c>
      <c r="AA48" s="150">
        <f>IFERROR(INDEX(NOV!$AU$8:$AU$73,MATCH($A48,NOV!$A$8:$A$73,0)),"")</f>
        <v/>
      </c>
      <c r="AB48" s="150">
        <f>IFERROR(INDEX(DEZ!$AU$8:$AU$73,MATCH($A48,DEZ!$A$8:$A$73,0)),"")</f>
        <v/>
      </c>
      <c r="AC48" s="151">
        <f>SUM(Q48:AB48)</f>
        <v/>
      </c>
      <c r="AD48" s="39" t="n"/>
      <c r="AE48" s="150">
        <f>IFERROR(INDEX(JAN!$AV$8:$AV$73,MATCH($A48,JAN!$A$8:$A$73,0)),"")</f>
        <v/>
      </c>
      <c r="AF48" s="150">
        <f>IFERROR(INDEX(FEV!$AV$8:$AV$73,MATCH($A48,FEV!$A$8:$A$73,0)),"")</f>
        <v/>
      </c>
      <c r="AG48" s="150">
        <f>IFERROR(INDEX(MAR!$AV$8:$AV$73,MATCH($A48,MAR!$A$8:$A$73,0)),"")</f>
        <v/>
      </c>
      <c r="AH48" s="150">
        <f>IFERROR(INDEX(ABR!$AV$8:$AV$73,MATCH($A48,ABR!$A$8:$A$73,0)),"")</f>
        <v/>
      </c>
      <c r="AI48" s="150">
        <f>IFERROR(INDEX(MAI!$AV$8:$AV$73,MATCH($A48,MAI!$A$8:$A$73,0)),"")</f>
        <v/>
      </c>
      <c r="AJ48" s="150">
        <f>IFERROR(INDEX(JUN!$AV$8:$AV$73,MATCH($A48,JUN!$A$8:$A$73,0)),"")</f>
        <v/>
      </c>
      <c r="AK48" s="150">
        <f>IFERROR(INDEX(JUL!$AV$8:$AV$73,MATCH($A48,JUL!$A$8:$A$73,0)),"")</f>
        <v/>
      </c>
      <c r="AL48" s="150">
        <f>IFERROR(INDEX(AGO!$AV$8:$AV$73,MATCH($A48,AGO!$A$8:$A$73,0)),"")</f>
        <v/>
      </c>
      <c r="AM48" s="150">
        <f>IFERROR(INDEX(SET!$AV$8:$AV$73,MATCH($A48,SET!$A$8:$A$73,0)),"")</f>
        <v/>
      </c>
      <c r="AN48" s="150">
        <f>IFERROR(INDEX(OUT!$AV$8:$AV$73,MATCH($A48,OUT!$A$8:$A$73,0)),"")</f>
        <v/>
      </c>
      <c r="AO48" s="150">
        <f>IFERROR(INDEX(NOV!$AV$8:$AV$73,MATCH($A48,NOV!$A$8:$A$73,0)),"")</f>
        <v/>
      </c>
      <c r="AP48" s="150">
        <f>IFERROR(INDEX(DEZ!$AV$8:$AV$73,MATCH($A48,DEZ!$A$8:$A$73,0)),"")</f>
        <v/>
      </c>
      <c r="AQ48" s="151">
        <f>SUM(AE48:AP48)</f>
        <v/>
      </c>
      <c r="AR48" s="39" t="n"/>
      <c r="AS48" s="150">
        <f>IFERROR(INDEX(JAN!$AW$8:$AW$73,MATCH($A48,JAN!$A$8:$A$73,0)),"")</f>
        <v/>
      </c>
      <c r="AT48" s="150">
        <f>IFERROR(INDEX(FEV!$AW$8:$AW$73,MATCH($A48,FEV!$A$8:$A$73,0)),"")</f>
        <v/>
      </c>
      <c r="AU48" s="150">
        <f>IFERROR(INDEX(MAR!$AW$8:$AW$73,MATCH($A48,MAR!$A$8:$A$73,0)),"")</f>
        <v/>
      </c>
      <c r="AV48" s="150">
        <f>IFERROR(INDEX(ABR!$AW$8:$AW$73,MATCH($A48,ABR!$A$8:$A$73,0)),"")</f>
        <v/>
      </c>
      <c r="AW48" s="150">
        <f>IFERROR(INDEX(MAI!$AW$8:$AW$73,MATCH($A48,MAI!$A$8:$A$73,0)),"")</f>
        <v/>
      </c>
      <c r="AX48" s="150">
        <f>IFERROR(INDEX(JUN!$AW$8:$AW$73,MATCH($A48,JUN!$A$8:$A$73,0)),"")</f>
        <v/>
      </c>
      <c r="AY48" s="150">
        <f>IFERROR(INDEX(JUL!$AW$8:$AW$73,MATCH($A48,JUL!$A$8:$A$73,0)),"")</f>
        <v/>
      </c>
      <c r="AZ48" s="150">
        <f>IFERROR(INDEX(AGO!$AW$8:$AW$73,MATCH($A48,AGO!$A$8:$A$73,0)),"")</f>
        <v/>
      </c>
      <c r="BA48" s="150">
        <f>IFERROR(INDEX(SET!$AW$8:$AW$73,MATCH($A48,SET!$A$8:$A$73,0)),"")</f>
        <v/>
      </c>
      <c r="BB48" s="150">
        <f>IFERROR(INDEX(OUT!$AW$8:$AW$73,MATCH($A48,OUT!$A$8:$A$73,0)),"")</f>
        <v/>
      </c>
      <c r="BC48" s="150">
        <f>IFERROR(INDEX(NOV!$AW$8:$AW$73,MATCH($A48,NOV!$A$8:$A$73,0)),"")</f>
        <v/>
      </c>
      <c r="BD48" s="150">
        <f>IFERROR(INDEX(DEZ!$AW$8:$AW$73,MATCH($A48,DEZ!$A$8:$A$73,0)),"")</f>
        <v/>
      </c>
      <c r="BE48" s="151">
        <f>SUM(AS48:BD48)</f>
        <v/>
      </c>
      <c r="BF48" s="39" t="n"/>
      <c r="BG48" s="102" t="n">
        <v>1</v>
      </c>
      <c r="BH48" s="120">
        <f>SUM(AE48:AP48)</f>
        <v/>
      </c>
      <c r="BI48" s="152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3">
        <f>CADASTRO!$C45</f>
        <v/>
      </c>
      <c r="C49" s="150">
        <f>IFERROR(INDEX(JAN!$AY$8:$AY$73,MATCH($A49,JAN!$A$8:$A$73,0)),"")</f>
        <v/>
      </c>
      <c r="D49" s="150">
        <f>IFERROR(INDEX(FEV!$AY$8:$AY$73,MATCH($A49,FEV!$A$8:$A$73,0)),"")</f>
        <v/>
      </c>
      <c r="E49" s="150">
        <f>IFERROR(INDEX(MAR!$AY$8:$AY$73,MATCH($A49,MAR!$A$8:$A$73,0)),"")</f>
        <v/>
      </c>
      <c r="F49" s="150">
        <f>IFERROR(INDEX(ABR!$AY$8:$AY$73,MATCH($A49,ABR!$A$8:$A$73,0)),"")</f>
        <v/>
      </c>
      <c r="G49" s="150">
        <f>IFERROR(INDEX(MAI!$AY$8:$AY$73,MATCH($A49,MAI!$A$8:$A$73,0)),"")</f>
        <v/>
      </c>
      <c r="H49" s="150">
        <f>IFERROR(INDEX(JUN!$AY$8:$AY$73,MATCH($A49,JUN!$A$8:$A$73,0)),"")</f>
        <v/>
      </c>
      <c r="I49" s="150">
        <f>IFERROR(INDEX(JUL!$AY$8:$AY$73,MATCH($A49,JUL!$A$8:$A$73,0)),"")</f>
        <v/>
      </c>
      <c r="J49" s="150">
        <f>IFERROR(INDEX(AGO!$AY$8:$AY$73,MATCH($A49,AGO!$A$8:$A$73,0)),"")</f>
        <v/>
      </c>
      <c r="K49" s="150">
        <f>IFERROR(INDEX(SET!$AY$8:$AY$73,MATCH($A49,SET!$A$8:$A$73,0)),"")</f>
        <v/>
      </c>
      <c r="L49" s="150">
        <f>IFERROR(INDEX(OUT!$AY$8:$AY$73,MATCH($A49,OUT!$A$8:$A$73,0)),"")</f>
        <v/>
      </c>
      <c r="M49" s="150">
        <f>IFERROR(INDEX(NOV!$AY$8:$AY$73,MATCH($A49,NOV!$A$8:$A$73,0)),"")</f>
        <v/>
      </c>
      <c r="N49" s="150">
        <f>IFERROR(INDEX(DEZ!$AY$8:$AY$73,MATCH($A49,DEZ!$A$8:$A$73,0)),"")</f>
        <v/>
      </c>
      <c r="O49" s="151">
        <f>SUM(C49:N49)</f>
        <v/>
      </c>
      <c r="P49" s="39" t="n"/>
      <c r="Q49" s="150">
        <f>IFERROR(INDEX(JAN!$AU$8:$AU$73,MATCH($A49,JAN!$A$8:$A$73,0)),"")</f>
        <v/>
      </c>
      <c r="R49" s="150">
        <f>IFERROR(INDEX(FEV!$AU$8:$AU$73,MATCH($A49,FEV!$A$8:$A$73,0)),"")</f>
        <v/>
      </c>
      <c r="S49" s="150">
        <f>IFERROR(INDEX(MAR!$AU$8:$AU$73,MATCH($A49,MAR!$A$8:$A$73,0)),"")</f>
        <v/>
      </c>
      <c r="T49" s="150">
        <f>IFERROR(INDEX(ABR!$AU$8:$AU$73,MATCH($A49,ABR!$A$8:$A$73,0)),"")</f>
        <v/>
      </c>
      <c r="U49" s="150">
        <f>IFERROR(INDEX(MAI!$AU$8:$AU$73,MATCH($A49,MAI!$A$8:$A$73,0)),"")</f>
        <v/>
      </c>
      <c r="V49" s="150">
        <f>IFERROR(INDEX(JUN!$AU$8:$AU$73,MATCH($A49,JUN!$A$8:$A$73,0)),"")</f>
        <v/>
      </c>
      <c r="W49" s="150">
        <f>IFERROR(INDEX(JUL!$AU$8:$AU$73,MATCH($A49,JUL!$A$8:$A$73,0)),"")</f>
        <v/>
      </c>
      <c r="X49" s="150">
        <f>IFERROR(INDEX(AGO!$AU$8:$AU$73,MATCH($A49,AGO!$A$8:$A$73,0)),"")</f>
        <v/>
      </c>
      <c r="Y49" s="150">
        <f>IFERROR(INDEX(SET!$AU$8:$AU$73,MATCH($A49,SET!$A$8:$A$73,0)),"")</f>
        <v/>
      </c>
      <c r="Z49" s="150">
        <f>IFERROR(INDEX(OUT!$AU$8:$AU$73,MATCH($A49,OUT!$A$8:$A$73,0)),"")</f>
        <v/>
      </c>
      <c r="AA49" s="150">
        <f>IFERROR(INDEX(NOV!$AU$8:$AU$73,MATCH($A49,NOV!$A$8:$A$73,0)),"")</f>
        <v/>
      </c>
      <c r="AB49" s="150">
        <f>IFERROR(INDEX(DEZ!$AU$8:$AU$73,MATCH($A49,DEZ!$A$8:$A$73,0)),"")</f>
        <v/>
      </c>
      <c r="AC49" s="151">
        <f>SUM(Q49:AB49)</f>
        <v/>
      </c>
      <c r="AD49" s="39" t="n"/>
      <c r="AE49" s="150">
        <f>IFERROR(INDEX(JAN!$AV$8:$AV$73,MATCH($A49,JAN!$A$8:$A$73,0)),"")</f>
        <v/>
      </c>
      <c r="AF49" s="150">
        <f>IFERROR(INDEX(FEV!$AV$8:$AV$73,MATCH($A49,FEV!$A$8:$A$73,0)),"")</f>
        <v/>
      </c>
      <c r="AG49" s="150">
        <f>IFERROR(INDEX(MAR!$AV$8:$AV$73,MATCH($A49,MAR!$A$8:$A$73,0)),"")</f>
        <v/>
      </c>
      <c r="AH49" s="150">
        <f>IFERROR(INDEX(ABR!$AV$8:$AV$73,MATCH($A49,ABR!$A$8:$A$73,0)),"")</f>
        <v/>
      </c>
      <c r="AI49" s="150">
        <f>IFERROR(INDEX(MAI!$AV$8:$AV$73,MATCH($A49,MAI!$A$8:$A$73,0)),"")</f>
        <v/>
      </c>
      <c r="AJ49" s="150">
        <f>IFERROR(INDEX(JUN!$AV$8:$AV$73,MATCH($A49,JUN!$A$8:$A$73,0)),"")</f>
        <v/>
      </c>
      <c r="AK49" s="150">
        <f>IFERROR(INDEX(JUL!$AV$8:$AV$73,MATCH($A49,JUL!$A$8:$A$73,0)),"")</f>
        <v/>
      </c>
      <c r="AL49" s="150">
        <f>IFERROR(INDEX(AGO!$AV$8:$AV$73,MATCH($A49,AGO!$A$8:$A$73,0)),"")</f>
        <v/>
      </c>
      <c r="AM49" s="150">
        <f>IFERROR(INDEX(SET!$AV$8:$AV$73,MATCH($A49,SET!$A$8:$A$73,0)),"")</f>
        <v/>
      </c>
      <c r="AN49" s="150">
        <f>IFERROR(INDEX(OUT!$AV$8:$AV$73,MATCH($A49,OUT!$A$8:$A$73,0)),"")</f>
        <v/>
      </c>
      <c r="AO49" s="150">
        <f>IFERROR(INDEX(NOV!$AV$8:$AV$73,MATCH($A49,NOV!$A$8:$A$73,0)),"")</f>
        <v/>
      </c>
      <c r="AP49" s="150">
        <f>IFERROR(INDEX(DEZ!$AV$8:$AV$73,MATCH($A49,DEZ!$A$8:$A$73,0)),"")</f>
        <v/>
      </c>
      <c r="AQ49" s="151">
        <f>SUM(AE49:AP49)</f>
        <v/>
      </c>
      <c r="AR49" s="39" t="n"/>
      <c r="AS49" s="150">
        <f>IFERROR(INDEX(JAN!$AW$8:$AW$73,MATCH($A49,JAN!$A$8:$A$73,0)),"")</f>
        <v/>
      </c>
      <c r="AT49" s="150">
        <f>IFERROR(INDEX(FEV!$AW$8:$AW$73,MATCH($A49,FEV!$A$8:$A$73,0)),"")</f>
        <v/>
      </c>
      <c r="AU49" s="150">
        <f>IFERROR(INDEX(MAR!$AW$8:$AW$73,MATCH($A49,MAR!$A$8:$A$73,0)),"")</f>
        <v/>
      </c>
      <c r="AV49" s="150">
        <f>IFERROR(INDEX(ABR!$AW$8:$AW$73,MATCH($A49,ABR!$A$8:$A$73,0)),"")</f>
        <v/>
      </c>
      <c r="AW49" s="150">
        <f>IFERROR(INDEX(MAI!$AW$8:$AW$73,MATCH($A49,MAI!$A$8:$A$73,0)),"")</f>
        <v/>
      </c>
      <c r="AX49" s="150">
        <f>IFERROR(INDEX(JUN!$AW$8:$AW$73,MATCH($A49,JUN!$A$8:$A$73,0)),"")</f>
        <v/>
      </c>
      <c r="AY49" s="150">
        <f>IFERROR(INDEX(JUL!$AW$8:$AW$73,MATCH($A49,JUL!$A$8:$A$73,0)),"")</f>
        <v/>
      </c>
      <c r="AZ49" s="150">
        <f>IFERROR(INDEX(AGO!$AW$8:$AW$73,MATCH($A49,AGO!$A$8:$A$73,0)),"")</f>
        <v/>
      </c>
      <c r="BA49" s="150">
        <f>IFERROR(INDEX(SET!$AW$8:$AW$73,MATCH($A49,SET!$A$8:$A$73,0)),"")</f>
        <v/>
      </c>
      <c r="BB49" s="150">
        <f>IFERROR(INDEX(OUT!$AW$8:$AW$73,MATCH($A49,OUT!$A$8:$A$73,0)),"")</f>
        <v/>
      </c>
      <c r="BC49" s="150">
        <f>IFERROR(INDEX(NOV!$AW$8:$AW$73,MATCH($A49,NOV!$A$8:$A$73,0)),"")</f>
        <v/>
      </c>
      <c r="BD49" s="150">
        <f>IFERROR(INDEX(DEZ!$AW$8:$AW$73,MATCH($A49,DEZ!$A$8:$A$73,0)),"")</f>
        <v/>
      </c>
      <c r="BE49" s="151">
        <f>SUM(AS49:BD49)</f>
        <v/>
      </c>
      <c r="BF49" s="39" t="n"/>
      <c r="BG49" s="102" t="n">
        <v>7</v>
      </c>
      <c r="BH49" s="120">
        <f>SUM(AE49:AP49)</f>
        <v/>
      </c>
      <c r="BI49" s="152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3">
        <f>CADASTRO!$C46</f>
        <v/>
      </c>
      <c r="C50" s="150">
        <f>IFERROR(INDEX(JAN!$AY$8:$AY$73,MATCH($A50,JAN!$A$8:$A$73,0)),"")</f>
        <v/>
      </c>
      <c r="D50" s="150">
        <f>IFERROR(INDEX(FEV!$AY$8:$AY$73,MATCH($A50,FEV!$A$8:$A$73,0)),"")</f>
        <v/>
      </c>
      <c r="E50" s="150">
        <f>IFERROR(INDEX(MAR!$AY$8:$AY$73,MATCH($A50,MAR!$A$8:$A$73,0)),"")</f>
        <v/>
      </c>
      <c r="F50" s="150">
        <f>IFERROR(INDEX(ABR!$AY$8:$AY$73,MATCH($A50,ABR!$A$8:$A$73,0)),"")</f>
        <v/>
      </c>
      <c r="G50" s="150">
        <f>IFERROR(INDEX(MAI!$AY$8:$AY$73,MATCH($A50,MAI!$A$8:$A$73,0)),"")</f>
        <v/>
      </c>
      <c r="H50" s="150">
        <f>IFERROR(INDEX(JUN!$AY$8:$AY$73,MATCH($A50,JUN!$A$8:$A$73,0)),"")</f>
        <v/>
      </c>
      <c r="I50" s="150">
        <f>IFERROR(INDEX(JUL!$AY$8:$AY$73,MATCH($A50,JUL!$A$8:$A$73,0)),"")</f>
        <v/>
      </c>
      <c r="J50" s="150">
        <f>IFERROR(INDEX(AGO!$AY$8:$AY$73,MATCH($A50,AGO!$A$8:$A$73,0)),"")</f>
        <v/>
      </c>
      <c r="K50" s="150">
        <f>IFERROR(INDEX(SET!$AY$8:$AY$73,MATCH($A50,SET!$A$8:$A$73,0)),"")</f>
        <v/>
      </c>
      <c r="L50" s="150">
        <f>IFERROR(INDEX(OUT!$AY$8:$AY$73,MATCH($A50,OUT!$A$8:$A$73,0)),"")</f>
        <v/>
      </c>
      <c r="M50" s="150">
        <f>IFERROR(INDEX(NOV!$AY$8:$AY$73,MATCH($A50,NOV!$A$8:$A$73,0)),"")</f>
        <v/>
      </c>
      <c r="N50" s="150">
        <f>IFERROR(INDEX(DEZ!$AY$8:$AY$73,MATCH($A50,DEZ!$A$8:$A$73,0)),"")</f>
        <v/>
      </c>
      <c r="O50" s="151">
        <f>SUM(C50:N50)</f>
        <v/>
      </c>
      <c r="P50" s="39" t="n"/>
      <c r="Q50" s="150">
        <f>IFERROR(INDEX(JAN!$AU$8:$AU$73,MATCH($A50,JAN!$A$8:$A$73,0)),"")</f>
        <v/>
      </c>
      <c r="R50" s="150">
        <f>IFERROR(INDEX(FEV!$AU$8:$AU$73,MATCH($A50,FEV!$A$8:$A$73,0)),"")</f>
        <v/>
      </c>
      <c r="S50" s="150">
        <f>IFERROR(INDEX(MAR!$AU$8:$AU$73,MATCH($A50,MAR!$A$8:$A$73,0)),"")</f>
        <v/>
      </c>
      <c r="T50" s="150">
        <f>IFERROR(INDEX(ABR!$AU$8:$AU$73,MATCH($A50,ABR!$A$8:$A$73,0)),"")</f>
        <v/>
      </c>
      <c r="U50" s="150">
        <f>IFERROR(INDEX(MAI!$AU$8:$AU$73,MATCH($A50,MAI!$A$8:$A$73,0)),"")</f>
        <v/>
      </c>
      <c r="V50" s="150">
        <f>IFERROR(INDEX(JUN!$AU$8:$AU$73,MATCH($A50,JUN!$A$8:$A$73,0)),"")</f>
        <v/>
      </c>
      <c r="W50" s="150">
        <f>IFERROR(INDEX(JUL!$AU$8:$AU$73,MATCH($A50,JUL!$A$8:$A$73,0)),"")</f>
        <v/>
      </c>
      <c r="X50" s="150">
        <f>IFERROR(INDEX(AGO!$AU$8:$AU$73,MATCH($A50,AGO!$A$8:$A$73,0)),"")</f>
        <v/>
      </c>
      <c r="Y50" s="150">
        <f>IFERROR(INDEX(SET!$AU$8:$AU$73,MATCH($A50,SET!$A$8:$A$73,0)),"")</f>
        <v/>
      </c>
      <c r="Z50" s="150">
        <f>IFERROR(INDEX(OUT!$AU$8:$AU$73,MATCH($A50,OUT!$A$8:$A$73,0)),"")</f>
        <v/>
      </c>
      <c r="AA50" s="150">
        <f>IFERROR(INDEX(NOV!$AU$8:$AU$73,MATCH($A50,NOV!$A$8:$A$73,0)),"")</f>
        <v/>
      </c>
      <c r="AB50" s="150">
        <f>IFERROR(INDEX(DEZ!$AU$8:$AU$73,MATCH($A50,DEZ!$A$8:$A$73,0)),"")</f>
        <v/>
      </c>
      <c r="AC50" s="151">
        <f>SUM(Q50:AB50)</f>
        <v/>
      </c>
      <c r="AD50" s="39" t="n"/>
      <c r="AE50" s="150">
        <f>IFERROR(INDEX(JAN!$AV$8:$AV$73,MATCH($A50,JAN!$A$8:$A$73,0)),"")</f>
        <v/>
      </c>
      <c r="AF50" s="150">
        <f>IFERROR(INDEX(FEV!$AV$8:$AV$73,MATCH($A50,FEV!$A$8:$A$73,0)),"")</f>
        <v/>
      </c>
      <c r="AG50" s="150">
        <f>IFERROR(INDEX(MAR!$AV$8:$AV$73,MATCH($A50,MAR!$A$8:$A$73,0)),"")</f>
        <v/>
      </c>
      <c r="AH50" s="150">
        <f>IFERROR(INDEX(ABR!$AV$8:$AV$73,MATCH($A50,ABR!$A$8:$A$73,0)),"")</f>
        <v/>
      </c>
      <c r="AI50" s="150">
        <f>IFERROR(INDEX(MAI!$AV$8:$AV$73,MATCH($A50,MAI!$A$8:$A$73,0)),"")</f>
        <v/>
      </c>
      <c r="AJ50" s="150">
        <f>IFERROR(INDEX(JUN!$AV$8:$AV$73,MATCH($A50,JUN!$A$8:$A$73,0)),"")</f>
        <v/>
      </c>
      <c r="AK50" s="150">
        <f>IFERROR(INDEX(JUL!$AV$8:$AV$73,MATCH($A50,JUL!$A$8:$A$73,0)),"")</f>
        <v/>
      </c>
      <c r="AL50" s="150">
        <f>IFERROR(INDEX(AGO!$AV$8:$AV$73,MATCH($A50,AGO!$A$8:$A$73,0)),"")</f>
        <v/>
      </c>
      <c r="AM50" s="150">
        <f>IFERROR(INDEX(SET!$AV$8:$AV$73,MATCH($A50,SET!$A$8:$A$73,0)),"")</f>
        <v/>
      </c>
      <c r="AN50" s="150">
        <f>IFERROR(INDEX(OUT!$AV$8:$AV$73,MATCH($A50,OUT!$A$8:$A$73,0)),"")</f>
        <v/>
      </c>
      <c r="AO50" s="150">
        <f>IFERROR(INDEX(NOV!$AV$8:$AV$73,MATCH($A50,NOV!$A$8:$A$73,0)),"")</f>
        <v/>
      </c>
      <c r="AP50" s="150">
        <f>IFERROR(INDEX(DEZ!$AV$8:$AV$73,MATCH($A50,DEZ!$A$8:$A$73,0)),"")</f>
        <v/>
      </c>
      <c r="AQ50" s="151">
        <f>SUM(AE50:AP50)</f>
        <v/>
      </c>
      <c r="AR50" s="39" t="n"/>
      <c r="AS50" s="150">
        <f>IFERROR(INDEX(JAN!$AW$8:$AW$73,MATCH($A50,JAN!$A$8:$A$73,0)),"")</f>
        <v/>
      </c>
      <c r="AT50" s="150">
        <f>IFERROR(INDEX(FEV!$AW$8:$AW$73,MATCH($A50,FEV!$A$8:$A$73,0)),"")</f>
        <v/>
      </c>
      <c r="AU50" s="150">
        <f>IFERROR(INDEX(MAR!$AW$8:$AW$73,MATCH($A50,MAR!$A$8:$A$73,0)),"")</f>
        <v/>
      </c>
      <c r="AV50" s="150">
        <f>IFERROR(INDEX(ABR!$AW$8:$AW$73,MATCH($A50,ABR!$A$8:$A$73,0)),"")</f>
        <v/>
      </c>
      <c r="AW50" s="150">
        <f>IFERROR(INDEX(MAI!$AW$8:$AW$73,MATCH($A50,MAI!$A$8:$A$73,0)),"")</f>
        <v/>
      </c>
      <c r="AX50" s="150">
        <f>IFERROR(INDEX(JUN!$AW$8:$AW$73,MATCH($A50,JUN!$A$8:$A$73,0)),"")</f>
        <v/>
      </c>
      <c r="AY50" s="150">
        <f>IFERROR(INDEX(JUL!$AW$8:$AW$73,MATCH($A50,JUL!$A$8:$A$73,0)),"")</f>
        <v/>
      </c>
      <c r="AZ50" s="150">
        <f>IFERROR(INDEX(AGO!$AW$8:$AW$73,MATCH($A50,AGO!$A$8:$A$73,0)),"")</f>
        <v/>
      </c>
      <c r="BA50" s="150">
        <f>IFERROR(INDEX(SET!$AW$8:$AW$73,MATCH($A50,SET!$A$8:$A$73,0)),"")</f>
        <v/>
      </c>
      <c r="BB50" s="150">
        <f>IFERROR(INDEX(OUT!$AW$8:$AW$73,MATCH($A50,OUT!$A$8:$A$73,0)),"")</f>
        <v/>
      </c>
      <c r="BC50" s="150">
        <f>IFERROR(INDEX(NOV!$AW$8:$AW$73,MATCH($A50,NOV!$A$8:$A$73,0)),"")</f>
        <v/>
      </c>
      <c r="BD50" s="150">
        <f>IFERROR(INDEX(DEZ!$AW$8:$AW$73,MATCH($A50,DEZ!$A$8:$A$73,0)),"")</f>
        <v/>
      </c>
      <c r="BE50" s="151">
        <f>SUM(AS50:BD50)</f>
        <v/>
      </c>
      <c r="BF50" s="39" t="n"/>
      <c r="BG50" s="102" t="n">
        <v>7</v>
      </c>
      <c r="BH50" s="120">
        <f>SUM(AE50:AP50)</f>
        <v/>
      </c>
      <c r="BI50" s="152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3">
        <f>CADASTRO!$C47</f>
        <v/>
      </c>
      <c r="C51" s="150">
        <f>IFERROR(INDEX(JAN!$AY$8:$AY$73,MATCH($A51,JAN!$A$8:$A$73,0)),"")</f>
        <v/>
      </c>
      <c r="D51" s="150">
        <f>IFERROR(INDEX(FEV!$AY$8:$AY$73,MATCH($A51,FEV!$A$8:$A$73,0)),"")</f>
        <v/>
      </c>
      <c r="E51" s="150">
        <f>IFERROR(INDEX(MAR!$AY$8:$AY$73,MATCH($A51,MAR!$A$8:$A$73,0)),"")</f>
        <v/>
      </c>
      <c r="F51" s="150">
        <f>IFERROR(INDEX(ABR!$AY$8:$AY$73,MATCH($A51,ABR!$A$8:$A$73,0)),"")</f>
        <v/>
      </c>
      <c r="G51" s="150">
        <f>IFERROR(INDEX(MAI!$AY$8:$AY$73,MATCH($A51,MAI!$A$8:$A$73,0)),"")</f>
        <v/>
      </c>
      <c r="H51" s="150">
        <f>IFERROR(INDEX(JUN!$AY$8:$AY$73,MATCH($A51,JUN!$A$8:$A$73,0)),"")</f>
        <v/>
      </c>
      <c r="I51" s="150">
        <f>IFERROR(INDEX(JUL!$AY$8:$AY$73,MATCH($A51,JUL!$A$8:$A$73,0)),"")</f>
        <v/>
      </c>
      <c r="J51" s="150">
        <f>IFERROR(INDEX(AGO!$AY$8:$AY$73,MATCH($A51,AGO!$A$8:$A$73,0)),"")</f>
        <v/>
      </c>
      <c r="K51" s="150">
        <f>IFERROR(INDEX(SET!$AY$8:$AY$73,MATCH($A51,SET!$A$8:$A$73,0)),"")</f>
        <v/>
      </c>
      <c r="L51" s="150">
        <f>IFERROR(INDEX(OUT!$AY$8:$AY$73,MATCH($A51,OUT!$A$8:$A$73,0)),"")</f>
        <v/>
      </c>
      <c r="M51" s="150">
        <f>IFERROR(INDEX(NOV!$AY$8:$AY$73,MATCH($A51,NOV!$A$8:$A$73,0)),"")</f>
        <v/>
      </c>
      <c r="N51" s="150">
        <f>IFERROR(INDEX(DEZ!$AY$8:$AY$73,MATCH($A51,DEZ!$A$8:$A$73,0)),"")</f>
        <v/>
      </c>
      <c r="O51" s="151">
        <f>SUM(C51:N51)</f>
        <v/>
      </c>
      <c r="P51" s="39" t="n"/>
      <c r="Q51" s="150">
        <f>IFERROR(INDEX(JAN!$AU$8:$AU$73,MATCH($A51,JAN!$A$8:$A$73,0)),"")</f>
        <v/>
      </c>
      <c r="R51" s="150">
        <f>IFERROR(INDEX(FEV!$AU$8:$AU$73,MATCH($A51,FEV!$A$8:$A$73,0)),"")</f>
        <v/>
      </c>
      <c r="S51" s="150">
        <f>IFERROR(INDEX(MAR!$AU$8:$AU$73,MATCH($A51,MAR!$A$8:$A$73,0)),"")</f>
        <v/>
      </c>
      <c r="T51" s="150">
        <f>IFERROR(INDEX(ABR!$AU$8:$AU$73,MATCH($A51,ABR!$A$8:$A$73,0)),"")</f>
        <v/>
      </c>
      <c r="U51" s="150">
        <f>IFERROR(INDEX(MAI!$AU$8:$AU$73,MATCH($A51,MAI!$A$8:$A$73,0)),"")</f>
        <v/>
      </c>
      <c r="V51" s="150">
        <f>IFERROR(INDEX(JUN!$AU$8:$AU$73,MATCH($A51,JUN!$A$8:$A$73,0)),"")</f>
        <v/>
      </c>
      <c r="W51" s="150">
        <f>IFERROR(INDEX(JUL!$AU$8:$AU$73,MATCH($A51,JUL!$A$8:$A$73,0)),"")</f>
        <v/>
      </c>
      <c r="X51" s="150">
        <f>IFERROR(INDEX(AGO!$AU$8:$AU$73,MATCH($A51,AGO!$A$8:$A$73,0)),"")</f>
        <v/>
      </c>
      <c r="Y51" s="150">
        <f>IFERROR(INDEX(SET!$AU$8:$AU$73,MATCH($A51,SET!$A$8:$A$73,0)),"")</f>
        <v/>
      </c>
      <c r="Z51" s="150">
        <f>IFERROR(INDEX(OUT!$AU$8:$AU$73,MATCH($A51,OUT!$A$8:$A$73,0)),"")</f>
        <v/>
      </c>
      <c r="AA51" s="150">
        <f>IFERROR(INDEX(NOV!$AU$8:$AU$73,MATCH($A51,NOV!$A$8:$A$73,0)),"")</f>
        <v/>
      </c>
      <c r="AB51" s="150">
        <f>IFERROR(INDEX(DEZ!$AU$8:$AU$73,MATCH($A51,DEZ!$A$8:$A$73,0)),"")</f>
        <v/>
      </c>
      <c r="AC51" s="151">
        <f>SUM(Q51:AB51)</f>
        <v/>
      </c>
      <c r="AD51" s="39" t="n"/>
      <c r="AE51" s="150">
        <f>IFERROR(INDEX(JAN!$AV$8:$AV$73,MATCH($A51,JAN!$A$8:$A$73,0)),"")</f>
        <v/>
      </c>
      <c r="AF51" s="150">
        <f>IFERROR(INDEX(FEV!$AV$8:$AV$73,MATCH($A51,FEV!$A$8:$A$73,0)),"")</f>
        <v/>
      </c>
      <c r="AG51" s="150">
        <f>IFERROR(INDEX(MAR!$AV$8:$AV$73,MATCH($A51,MAR!$A$8:$A$73,0)),"")</f>
        <v/>
      </c>
      <c r="AH51" s="150">
        <f>IFERROR(INDEX(ABR!$AV$8:$AV$73,MATCH($A51,ABR!$A$8:$A$73,0)),"")</f>
        <v/>
      </c>
      <c r="AI51" s="150">
        <f>IFERROR(INDEX(MAI!$AV$8:$AV$73,MATCH($A51,MAI!$A$8:$A$73,0)),"")</f>
        <v/>
      </c>
      <c r="AJ51" s="150">
        <f>IFERROR(INDEX(JUN!$AV$8:$AV$73,MATCH($A51,JUN!$A$8:$A$73,0)),"")</f>
        <v/>
      </c>
      <c r="AK51" s="150">
        <f>IFERROR(INDEX(JUL!$AV$8:$AV$73,MATCH($A51,JUL!$A$8:$A$73,0)),"")</f>
        <v/>
      </c>
      <c r="AL51" s="150">
        <f>IFERROR(INDEX(AGO!$AV$8:$AV$73,MATCH($A51,AGO!$A$8:$A$73,0)),"")</f>
        <v/>
      </c>
      <c r="AM51" s="150">
        <f>IFERROR(INDEX(SET!$AV$8:$AV$73,MATCH($A51,SET!$A$8:$A$73,0)),"")</f>
        <v/>
      </c>
      <c r="AN51" s="150">
        <f>IFERROR(INDEX(OUT!$AV$8:$AV$73,MATCH($A51,OUT!$A$8:$A$73,0)),"")</f>
        <v/>
      </c>
      <c r="AO51" s="150">
        <f>IFERROR(INDEX(NOV!$AV$8:$AV$73,MATCH($A51,NOV!$A$8:$A$73,0)),"")</f>
        <v/>
      </c>
      <c r="AP51" s="150">
        <f>IFERROR(INDEX(DEZ!$AV$8:$AV$73,MATCH($A51,DEZ!$A$8:$A$73,0)),"")</f>
        <v/>
      </c>
      <c r="AQ51" s="151">
        <f>SUM(AE51:AP51)</f>
        <v/>
      </c>
      <c r="AR51" s="39" t="n"/>
      <c r="AS51" s="150">
        <f>IFERROR(INDEX(JAN!$AW$8:$AW$73,MATCH($A51,JAN!$A$8:$A$73,0)),"")</f>
        <v/>
      </c>
      <c r="AT51" s="150">
        <f>IFERROR(INDEX(FEV!$AW$8:$AW$73,MATCH($A51,FEV!$A$8:$A$73,0)),"")</f>
        <v/>
      </c>
      <c r="AU51" s="150">
        <f>IFERROR(INDEX(MAR!$AW$8:$AW$73,MATCH($A51,MAR!$A$8:$A$73,0)),"")</f>
        <v/>
      </c>
      <c r="AV51" s="150">
        <f>IFERROR(INDEX(ABR!$AW$8:$AW$73,MATCH($A51,ABR!$A$8:$A$73,0)),"")</f>
        <v/>
      </c>
      <c r="AW51" s="150">
        <f>IFERROR(INDEX(MAI!$AW$8:$AW$73,MATCH($A51,MAI!$A$8:$A$73,0)),"")</f>
        <v/>
      </c>
      <c r="AX51" s="150">
        <f>IFERROR(INDEX(JUN!$AW$8:$AW$73,MATCH($A51,JUN!$A$8:$A$73,0)),"")</f>
        <v/>
      </c>
      <c r="AY51" s="150">
        <f>IFERROR(INDEX(JUL!$AW$8:$AW$73,MATCH($A51,JUL!$A$8:$A$73,0)),"")</f>
        <v/>
      </c>
      <c r="AZ51" s="150">
        <f>IFERROR(INDEX(AGO!$AW$8:$AW$73,MATCH($A51,AGO!$A$8:$A$73,0)),"")</f>
        <v/>
      </c>
      <c r="BA51" s="150">
        <f>IFERROR(INDEX(SET!$AW$8:$AW$73,MATCH($A51,SET!$A$8:$A$73,0)),"")</f>
        <v/>
      </c>
      <c r="BB51" s="150">
        <f>IFERROR(INDEX(OUT!$AW$8:$AW$73,MATCH($A51,OUT!$A$8:$A$73,0)),"")</f>
        <v/>
      </c>
      <c r="BC51" s="150">
        <f>IFERROR(INDEX(NOV!$AW$8:$AW$73,MATCH($A51,NOV!$A$8:$A$73,0)),"")</f>
        <v/>
      </c>
      <c r="BD51" s="150">
        <f>IFERROR(INDEX(DEZ!$AW$8:$AW$73,MATCH($A51,DEZ!$A$8:$A$73,0)),"")</f>
        <v/>
      </c>
      <c r="BE51" s="151">
        <f>SUM(AS51:BD51)</f>
        <v/>
      </c>
      <c r="BF51" s="39" t="n"/>
      <c r="BG51" s="102" t="n">
        <v>0</v>
      </c>
      <c r="BH51" s="120">
        <f>SUM(AE51:AP51)</f>
        <v/>
      </c>
      <c r="BI51" s="152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3">
        <f>CADASTRO!$C48</f>
        <v/>
      </c>
      <c r="C52" s="150">
        <f>IFERROR(INDEX(JAN!$AY$8:$AY$73,MATCH($A52,JAN!$A$8:$A$73,0)),"")</f>
        <v/>
      </c>
      <c r="D52" s="150">
        <f>IFERROR(INDEX(FEV!$AY$8:$AY$73,MATCH($A52,FEV!$A$8:$A$73,0)),"")</f>
        <v/>
      </c>
      <c r="E52" s="150">
        <f>IFERROR(INDEX(MAR!$AY$8:$AY$73,MATCH($A52,MAR!$A$8:$A$73,0)),"")</f>
        <v/>
      </c>
      <c r="F52" s="150">
        <f>IFERROR(INDEX(ABR!$AY$8:$AY$73,MATCH($A52,ABR!$A$8:$A$73,0)),"")</f>
        <v/>
      </c>
      <c r="G52" s="150">
        <f>IFERROR(INDEX(MAI!$AY$8:$AY$73,MATCH($A52,MAI!$A$8:$A$73,0)),"")</f>
        <v/>
      </c>
      <c r="H52" s="150">
        <f>IFERROR(INDEX(JUN!$AY$8:$AY$73,MATCH($A52,JUN!$A$8:$A$73,0)),"")</f>
        <v/>
      </c>
      <c r="I52" s="150">
        <f>IFERROR(INDEX(JUL!$AY$8:$AY$73,MATCH($A52,JUL!$A$8:$A$73,0)),"")</f>
        <v/>
      </c>
      <c r="J52" s="150">
        <f>IFERROR(INDEX(AGO!$AY$8:$AY$73,MATCH($A52,AGO!$A$8:$A$73,0)),"")</f>
        <v/>
      </c>
      <c r="K52" s="150">
        <f>IFERROR(INDEX(SET!$AY$8:$AY$73,MATCH($A52,SET!$A$8:$A$73,0)),"")</f>
        <v/>
      </c>
      <c r="L52" s="150">
        <f>IFERROR(INDEX(OUT!$AY$8:$AY$73,MATCH($A52,OUT!$A$8:$A$73,0)),"")</f>
        <v/>
      </c>
      <c r="M52" s="150">
        <f>IFERROR(INDEX(NOV!$AY$8:$AY$73,MATCH($A52,NOV!$A$8:$A$73,0)),"")</f>
        <v/>
      </c>
      <c r="N52" s="150">
        <f>IFERROR(INDEX(DEZ!$AY$8:$AY$73,MATCH($A52,DEZ!$A$8:$A$73,0)),"")</f>
        <v/>
      </c>
      <c r="O52" s="151">
        <f>SUM(C52:N52)</f>
        <v/>
      </c>
      <c r="P52" s="39" t="n"/>
      <c r="Q52" s="150">
        <f>IFERROR(INDEX(JAN!$AU$8:$AU$73,MATCH($A52,JAN!$A$8:$A$73,0)),"")</f>
        <v/>
      </c>
      <c r="R52" s="150">
        <f>IFERROR(INDEX(FEV!$AU$8:$AU$73,MATCH($A52,FEV!$A$8:$A$73,0)),"")</f>
        <v/>
      </c>
      <c r="S52" s="150">
        <f>IFERROR(INDEX(MAR!$AU$8:$AU$73,MATCH($A52,MAR!$A$8:$A$73,0)),"")</f>
        <v/>
      </c>
      <c r="T52" s="150">
        <f>IFERROR(INDEX(ABR!$AU$8:$AU$73,MATCH($A52,ABR!$A$8:$A$73,0)),"")</f>
        <v/>
      </c>
      <c r="U52" s="150">
        <f>IFERROR(INDEX(MAI!$AU$8:$AU$73,MATCH($A52,MAI!$A$8:$A$73,0)),"")</f>
        <v/>
      </c>
      <c r="V52" s="150">
        <f>IFERROR(INDEX(JUN!$AU$8:$AU$73,MATCH($A52,JUN!$A$8:$A$73,0)),"")</f>
        <v/>
      </c>
      <c r="W52" s="150">
        <f>IFERROR(INDEX(JUL!$AU$8:$AU$73,MATCH($A52,JUL!$A$8:$A$73,0)),"")</f>
        <v/>
      </c>
      <c r="X52" s="150">
        <f>IFERROR(INDEX(AGO!$AU$8:$AU$73,MATCH($A52,AGO!$A$8:$A$73,0)),"")</f>
        <v/>
      </c>
      <c r="Y52" s="150">
        <f>IFERROR(INDEX(SET!$AU$8:$AU$73,MATCH($A52,SET!$A$8:$A$73,0)),"")</f>
        <v/>
      </c>
      <c r="Z52" s="150">
        <f>IFERROR(INDEX(OUT!$AU$8:$AU$73,MATCH($A52,OUT!$A$8:$A$73,0)),"")</f>
        <v/>
      </c>
      <c r="AA52" s="150">
        <f>IFERROR(INDEX(NOV!$AU$8:$AU$73,MATCH($A52,NOV!$A$8:$A$73,0)),"")</f>
        <v/>
      </c>
      <c r="AB52" s="150">
        <f>IFERROR(INDEX(DEZ!$AU$8:$AU$73,MATCH($A52,DEZ!$A$8:$A$73,0)),"")</f>
        <v/>
      </c>
      <c r="AC52" s="151">
        <f>SUM(Q52:AB52)</f>
        <v/>
      </c>
      <c r="AD52" s="39" t="n"/>
      <c r="AE52" s="150">
        <f>IFERROR(INDEX(JAN!$AV$8:$AV$73,MATCH($A52,JAN!$A$8:$A$73,0)),"")</f>
        <v/>
      </c>
      <c r="AF52" s="150">
        <f>IFERROR(INDEX(FEV!$AV$8:$AV$73,MATCH($A52,FEV!$A$8:$A$73,0)),"")</f>
        <v/>
      </c>
      <c r="AG52" s="150">
        <f>IFERROR(INDEX(MAR!$AV$8:$AV$73,MATCH($A52,MAR!$A$8:$A$73,0)),"")</f>
        <v/>
      </c>
      <c r="AH52" s="150">
        <f>IFERROR(INDEX(ABR!$AV$8:$AV$73,MATCH($A52,ABR!$A$8:$A$73,0)),"")</f>
        <v/>
      </c>
      <c r="AI52" s="150">
        <f>IFERROR(INDEX(MAI!$AV$8:$AV$73,MATCH($A52,MAI!$A$8:$A$73,0)),"")</f>
        <v/>
      </c>
      <c r="AJ52" s="150">
        <f>IFERROR(INDEX(JUN!$AV$8:$AV$73,MATCH($A52,JUN!$A$8:$A$73,0)),"")</f>
        <v/>
      </c>
      <c r="AK52" s="150">
        <f>IFERROR(INDEX(JUL!$AV$8:$AV$73,MATCH($A52,JUL!$A$8:$A$73,0)),"")</f>
        <v/>
      </c>
      <c r="AL52" s="150">
        <f>IFERROR(INDEX(AGO!$AV$8:$AV$73,MATCH($A52,AGO!$A$8:$A$73,0)),"")</f>
        <v/>
      </c>
      <c r="AM52" s="150">
        <f>IFERROR(INDEX(SET!$AV$8:$AV$73,MATCH($A52,SET!$A$8:$A$73,0)),"")</f>
        <v/>
      </c>
      <c r="AN52" s="150">
        <f>IFERROR(INDEX(OUT!$AV$8:$AV$73,MATCH($A52,OUT!$A$8:$A$73,0)),"")</f>
        <v/>
      </c>
      <c r="AO52" s="150">
        <f>IFERROR(INDEX(NOV!$AV$8:$AV$73,MATCH($A52,NOV!$A$8:$A$73,0)),"")</f>
        <v/>
      </c>
      <c r="AP52" s="150">
        <f>IFERROR(INDEX(DEZ!$AV$8:$AV$73,MATCH($A52,DEZ!$A$8:$A$73,0)),"")</f>
        <v/>
      </c>
      <c r="AQ52" s="151">
        <f>SUM(AE52:AP52)</f>
        <v/>
      </c>
      <c r="AR52" s="39" t="n"/>
      <c r="AS52" s="150">
        <f>IFERROR(INDEX(JAN!$AW$8:$AW$73,MATCH($A52,JAN!$A$8:$A$73,0)),"")</f>
        <v/>
      </c>
      <c r="AT52" s="150">
        <f>IFERROR(INDEX(FEV!$AW$8:$AW$73,MATCH($A52,FEV!$A$8:$A$73,0)),"")</f>
        <v/>
      </c>
      <c r="AU52" s="150">
        <f>IFERROR(INDEX(MAR!$AW$8:$AW$73,MATCH($A52,MAR!$A$8:$A$73,0)),"")</f>
        <v/>
      </c>
      <c r="AV52" s="150">
        <f>IFERROR(INDEX(ABR!$AW$8:$AW$73,MATCH($A52,ABR!$A$8:$A$73,0)),"")</f>
        <v/>
      </c>
      <c r="AW52" s="150">
        <f>IFERROR(INDEX(MAI!$AW$8:$AW$73,MATCH($A52,MAI!$A$8:$A$73,0)),"")</f>
        <v/>
      </c>
      <c r="AX52" s="150">
        <f>IFERROR(INDEX(JUN!$AW$8:$AW$73,MATCH($A52,JUN!$A$8:$A$73,0)),"")</f>
        <v/>
      </c>
      <c r="AY52" s="150">
        <f>IFERROR(INDEX(JUL!$AW$8:$AW$73,MATCH($A52,JUL!$A$8:$A$73,0)),"")</f>
        <v/>
      </c>
      <c r="AZ52" s="150">
        <f>IFERROR(INDEX(AGO!$AW$8:$AW$73,MATCH($A52,AGO!$A$8:$A$73,0)),"")</f>
        <v/>
      </c>
      <c r="BA52" s="150">
        <f>IFERROR(INDEX(SET!$AW$8:$AW$73,MATCH($A52,SET!$A$8:$A$73,0)),"")</f>
        <v/>
      </c>
      <c r="BB52" s="150">
        <f>IFERROR(INDEX(OUT!$AW$8:$AW$73,MATCH($A52,OUT!$A$8:$A$73,0)),"")</f>
        <v/>
      </c>
      <c r="BC52" s="150">
        <f>IFERROR(INDEX(NOV!$AW$8:$AW$73,MATCH($A52,NOV!$A$8:$A$73,0)),"")</f>
        <v/>
      </c>
      <c r="BD52" s="150">
        <f>IFERROR(INDEX(DEZ!$AW$8:$AW$73,MATCH($A52,DEZ!$A$8:$A$73,0)),"")</f>
        <v/>
      </c>
      <c r="BE52" s="151">
        <f>SUM(AS52:BD52)</f>
        <v/>
      </c>
      <c r="BF52" s="39" t="n"/>
      <c r="BG52" s="102" t="n">
        <v>8</v>
      </c>
      <c r="BH52" s="120">
        <f>SUM(AE52:AP52)</f>
        <v/>
      </c>
      <c r="BI52" s="152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3">
        <f>CADASTRO!$C49</f>
        <v/>
      </c>
      <c r="C53" s="150">
        <f>IFERROR(INDEX(JAN!$AY$8:$AY$73,MATCH($A53,JAN!$A$8:$A$73,0)),"")</f>
        <v/>
      </c>
      <c r="D53" s="150">
        <f>IFERROR(INDEX(FEV!$AY$8:$AY$73,MATCH($A53,FEV!$A$8:$A$73,0)),"")</f>
        <v/>
      </c>
      <c r="E53" s="150">
        <f>IFERROR(INDEX(MAR!$AY$8:$AY$73,MATCH($A53,MAR!$A$8:$A$73,0)),"")</f>
        <v/>
      </c>
      <c r="F53" s="150">
        <f>IFERROR(INDEX(ABR!$AY$8:$AY$73,MATCH($A53,ABR!$A$8:$A$73,0)),"")</f>
        <v/>
      </c>
      <c r="G53" s="150">
        <f>IFERROR(INDEX(MAI!$AY$8:$AY$73,MATCH($A53,MAI!$A$8:$A$73,0)),"")</f>
        <v/>
      </c>
      <c r="H53" s="150">
        <f>IFERROR(INDEX(JUN!$AY$8:$AY$73,MATCH($A53,JUN!$A$8:$A$73,0)),"")</f>
        <v/>
      </c>
      <c r="I53" s="150">
        <f>IFERROR(INDEX(JUL!$AY$8:$AY$73,MATCH($A53,JUL!$A$8:$A$73,0)),"")</f>
        <v/>
      </c>
      <c r="J53" s="150">
        <f>IFERROR(INDEX(AGO!$AY$8:$AY$73,MATCH($A53,AGO!$A$8:$A$73,0)),"")</f>
        <v/>
      </c>
      <c r="K53" s="150">
        <f>IFERROR(INDEX(SET!$AY$8:$AY$73,MATCH($A53,SET!$A$8:$A$73,0)),"")</f>
        <v/>
      </c>
      <c r="L53" s="150">
        <f>IFERROR(INDEX(OUT!$AY$8:$AY$73,MATCH($A53,OUT!$A$8:$A$73,0)),"")</f>
        <v/>
      </c>
      <c r="M53" s="150">
        <f>IFERROR(INDEX(NOV!$AY$8:$AY$73,MATCH($A53,NOV!$A$8:$A$73,0)),"")</f>
        <v/>
      </c>
      <c r="N53" s="150">
        <f>IFERROR(INDEX(DEZ!$AY$8:$AY$73,MATCH($A53,DEZ!$A$8:$A$73,0)),"")</f>
        <v/>
      </c>
      <c r="O53" s="151">
        <f>SUM(C53:N53)</f>
        <v/>
      </c>
      <c r="P53" s="39" t="n"/>
      <c r="Q53" s="150">
        <f>IFERROR(INDEX(JAN!$AU$8:$AU$73,MATCH($A53,JAN!$A$8:$A$73,0)),"")</f>
        <v/>
      </c>
      <c r="R53" s="150">
        <f>IFERROR(INDEX(FEV!$AU$8:$AU$73,MATCH($A53,FEV!$A$8:$A$73,0)),"")</f>
        <v/>
      </c>
      <c r="S53" s="150">
        <f>IFERROR(INDEX(MAR!$AU$8:$AU$73,MATCH($A53,MAR!$A$8:$A$73,0)),"")</f>
        <v/>
      </c>
      <c r="T53" s="150">
        <f>IFERROR(INDEX(ABR!$AU$8:$AU$73,MATCH($A53,ABR!$A$8:$A$73,0)),"")</f>
        <v/>
      </c>
      <c r="U53" s="150">
        <f>IFERROR(INDEX(MAI!$AU$8:$AU$73,MATCH($A53,MAI!$A$8:$A$73,0)),"")</f>
        <v/>
      </c>
      <c r="V53" s="150">
        <f>IFERROR(INDEX(JUN!$AU$8:$AU$73,MATCH($A53,JUN!$A$8:$A$73,0)),"")</f>
        <v/>
      </c>
      <c r="W53" s="150">
        <f>IFERROR(INDEX(JUL!$AU$8:$AU$73,MATCH($A53,JUL!$A$8:$A$73,0)),"")</f>
        <v/>
      </c>
      <c r="X53" s="150">
        <f>IFERROR(INDEX(AGO!$AU$8:$AU$73,MATCH($A53,AGO!$A$8:$A$73,0)),"")</f>
        <v/>
      </c>
      <c r="Y53" s="150">
        <f>IFERROR(INDEX(SET!$AU$8:$AU$73,MATCH($A53,SET!$A$8:$A$73,0)),"")</f>
        <v/>
      </c>
      <c r="Z53" s="150">
        <f>IFERROR(INDEX(OUT!$AU$8:$AU$73,MATCH($A53,OUT!$A$8:$A$73,0)),"")</f>
        <v/>
      </c>
      <c r="AA53" s="150">
        <f>IFERROR(INDEX(NOV!$AU$8:$AU$73,MATCH($A53,NOV!$A$8:$A$73,0)),"")</f>
        <v/>
      </c>
      <c r="AB53" s="150">
        <f>IFERROR(INDEX(DEZ!$AU$8:$AU$73,MATCH($A53,DEZ!$A$8:$A$73,0)),"")</f>
        <v/>
      </c>
      <c r="AC53" s="151">
        <f>SUM(Q53:AB53)</f>
        <v/>
      </c>
      <c r="AD53" s="39" t="n"/>
      <c r="AE53" s="150">
        <f>IFERROR(INDEX(JAN!$AV$8:$AV$73,MATCH($A53,JAN!$A$8:$A$73,0)),"")</f>
        <v/>
      </c>
      <c r="AF53" s="150">
        <f>IFERROR(INDEX(FEV!$AV$8:$AV$73,MATCH($A53,FEV!$A$8:$A$73,0)),"")</f>
        <v/>
      </c>
      <c r="AG53" s="150">
        <f>IFERROR(INDEX(MAR!$AV$8:$AV$73,MATCH($A53,MAR!$A$8:$A$73,0)),"")</f>
        <v/>
      </c>
      <c r="AH53" s="150">
        <f>IFERROR(INDEX(ABR!$AV$8:$AV$73,MATCH($A53,ABR!$A$8:$A$73,0)),"")</f>
        <v/>
      </c>
      <c r="AI53" s="150">
        <f>IFERROR(INDEX(MAI!$AV$8:$AV$73,MATCH($A53,MAI!$A$8:$A$73,0)),"")</f>
        <v/>
      </c>
      <c r="AJ53" s="150">
        <f>IFERROR(INDEX(JUN!$AV$8:$AV$73,MATCH($A53,JUN!$A$8:$A$73,0)),"")</f>
        <v/>
      </c>
      <c r="AK53" s="150">
        <f>IFERROR(INDEX(JUL!$AV$8:$AV$73,MATCH($A53,JUL!$A$8:$A$73,0)),"")</f>
        <v/>
      </c>
      <c r="AL53" s="150">
        <f>IFERROR(INDEX(AGO!$AV$8:$AV$73,MATCH($A53,AGO!$A$8:$A$73,0)),"")</f>
        <v/>
      </c>
      <c r="AM53" s="150">
        <f>IFERROR(INDEX(SET!$AV$8:$AV$73,MATCH($A53,SET!$A$8:$A$73,0)),"")</f>
        <v/>
      </c>
      <c r="AN53" s="150">
        <f>IFERROR(INDEX(OUT!$AV$8:$AV$73,MATCH($A53,OUT!$A$8:$A$73,0)),"")</f>
        <v/>
      </c>
      <c r="AO53" s="150">
        <f>IFERROR(INDEX(NOV!$AV$8:$AV$73,MATCH($A53,NOV!$A$8:$A$73,0)),"")</f>
        <v/>
      </c>
      <c r="AP53" s="150">
        <f>IFERROR(INDEX(DEZ!$AV$8:$AV$73,MATCH($A53,DEZ!$A$8:$A$73,0)),"")</f>
        <v/>
      </c>
      <c r="AQ53" s="151">
        <f>SUM(AE53:AP53)</f>
        <v/>
      </c>
      <c r="AR53" s="39" t="n"/>
      <c r="AS53" s="150">
        <f>IFERROR(INDEX(JAN!$AW$8:$AW$73,MATCH($A53,JAN!$A$8:$A$73,0)),"")</f>
        <v/>
      </c>
      <c r="AT53" s="150">
        <f>IFERROR(INDEX(FEV!$AW$8:$AW$73,MATCH($A53,FEV!$A$8:$A$73,0)),"")</f>
        <v/>
      </c>
      <c r="AU53" s="150">
        <f>IFERROR(INDEX(MAR!$AW$8:$AW$73,MATCH($A53,MAR!$A$8:$A$73,0)),"")</f>
        <v/>
      </c>
      <c r="AV53" s="150">
        <f>IFERROR(INDEX(ABR!$AW$8:$AW$73,MATCH($A53,ABR!$A$8:$A$73,0)),"")</f>
        <v/>
      </c>
      <c r="AW53" s="150">
        <f>IFERROR(INDEX(MAI!$AW$8:$AW$73,MATCH($A53,MAI!$A$8:$A$73,0)),"")</f>
        <v/>
      </c>
      <c r="AX53" s="150">
        <f>IFERROR(INDEX(JUN!$AW$8:$AW$73,MATCH($A53,JUN!$A$8:$A$73,0)),"")</f>
        <v/>
      </c>
      <c r="AY53" s="150">
        <f>IFERROR(INDEX(JUL!$AW$8:$AW$73,MATCH($A53,JUL!$A$8:$A$73,0)),"")</f>
        <v/>
      </c>
      <c r="AZ53" s="150">
        <f>IFERROR(INDEX(AGO!$AW$8:$AW$73,MATCH($A53,AGO!$A$8:$A$73,0)),"")</f>
        <v/>
      </c>
      <c r="BA53" s="150">
        <f>IFERROR(INDEX(SET!$AW$8:$AW$73,MATCH($A53,SET!$A$8:$A$73,0)),"")</f>
        <v/>
      </c>
      <c r="BB53" s="150">
        <f>IFERROR(INDEX(OUT!$AW$8:$AW$73,MATCH($A53,OUT!$A$8:$A$73,0)),"")</f>
        <v/>
      </c>
      <c r="BC53" s="150">
        <f>IFERROR(INDEX(NOV!$AW$8:$AW$73,MATCH($A53,NOV!$A$8:$A$73,0)),"")</f>
        <v/>
      </c>
      <c r="BD53" s="150">
        <f>IFERROR(INDEX(DEZ!$AW$8:$AW$73,MATCH($A53,DEZ!$A$8:$A$73,0)),"")</f>
        <v/>
      </c>
      <c r="BE53" s="151">
        <f>SUM(AS53:BD53)</f>
        <v/>
      </c>
      <c r="BF53" s="39" t="n"/>
      <c r="BG53" s="102" t="n">
        <v>4</v>
      </c>
      <c r="BH53" s="120">
        <f>SUM(AE53:AP53)</f>
        <v/>
      </c>
      <c r="BI53" s="152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3">
        <f>CADASTRO!$C50</f>
        <v/>
      </c>
      <c r="C54" s="150">
        <f>IFERROR(INDEX(JAN!$AY$8:$AY$73,MATCH($A54,JAN!$A$8:$A$73,0)),"")</f>
        <v/>
      </c>
      <c r="D54" s="150">
        <f>IFERROR(INDEX(FEV!$AY$8:$AY$73,MATCH($A54,FEV!$A$8:$A$73,0)),"")</f>
        <v/>
      </c>
      <c r="E54" s="150">
        <f>IFERROR(INDEX(MAR!$AY$8:$AY$73,MATCH($A54,MAR!$A$8:$A$73,0)),"")</f>
        <v/>
      </c>
      <c r="F54" s="150">
        <f>IFERROR(INDEX(ABR!$AY$8:$AY$73,MATCH($A54,ABR!$A$8:$A$73,0)),"")</f>
        <v/>
      </c>
      <c r="G54" s="150">
        <f>IFERROR(INDEX(MAI!$AY$8:$AY$73,MATCH($A54,MAI!$A$8:$A$73,0)),"")</f>
        <v/>
      </c>
      <c r="H54" s="150">
        <f>IFERROR(INDEX(JUN!$AY$8:$AY$73,MATCH($A54,JUN!$A$8:$A$73,0)),"")</f>
        <v/>
      </c>
      <c r="I54" s="150">
        <f>IFERROR(INDEX(JUL!$AY$8:$AY$73,MATCH($A54,JUL!$A$8:$A$73,0)),"")</f>
        <v/>
      </c>
      <c r="J54" s="150">
        <f>IFERROR(INDEX(AGO!$AY$8:$AY$73,MATCH($A54,AGO!$A$8:$A$73,0)),"")</f>
        <v/>
      </c>
      <c r="K54" s="150">
        <f>IFERROR(INDEX(SET!$AY$8:$AY$73,MATCH($A54,SET!$A$8:$A$73,0)),"")</f>
        <v/>
      </c>
      <c r="L54" s="150">
        <f>IFERROR(INDEX(OUT!$AY$8:$AY$73,MATCH($A54,OUT!$A$8:$A$73,0)),"")</f>
        <v/>
      </c>
      <c r="M54" s="150">
        <f>IFERROR(INDEX(NOV!$AY$8:$AY$73,MATCH($A54,NOV!$A$8:$A$73,0)),"")</f>
        <v/>
      </c>
      <c r="N54" s="150">
        <f>IFERROR(INDEX(DEZ!$AY$8:$AY$73,MATCH($A54,DEZ!$A$8:$A$73,0)),"")</f>
        <v/>
      </c>
      <c r="O54" s="151">
        <f>SUM(C54:N54)</f>
        <v/>
      </c>
      <c r="P54" s="39" t="n"/>
      <c r="Q54" s="150">
        <f>IFERROR(INDEX(JAN!$AU$8:$AU$73,MATCH($A54,JAN!$A$8:$A$73,0)),"")</f>
        <v/>
      </c>
      <c r="R54" s="150">
        <f>IFERROR(INDEX(FEV!$AU$8:$AU$73,MATCH($A54,FEV!$A$8:$A$73,0)),"")</f>
        <v/>
      </c>
      <c r="S54" s="150">
        <f>IFERROR(INDEX(MAR!$AU$8:$AU$73,MATCH($A54,MAR!$A$8:$A$73,0)),"")</f>
        <v/>
      </c>
      <c r="T54" s="150">
        <f>IFERROR(INDEX(ABR!$AU$8:$AU$73,MATCH($A54,ABR!$A$8:$A$73,0)),"")</f>
        <v/>
      </c>
      <c r="U54" s="150">
        <f>IFERROR(INDEX(MAI!$AU$8:$AU$73,MATCH($A54,MAI!$A$8:$A$73,0)),"")</f>
        <v/>
      </c>
      <c r="V54" s="150">
        <f>IFERROR(INDEX(JUN!$AU$8:$AU$73,MATCH($A54,JUN!$A$8:$A$73,0)),"")</f>
        <v/>
      </c>
      <c r="W54" s="150">
        <f>IFERROR(INDEX(JUL!$AU$8:$AU$73,MATCH($A54,JUL!$A$8:$A$73,0)),"")</f>
        <v/>
      </c>
      <c r="X54" s="150">
        <f>IFERROR(INDEX(AGO!$AU$8:$AU$73,MATCH($A54,AGO!$A$8:$A$73,0)),"")</f>
        <v/>
      </c>
      <c r="Y54" s="150">
        <f>IFERROR(INDEX(SET!$AU$8:$AU$73,MATCH($A54,SET!$A$8:$A$73,0)),"")</f>
        <v/>
      </c>
      <c r="Z54" s="150">
        <f>IFERROR(INDEX(OUT!$AU$8:$AU$73,MATCH($A54,OUT!$A$8:$A$73,0)),"")</f>
        <v/>
      </c>
      <c r="AA54" s="150">
        <f>IFERROR(INDEX(NOV!$AU$8:$AU$73,MATCH($A54,NOV!$A$8:$A$73,0)),"")</f>
        <v/>
      </c>
      <c r="AB54" s="150">
        <f>IFERROR(INDEX(DEZ!$AU$8:$AU$73,MATCH($A54,DEZ!$A$8:$A$73,0)),"")</f>
        <v/>
      </c>
      <c r="AC54" s="151">
        <f>SUM(Q54:AB54)</f>
        <v/>
      </c>
      <c r="AD54" s="39" t="n"/>
      <c r="AE54" s="150">
        <f>IFERROR(INDEX(JAN!$AV$8:$AV$73,MATCH($A54,JAN!$A$8:$A$73,0)),"")</f>
        <v/>
      </c>
      <c r="AF54" s="150">
        <f>IFERROR(INDEX(FEV!$AV$8:$AV$73,MATCH($A54,FEV!$A$8:$A$73,0)),"")</f>
        <v/>
      </c>
      <c r="AG54" s="150">
        <f>IFERROR(INDEX(MAR!$AV$8:$AV$73,MATCH($A54,MAR!$A$8:$A$73,0)),"")</f>
        <v/>
      </c>
      <c r="AH54" s="150">
        <f>IFERROR(INDEX(ABR!$AV$8:$AV$73,MATCH($A54,ABR!$A$8:$A$73,0)),"")</f>
        <v/>
      </c>
      <c r="AI54" s="150">
        <f>IFERROR(INDEX(MAI!$AV$8:$AV$73,MATCH($A54,MAI!$A$8:$A$73,0)),"")</f>
        <v/>
      </c>
      <c r="AJ54" s="150">
        <f>IFERROR(INDEX(JUN!$AV$8:$AV$73,MATCH($A54,JUN!$A$8:$A$73,0)),"")</f>
        <v/>
      </c>
      <c r="AK54" s="150">
        <f>IFERROR(INDEX(JUL!$AV$8:$AV$73,MATCH($A54,JUL!$A$8:$A$73,0)),"")</f>
        <v/>
      </c>
      <c r="AL54" s="150">
        <f>IFERROR(INDEX(AGO!$AV$8:$AV$73,MATCH($A54,AGO!$A$8:$A$73,0)),"")</f>
        <v/>
      </c>
      <c r="AM54" s="150">
        <f>IFERROR(INDEX(SET!$AV$8:$AV$73,MATCH($A54,SET!$A$8:$A$73,0)),"")</f>
        <v/>
      </c>
      <c r="AN54" s="150">
        <f>IFERROR(INDEX(OUT!$AV$8:$AV$73,MATCH($A54,OUT!$A$8:$A$73,0)),"")</f>
        <v/>
      </c>
      <c r="AO54" s="150">
        <f>IFERROR(INDEX(NOV!$AV$8:$AV$73,MATCH($A54,NOV!$A$8:$A$73,0)),"")</f>
        <v/>
      </c>
      <c r="AP54" s="150">
        <f>IFERROR(INDEX(DEZ!$AV$8:$AV$73,MATCH($A54,DEZ!$A$8:$A$73,0)),"")</f>
        <v/>
      </c>
      <c r="AQ54" s="151">
        <f>SUM(AE54:AP54)</f>
        <v/>
      </c>
      <c r="AR54" s="39" t="n"/>
      <c r="AS54" s="150">
        <f>IFERROR(INDEX(JAN!$AW$8:$AW$73,MATCH($A54,JAN!$A$8:$A$73,0)),"")</f>
        <v/>
      </c>
      <c r="AT54" s="150">
        <f>IFERROR(INDEX(FEV!$AW$8:$AW$73,MATCH($A54,FEV!$A$8:$A$73,0)),"")</f>
        <v/>
      </c>
      <c r="AU54" s="150">
        <f>IFERROR(INDEX(MAR!$AW$8:$AW$73,MATCH($A54,MAR!$A$8:$A$73,0)),"")</f>
        <v/>
      </c>
      <c r="AV54" s="150">
        <f>IFERROR(INDEX(ABR!$AW$8:$AW$73,MATCH($A54,ABR!$A$8:$A$73,0)),"")</f>
        <v/>
      </c>
      <c r="AW54" s="150">
        <f>IFERROR(INDEX(MAI!$AW$8:$AW$73,MATCH($A54,MAI!$A$8:$A$73,0)),"")</f>
        <v/>
      </c>
      <c r="AX54" s="150">
        <f>IFERROR(INDEX(JUN!$AW$8:$AW$73,MATCH($A54,JUN!$A$8:$A$73,0)),"")</f>
        <v/>
      </c>
      <c r="AY54" s="150">
        <f>IFERROR(INDEX(JUL!$AW$8:$AW$73,MATCH($A54,JUL!$A$8:$A$73,0)),"")</f>
        <v/>
      </c>
      <c r="AZ54" s="150">
        <f>IFERROR(INDEX(AGO!$AW$8:$AW$73,MATCH($A54,AGO!$A$8:$A$73,0)),"")</f>
        <v/>
      </c>
      <c r="BA54" s="150">
        <f>IFERROR(INDEX(SET!$AW$8:$AW$73,MATCH($A54,SET!$A$8:$A$73,0)),"")</f>
        <v/>
      </c>
      <c r="BB54" s="150">
        <f>IFERROR(INDEX(OUT!$AW$8:$AW$73,MATCH($A54,OUT!$A$8:$A$73,0)),"")</f>
        <v/>
      </c>
      <c r="BC54" s="150">
        <f>IFERROR(INDEX(NOV!$AW$8:$AW$73,MATCH($A54,NOV!$A$8:$A$73,0)),"")</f>
        <v/>
      </c>
      <c r="BD54" s="150">
        <f>IFERROR(INDEX(DEZ!$AW$8:$AW$73,MATCH($A54,DEZ!$A$8:$A$73,0)),"")</f>
        <v/>
      </c>
      <c r="BE54" s="151">
        <f>SUM(AS54:BD54)</f>
        <v/>
      </c>
      <c r="BF54" s="39" t="n"/>
      <c r="BG54" s="102" t="n">
        <v>1</v>
      </c>
      <c r="BH54" s="120">
        <f>SUM(AE54:AP54)</f>
        <v/>
      </c>
      <c r="BI54" s="152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3">
        <f>CADASTRO!$C51</f>
        <v/>
      </c>
      <c r="C55" s="150">
        <f>IFERROR(INDEX(JAN!$AY$8:$AY$73,MATCH($A55,JAN!$A$8:$A$73,0)),"")</f>
        <v/>
      </c>
      <c r="D55" s="150">
        <f>IFERROR(INDEX(FEV!$AY$8:$AY$73,MATCH($A55,FEV!$A$8:$A$73,0)),"")</f>
        <v/>
      </c>
      <c r="E55" s="150">
        <f>IFERROR(INDEX(MAR!$AY$8:$AY$73,MATCH($A55,MAR!$A$8:$A$73,0)),"")</f>
        <v/>
      </c>
      <c r="F55" s="150">
        <f>IFERROR(INDEX(ABR!$AY$8:$AY$73,MATCH($A55,ABR!$A$8:$A$73,0)),"")</f>
        <v/>
      </c>
      <c r="G55" s="150">
        <f>IFERROR(INDEX(MAI!$AY$8:$AY$73,MATCH($A55,MAI!$A$8:$A$73,0)),"")</f>
        <v/>
      </c>
      <c r="H55" s="150">
        <f>IFERROR(INDEX(JUN!$AY$8:$AY$73,MATCH($A55,JUN!$A$8:$A$73,0)),"")</f>
        <v/>
      </c>
      <c r="I55" s="150">
        <f>IFERROR(INDEX(JUL!$AY$8:$AY$73,MATCH($A55,JUL!$A$8:$A$73,0)),"")</f>
        <v/>
      </c>
      <c r="J55" s="150">
        <f>IFERROR(INDEX(AGO!$AY$8:$AY$73,MATCH($A55,AGO!$A$8:$A$73,0)),"")</f>
        <v/>
      </c>
      <c r="K55" s="150">
        <f>IFERROR(INDEX(SET!$AY$8:$AY$73,MATCH($A55,SET!$A$8:$A$73,0)),"")</f>
        <v/>
      </c>
      <c r="L55" s="150">
        <f>IFERROR(INDEX(OUT!$AY$8:$AY$73,MATCH($A55,OUT!$A$8:$A$73,0)),"")</f>
        <v/>
      </c>
      <c r="M55" s="150">
        <f>IFERROR(INDEX(NOV!$AY$8:$AY$73,MATCH($A55,NOV!$A$8:$A$73,0)),"")</f>
        <v/>
      </c>
      <c r="N55" s="150">
        <f>IFERROR(INDEX(DEZ!$AY$8:$AY$73,MATCH($A55,DEZ!$A$8:$A$73,0)),"")</f>
        <v/>
      </c>
      <c r="O55" s="151">
        <f>SUM(C55:N55)</f>
        <v/>
      </c>
      <c r="P55" s="39" t="n"/>
      <c r="Q55" s="150">
        <f>IFERROR(INDEX(JAN!$AU$8:$AU$73,MATCH($A55,JAN!$A$8:$A$73,0)),"")</f>
        <v/>
      </c>
      <c r="R55" s="150">
        <f>IFERROR(INDEX(FEV!$AU$8:$AU$73,MATCH($A55,FEV!$A$8:$A$73,0)),"")</f>
        <v/>
      </c>
      <c r="S55" s="150">
        <f>IFERROR(INDEX(MAR!$AU$8:$AU$73,MATCH($A55,MAR!$A$8:$A$73,0)),"")</f>
        <v/>
      </c>
      <c r="T55" s="150">
        <f>IFERROR(INDEX(ABR!$AU$8:$AU$73,MATCH($A55,ABR!$A$8:$A$73,0)),"")</f>
        <v/>
      </c>
      <c r="U55" s="150">
        <f>IFERROR(INDEX(MAI!$AU$8:$AU$73,MATCH($A55,MAI!$A$8:$A$73,0)),"")</f>
        <v/>
      </c>
      <c r="V55" s="150">
        <f>IFERROR(INDEX(JUN!$AU$8:$AU$73,MATCH($A55,JUN!$A$8:$A$73,0)),"")</f>
        <v/>
      </c>
      <c r="W55" s="150">
        <f>IFERROR(INDEX(JUL!$AU$8:$AU$73,MATCH($A55,JUL!$A$8:$A$73,0)),"")</f>
        <v/>
      </c>
      <c r="X55" s="150">
        <f>IFERROR(INDEX(AGO!$AU$8:$AU$73,MATCH($A55,AGO!$A$8:$A$73,0)),"")</f>
        <v/>
      </c>
      <c r="Y55" s="150">
        <f>IFERROR(INDEX(SET!$AU$8:$AU$73,MATCH($A55,SET!$A$8:$A$73,0)),"")</f>
        <v/>
      </c>
      <c r="Z55" s="150">
        <f>IFERROR(INDEX(OUT!$AU$8:$AU$73,MATCH($A55,OUT!$A$8:$A$73,0)),"")</f>
        <v/>
      </c>
      <c r="AA55" s="150">
        <f>IFERROR(INDEX(NOV!$AU$8:$AU$73,MATCH($A55,NOV!$A$8:$A$73,0)),"")</f>
        <v/>
      </c>
      <c r="AB55" s="150">
        <f>IFERROR(INDEX(DEZ!$AU$8:$AU$73,MATCH($A55,DEZ!$A$8:$A$73,0)),"")</f>
        <v/>
      </c>
      <c r="AC55" s="151">
        <f>SUM(Q55:AB55)</f>
        <v/>
      </c>
      <c r="AD55" s="39" t="n"/>
      <c r="AE55" s="150">
        <f>IFERROR(INDEX(JAN!$AV$8:$AV$73,MATCH($A55,JAN!$A$8:$A$73,0)),"")</f>
        <v/>
      </c>
      <c r="AF55" s="150">
        <f>IFERROR(INDEX(FEV!$AV$8:$AV$73,MATCH($A55,FEV!$A$8:$A$73,0)),"")</f>
        <v/>
      </c>
      <c r="AG55" s="150">
        <f>IFERROR(INDEX(MAR!$AV$8:$AV$73,MATCH($A55,MAR!$A$8:$A$73,0)),"")</f>
        <v/>
      </c>
      <c r="AH55" s="150">
        <f>IFERROR(INDEX(ABR!$AV$8:$AV$73,MATCH($A55,ABR!$A$8:$A$73,0)),"")</f>
        <v/>
      </c>
      <c r="AI55" s="150">
        <f>IFERROR(INDEX(MAI!$AV$8:$AV$73,MATCH($A55,MAI!$A$8:$A$73,0)),"")</f>
        <v/>
      </c>
      <c r="AJ55" s="150">
        <f>IFERROR(INDEX(JUN!$AV$8:$AV$73,MATCH($A55,JUN!$A$8:$A$73,0)),"")</f>
        <v/>
      </c>
      <c r="AK55" s="150">
        <f>IFERROR(INDEX(JUL!$AV$8:$AV$73,MATCH($A55,JUL!$A$8:$A$73,0)),"")</f>
        <v/>
      </c>
      <c r="AL55" s="150">
        <f>IFERROR(INDEX(AGO!$AV$8:$AV$73,MATCH($A55,AGO!$A$8:$A$73,0)),"")</f>
        <v/>
      </c>
      <c r="AM55" s="150">
        <f>IFERROR(INDEX(SET!$AV$8:$AV$73,MATCH($A55,SET!$A$8:$A$73,0)),"")</f>
        <v/>
      </c>
      <c r="AN55" s="150">
        <f>IFERROR(INDEX(OUT!$AV$8:$AV$73,MATCH($A55,OUT!$A$8:$A$73,0)),"")</f>
        <v/>
      </c>
      <c r="AO55" s="150">
        <f>IFERROR(INDEX(NOV!$AV$8:$AV$73,MATCH($A55,NOV!$A$8:$A$73,0)),"")</f>
        <v/>
      </c>
      <c r="AP55" s="150">
        <f>IFERROR(INDEX(DEZ!$AV$8:$AV$73,MATCH($A55,DEZ!$A$8:$A$73,0)),"")</f>
        <v/>
      </c>
      <c r="AQ55" s="151">
        <f>SUM(AE55:AP55)</f>
        <v/>
      </c>
      <c r="AR55" s="39" t="n"/>
      <c r="AS55" s="150">
        <f>IFERROR(INDEX(JAN!$AW$8:$AW$73,MATCH($A55,JAN!$A$8:$A$73,0)),"")</f>
        <v/>
      </c>
      <c r="AT55" s="150">
        <f>IFERROR(INDEX(FEV!$AW$8:$AW$73,MATCH($A55,FEV!$A$8:$A$73,0)),"")</f>
        <v/>
      </c>
      <c r="AU55" s="150">
        <f>IFERROR(INDEX(MAR!$AW$8:$AW$73,MATCH($A55,MAR!$A$8:$A$73,0)),"")</f>
        <v/>
      </c>
      <c r="AV55" s="150">
        <f>IFERROR(INDEX(ABR!$AW$8:$AW$73,MATCH($A55,ABR!$A$8:$A$73,0)),"")</f>
        <v/>
      </c>
      <c r="AW55" s="150">
        <f>IFERROR(INDEX(MAI!$AW$8:$AW$73,MATCH($A55,MAI!$A$8:$A$73,0)),"")</f>
        <v/>
      </c>
      <c r="AX55" s="150">
        <f>IFERROR(INDEX(JUN!$AW$8:$AW$73,MATCH($A55,JUN!$A$8:$A$73,0)),"")</f>
        <v/>
      </c>
      <c r="AY55" s="150">
        <f>IFERROR(INDEX(JUL!$AW$8:$AW$73,MATCH($A55,JUL!$A$8:$A$73,0)),"")</f>
        <v/>
      </c>
      <c r="AZ55" s="150">
        <f>IFERROR(INDEX(AGO!$AW$8:$AW$73,MATCH($A55,AGO!$A$8:$A$73,0)),"")</f>
        <v/>
      </c>
      <c r="BA55" s="150">
        <f>IFERROR(INDEX(SET!$AW$8:$AW$73,MATCH($A55,SET!$A$8:$A$73,0)),"")</f>
        <v/>
      </c>
      <c r="BB55" s="150">
        <f>IFERROR(INDEX(OUT!$AW$8:$AW$73,MATCH($A55,OUT!$A$8:$A$73,0)),"")</f>
        <v/>
      </c>
      <c r="BC55" s="150">
        <f>IFERROR(INDEX(NOV!$AW$8:$AW$73,MATCH($A55,NOV!$A$8:$A$73,0)),"")</f>
        <v/>
      </c>
      <c r="BD55" s="150">
        <f>IFERROR(INDEX(DEZ!$AW$8:$AW$73,MATCH($A55,DEZ!$A$8:$A$73,0)),"")</f>
        <v/>
      </c>
      <c r="BE55" s="151">
        <f>SUM(AS55:BD55)</f>
        <v/>
      </c>
      <c r="BF55" s="39" t="n"/>
      <c r="BG55" s="102" t="n">
        <v>1</v>
      </c>
      <c r="BH55" s="120">
        <f>SUM(AE55:AP55)</f>
        <v/>
      </c>
      <c r="BI55" s="152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3">
        <f>CADASTRO!$C52</f>
        <v/>
      </c>
      <c r="C56" s="150">
        <f>IFERROR(INDEX(JAN!$AY$8:$AY$73,MATCH($A56,JAN!$A$8:$A$73,0)),"")</f>
        <v/>
      </c>
      <c r="D56" s="150">
        <f>IFERROR(INDEX(FEV!$AY$8:$AY$73,MATCH($A56,FEV!$A$8:$A$73,0)),"")</f>
        <v/>
      </c>
      <c r="E56" s="150">
        <f>IFERROR(INDEX(MAR!$AY$8:$AY$73,MATCH($A56,MAR!$A$8:$A$73,0)),"")</f>
        <v/>
      </c>
      <c r="F56" s="150">
        <f>IFERROR(INDEX(ABR!$AY$8:$AY$73,MATCH($A56,ABR!$A$8:$A$73,0)),"")</f>
        <v/>
      </c>
      <c r="G56" s="150">
        <f>IFERROR(INDEX(MAI!$AY$8:$AY$73,MATCH($A56,MAI!$A$8:$A$73,0)),"")</f>
        <v/>
      </c>
      <c r="H56" s="150">
        <f>IFERROR(INDEX(JUN!$AY$8:$AY$73,MATCH($A56,JUN!$A$8:$A$73,0)),"")</f>
        <v/>
      </c>
      <c r="I56" s="150">
        <f>IFERROR(INDEX(JUL!$AY$8:$AY$73,MATCH($A56,JUL!$A$8:$A$73,0)),"")</f>
        <v/>
      </c>
      <c r="J56" s="150">
        <f>IFERROR(INDEX(AGO!$AY$8:$AY$73,MATCH($A56,AGO!$A$8:$A$73,0)),"")</f>
        <v/>
      </c>
      <c r="K56" s="150">
        <f>IFERROR(INDEX(SET!$AY$8:$AY$73,MATCH($A56,SET!$A$8:$A$73,0)),"")</f>
        <v/>
      </c>
      <c r="L56" s="150">
        <f>IFERROR(INDEX(OUT!$AY$8:$AY$73,MATCH($A56,OUT!$A$8:$A$73,0)),"")</f>
        <v/>
      </c>
      <c r="M56" s="150">
        <f>IFERROR(INDEX(NOV!$AY$8:$AY$73,MATCH($A56,NOV!$A$8:$A$73,0)),"")</f>
        <v/>
      </c>
      <c r="N56" s="150">
        <f>IFERROR(INDEX(DEZ!$AY$8:$AY$73,MATCH($A56,DEZ!$A$8:$A$73,0)),"")</f>
        <v/>
      </c>
      <c r="O56" s="151">
        <f>SUM(C56:N56)</f>
        <v/>
      </c>
      <c r="P56" s="39" t="n"/>
      <c r="Q56" s="150">
        <f>IFERROR(INDEX(JAN!$AU$8:$AU$73,MATCH($A56,JAN!$A$8:$A$73,0)),"")</f>
        <v/>
      </c>
      <c r="R56" s="150">
        <f>IFERROR(INDEX(FEV!$AU$8:$AU$73,MATCH($A56,FEV!$A$8:$A$73,0)),"")</f>
        <v/>
      </c>
      <c r="S56" s="150">
        <f>IFERROR(INDEX(MAR!$AU$8:$AU$73,MATCH($A56,MAR!$A$8:$A$73,0)),"")</f>
        <v/>
      </c>
      <c r="T56" s="150">
        <f>IFERROR(INDEX(ABR!$AU$8:$AU$73,MATCH($A56,ABR!$A$8:$A$73,0)),"")</f>
        <v/>
      </c>
      <c r="U56" s="150">
        <f>IFERROR(INDEX(MAI!$AU$8:$AU$73,MATCH($A56,MAI!$A$8:$A$73,0)),"")</f>
        <v/>
      </c>
      <c r="V56" s="150">
        <f>IFERROR(INDEX(JUN!$AU$8:$AU$73,MATCH($A56,JUN!$A$8:$A$73,0)),"")</f>
        <v/>
      </c>
      <c r="W56" s="150">
        <f>IFERROR(INDEX(JUL!$AU$8:$AU$73,MATCH($A56,JUL!$A$8:$A$73,0)),"")</f>
        <v/>
      </c>
      <c r="X56" s="150">
        <f>IFERROR(INDEX(AGO!$AU$8:$AU$73,MATCH($A56,AGO!$A$8:$A$73,0)),"")</f>
        <v/>
      </c>
      <c r="Y56" s="150">
        <f>IFERROR(INDEX(SET!$AU$8:$AU$73,MATCH($A56,SET!$A$8:$A$73,0)),"")</f>
        <v/>
      </c>
      <c r="Z56" s="150">
        <f>IFERROR(INDEX(OUT!$AU$8:$AU$73,MATCH($A56,OUT!$A$8:$A$73,0)),"")</f>
        <v/>
      </c>
      <c r="AA56" s="150">
        <f>IFERROR(INDEX(NOV!$AU$8:$AU$73,MATCH($A56,NOV!$A$8:$A$73,0)),"")</f>
        <v/>
      </c>
      <c r="AB56" s="150">
        <f>IFERROR(INDEX(DEZ!$AU$8:$AU$73,MATCH($A56,DEZ!$A$8:$A$73,0)),"")</f>
        <v/>
      </c>
      <c r="AC56" s="151">
        <f>SUM(Q56:AB56)</f>
        <v/>
      </c>
      <c r="AD56" s="39" t="n"/>
      <c r="AE56" s="150">
        <f>IFERROR(INDEX(JAN!$AV$8:$AV$73,MATCH($A56,JAN!$A$8:$A$73,0)),"")</f>
        <v/>
      </c>
      <c r="AF56" s="150">
        <f>IFERROR(INDEX(FEV!$AV$8:$AV$73,MATCH($A56,FEV!$A$8:$A$73,0)),"")</f>
        <v/>
      </c>
      <c r="AG56" s="150">
        <f>IFERROR(INDEX(MAR!$AV$8:$AV$73,MATCH($A56,MAR!$A$8:$A$73,0)),"")</f>
        <v/>
      </c>
      <c r="AH56" s="150">
        <f>IFERROR(INDEX(ABR!$AV$8:$AV$73,MATCH($A56,ABR!$A$8:$A$73,0)),"")</f>
        <v/>
      </c>
      <c r="AI56" s="150">
        <f>IFERROR(INDEX(MAI!$AV$8:$AV$73,MATCH($A56,MAI!$A$8:$A$73,0)),"")</f>
        <v/>
      </c>
      <c r="AJ56" s="150">
        <f>IFERROR(INDEX(JUN!$AV$8:$AV$73,MATCH($A56,JUN!$A$8:$A$73,0)),"")</f>
        <v/>
      </c>
      <c r="AK56" s="150">
        <f>IFERROR(INDEX(JUL!$AV$8:$AV$73,MATCH($A56,JUL!$A$8:$A$73,0)),"")</f>
        <v/>
      </c>
      <c r="AL56" s="150">
        <f>IFERROR(INDEX(AGO!$AV$8:$AV$73,MATCH($A56,AGO!$A$8:$A$73,0)),"")</f>
        <v/>
      </c>
      <c r="AM56" s="150">
        <f>IFERROR(INDEX(SET!$AV$8:$AV$73,MATCH($A56,SET!$A$8:$A$73,0)),"")</f>
        <v/>
      </c>
      <c r="AN56" s="150">
        <f>IFERROR(INDEX(OUT!$AV$8:$AV$73,MATCH($A56,OUT!$A$8:$A$73,0)),"")</f>
        <v/>
      </c>
      <c r="AO56" s="150">
        <f>IFERROR(INDEX(NOV!$AV$8:$AV$73,MATCH($A56,NOV!$A$8:$A$73,0)),"")</f>
        <v/>
      </c>
      <c r="AP56" s="150">
        <f>IFERROR(INDEX(DEZ!$AV$8:$AV$73,MATCH($A56,DEZ!$A$8:$A$73,0)),"")</f>
        <v/>
      </c>
      <c r="AQ56" s="151">
        <f>SUM(AE56:AP56)</f>
        <v/>
      </c>
      <c r="AR56" s="39" t="n"/>
      <c r="AS56" s="150">
        <f>IFERROR(INDEX(JAN!$AW$8:$AW$73,MATCH($A56,JAN!$A$8:$A$73,0)),"")</f>
        <v/>
      </c>
      <c r="AT56" s="150">
        <f>IFERROR(INDEX(FEV!$AW$8:$AW$73,MATCH($A56,FEV!$A$8:$A$73,0)),"")</f>
        <v/>
      </c>
      <c r="AU56" s="150">
        <f>IFERROR(INDEX(MAR!$AW$8:$AW$73,MATCH($A56,MAR!$A$8:$A$73,0)),"")</f>
        <v/>
      </c>
      <c r="AV56" s="150">
        <f>IFERROR(INDEX(ABR!$AW$8:$AW$73,MATCH($A56,ABR!$A$8:$A$73,0)),"")</f>
        <v/>
      </c>
      <c r="AW56" s="150">
        <f>IFERROR(INDEX(MAI!$AW$8:$AW$73,MATCH($A56,MAI!$A$8:$A$73,0)),"")</f>
        <v/>
      </c>
      <c r="AX56" s="150">
        <f>IFERROR(INDEX(JUN!$AW$8:$AW$73,MATCH($A56,JUN!$A$8:$A$73,0)),"")</f>
        <v/>
      </c>
      <c r="AY56" s="150">
        <f>IFERROR(INDEX(JUL!$AW$8:$AW$73,MATCH($A56,JUL!$A$8:$A$73,0)),"")</f>
        <v/>
      </c>
      <c r="AZ56" s="150">
        <f>IFERROR(INDEX(AGO!$AW$8:$AW$73,MATCH($A56,AGO!$A$8:$A$73,0)),"")</f>
        <v/>
      </c>
      <c r="BA56" s="150">
        <f>IFERROR(INDEX(SET!$AW$8:$AW$73,MATCH($A56,SET!$A$8:$A$73,0)),"")</f>
        <v/>
      </c>
      <c r="BB56" s="150">
        <f>IFERROR(INDEX(OUT!$AW$8:$AW$73,MATCH($A56,OUT!$A$8:$A$73,0)),"")</f>
        <v/>
      </c>
      <c r="BC56" s="150">
        <f>IFERROR(INDEX(NOV!$AW$8:$AW$73,MATCH($A56,NOV!$A$8:$A$73,0)),"")</f>
        <v/>
      </c>
      <c r="BD56" s="150">
        <f>IFERROR(INDEX(DEZ!$AW$8:$AW$73,MATCH($A56,DEZ!$A$8:$A$73,0)),"")</f>
        <v/>
      </c>
      <c r="BE56" s="151">
        <f>SUM(AS56:BD56)</f>
        <v/>
      </c>
      <c r="BF56" s="39" t="n"/>
      <c r="BG56" s="102" t="n">
        <v>4</v>
      </c>
      <c r="BH56" s="120">
        <f>SUM(AE56:AP56)</f>
        <v/>
      </c>
      <c r="BI56" s="152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3">
        <f>CADASTRO!$C53</f>
        <v/>
      </c>
      <c r="C57" s="150">
        <f>IFERROR(INDEX(JAN!$AY$8:$AY$73,MATCH($A57,JAN!$A$8:$A$73,0)),"")</f>
        <v/>
      </c>
      <c r="D57" s="150">
        <f>IFERROR(INDEX(FEV!$AY$8:$AY$73,MATCH($A57,FEV!$A$8:$A$73,0)),"")</f>
        <v/>
      </c>
      <c r="E57" s="150">
        <f>IFERROR(INDEX(MAR!$AY$8:$AY$73,MATCH($A57,MAR!$A$8:$A$73,0)),"")</f>
        <v/>
      </c>
      <c r="F57" s="150">
        <f>IFERROR(INDEX(ABR!$AY$8:$AY$73,MATCH($A57,ABR!$A$8:$A$73,0)),"")</f>
        <v/>
      </c>
      <c r="G57" s="150">
        <f>IFERROR(INDEX(MAI!$AY$8:$AY$73,MATCH($A57,MAI!$A$8:$A$73,0)),"")</f>
        <v/>
      </c>
      <c r="H57" s="150">
        <f>IFERROR(INDEX(JUN!$AY$8:$AY$73,MATCH($A57,JUN!$A$8:$A$73,0)),"")</f>
        <v/>
      </c>
      <c r="I57" s="150">
        <f>IFERROR(INDEX(JUL!$AY$8:$AY$73,MATCH($A57,JUL!$A$8:$A$73,0)),"")</f>
        <v/>
      </c>
      <c r="J57" s="150">
        <f>IFERROR(INDEX(AGO!$AY$8:$AY$73,MATCH($A57,AGO!$A$8:$A$73,0)),"")</f>
        <v/>
      </c>
      <c r="K57" s="150">
        <f>IFERROR(INDEX(SET!$AY$8:$AY$73,MATCH($A57,SET!$A$8:$A$73,0)),"")</f>
        <v/>
      </c>
      <c r="L57" s="150">
        <f>IFERROR(INDEX(OUT!$AY$8:$AY$73,MATCH($A57,OUT!$A$8:$A$73,0)),"")</f>
        <v/>
      </c>
      <c r="M57" s="150">
        <f>IFERROR(INDEX(NOV!$AY$8:$AY$73,MATCH($A57,NOV!$A$8:$A$73,0)),"")</f>
        <v/>
      </c>
      <c r="N57" s="150">
        <f>IFERROR(INDEX(DEZ!$AY$8:$AY$73,MATCH($A57,DEZ!$A$8:$A$73,0)),"")</f>
        <v/>
      </c>
      <c r="O57" s="151">
        <f>SUM(C57:N57)</f>
        <v/>
      </c>
      <c r="P57" s="39" t="n"/>
      <c r="Q57" s="150">
        <f>IFERROR(INDEX(JAN!$AU$8:$AU$73,MATCH($A57,JAN!$A$8:$A$73,0)),"")</f>
        <v/>
      </c>
      <c r="R57" s="150">
        <f>IFERROR(INDEX(FEV!$AU$8:$AU$73,MATCH($A57,FEV!$A$8:$A$73,0)),"")</f>
        <v/>
      </c>
      <c r="S57" s="150">
        <f>IFERROR(INDEX(MAR!$AU$8:$AU$73,MATCH($A57,MAR!$A$8:$A$73,0)),"")</f>
        <v/>
      </c>
      <c r="T57" s="150">
        <f>IFERROR(INDEX(ABR!$AU$8:$AU$73,MATCH($A57,ABR!$A$8:$A$73,0)),"")</f>
        <v/>
      </c>
      <c r="U57" s="150">
        <f>IFERROR(INDEX(MAI!$AU$8:$AU$73,MATCH($A57,MAI!$A$8:$A$73,0)),"")</f>
        <v/>
      </c>
      <c r="V57" s="150">
        <f>IFERROR(INDEX(JUN!$AU$8:$AU$73,MATCH($A57,JUN!$A$8:$A$73,0)),"")</f>
        <v/>
      </c>
      <c r="W57" s="150">
        <f>IFERROR(INDEX(JUL!$AU$8:$AU$73,MATCH($A57,JUL!$A$8:$A$73,0)),"")</f>
        <v/>
      </c>
      <c r="X57" s="150">
        <f>IFERROR(INDEX(AGO!$AU$8:$AU$73,MATCH($A57,AGO!$A$8:$A$73,0)),"")</f>
        <v/>
      </c>
      <c r="Y57" s="150">
        <f>IFERROR(INDEX(SET!$AU$8:$AU$73,MATCH($A57,SET!$A$8:$A$73,0)),"")</f>
        <v/>
      </c>
      <c r="Z57" s="150">
        <f>IFERROR(INDEX(OUT!$AU$8:$AU$73,MATCH($A57,OUT!$A$8:$A$73,0)),"")</f>
        <v/>
      </c>
      <c r="AA57" s="150">
        <f>IFERROR(INDEX(NOV!$AU$8:$AU$73,MATCH($A57,NOV!$A$8:$A$73,0)),"")</f>
        <v/>
      </c>
      <c r="AB57" s="150">
        <f>IFERROR(INDEX(DEZ!$AU$8:$AU$73,MATCH($A57,DEZ!$A$8:$A$73,0)),"")</f>
        <v/>
      </c>
      <c r="AC57" s="151">
        <f>SUM(Q57:AB57)</f>
        <v/>
      </c>
      <c r="AD57" s="39" t="n"/>
      <c r="AE57" s="150">
        <f>IFERROR(INDEX(JAN!$AV$8:$AV$73,MATCH($A57,JAN!$A$8:$A$73,0)),"")</f>
        <v/>
      </c>
      <c r="AF57" s="150">
        <f>IFERROR(INDEX(FEV!$AV$8:$AV$73,MATCH($A57,FEV!$A$8:$A$73,0)),"")</f>
        <v/>
      </c>
      <c r="AG57" s="150">
        <f>IFERROR(INDEX(MAR!$AV$8:$AV$73,MATCH($A57,MAR!$A$8:$A$73,0)),"")</f>
        <v/>
      </c>
      <c r="AH57" s="150">
        <f>IFERROR(INDEX(ABR!$AV$8:$AV$73,MATCH($A57,ABR!$A$8:$A$73,0)),"")</f>
        <v/>
      </c>
      <c r="AI57" s="150">
        <f>IFERROR(INDEX(MAI!$AV$8:$AV$73,MATCH($A57,MAI!$A$8:$A$73,0)),"")</f>
        <v/>
      </c>
      <c r="AJ57" s="150">
        <f>IFERROR(INDEX(JUN!$AV$8:$AV$73,MATCH($A57,JUN!$A$8:$A$73,0)),"")</f>
        <v/>
      </c>
      <c r="AK57" s="150">
        <f>IFERROR(INDEX(JUL!$AV$8:$AV$73,MATCH($A57,JUL!$A$8:$A$73,0)),"")</f>
        <v/>
      </c>
      <c r="AL57" s="150">
        <f>IFERROR(INDEX(AGO!$AV$8:$AV$73,MATCH($A57,AGO!$A$8:$A$73,0)),"")</f>
        <v/>
      </c>
      <c r="AM57" s="150">
        <f>IFERROR(INDEX(SET!$AV$8:$AV$73,MATCH($A57,SET!$A$8:$A$73,0)),"")</f>
        <v/>
      </c>
      <c r="AN57" s="150">
        <f>IFERROR(INDEX(OUT!$AV$8:$AV$73,MATCH($A57,OUT!$A$8:$A$73,0)),"")</f>
        <v/>
      </c>
      <c r="AO57" s="150">
        <f>IFERROR(INDEX(NOV!$AV$8:$AV$73,MATCH($A57,NOV!$A$8:$A$73,0)),"")</f>
        <v/>
      </c>
      <c r="AP57" s="150">
        <f>IFERROR(INDEX(DEZ!$AV$8:$AV$73,MATCH($A57,DEZ!$A$8:$A$73,0)),"")</f>
        <v/>
      </c>
      <c r="AQ57" s="151">
        <f>SUM(AE57:AP57)</f>
        <v/>
      </c>
      <c r="AR57" s="39" t="n"/>
      <c r="AS57" s="150">
        <f>IFERROR(INDEX(JAN!$AW$8:$AW$73,MATCH($A57,JAN!$A$8:$A$73,0)),"")</f>
        <v/>
      </c>
      <c r="AT57" s="150">
        <f>IFERROR(INDEX(FEV!$AW$8:$AW$73,MATCH($A57,FEV!$A$8:$A$73,0)),"")</f>
        <v/>
      </c>
      <c r="AU57" s="150">
        <f>IFERROR(INDEX(MAR!$AW$8:$AW$73,MATCH($A57,MAR!$A$8:$A$73,0)),"")</f>
        <v/>
      </c>
      <c r="AV57" s="150">
        <f>IFERROR(INDEX(ABR!$AW$8:$AW$73,MATCH($A57,ABR!$A$8:$A$73,0)),"")</f>
        <v/>
      </c>
      <c r="AW57" s="150">
        <f>IFERROR(INDEX(MAI!$AW$8:$AW$73,MATCH($A57,MAI!$A$8:$A$73,0)),"")</f>
        <v/>
      </c>
      <c r="AX57" s="150">
        <f>IFERROR(INDEX(JUN!$AW$8:$AW$73,MATCH($A57,JUN!$A$8:$A$73,0)),"")</f>
        <v/>
      </c>
      <c r="AY57" s="150">
        <f>IFERROR(INDEX(JUL!$AW$8:$AW$73,MATCH($A57,JUL!$A$8:$A$73,0)),"")</f>
        <v/>
      </c>
      <c r="AZ57" s="150">
        <f>IFERROR(INDEX(AGO!$AW$8:$AW$73,MATCH($A57,AGO!$A$8:$A$73,0)),"")</f>
        <v/>
      </c>
      <c r="BA57" s="150">
        <f>IFERROR(INDEX(SET!$AW$8:$AW$73,MATCH($A57,SET!$A$8:$A$73,0)),"")</f>
        <v/>
      </c>
      <c r="BB57" s="150">
        <f>IFERROR(INDEX(OUT!$AW$8:$AW$73,MATCH($A57,OUT!$A$8:$A$73,0)),"")</f>
        <v/>
      </c>
      <c r="BC57" s="150">
        <f>IFERROR(INDEX(NOV!$AW$8:$AW$73,MATCH($A57,NOV!$A$8:$A$73,0)),"")</f>
        <v/>
      </c>
      <c r="BD57" s="150">
        <f>IFERROR(INDEX(DEZ!$AW$8:$AW$73,MATCH($A57,DEZ!$A$8:$A$73,0)),"")</f>
        <v/>
      </c>
      <c r="BE57" s="151">
        <f>SUM(AS57:BD57)</f>
        <v/>
      </c>
      <c r="BF57" s="39" t="n"/>
      <c r="BG57" s="102" t="n">
        <v>4</v>
      </c>
      <c r="BH57" s="120">
        <f>SUM(AE57:AP57)</f>
        <v/>
      </c>
      <c r="BI57" s="152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3">
        <f>CADASTRO!$C54</f>
        <v/>
      </c>
      <c r="C58" s="150">
        <f>IFERROR(INDEX(JAN!$AY$8:$AY$73,MATCH($A58,JAN!$A$8:$A$73,0)),"")</f>
        <v/>
      </c>
      <c r="D58" s="150">
        <f>IFERROR(INDEX(FEV!$AY$8:$AY$73,MATCH($A58,FEV!$A$8:$A$73,0)),"")</f>
        <v/>
      </c>
      <c r="E58" s="150">
        <f>IFERROR(INDEX(MAR!$AY$8:$AY$73,MATCH($A58,MAR!$A$8:$A$73,0)),"")</f>
        <v/>
      </c>
      <c r="F58" s="150">
        <f>IFERROR(INDEX(ABR!$AY$8:$AY$73,MATCH($A58,ABR!$A$8:$A$73,0)),"")</f>
        <v/>
      </c>
      <c r="G58" s="150">
        <f>IFERROR(INDEX(MAI!$AY$8:$AY$73,MATCH($A58,MAI!$A$8:$A$73,0)),"")</f>
        <v/>
      </c>
      <c r="H58" s="150">
        <f>IFERROR(INDEX(JUN!$AY$8:$AY$73,MATCH($A58,JUN!$A$8:$A$73,0)),"")</f>
        <v/>
      </c>
      <c r="I58" s="150">
        <f>IFERROR(INDEX(JUL!$AY$8:$AY$73,MATCH($A58,JUL!$A$8:$A$73,0)),"")</f>
        <v/>
      </c>
      <c r="J58" s="150">
        <f>IFERROR(INDEX(AGO!$AY$8:$AY$73,MATCH($A58,AGO!$A$8:$A$73,0)),"")</f>
        <v/>
      </c>
      <c r="K58" s="150">
        <f>IFERROR(INDEX(SET!$AY$8:$AY$73,MATCH($A58,SET!$A$8:$A$73,0)),"")</f>
        <v/>
      </c>
      <c r="L58" s="150">
        <f>IFERROR(INDEX(OUT!$AY$8:$AY$73,MATCH($A58,OUT!$A$8:$A$73,0)),"")</f>
        <v/>
      </c>
      <c r="M58" s="150">
        <f>IFERROR(INDEX(NOV!$AY$8:$AY$73,MATCH($A58,NOV!$A$8:$A$73,0)),"")</f>
        <v/>
      </c>
      <c r="N58" s="150">
        <f>IFERROR(INDEX(DEZ!$AY$8:$AY$73,MATCH($A58,DEZ!$A$8:$A$73,0)),"")</f>
        <v/>
      </c>
      <c r="O58" s="151">
        <f>SUM(C58:N58)</f>
        <v/>
      </c>
      <c r="P58" s="39" t="n"/>
      <c r="Q58" s="150">
        <f>IFERROR(INDEX(JAN!$AU$8:$AU$73,MATCH($A58,JAN!$A$8:$A$73,0)),"")</f>
        <v/>
      </c>
      <c r="R58" s="150">
        <f>IFERROR(INDEX(FEV!$AU$8:$AU$73,MATCH($A58,FEV!$A$8:$A$73,0)),"")</f>
        <v/>
      </c>
      <c r="S58" s="150">
        <f>IFERROR(INDEX(MAR!$AU$8:$AU$73,MATCH($A58,MAR!$A$8:$A$73,0)),"")</f>
        <v/>
      </c>
      <c r="T58" s="150">
        <f>IFERROR(INDEX(ABR!$AU$8:$AU$73,MATCH($A58,ABR!$A$8:$A$73,0)),"")</f>
        <v/>
      </c>
      <c r="U58" s="150">
        <f>IFERROR(INDEX(MAI!$AU$8:$AU$73,MATCH($A58,MAI!$A$8:$A$73,0)),"")</f>
        <v/>
      </c>
      <c r="V58" s="150">
        <f>IFERROR(INDEX(JUN!$AU$8:$AU$73,MATCH($A58,JUN!$A$8:$A$73,0)),"")</f>
        <v/>
      </c>
      <c r="W58" s="150">
        <f>IFERROR(INDEX(JUL!$AU$8:$AU$73,MATCH($A58,JUL!$A$8:$A$73,0)),"")</f>
        <v/>
      </c>
      <c r="X58" s="150">
        <f>IFERROR(INDEX(AGO!$AU$8:$AU$73,MATCH($A58,AGO!$A$8:$A$73,0)),"")</f>
        <v/>
      </c>
      <c r="Y58" s="150">
        <f>IFERROR(INDEX(SET!$AU$8:$AU$73,MATCH($A58,SET!$A$8:$A$73,0)),"")</f>
        <v/>
      </c>
      <c r="Z58" s="150">
        <f>IFERROR(INDEX(OUT!$AU$8:$AU$73,MATCH($A58,OUT!$A$8:$A$73,0)),"")</f>
        <v/>
      </c>
      <c r="AA58" s="150">
        <f>IFERROR(INDEX(NOV!$AU$8:$AU$73,MATCH($A58,NOV!$A$8:$A$73,0)),"")</f>
        <v/>
      </c>
      <c r="AB58" s="150">
        <f>IFERROR(INDEX(DEZ!$AU$8:$AU$73,MATCH($A58,DEZ!$A$8:$A$73,0)),"")</f>
        <v/>
      </c>
      <c r="AC58" s="151">
        <f>SUM(Q58:AB58)</f>
        <v/>
      </c>
      <c r="AD58" s="39" t="n"/>
      <c r="AE58" s="150">
        <f>IFERROR(INDEX(JAN!$AV$8:$AV$73,MATCH($A58,JAN!$A$8:$A$73,0)),"")</f>
        <v/>
      </c>
      <c r="AF58" s="150">
        <f>IFERROR(INDEX(FEV!$AV$8:$AV$73,MATCH($A58,FEV!$A$8:$A$73,0)),"")</f>
        <v/>
      </c>
      <c r="AG58" s="150">
        <f>IFERROR(INDEX(MAR!$AV$8:$AV$73,MATCH($A58,MAR!$A$8:$A$73,0)),"")</f>
        <v/>
      </c>
      <c r="AH58" s="150">
        <f>IFERROR(INDEX(ABR!$AV$8:$AV$73,MATCH($A58,ABR!$A$8:$A$73,0)),"")</f>
        <v/>
      </c>
      <c r="AI58" s="150">
        <f>IFERROR(INDEX(MAI!$AV$8:$AV$73,MATCH($A58,MAI!$A$8:$A$73,0)),"")</f>
        <v/>
      </c>
      <c r="AJ58" s="150">
        <f>IFERROR(INDEX(JUN!$AV$8:$AV$73,MATCH($A58,JUN!$A$8:$A$73,0)),"")</f>
        <v/>
      </c>
      <c r="AK58" s="150">
        <f>IFERROR(INDEX(JUL!$AV$8:$AV$73,MATCH($A58,JUL!$A$8:$A$73,0)),"")</f>
        <v/>
      </c>
      <c r="AL58" s="150">
        <f>IFERROR(INDEX(AGO!$AV$8:$AV$73,MATCH($A58,AGO!$A$8:$A$73,0)),"")</f>
        <v/>
      </c>
      <c r="AM58" s="150">
        <f>IFERROR(INDEX(SET!$AV$8:$AV$73,MATCH($A58,SET!$A$8:$A$73,0)),"")</f>
        <v/>
      </c>
      <c r="AN58" s="150">
        <f>IFERROR(INDEX(OUT!$AV$8:$AV$73,MATCH($A58,OUT!$A$8:$A$73,0)),"")</f>
        <v/>
      </c>
      <c r="AO58" s="150">
        <f>IFERROR(INDEX(NOV!$AV$8:$AV$73,MATCH($A58,NOV!$A$8:$A$73,0)),"")</f>
        <v/>
      </c>
      <c r="AP58" s="150">
        <f>IFERROR(INDEX(DEZ!$AV$8:$AV$73,MATCH($A58,DEZ!$A$8:$A$73,0)),"")</f>
        <v/>
      </c>
      <c r="AQ58" s="151">
        <f>SUM(AE58:AP58)</f>
        <v/>
      </c>
      <c r="AR58" s="39" t="n"/>
      <c r="AS58" s="150">
        <f>IFERROR(INDEX(JAN!$AW$8:$AW$73,MATCH($A58,JAN!$A$8:$A$73,0)),"")</f>
        <v/>
      </c>
      <c r="AT58" s="150">
        <f>IFERROR(INDEX(FEV!$AW$8:$AW$73,MATCH($A58,FEV!$A$8:$A$73,0)),"")</f>
        <v/>
      </c>
      <c r="AU58" s="150">
        <f>IFERROR(INDEX(MAR!$AW$8:$AW$73,MATCH($A58,MAR!$A$8:$A$73,0)),"")</f>
        <v/>
      </c>
      <c r="AV58" s="150">
        <f>IFERROR(INDEX(ABR!$AW$8:$AW$73,MATCH($A58,ABR!$A$8:$A$73,0)),"")</f>
        <v/>
      </c>
      <c r="AW58" s="150">
        <f>IFERROR(INDEX(MAI!$AW$8:$AW$73,MATCH($A58,MAI!$A$8:$A$73,0)),"")</f>
        <v/>
      </c>
      <c r="AX58" s="150">
        <f>IFERROR(INDEX(JUN!$AW$8:$AW$73,MATCH($A58,JUN!$A$8:$A$73,0)),"")</f>
        <v/>
      </c>
      <c r="AY58" s="150">
        <f>IFERROR(INDEX(JUL!$AW$8:$AW$73,MATCH($A58,JUL!$A$8:$A$73,0)),"")</f>
        <v/>
      </c>
      <c r="AZ58" s="150">
        <f>IFERROR(INDEX(AGO!$AW$8:$AW$73,MATCH($A58,AGO!$A$8:$A$73,0)),"")</f>
        <v/>
      </c>
      <c r="BA58" s="150">
        <f>IFERROR(INDEX(SET!$AW$8:$AW$73,MATCH($A58,SET!$A$8:$A$73,0)),"")</f>
        <v/>
      </c>
      <c r="BB58" s="150">
        <f>IFERROR(INDEX(OUT!$AW$8:$AW$73,MATCH($A58,OUT!$A$8:$A$73,0)),"")</f>
        <v/>
      </c>
      <c r="BC58" s="150">
        <f>IFERROR(INDEX(NOV!$AW$8:$AW$73,MATCH($A58,NOV!$A$8:$A$73,0)),"")</f>
        <v/>
      </c>
      <c r="BD58" s="150">
        <f>IFERROR(INDEX(DEZ!$AW$8:$AW$73,MATCH($A58,DEZ!$A$8:$A$73,0)),"")</f>
        <v/>
      </c>
      <c r="BE58" s="151">
        <f>SUM(AS58:BD58)</f>
        <v/>
      </c>
      <c r="BF58" s="39" t="n"/>
      <c r="BG58" s="102" t="n">
        <v>1</v>
      </c>
      <c r="BH58" s="120">
        <f>SUM(AE58:AP58)</f>
        <v/>
      </c>
      <c r="BI58" s="152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3">
        <f>CADASTRO!$C55</f>
        <v/>
      </c>
      <c r="C59" s="150">
        <f>IFERROR(INDEX(JAN!$AY$8:$AY$73,MATCH($A59,JAN!$A$8:$A$73,0)),"")</f>
        <v/>
      </c>
      <c r="D59" s="150">
        <f>IFERROR(INDEX(FEV!$AY$8:$AY$73,MATCH($A59,FEV!$A$8:$A$73,0)),"")</f>
        <v/>
      </c>
      <c r="E59" s="150">
        <f>IFERROR(INDEX(MAR!$AY$8:$AY$73,MATCH($A59,MAR!$A$8:$A$73,0)),"")</f>
        <v/>
      </c>
      <c r="F59" s="150">
        <f>IFERROR(INDEX(ABR!$AY$8:$AY$73,MATCH($A59,ABR!$A$8:$A$73,0)),"")</f>
        <v/>
      </c>
      <c r="G59" s="150">
        <f>IFERROR(INDEX(MAI!$AY$8:$AY$73,MATCH($A59,MAI!$A$8:$A$73,0)),"")</f>
        <v/>
      </c>
      <c r="H59" s="150">
        <f>IFERROR(INDEX(JUN!$AY$8:$AY$73,MATCH($A59,JUN!$A$8:$A$73,0)),"")</f>
        <v/>
      </c>
      <c r="I59" s="150">
        <f>IFERROR(INDEX(JUL!$AY$8:$AY$73,MATCH($A59,JUL!$A$8:$A$73,0)),"")</f>
        <v/>
      </c>
      <c r="J59" s="150">
        <f>IFERROR(INDEX(AGO!$AY$8:$AY$73,MATCH($A59,AGO!$A$8:$A$73,0)),"")</f>
        <v/>
      </c>
      <c r="K59" s="150">
        <f>IFERROR(INDEX(SET!$AY$8:$AY$73,MATCH($A59,SET!$A$8:$A$73,0)),"")</f>
        <v/>
      </c>
      <c r="L59" s="150">
        <f>IFERROR(INDEX(OUT!$AY$8:$AY$73,MATCH($A59,OUT!$A$8:$A$73,0)),"")</f>
        <v/>
      </c>
      <c r="M59" s="150">
        <f>IFERROR(INDEX(NOV!$AY$8:$AY$73,MATCH($A59,NOV!$A$8:$A$73,0)),"")</f>
        <v/>
      </c>
      <c r="N59" s="150">
        <f>IFERROR(INDEX(DEZ!$AY$8:$AY$73,MATCH($A59,DEZ!$A$8:$A$73,0)),"")</f>
        <v/>
      </c>
      <c r="O59" s="151">
        <f>SUM(C59:N59)</f>
        <v/>
      </c>
      <c r="P59" s="39" t="n"/>
      <c r="Q59" s="150">
        <f>IFERROR(INDEX(JAN!$AU$8:$AU$73,MATCH($A59,JAN!$A$8:$A$73,0)),"")</f>
        <v/>
      </c>
      <c r="R59" s="150">
        <f>IFERROR(INDEX(FEV!$AU$8:$AU$73,MATCH($A59,FEV!$A$8:$A$73,0)),"")</f>
        <v/>
      </c>
      <c r="S59" s="150">
        <f>IFERROR(INDEX(MAR!$AU$8:$AU$73,MATCH($A59,MAR!$A$8:$A$73,0)),"")</f>
        <v/>
      </c>
      <c r="T59" s="150">
        <f>IFERROR(INDEX(ABR!$AU$8:$AU$73,MATCH($A59,ABR!$A$8:$A$73,0)),"")</f>
        <v/>
      </c>
      <c r="U59" s="150">
        <f>IFERROR(INDEX(MAI!$AU$8:$AU$73,MATCH($A59,MAI!$A$8:$A$73,0)),"")</f>
        <v/>
      </c>
      <c r="V59" s="150">
        <f>IFERROR(INDEX(JUN!$AU$8:$AU$73,MATCH($A59,JUN!$A$8:$A$73,0)),"")</f>
        <v/>
      </c>
      <c r="W59" s="150">
        <f>IFERROR(INDEX(JUL!$AU$8:$AU$73,MATCH($A59,JUL!$A$8:$A$73,0)),"")</f>
        <v/>
      </c>
      <c r="X59" s="150">
        <f>IFERROR(INDEX(AGO!$AU$8:$AU$73,MATCH($A59,AGO!$A$8:$A$73,0)),"")</f>
        <v/>
      </c>
      <c r="Y59" s="150">
        <f>IFERROR(INDEX(SET!$AU$8:$AU$73,MATCH($A59,SET!$A$8:$A$73,0)),"")</f>
        <v/>
      </c>
      <c r="Z59" s="150">
        <f>IFERROR(INDEX(OUT!$AU$8:$AU$73,MATCH($A59,OUT!$A$8:$A$73,0)),"")</f>
        <v/>
      </c>
      <c r="AA59" s="150">
        <f>IFERROR(INDEX(NOV!$AU$8:$AU$73,MATCH($A59,NOV!$A$8:$A$73,0)),"")</f>
        <v/>
      </c>
      <c r="AB59" s="150">
        <f>IFERROR(INDEX(DEZ!$AU$8:$AU$73,MATCH($A59,DEZ!$A$8:$A$73,0)),"")</f>
        <v/>
      </c>
      <c r="AC59" s="151">
        <f>SUM(Q59:AB59)</f>
        <v/>
      </c>
      <c r="AD59" s="39" t="n"/>
      <c r="AE59" s="150">
        <f>IFERROR(INDEX(JAN!$AV$8:$AV$73,MATCH($A59,JAN!$A$8:$A$73,0)),"")</f>
        <v/>
      </c>
      <c r="AF59" s="150">
        <f>IFERROR(INDEX(FEV!$AV$8:$AV$73,MATCH($A59,FEV!$A$8:$A$73,0)),"")</f>
        <v/>
      </c>
      <c r="AG59" s="150">
        <f>IFERROR(INDEX(MAR!$AV$8:$AV$73,MATCH($A59,MAR!$A$8:$A$73,0)),"")</f>
        <v/>
      </c>
      <c r="AH59" s="150">
        <f>IFERROR(INDEX(ABR!$AV$8:$AV$73,MATCH($A59,ABR!$A$8:$A$73,0)),"")</f>
        <v/>
      </c>
      <c r="AI59" s="150">
        <f>IFERROR(INDEX(MAI!$AV$8:$AV$73,MATCH($A59,MAI!$A$8:$A$73,0)),"")</f>
        <v/>
      </c>
      <c r="AJ59" s="150">
        <f>IFERROR(INDEX(JUN!$AV$8:$AV$73,MATCH($A59,JUN!$A$8:$A$73,0)),"")</f>
        <v/>
      </c>
      <c r="AK59" s="150">
        <f>IFERROR(INDEX(JUL!$AV$8:$AV$73,MATCH($A59,JUL!$A$8:$A$73,0)),"")</f>
        <v/>
      </c>
      <c r="AL59" s="150">
        <f>IFERROR(INDEX(AGO!$AV$8:$AV$73,MATCH($A59,AGO!$A$8:$A$73,0)),"")</f>
        <v/>
      </c>
      <c r="AM59" s="150">
        <f>IFERROR(INDEX(SET!$AV$8:$AV$73,MATCH($A59,SET!$A$8:$A$73,0)),"")</f>
        <v/>
      </c>
      <c r="AN59" s="150">
        <f>IFERROR(INDEX(OUT!$AV$8:$AV$73,MATCH($A59,OUT!$A$8:$A$73,0)),"")</f>
        <v/>
      </c>
      <c r="AO59" s="150">
        <f>IFERROR(INDEX(NOV!$AV$8:$AV$73,MATCH($A59,NOV!$A$8:$A$73,0)),"")</f>
        <v/>
      </c>
      <c r="AP59" s="150">
        <f>IFERROR(INDEX(DEZ!$AV$8:$AV$73,MATCH($A59,DEZ!$A$8:$A$73,0)),"")</f>
        <v/>
      </c>
      <c r="AQ59" s="151">
        <f>SUM(AE59:AP59)</f>
        <v/>
      </c>
      <c r="AR59" s="39" t="n"/>
      <c r="AS59" s="150">
        <f>IFERROR(INDEX(JAN!$AW$8:$AW$73,MATCH($A59,JAN!$A$8:$A$73,0)),"")</f>
        <v/>
      </c>
      <c r="AT59" s="150">
        <f>IFERROR(INDEX(FEV!$AW$8:$AW$73,MATCH($A59,FEV!$A$8:$A$73,0)),"")</f>
        <v/>
      </c>
      <c r="AU59" s="150">
        <f>IFERROR(INDEX(MAR!$AW$8:$AW$73,MATCH($A59,MAR!$A$8:$A$73,0)),"")</f>
        <v/>
      </c>
      <c r="AV59" s="150">
        <f>IFERROR(INDEX(ABR!$AW$8:$AW$73,MATCH($A59,ABR!$A$8:$A$73,0)),"")</f>
        <v/>
      </c>
      <c r="AW59" s="150">
        <f>IFERROR(INDEX(MAI!$AW$8:$AW$73,MATCH($A59,MAI!$A$8:$A$73,0)),"")</f>
        <v/>
      </c>
      <c r="AX59" s="150">
        <f>IFERROR(INDEX(JUN!$AW$8:$AW$73,MATCH($A59,JUN!$A$8:$A$73,0)),"")</f>
        <v/>
      </c>
      <c r="AY59" s="150">
        <f>IFERROR(INDEX(JUL!$AW$8:$AW$73,MATCH($A59,JUL!$A$8:$A$73,0)),"")</f>
        <v/>
      </c>
      <c r="AZ59" s="150">
        <f>IFERROR(INDEX(AGO!$AW$8:$AW$73,MATCH($A59,AGO!$A$8:$A$73,0)),"")</f>
        <v/>
      </c>
      <c r="BA59" s="150">
        <f>IFERROR(INDEX(SET!$AW$8:$AW$73,MATCH($A59,SET!$A$8:$A$73,0)),"")</f>
        <v/>
      </c>
      <c r="BB59" s="150">
        <f>IFERROR(INDEX(OUT!$AW$8:$AW$73,MATCH($A59,OUT!$A$8:$A$73,0)),"")</f>
        <v/>
      </c>
      <c r="BC59" s="150">
        <f>IFERROR(INDEX(NOV!$AW$8:$AW$73,MATCH($A59,NOV!$A$8:$A$73,0)),"")</f>
        <v/>
      </c>
      <c r="BD59" s="150">
        <f>IFERROR(INDEX(DEZ!$AW$8:$AW$73,MATCH($A59,DEZ!$A$8:$A$73,0)),"")</f>
        <v/>
      </c>
      <c r="BE59" s="151">
        <f>SUM(AS59:BD59)</f>
        <v/>
      </c>
      <c r="BF59" s="39" t="n"/>
      <c r="BG59" s="102" t="n">
        <v>5</v>
      </c>
      <c r="BH59" s="120">
        <f>SUM(AE59:AP59)</f>
        <v/>
      </c>
      <c r="BI59" s="152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3">
        <f>CADASTRO!$C56</f>
        <v/>
      </c>
      <c r="C60" s="150">
        <f>IFERROR(INDEX(JAN!$AY$8:$AY$73,MATCH($A60,JAN!$A$8:$A$73,0)),"")</f>
        <v/>
      </c>
      <c r="D60" s="150">
        <f>IFERROR(INDEX(FEV!$AY$8:$AY$73,MATCH($A60,FEV!$A$8:$A$73,0)),"")</f>
        <v/>
      </c>
      <c r="E60" s="150">
        <f>IFERROR(INDEX(MAR!$AY$8:$AY$73,MATCH($A60,MAR!$A$8:$A$73,0)),"")</f>
        <v/>
      </c>
      <c r="F60" s="150">
        <f>IFERROR(INDEX(ABR!$AY$8:$AY$73,MATCH($A60,ABR!$A$8:$A$73,0)),"")</f>
        <v/>
      </c>
      <c r="G60" s="150">
        <f>IFERROR(INDEX(MAI!$AY$8:$AY$73,MATCH($A60,MAI!$A$8:$A$73,0)),"")</f>
        <v/>
      </c>
      <c r="H60" s="150">
        <f>IFERROR(INDEX(JUN!$AY$8:$AY$73,MATCH($A60,JUN!$A$8:$A$73,0)),"")</f>
        <v/>
      </c>
      <c r="I60" s="150">
        <f>IFERROR(INDEX(JUL!$AY$8:$AY$73,MATCH($A60,JUL!$A$8:$A$73,0)),"")</f>
        <v/>
      </c>
      <c r="J60" s="150">
        <f>IFERROR(INDEX(AGO!$AY$8:$AY$73,MATCH($A60,AGO!$A$8:$A$73,0)),"")</f>
        <v/>
      </c>
      <c r="K60" s="150">
        <f>IFERROR(INDEX(SET!$AY$8:$AY$73,MATCH($A60,SET!$A$8:$A$73,0)),"")</f>
        <v/>
      </c>
      <c r="L60" s="150">
        <f>IFERROR(INDEX(OUT!$AY$8:$AY$73,MATCH($A60,OUT!$A$8:$A$73,0)),"")</f>
        <v/>
      </c>
      <c r="M60" s="150">
        <f>IFERROR(INDEX(NOV!$AY$8:$AY$73,MATCH($A60,NOV!$A$8:$A$73,0)),"")</f>
        <v/>
      </c>
      <c r="N60" s="150">
        <f>IFERROR(INDEX(DEZ!$AY$8:$AY$73,MATCH($A60,DEZ!$A$8:$A$73,0)),"")</f>
        <v/>
      </c>
      <c r="O60" s="151">
        <f>SUM(C60:N60)</f>
        <v/>
      </c>
      <c r="P60" s="39" t="n"/>
      <c r="Q60" s="150">
        <f>IFERROR(INDEX(JAN!$AU$8:$AU$73,MATCH($A60,JAN!$A$8:$A$73,0)),"")</f>
        <v/>
      </c>
      <c r="R60" s="150">
        <f>IFERROR(INDEX(FEV!$AU$8:$AU$73,MATCH($A60,FEV!$A$8:$A$73,0)),"")</f>
        <v/>
      </c>
      <c r="S60" s="150">
        <f>IFERROR(INDEX(MAR!$AU$8:$AU$73,MATCH($A60,MAR!$A$8:$A$73,0)),"")</f>
        <v/>
      </c>
      <c r="T60" s="150">
        <f>IFERROR(INDEX(ABR!$AU$8:$AU$73,MATCH($A60,ABR!$A$8:$A$73,0)),"")</f>
        <v/>
      </c>
      <c r="U60" s="150">
        <f>IFERROR(INDEX(MAI!$AU$8:$AU$73,MATCH($A60,MAI!$A$8:$A$73,0)),"")</f>
        <v/>
      </c>
      <c r="V60" s="150">
        <f>IFERROR(INDEX(JUN!$AU$8:$AU$73,MATCH($A60,JUN!$A$8:$A$73,0)),"")</f>
        <v/>
      </c>
      <c r="W60" s="150">
        <f>IFERROR(INDEX(JUL!$AU$8:$AU$73,MATCH($A60,JUL!$A$8:$A$73,0)),"")</f>
        <v/>
      </c>
      <c r="X60" s="150">
        <f>IFERROR(INDEX(AGO!$AU$8:$AU$73,MATCH($A60,AGO!$A$8:$A$73,0)),"")</f>
        <v/>
      </c>
      <c r="Y60" s="150">
        <f>IFERROR(INDEX(SET!$AU$8:$AU$73,MATCH($A60,SET!$A$8:$A$73,0)),"")</f>
        <v/>
      </c>
      <c r="Z60" s="150">
        <f>IFERROR(INDEX(OUT!$AU$8:$AU$73,MATCH($A60,OUT!$A$8:$A$73,0)),"")</f>
        <v/>
      </c>
      <c r="AA60" s="150">
        <f>IFERROR(INDEX(NOV!$AU$8:$AU$73,MATCH($A60,NOV!$A$8:$A$73,0)),"")</f>
        <v/>
      </c>
      <c r="AB60" s="150">
        <f>IFERROR(INDEX(DEZ!$AU$8:$AU$73,MATCH($A60,DEZ!$A$8:$A$73,0)),"")</f>
        <v/>
      </c>
      <c r="AC60" s="151">
        <f>SUM(Q60:AB60)</f>
        <v/>
      </c>
      <c r="AD60" s="39" t="n"/>
      <c r="AE60" s="150">
        <f>IFERROR(INDEX(JAN!$AV$8:$AV$73,MATCH($A60,JAN!$A$8:$A$73,0)),"")</f>
        <v/>
      </c>
      <c r="AF60" s="150">
        <f>IFERROR(INDEX(FEV!$AV$8:$AV$73,MATCH($A60,FEV!$A$8:$A$73,0)),"")</f>
        <v/>
      </c>
      <c r="AG60" s="150">
        <f>IFERROR(INDEX(MAR!$AV$8:$AV$73,MATCH($A60,MAR!$A$8:$A$73,0)),"")</f>
        <v/>
      </c>
      <c r="AH60" s="150">
        <f>IFERROR(INDEX(ABR!$AV$8:$AV$73,MATCH($A60,ABR!$A$8:$A$73,0)),"")</f>
        <v/>
      </c>
      <c r="AI60" s="150">
        <f>IFERROR(INDEX(MAI!$AV$8:$AV$73,MATCH($A60,MAI!$A$8:$A$73,0)),"")</f>
        <v/>
      </c>
      <c r="AJ60" s="150">
        <f>IFERROR(INDEX(JUN!$AV$8:$AV$73,MATCH($A60,JUN!$A$8:$A$73,0)),"")</f>
        <v/>
      </c>
      <c r="AK60" s="150">
        <f>IFERROR(INDEX(JUL!$AV$8:$AV$73,MATCH($A60,JUL!$A$8:$A$73,0)),"")</f>
        <v/>
      </c>
      <c r="AL60" s="150">
        <f>IFERROR(INDEX(AGO!$AV$8:$AV$73,MATCH($A60,AGO!$A$8:$A$73,0)),"")</f>
        <v/>
      </c>
      <c r="AM60" s="150">
        <f>IFERROR(INDEX(SET!$AV$8:$AV$73,MATCH($A60,SET!$A$8:$A$73,0)),"")</f>
        <v/>
      </c>
      <c r="AN60" s="150">
        <f>IFERROR(INDEX(OUT!$AV$8:$AV$73,MATCH($A60,OUT!$A$8:$A$73,0)),"")</f>
        <v/>
      </c>
      <c r="AO60" s="150">
        <f>IFERROR(INDEX(NOV!$AV$8:$AV$73,MATCH($A60,NOV!$A$8:$A$73,0)),"")</f>
        <v/>
      </c>
      <c r="AP60" s="150">
        <f>IFERROR(INDEX(DEZ!$AV$8:$AV$73,MATCH($A60,DEZ!$A$8:$A$73,0)),"")</f>
        <v/>
      </c>
      <c r="AQ60" s="151">
        <f>SUM(AE60:AP60)</f>
        <v/>
      </c>
      <c r="AR60" s="39" t="n"/>
      <c r="AS60" s="150">
        <f>IFERROR(INDEX(JAN!$AW$8:$AW$73,MATCH($A60,JAN!$A$8:$A$73,0)),"")</f>
        <v/>
      </c>
      <c r="AT60" s="150">
        <f>IFERROR(INDEX(FEV!$AW$8:$AW$73,MATCH($A60,FEV!$A$8:$A$73,0)),"")</f>
        <v/>
      </c>
      <c r="AU60" s="150">
        <f>IFERROR(INDEX(MAR!$AW$8:$AW$73,MATCH($A60,MAR!$A$8:$A$73,0)),"")</f>
        <v/>
      </c>
      <c r="AV60" s="150">
        <f>IFERROR(INDEX(ABR!$AW$8:$AW$73,MATCH($A60,ABR!$A$8:$A$73,0)),"")</f>
        <v/>
      </c>
      <c r="AW60" s="150">
        <f>IFERROR(INDEX(MAI!$AW$8:$AW$73,MATCH($A60,MAI!$A$8:$A$73,0)),"")</f>
        <v/>
      </c>
      <c r="AX60" s="150">
        <f>IFERROR(INDEX(JUN!$AW$8:$AW$73,MATCH($A60,JUN!$A$8:$A$73,0)),"")</f>
        <v/>
      </c>
      <c r="AY60" s="150">
        <f>IFERROR(INDEX(JUL!$AW$8:$AW$73,MATCH($A60,JUL!$A$8:$A$73,0)),"")</f>
        <v/>
      </c>
      <c r="AZ60" s="150">
        <f>IFERROR(INDEX(AGO!$AW$8:$AW$73,MATCH($A60,AGO!$A$8:$A$73,0)),"")</f>
        <v/>
      </c>
      <c r="BA60" s="150">
        <f>IFERROR(INDEX(SET!$AW$8:$AW$73,MATCH($A60,SET!$A$8:$A$73,0)),"")</f>
        <v/>
      </c>
      <c r="BB60" s="150">
        <f>IFERROR(INDEX(OUT!$AW$8:$AW$73,MATCH($A60,OUT!$A$8:$A$73,0)),"")</f>
        <v/>
      </c>
      <c r="BC60" s="150">
        <f>IFERROR(INDEX(NOV!$AW$8:$AW$73,MATCH($A60,NOV!$A$8:$A$73,0)),"")</f>
        <v/>
      </c>
      <c r="BD60" s="150">
        <f>IFERROR(INDEX(DEZ!$AW$8:$AW$73,MATCH($A60,DEZ!$A$8:$A$73,0)),"")</f>
        <v/>
      </c>
      <c r="BE60" s="151">
        <f>SUM(AS60:BD60)</f>
        <v/>
      </c>
      <c r="BF60" s="39" t="n"/>
      <c r="BG60" s="102" t="n">
        <v>10</v>
      </c>
      <c r="BH60" s="120">
        <f>SUM(AE60:AP60)</f>
        <v/>
      </c>
      <c r="BI60" s="152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3">
        <f>CADASTRO!$C57</f>
        <v/>
      </c>
      <c r="C61" s="150">
        <f>IFERROR(INDEX(JAN!$AY$8:$AY$73,MATCH($A61,JAN!$A$8:$A$73,0)),"")</f>
        <v/>
      </c>
      <c r="D61" s="150">
        <f>IFERROR(INDEX(FEV!$AY$8:$AY$73,MATCH($A61,FEV!$A$8:$A$73,0)),"")</f>
        <v/>
      </c>
      <c r="E61" s="150">
        <f>IFERROR(INDEX(MAR!$AY$8:$AY$73,MATCH($A61,MAR!$A$8:$A$73,0)),"")</f>
        <v/>
      </c>
      <c r="F61" s="150">
        <f>IFERROR(INDEX(ABR!$AY$8:$AY$73,MATCH($A61,ABR!$A$8:$A$73,0)),"")</f>
        <v/>
      </c>
      <c r="G61" s="150">
        <f>IFERROR(INDEX(MAI!$AY$8:$AY$73,MATCH($A61,MAI!$A$8:$A$73,0)),"")</f>
        <v/>
      </c>
      <c r="H61" s="150">
        <f>IFERROR(INDEX(JUN!$AY$8:$AY$73,MATCH($A61,JUN!$A$8:$A$73,0)),"")</f>
        <v/>
      </c>
      <c r="I61" s="150">
        <f>IFERROR(INDEX(JUL!$AY$8:$AY$73,MATCH($A61,JUL!$A$8:$A$73,0)),"")</f>
        <v/>
      </c>
      <c r="J61" s="150">
        <f>IFERROR(INDEX(AGO!$AY$8:$AY$73,MATCH($A61,AGO!$A$8:$A$73,0)),"")</f>
        <v/>
      </c>
      <c r="K61" s="150">
        <f>IFERROR(INDEX(SET!$AY$8:$AY$73,MATCH($A61,SET!$A$8:$A$73,0)),"")</f>
        <v/>
      </c>
      <c r="L61" s="150">
        <f>IFERROR(INDEX(OUT!$AY$8:$AY$73,MATCH($A61,OUT!$A$8:$A$73,0)),"")</f>
        <v/>
      </c>
      <c r="M61" s="150">
        <f>IFERROR(INDEX(NOV!$AY$8:$AY$73,MATCH($A61,NOV!$A$8:$A$73,0)),"")</f>
        <v/>
      </c>
      <c r="N61" s="150">
        <f>IFERROR(INDEX(DEZ!$AY$8:$AY$73,MATCH($A61,DEZ!$A$8:$A$73,0)),"")</f>
        <v/>
      </c>
      <c r="O61" s="151">
        <f>SUM(C61:N61)</f>
        <v/>
      </c>
      <c r="P61" s="39" t="n"/>
      <c r="Q61" s="150">
        <f>IFERROR(INDEX(JAN!$AU$8:$AU$73,MATCH($A61,JAN!$A$8:$A$73,0)),"")</f>
        <v/>
      </c>
      <c r="R61" s="150">
        <f>IFERROR(INDEX(FEV!$AU$8:$AU$73,MATCH($A61,FEV!$A$8:$A$73,0)),"")</f>
        <v/>
      </c>
      <c r="S61" s="150">
        <f>IFERROR(INDEX(MAR!$AU$8:$AU$73,MATCH($A61,MAR!$A$8:$A$73,0)),"")</f>
        <v/>
      </c>
      <c r="T61" s="150">
        <f>IFERROR(INDEX(ABR!$AU$8:$AU$73,MATCH($A61,ABR!$A$8:$A$73,0)),"")</f>
        <v/>
      </c>
      <c r="U61" s="150">
        <f>IFERROR(INDEX(MAI!$AU$8:$AU$73,MATCH($A61,MAI!$A$8:$A$73,0)),"")</f>
        <v/>
      </c>
      <c r="V61" s="150">
        <f>IFERROR(INDEX(JUN!$AU$8:$AU$73,MATCH($A61,JUN!$A$8:$A$73,0)),"")</f>
        <v/>
      </c>
      <c r="W61" s="150">
        <f>IFERROR(INDEX(JUL!$AU$8:$AU$73,MATCH($A61,JUL!$A$8:$A$73,0)),"")</f>
        <v/>
      </c>
      <c r="X61" s="150">
        <f>IFERROR(INDEX(AGO!$AU$8:$AU$73,MATCH($A61,AGO!$A$8:$A$73,0)),"")</f>
        <v/>
      </c>
      <c r="Y61" s="150">
        <f>IFERROR(INDEX(SET!$AU$8:$AU$73,MATCH($A61,SET!$A$8:$A$73,0)),"")</f>
        <v/>
      </c>
      <c r="Z61" s="150">
        <f>IFERROR(INDEX(OUT!$AU$8:$AU$73,MATCH($A61,OUT!$A$8:$A$73,0)),"")</f>
        <v/>
      </c>
      <c r="AA61" s="150">
        <f>IFERROR(INDEX(NOV!$AU$8:$AU$73,MATCH($A61,NOV!$A$8:$A$73,0)),"")</f>
        <v/>
      </c>
      <c r="AB61" s="150">
        <f>IFERROR(INDEX(DEZ!$AU$8:$AU$73,MATCH($A61,DEZ!$A$8:$A$73,0)),"")</f>
        <v/>
      </c>
      <c r="AC61" s="151">
        <f>SUM(Q61:AB61)</f>
        <v/>
      </c>
      <c r="AD61" s="39" t="n"/>
      <c r="AE61" s="150">
        <f>IFERROR(INDEX(JAN!$AV$8:$AV$73,MATCH($A61,JAN!$A$8:$A$73,0)),"")</f>
        <v/>
      </c>
      <c r="AF61" s="150">
        <f>IFERROR(INDEX(FEV!$AV$8:$AV$73,MATCH($A61,FEV!$A$8:$A$73,0)),"")</f>
        <v/>
      </c>
      <c r="AG61" s="150">
        <f>IFERROR(INDEX(MAR!$AV$8:$AV$73,MATCH($A61,MAR!$A$8:$A$73,0)),"")</f>
        <v/>
      </c>
      <c r="AH61" s="150">
        <f>IFERROR(INDEX(ABR!$AV$8:$AV$73,MATCH($A61,ABR!$A$8:$A$73,0)),"")</f>
        <v/>
      </c>
      <c r="AI61" s="150">
        <f>IFERROR(INDEX(MAI!$AV$8:$AV$73,MATCH($A61,MAI!$A$8:$A$73,0)),"")</f>
        <v/>
      </c>
      <c r="AJ61" s="150">
        <f>IFERROR(INDEX(JUN!$AV$8:$AV$73,MATCH($A61,JUN!$A$8:$A$73,0)),"")</f>
        <v/>
      </c>
      <c r="AK61" s="150">
        <f>IFERROR(INDEX(JUL!$AV$8:$AV$73,MATCH($A61,JUL!$A$8:$A$73,0)),"")</f>
        <v/>
      </c>
      <c r="AL61" s="150">
        <f>IFERROR(INDEX(AGO!$AV$8:$AV$73,MATCH($A61,AGO!$A$8:$A$73,0)),"")</f>
        <v/>
      </c>
      <c r="AM61" s="150">
        <f>IFERROR(INDEX(SET!$AV$8:$AV$73,MATCH($A61,SET!$A$8:$A$73,0)),"")</f>
        <v/>
      </c>
      <c r="AN61" s="150">
        <f>IFERROR(INDEX(OUT!$AV$8:$AV$73,MATCH($A61,OUT!$A$8:$A$73,0)),"")</f>
        <v/>
      </c>
      <c r="AO61" s="150">
        <f>IFERROR(INDEX(NOV!$AV$8:$AV$73,MATCH($A61,NOV!$A$8:$A$73,0)),"")</f>
        <v/>
      </c>
      <c r="AP61" s="150">
        <f>IFERROR(INDEX(DEZ!$AV$8:$AV$73,MATCH($A61,DEZ!$A$8:$A$73,0)),"")</f>
        <v/>
      </c>
      <c r="AQ61" s="151">
        <f>SUM(AE61:AP61)</f>
        <v/>
      </c>
      <c r="AR61" s="39" t="n"/>
      <c r="AS61" s="150">
        <f>IFERROR(INDEX(JAN!$AW$8:$AW$73,MATCH($A61,JAN!$A$8:$A$73,0)),"")</f>
        <v/>
      </c>
      <c r="AT61" s="150">
        <f>IFERROR(INDEX(FEV!$AW$8:$AW$73,MATCH($A61,FEV!$A$8:$A$73,0)),"")</f>
        <v/>
      </c>
      <c r="AU61" s="150">
        <f>IFERROR(INDEX(MAR!$AW$8:$AW$73,MATCH($A61,MAR!$A$8:$A$73,0)),"")</f>
        <v/>
      </c>
      <c r="AV61" s="150">
        <f>IFERROR(INDEX(ABR!$AW$8:$AW$73,MATCH($A61,ABR!$A$8:$A$73,0)),"")</f>
        <v/>
      </c>
      <c r="AW61" s="150">
        <f>IFERROR(INDEX(MAI!$AW$8:$AW$73,MATCH($A61,MAI!$A$8:$A$73,0)),"")</f>
        <v/>
      </c>
      <c r="AX61" s="150">
        <f>IFERROR(INDEX(JUN!$AW$8:$AW$73,MATCH($A61,JUN!$A$8:$A$73,0)),"")</f>
        <v/>
      </c>
      <c r="AY61" s="150">
        <f>IFERROR(INDEX(JUL!$AW$8:$AW$73,MATCH($A61,JUL!$A$8:$A$73,0)),"")</f>
        <v/>
      </c>
      <c r="AZ61" s="150">
        <f>IFERROR(INDEX(AGO!$AW$8:$AW$73,MATCH($A61,AGO!$A$8:$A$73,0)),"")</f>
        <v/>
      </c>
      <c r="BA61" s="150">
        <f>IFERROR(INDEX(SET!$AW$8:$AW$73,MATCH($A61,SET!$A$8:$A$73,0)),"")</f>
        <v/>
      </c>
      <c r="BB61" s="150">
        <f>IFERROR(INDEX(OUT!$AW$8:$AW$73,MATCH($A61,OUT!$A$8:$A$73,0)),"")</f>
        <v/>
      </c>
      <c r="BC61" s="150">
        <f>IFERROR(INDEX(NOV!$AW$8:$AW$73,MATCH($A61,NOV!$A$8:$A$73,0)),"")</f>
        <v/>
      </c>
      <c r="BD61" s="150">
        <f>IFERROR(INDEX(DEZ!$AW$8:$AW$73,MATCH($A61,DEZ!$A$8:$A$73,0)),"")</f>
        <v/>
      </c>
      <c r="BE61" s="151">
        <f>SUM(AS61:BD61)</f>
        <v/>
      </c>
      <c r="BF61" s="39" t="n"/>
      <c r="BG61" s="102" t="n">
        <v>4</v>
      </c>
      <c r="BH61" s="120">
        <f>SUM(AE61:AP61)</f>
        <v/>
      </c>
      <c r="BI61" s="152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3">
        <f>CADASTRO!$C58</f>
        <v/>
      </c>
      <c r="C62" s="150">
        <f>IFERROR(INDEX(JAN!$AY$8:$AY$73,MATCH($A62,JAN!$A$8:$A$73,0)),"")</f>
        <v/>
      </c>
      <c r="D62" s="150">
        <f>IFERROR(INDEX(FEV!$AY$8:$AY$73,MATCH($A62,FEV!$A$8:$A$73,0)),"")</f>
        <v/>
      </c>
      <c r="E62" s="150">
        <f>IFERROR(INDEX(MAR!$AY$8:$AY$73,MATCH($A62,MAR!$A$8:$A$73,0)),"")</f>
        <v/>
      </c>
      <c r="F62" s="150">
        <f>IFERROR(INDEX(ABR!$AY$8:$AY$73,MATCH($A62,ABR!$A$8:$A$73,0)),"")</f>
        <v/>
      </c>
      <c r="G62" s="150">
        <f>IFERROR(INDEX(MAI!$AY$8:$AY$73,MATCH($A62,MAI!$A$8:$A$73,0)),"")</f>
        <v/>
      </c>
      <c r="H62" s="150">
        <f>IFERROR(INDEX(JUN!$AY$8:$AY$73,MATCH($A62,JUN!$A$8:$A$73,0)),"")</f>
        <v/>
      </c>
      <c r="I62" s="150">
        <f>IFERROR(INDEX(JUL!$AY$8:$AY$73,MATCH($A62,JUL!$A$8:$A$73,0)),"")</f>
        <v/>
      </c>
      <c r="J62" s="150">
        <f>IFERROR(INDEX(AGO!$AY$8:$AY$73,MATCH($A62,AGO!$A$8:$A$73,0)),"")</f>
        <v/>
      </c>
      <c r="K62" s="150">
        <f>IFERROR(INDEX(SET!$AY$8:$AY$73,MATCH($A62,SET!$A$8:$A$73,0)),"")</f>
        <v/>
      </c>
      <c r="L62" s="150">
        <f>IFERROR(INDEX(OUT!$AY$8:$AY$73,MATCH($A62,OUT!$A$8:$A$73,0)),"")</f>
        <v/>
      </c>
      <c r="M62" s="150">
        <f>IFERROR(INDEX(NOV!$AY$8:$AY$73,MATCH($A62,NOV!$A$8:$A$73,0)),"")</f>
        <v/>
      </c>
      <c r="N62" s="150">
        <f>IFERROR(INDEX(DEZ!$AY$8:$AY$73,MATCH($A62,DEZ!$A$8:$A$73,0)),"")</f>
        <v/>
      </c>
      <c r="O62" s="151">
        <f>SUM(C62:N62)</f>
        <v/>
      </c>
      <c r="P62" s="39" t="n"/>
      <c r="Q62" s="150">
        <f>IFERROR(INDEX(JAN!$AU$8:$AU$73,MATCH($A62,JAN!$A$8:$A$73,0)),"")</f>
        <v/>
      </c>
      <c r="R62" s="150">
        <f>IFERROR(INDEX(FEV!$AU$8:$AU$73,MATCH($A62,FEV!$A$8:$A$73,0)),"")</f>
        <v/>
      </c>
      <c r="S62" s="150">
        <f>IFERROR(INDEX(MAR!$AU$8:$AU$73,MATCH($A62,MAR!$A$8:$A$73,0)),"")</f>
        <v/>
      </c>
      <c r="T62" s="150">
        <f>IFERROR(INDEX(ABR!$AU$8:$AU$73,MATCH($A62,ABR!$A$8:$A$73,0)),"")</f>
        <v/>
      </c>
      <c r="U62" s="150">
        <f>IFERROR(INDEX(MAI!$AU$8:$AU$73,MATCH($A62,MAI!$A$8:$A$73,0)),"")</f>
        <v/>
      </c>
      <c r="V62" s="150">
        <f>IFERROR(INDEX(JUN!$AU$8:$AU$73,MATCH($A62,JUN!$A$8:$A$73,0)),"")</f>
        <v/>
      </c>
      <c r="W62" s="150">
        <f>IFERROR(INDEX(JUL!$AU$8:$AU$73,MATCH($A62,JUL!$A$8:$A$73,0)),"")</f>
        <v/>
      </c>
      <c r="X62" s="150">
        <f>IFERROR(INDEX(AGO!$AU$8:$AU$73,MATCH($A62,AGO!$A$8:$A$73,0)),"")</f>
        <v/>
      </c>
      <c r="Y62" s="150">
        <f>IFERROR(INDEX(SET!$AU$8:$AU$73,MATCH($A62,SET!$A$8:$A$73,0)),"")</f>
        <v/>
      </c>
      <c r="Z62" s="150">
        <f>IFERROR(INDEX(OUT!$AU$8:$AU$73,MATCH($A62,OUT!$A$8:$A$73,0)),"")</f>
        <v/>
      </c>
      <c r="AA62" s="150">
        <f>IFERROR(INDEX(NOV!$AU$8:$AU$73,MATCH($A62,NOV!$A$8:$A$73,0)),"")</f>
        <v/>
      </c>
      <c r="AB62" s="150">
        <f>IFERROR(INDEX(DEZ!$AU$8:$AU$73,MATCH($A62,DEZ!$A$8:$A$73,0)),"")</f>
        <v/>
      </c>
      <c r="AC62" s="151">
        <f>SUM(Q62:AB62)</f>
        <v/>
      </c>
      <c r="AD62" s="39" t="n"/>
      <c r="AE62" s="150">
        <f>IFERROR(INDEX(JAN!$AV$8:$AV$73,MATCH($A62,JAN!$A$8:$A$73,0)),"")</f>
        <v/>
      </c>
      <c r="AF62" s="150">
        <f>IFERROR(INDEX(FEV!$AV$8:$AV$73,MATCH($A62,FEV!$A$8:$A$73,0)),"")</f>
        <v/>
      </c>
      <c r="AG62" s="150">
        <f>IFERROR(INDEX(MAR!$AV$8:$AV$73,MATCH($A62,MAR!$A$8:$A$73,0)),"")</f>
        <v/>
      </c>
      <c r="AH62" s="150">
        <f>IFERROR(INDEX(ABR!$AV$8:$AV$73,MATCH($A62,ABR!$A$8:$A$73,0)),"")</f>
        <v/>
      </c>
      <c r="AI62" s="150">
        <f>IFERROR(INDEX(MAI!$AV$8:$AV$73,MATCH($A62,MAI!$A$8:$A$73,0)),"")</f>
        <v/>
      </c>
      <c r="AJ62" s="150">
        <f>IFERROR(INDEX(JUN!$AV$8:$AV$73,MATCH($A62,JUN!$A$8:$A$73,0)),"")</f>
        <v/>
      </c>
      <c r="AK62" s="150">
        <f>IFERROR(INDEX(JUL!$AV$8:$AV$73,MATCH($A62,JUL!$A$8:$A$73,0)),"")</f>
        <v/>
      </c>
      <c r="AL62" s="150">
        <f>IFERROR(INDEX(AGO!$AV$8:$AV$73,MATCH($A62,AGO!$A$8:$A$73,0)),"")</f>
        <v/>
      </c>
      <c r="AM62" s="150">
        <f>IFERROR(INDEX(SET!$AV$8:$AV$73,MATCH($A62,SET!$A$8:$A$73,0)),"")</f>
        <v/>
      </c>
      <c r="AN62" s="150">
        <f>IFERROR(INDEX(OUT!$AV$8:$AV$73,MATCH($A62,OUT!$A$8:$A$73,0)),"")</f>
        <v/>
      </c>
      <c r="AO62" s="150">
        <f>IFERROR(INDEX(NOV!$AV$8:$AV$73,MATCH($A62,NOV!$A$8:$A$73,0)),"")</f>
        <v/>
      </c>
      <c r="AP62" s="150">
        <f>IFERROR(INDEX(DEZ!$AV$8:$AV$73,MATCH($A62,DEZ!$A$8:$A$73,0)),"")</f>
        <v/>
      </c>
      <c r="AQ62" s="151">
        <f>SUM(AE62:AP62)</f>
        <v/>
      </c>
      <c r="AR62" s="39" t="n"/>
      <c r="AS62" s="150">
        <f>IFERROR(INDEX(JAN!$AW$8:$AW$73,MATCH($A62,JAN!$A$8:$A$73,0)),"")</f>
        <v/>
      </c>
      <c r="AT62" s="150">
        <f>IFERROR(INDEX(FEV!$AW$8:$AW$73,MATCH($A62,FEV!$A$8:$A$73,0)),"")</f>
        <v/>
      </c>
      <c r="AU62" s="150">
        <f>IFERROR(INDEX(MAR!$AW$8:$AW$73,MATCH($A62,MAR!$A$8:$A$73,0)),"")</f>
        <v/>
      </c>
      <c r="AV62" s="150">
        <f>IFERROR(INDEX(ABR!$AW$8:$AW$73,MATCH($A62,ABR!$A$8:$A$73,0)),"")</f>
        <v/>
      </c>
      <c r="AW62" s="150">
        <f>IFERROR(INDEX(MAI!$AW$8:$AW$73,MATCH($A62,MAI!$A$8:$A$73,0)),"")</f>
        <v/>
      </c>
      <c r="AX62" s="150">
        <f>IFERROR(INDEX(JUN!$AW$8:$AW$73,MATCH($A62,JUN!$A$8:$A$73,0)),"")</f>
        <v/>
      </c>
      <c r="AY62" s="150">
        <f>IFERROR(INDEX(JUL!$AW$8:$AW$73,MATCH($A62,JUL!$A$8:$A$73,0)),"")</f>
        <v/>
      </c>
      <c r="AZ62" s="150">
        <f>IFERROR(INDEX(AGO!$AW$8:$AW$73,MATCH($A62,AGO!$A$8:$A$73,0)),"")</f>
        <v/>
      </c>
      <c r="BA62" s="150">
        <f>IFERROR(INDEX(SET!$AW$8:$AW$73,MATCH($A62,SET!$A$8:$A$73,0)),"")</f>
        <v/>
      </c>
      <c r="BB62" s="150">
        <f>IFERROR(INDEX(OUT!$AW$8:$AW$73,MATCH($A62,OUT!$A$8:$A$73,0)),"")</f>
        <v/>
      </c>
      <c r="BC62" s="150">
        <f>IFERROR(INDEX(NOV!$AW$8:$AW$73,MATCH($A62,NOV!$A$8:$A$73,0)),"")</f>
        <v/>
      </c>
      <c r="BD62" s="150">
        <f>IFERROR(INDEX(DEZ!$AW$8:$AW$73,MATCH($A62,DEZ!$A$8:$A$73,0)),"")</f>
        <v/>
      </c>
      <c r="BE62" s="151">
        <f>SUM(AS62:BD62)</f>
        <v/>
      </c>
      <c r="BF62" s="39" t="n"/>
      <c r="BG62" s="102" t="n">
        <v>5</v>
      </c>
      <c r="BH62" s="120">
        <f>SUM(AE62:AP62)</f>
        <v/>
      </c>
      <c r="BI62" s="152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3">
        <f>CADASTRO!$C59</f>
        <v/>
      </c>
      <c r="C63" s="150">
        <f>IFERROR(INDEX(JAN!$AY$8:$AY$73,MATCH($A63,JAN!$A$8:$A$73,0)),"")</f>
        <v/>
      </c>
      <c r="D63" s="150">
        <f>IFERROR(INDEX(FEV!$AY$8:$AY$73,MATCH($A63,FEV!$A$8:$A$73,0)),"")</f>
        <v/>
      </c>
      <c r="E63" s="150">
        <f>IFERROR(INDEX(MAR!$AY$8:$AY$73,MATCH($A63,MAR!$A$8:$A$73,0)),"")</f>
        <v/>
      </c>
      <c r="F63" s="150">
        <f>IFERROR(INDEX(ABR!$AY$8:$AY$73,MATCH($A63,ABR!$A$8:$A$73,0)),"")</f>
        <v/>
      </c>
      <c r="G63" s="150">
        <f>IFERROR(INDEX(MAI!$AY$8:$AY$73,MATCH($A63,MAI!$A$8:$A$73,0)),"")</f>
        <v/>
      </c>
      <c r="H63" s="150">
        <f>IFERROR(INDEX(JUN!$AY$8:$AY$73,MATCH($A63,JUN!$A$8:$A$73,0)),"")</f>
        <v/>
      </c>
      <c r="I63" s="150">
        <f>IFERROR(INDEX(JUL!$AY$8:$AY$73,MATCH($A63,JUL!$A$8:$A$73,0)),"")</f>
        <v/>
      </c>
      <c r="J63" s="150">
        <f>IFERROR(INDEX(AGO!$AY$8:$AY$73,MATCH($A63,AGO!$A$8:$A$73,0)),"")</f>
        <v/>
      </c>
      <c r="K63" s="150">
        <f>IFERROR(INDEX(SET!$AY$8:$AY$73,MATCH($A63,SET!$A$8:$A$73,0)),"")</f>
        <v/>
      </c>
      <c r="L63" s="150">
        <f>IFERROR(INDEX(OUT!$AY$8:$AY$73,MATCH($A63,OUT!$A$8:$A$73,0)),"")</f>
        <v/>
      </c>
      <c r="M63" s="150">
        <f>IFERROR(INDEX(NOV!$AY$8:$AY$73,MATCH($A63,NOV!$A$8:$A$73,0)),"")</f>
        <v/>
      </c>
      <c r="N63" s="150">
        <f>IFERROR(INDEX(DEZ!$AY$8:$AY$73,MATCH($A63,DEZ!$A$8:$A$73,0)),"")</f>
        <v/>
      </c>
      <c r="O63" s="151">
        <f>SUM(C63:N63)</f>
        <v/>
      </c>
      <c r="P63" s="39" t="n"/>
      <c r="Q63" s="150">
        <f>IFERROR(INDEX(JAN!$AU$8:$AU$73,MATCH($A63,JAN!$A$8:$A$73,0)),"")</f>
        <v/>
      </c>
      <c r="R63" s="150">
        <f>IFERROR(INDEX(FEV!$AU$8:$AU$73,MATCH($A63,FEV!$A$8:$A$73,0)),"")</f>
        <v/>
      </c>
      <c r="S63" s="150">
        <f>IFERROR(INDEX(MAR!$AU$8:$AU$73,MATCH($A63,MAR!$A$8:$A$73,0)),"")</f>
        <v/>
      </c>
      <c r="T63" s="150">
        <f>IFERROR(INDEX(ABR!$AU$8:$AU$73,MATCH($A63,ABR!$A$8:$A$73,0)),"")</f>
        <v/>
      </c>
      <c r="U63" s="150">
        <f>IFERROR(INDEX(MAI!$AU$8:$AU$73,MATCH($A63,MAI!$A$8:$A$73,0)),"")</f>
        <v/>
      </c>
      <c r="V63" s="150">
        <f>IFERROR(INDEX(JUN!$AU$8:$AU$73,MATCH($A63,JUN!$A$8:$A$73,0)),"")</f>
        <v/>
      </c>
      <c r="W63" s="150">
        <f>IFERROR(INDEX(JUL!$AU$8:$AU$73,MATCH($A63,JUL!$A$8:$A$73,0)),"")</f>
        <v/>
      </c>
      <c r="X63" s="150">
        <f>IFERROR(INDEX(AGO!$AU$8:$AU$73,MATCH($A63,AGO!$A$8:$A$73,0)),"")</f>
        <v/>
      </c>
      <c r="Y63" s="150">
        <f>IFERROR(INDEX(SET!$AU$8:$AU$73,MATCH($A63,SET!$A$8:$A$73,0)),"")</f>
        <v/>
      </c>
      <c r="Z63" s="150">
        <f>IFERROR(INDEX(OUT!$AU$8:$AU$73,MATCH($A63,OUT!$A$8:$A$73,0)),"")</f>
        <v/>
      </c>
      <c r="AA63" s="150">
        <f>IFERROR(INDEX(NOV!$AU$8:$AU$73,MATCH($A63,NOV!$A$8:$A$73,0)),"")</f>
        <v/>
      </c>
      <c r="AB63" s="150">
        <f>IFERROR(INDEX(DEZ!$AU$8:$AU$73,MATCH($A63,DEZ!$A$8:$A$73,0)),"")</f>
        <v/>
      </c>
      <c r="AC63" s="151">
        <f>SUM(Q63:AB63)</f>
        <v/>
      </c>
      <c r="AD63" s="39" t="n"/>
      <c r="AE63" s="150">
        <f>IFERROR(INDEX(JAN!$AV$8:$AV$73,MATCH($A63,JAN!$A$8:$A$73,0)),"")</f>
        <v/>
      </c>
      <c r="AF63" s="150">
        <f>IFERROR(INDEX(FEV!$AV$8:$AV$73,MATCH($A63,FEV!$A$8:$A$73,0)),"")</f>
        <v/>
      </c>
      <c r="AG63" s="150">
        <f>IFERROR(INDEX(MAR!$AV$8:$AV$73,MATCH($A63,MAR!$A$8:$A$73,0)),"")</f>
        <v/>
      </c>
      <c r="AH63" s="150">
        <f>IFERROR(INDEX(ABR!$AV$8:$AV$73,MATCH($A63,ABR!$A$8:$A$73,0)),"")</f>
        <v/>
      </c>
      <c r="AI63" s="150">
        <f>IFERROR(INDEX(MAI!$AV$8:$AV$73,MATCH($A63,MAI!$A$8:$A$73,0)),"")</f>
        <v/>
      </c>
      <c r="AJ63" s="150">
        <f>IFERROR(INDEX(JUN!$AV$8:$AV$73,MATCH($A63,JUN!$A$8:$A$73,0)),"")</f>
        <v/>
      </c>
      <c r="AK63" s="150">
        <f>IFERROR(INDEX(JUL!$AV$8:$AV$73,MATCH($A63,JUL!$A$8:$A$73,0)),"")</f>
        <v/>
      </c>
      <c r="AL63" s="150">
        <f>IFERROR(INDEX(AGO!$AV$8:$AV$73,MATCH($A63,AGO!$A$8:$A$73,0)),"")</f>
        <v/>
      </c>
      <c r="AM63" s="150">
        <f>IFERROR(INDEX(SET!$AV$8:$AV$73,MATCH($A63,SET!$A$8:$A$73,0)),"")</f>
        <v/>
      </c>
      <c r="AN63" s="150">
        <f>IFERROR(INDEX(OUT!$AV$8:$AV$73,MATCH($A63,OUT!$A$8:$A$73,0)),"")</f>
        <v/>
      </c>
      <c r="AO63" s="150">
        <f>IFERROR(INDEX(NOV!$AV$8:$AV$73,MATCH($A63,NOV!$A$8:$A$73,0)),"")</f>
        <v/>
      </c>
      <c r="AP63" s="150">
        <f>IFERROR(INDEX(DEZ!$AV$8:$AV$73,MATCH($A63,DEZ!$A$8:$A$73,0)),"")</f>
        <v/>
      </c>
      <c r="AQ63" s="151">
        <f>SUM(AE63:AP63)</f>
        <v/>
      </c>
      <c r="AR63" s="39" t="n"/>
      <c r="AS63" s="150">
        <f>IFERROR(INDEX(JAN!$AW$8:$AW$73,MATCH($A63,JAN!$A$8:$A$73,0)),"")</f>
        <v/>
      </c>
      <c r="AT63" s="150">
        <f>IFERROR(INDEX(FEV!$AW$8:$AW$73,MATCH($A63,FEV!$A$8:$A$73,0)),"")</f>
        <v/>
      </c>
      <c r="AU63" s="150">
        <f>IFERROR(INDEX(MAR!$AW$8:$AW$73,MATCH($A63,MAR!$A$8:$A$73,0)),"")</f>
        <v/>
      </c>
      <c r="AV63" s="150">
        <f>IFERROR(INDEX(ABR!$AW$8:$AW$73,MATCH($A63,ABR!$A$8:$A$73,0)),"")</f>
        <v/>
      </c>
      <c r="AW63" s="150">
        <f>IFERROR(INDEX(MAI!$AW$8:$AW$73,MATCH($A63,MAI!$A$8:$A$73,0)),"")</f>
        <v/>
      </c>
      <c r="AX63" s="150">
        <f>IFERROR(INDEX(JUN!$AW$8:$AW$73,MATCH($A63,JUN!$A$8:$A$73,0)),"")</f>
        <v/>
      </c>
      <c r="AY63" s="150">
        <f>IFERROR(INDEX(JUL!$AW$8:$AW$73,MATCH($A63,JUL!$A$8:$A$73,0)),"")</f>
        <v/>
      </c>
      <c r="AZ63" s="150">
        <f>IFERROR(INDEX(AGO!$AW$8:$AW$73,MATCH($A63,AGO!$A$8:$A$73,0)),"")</f>
        <v/>
      </c>
      <c r="BA63" s="150">
        <f>IFERROR(INDEX(SET!$AW$8:$AW$73,MATCH($A63,SET!$A$8:$A$73,0)),"")</f>
        <v/>
      </c>
      <c r="BB63" s="150">
        <f>IFERROR(INDEX(OUT!$AW$8:$AW$73,MATCH($A63,OUT!$A$8:$A$73,0)),"")</f>
        <v/>
      </c>
      <c r="BC63" s="150">
        <f>IFERROR(INDEX(NOV!$AW$8:$AW$73,MATCH($A63,NOV!$A$8:$A$73,0)),"")</f>
        <v/>
      </c>
      <c r="BD63" s="150">
        <f>IFERROR(INDEX(DEZ!$AW$8:$AW$73,MATCH($A63,DEZ!$A$8:$A$73,0)),"")</f>
        <v/>
      </c>
      <c r="BE63" s="151">
        <f>SUM(AS63:BD63)</f>
        <v/>
      </c>
      <c r="BF63" s="39" t="n"/>
      <c r="BG63" s="102" t="n">
        <v>3</v>
      </c>
      <c r="BH63" s="120">
        <f>SUM(AE63:AP63)</f>
        <v/>
      </c>
      <c r="BI63" s="152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3">
        <f>CADASTRO!$C60</f>
        <v/>
      </c>
      <c r="C64" s="150">
        <f>IFERROR(INDEX(JAN!$AY$8:$AY$73,MATCH($A64,JAN!$A$8:$A$73,0)),"")</f>
        <v/>
      </c>
      <c r="D64" s="150">
        <f>IFERROR(INDEX(FEV!$AY$8:$AY$73,MATCH($A64,FEV!$A$8:$A$73,0)),"")</f>
        <v/>
      </c>
      <c r="E64" s="150">
        <f>IFERROR(INDEX(MAR!$AY$8:$AY$73,MATCH($A64,MAR!$A$8:$A$73,0)),"")</f>
        <v/>
      </c>
      <c r="F64" s="150">
        <f>IFERROR(INDEX(ABR!$AY$8:$AY$73,MATCH($A64,ABR!$A$8:$A$73,0)),"")</f>
        <v/>
      </c>
      <c r="G64" s="150">
        <f>IFERROR(INDEX(MAI!$AY$8:$AY$73,MATCH($A64,MAI!$A$8:$A$73,0)),"")</f>
        <v/>
      </c>
      <c r="H64" s="150">
        <f>IFERROR(INDEX(JUN!$AY$8:$AY$73,MATCH($A64,JUN!$A$8:$A$73,0)),"")</f>
        <v/>
      </c>
      <c r="I64" s="150">
        <f>IFERROR(INDEX(JUL!$AY$8:$AY$73,MATCH($A64,JUL!$A$8:$A$73,0)),"")</f>
        <v/>
      </c>
      <c r="J64" s="150">
        <f>IFERROR(INDEX(AGO!$AY$8:$AY$73,MATCH($A64,AGO!$A$8:$A$73,0)),"")</f>
        <v/>
      </c>
      <c r="K64" s="150">
        <f>IFERROR(INDEX(SET!$AY$8:$AY$73,MATCH($A64,SET!$A$8:$A$73,0)),"")</f>
        <v/>
      </c>
      <c r="L64" s="150">
        <f>IFERROR(INDEX(OUT!$AY$8:$AY$73,MATCH($A64,OUT!$A$8:$A$73,0)),"")</f>
        <v/>
      </c>
      <c r="M64" s="150">
        <f>IFERROR(INDEX(NOV!$AY$8:$AY$73,MATCH($A64,NOV!$A$8:$A$73,0)),"")</f>
        <v/>
      </c>
      <c r="N64" s="150">
        <f>IFERROR(INDEX(DEZ!$AY$8:$AY$73,MATCH($A64,DEZ!$A$8:$A$73,0)),"")</f>
        <v/>
      </c>
      <c r="O64" s="151">
        <f>SUM(C64:N64)</f>
        <v/>
      </c>
      <c r="P64" s="39" t="n"/>
      <c r="Q64" s="150">
        <f>IFERROR(INDEX(JAN!$AU$8:$AU$73,MATCH($A64,JAN!$A$8:$A$73,0)),"")</f>
        <v/>
      </c>
      <c r="R64" s="150">
        <f>IFERROR(INDEX(FEV!$AU$8:$AU$73,MATCH($A64,FEV!$A$8:$A$73,0)),"")</f>
        <v/>
      </c>
      <c r="S64" s="150">
        <f>IFERROR(INDEX(MAR!$AU$8:$AU$73,MATCH($A64,MAR!$A$8:$A$73,0)),"")</f>
        <v/>
      </c>
      <c r="T64" s="150">
        <f>IFERROR(INDEX(ABR!$AU$8:$AU$73,MATCH($A64,ABR!$A$8:$A$73,0)),"")</f>
        <v/>
      </c>
      <c r="U64" s="150">
        <f>IFERROR(INDEX(MAI!$AU$8:$AU$73,MATCH($A64,MAI!$A$8:$A$73,0)),"")</f>
        <v/>
      </c>
      <c r="V64" s="150">
        <f>IFERROR(INDEX(JUN!$AU$8:$AU$73,MATCH($A64,JUN!$A$8:$A$73,0)),"")</f>
        <v/>
      </c>
      <c r="W64" s="150">
        <f>IFERROR(INDEX(JUL!$AU$8:$AU$73,MATCH($A64,JUL!$A$8:$A$73,0)),"")</f>
        <v/>
      </c>
      <c r="X64" s="150">
        <f>IFERROR(INDEX(AGO!$AU$8:$AU$73,MATCH($A64,AGO!$A$8:$A$73,0)),"")</f>
        <v/>
      </c>
      <c r="Y64" s="150">
        <f>IFERROR(INDEX(SET!$AU$8:$AU$73,MATCH($A64,SET!$A$8:$A$73,0)),"")</f>
        <v/>
      </c>
      <c r="Z64" s="150">
        <f>IFERROR(INDEX(OUT!$AU$8:$AU$73,MATCH($A64,OUT!$A$8:$A$73,0)),"")</f>
        <v/>
      </c>
      <c r="AA64" s="150">
        <f>IFERROR(INDEX(NOV!$AU$8:$AU$73,MATCH($A64,NOV!$A$8:$A$73,0)),"")</f>
        <v/>
      </c>
      <c r="AB64" s="150">
        <f>IFERROR(INDEX(DEZ!$AU$8:$AU$73,MATCH($A64,DEZ!$A$8:$A$73,0)),"")</f>
        <v/>
      </c>
      <c r="AC64" s="151">
        <f>SUM(Q64:AB64)</f>
        <v/>
      </c>
      <c r="AD64" s="39" t="n"/>
      <c r="AE64" s="150">
        <f>IFERROR(INDEX(JAN!$AV$8:$AV$73,MATCH($A64,JAN!$A$8:$A$73,0)),"")</f>
        <v/>
      </c>
      <c r="AF64" s="150">
        <f>IFERROR(INDEX(FEV!$AV$8:$AV$73,MATCH($A64,FEV!$A$8:$A$73,0)),"")</f>
        <v/>
      </c>
      <c r="AG64" s="150">
        <f>IFERROR(INDEX(MAR!$AV$8:$AV$73,MATCH($A64,MAR!$A$8:$A$73,0)),"")</f>
        <v/>
      </c>
      <c r="AH64" s="150">
        <f>IFERROR(INDEX(ABR!$AV$8:$AV$73,MATCH($A64,ABR!$A$8:$A$73,0)),"")</f>
        <v/>
      </c>
      <c r="AI64" s="150">
        <f>IFERROR(INDEX(MAI!$AV$8:$AV$73,MATCH($A64,MAI!$A$8:$A$73,0)),"")</f>
        <v/>
      </c>
      <c r="AJ64" s="150">
        <f>IFERROR(INDEX(JUN!$AV$8:$AV$73,MATCH($A64,JUN!$A$8:$A$73,0)),"")</f>
        <v/>
      </c>
      <c r="AK64" s="150">
        <f>IFERROR(INDEX(JUL!$AV$8:$AV$73,MATCH($A64,JUL!$A$8:$A$73,0)),"")</f>
        <v/>
      </c>
      <c r="AL64" s="150">
        <f>IFERROR(INDEX(AGO!$AV$8:$AV$73,MATCH($A64,AGO!$A$8:$A$73,0)),"")</f>
        <v/>
      </c>
      <c r="AM64" s="150">
        <f>IFERROR(INDEX(SET!$AV$8:$AV$73,MATCH($A64,SET!$A$8:$A$73,0)),"")</f>
        <v/>
      </c>
      <c r="AN64" s="150">
        <f>IFERROR(INDEX(OUT!$AV$8:$AV$73,MATCH($A64,OUT!$A$8:$A$73,0)),"")</f>
        <v/>
      </c>
      <c r="AO64" s="150">
        <f>IFERROR(INDEX(NOV!$AV$8:$AV$73,MATCH($A64,NOV!$A$8:$A$73,0)),"")</f>
        <v/>
      </c>
      <c r="AP64" s="150">
        <f>IFERROR(INDEX(DEZ!$AV$8:$AV$73,MATCH($A64,DEZ!$A$8:$A$73,0)),"")</f>
        <v/>
      </c>
      <c r="AQ64" s="151">
        <f>SUM(AE64:AP64)</f>
        <v/>
      </c>
      <c r="AR64" s="39" t="n"/>
      <c r="AS64" s="150">
        <f>IFERROR(INDEX(JAN!$AW$8:$AW$73,MATCH($A64,JAN!$A$8:$A$73,0)),"")</f>
        <v/>
      </c>
      <c r="AT64" s="150">
        <f>IFERROR(INDEX(FEV!$AW$8:$AW$73,MATCH($A64,FEV!$A$8:$A$73,0)),"")</f>
        <v/>
      </c>
      <c r="AU64" s="150">
        <f>IFERROR(INDEX(MAR!$AW$8:$AW$73,MATCH($A64,MAR!$A$8:$A$73,0)),"")</f>
        <v/>
      </c>
      <c r="AV64" s="150">
        <f>IFERROR(INDEX(ABR!$AW$8:$AW$73,MATCH($A64,ABR!$A$8:$A$73,0)),"")</f>
        <v/>
      </c>
      <c r="AW64" s="150">
        <f>IFERROR(INDEX(MAI!$AW$8:$AW$73,MATCH($A64,MAI!$A$8:$A$73,0)),"")</f>
        <v/>
      </c>
      <c r="AX64" s="150">
        <f>IFERROR(INDEX(JUN!$AW$8:$AW$73,MATCH($A64,JUN!$A$8:$A$73,0)),"")</f>
        <v/>
      </c>
      <c r="AY64" s="150">
        <f>IFERROR(INDEX(JUL!$AW$8:$AW$73,MATCH($A64,JUL!$A$8:$A$73,0)),"")</f>
        <v/>
      </c>
      <c r="AZ64" s="150">
        <f>IFERROR(INDEX(AGO!$AW$8:$AW$73,MATCH($A64,AGO!$A$8:$A$73,0)),"")</f>
        <v/>
      </c>
      <c r="BA64" s="150">
        <f>IFERROR(INDEX(SET!$AW$8:$AW$73,MATCH($A64,SET!$A$8:$A$73,0)),"")</f>
        <v/>
      </c>
      <c r="BB64" s="150">
        <f>IFERROR(INDEX(OUT!$AW$8:$AW$73,MATCH($A64,OUT!$A$8:$A$73,0)),"")</f>
        <v/>
      </c>
      <c r="BC64" s="150">
        <f>IFERROR(INDEX(NOV!$AW$8:$AW$73,MATCH($A64,NOV!$A$8:$A$73,0)),"")</f>
        <v/>
      </c>
      <c r="BD64" s="150">
        <f>IFERROR(INDEX(DEZ!$AW$8:$AW$73,MATCH($A64,DEZ!$A$8:$A$73,0)),"")</f>
        <v/>
      </c>
      <c r="BE64" s="151">
        <f>SUM(AS64:BD64)</f>
        <v/>
      </c>
      <c r="BF64" s="39" t="n"/>
      <c r="BG64" s="102" t="n">
        <v>5</v>
      </c>
      <c r="BH64" s="120">
        <f>SUM(AE64:AP64)</f>
        <v/>
      </c>
      <c r="BI64" s="152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3">
        <f>CADASTRO!$C61</f>
        <v/>
      </c>
      <c r="C65" s="150">
        <f>IFERROR(INDEX(JAN!$AY$8:$AY$73,MATCH($A65,JAN!$A$8:$A$73,0)),"")</f>
        <v/>
      </c>
      <c r="D65" s="150">
        <f>IFERROR(INDEX(FEV!$AY$8:$AY$73,MATCH($A65,FEV!$A$8:$A$73,0)),"")</f>
        <v/>
      </c>
      <c r="E65" s="150">
        <f>IFERROR(INDEX(MAR!$AY$8:$AY$73,MATCH($A65,MAR!$A$8:$A$73,0)),"")</f>
        <v/>
      </c>
      <c r="F65" s="150">
        <f>IFERROR(INDEX(ABR!$AY$8:$AY$73,MATCH($A65,ABR!$A$8:$A$73,0)),"")</f>
        <v/>
      </c>
      <c r="G65" s="150">
        <f>IFERROR(INDEX(MAI!$AY$8:$AY$73,MATCH($A65,MAI!$A$8:$A$73,0)),"")</f>
        <v/>
      </c>
      <c r="H65" s="150">
        <f>IFERROR(INDEX(JUN!$AY$8:$AY$73,MATCH($A65,JUN!$A$8:$A$73,0)),"")</f>
        <v/>
      </c>
      <c r="I65" s="150">
        <f>IFERROR(INDEX(JUL!$AY$8:$AY$73,MATCH($A65,JUL!$A$8:$A$73,0)),"")</f>
        <v/>
      </c>
      <c r="J65" s="150">
        <f>IFERROR(INDEX(AGO!$AY$8:$AY$73,MATCH($A65,AGO!$A$8:$A$73,0)),"")</f>
        <v/>
      </c>
      <c r="K65" s="150">
        <f>IFERROR(INDEX(SET!$AY$8:$AY$73,MATCH($A65,SET!$A$8:$A$73,0)),"")</f>
        <v/>
      </c>
      <c r="L65" s="150">
        <f>IFERROR(INDEX(OUT!$AY$8:$AY$73,MATCH($A65,OUT!$A$8:$A$73,0)),"")</f>
        <v/>
      </c>
      <c r="M65" s="150">
        <f>IFERROR(INDEX(NOV!$AY$8:$AY$73,MATCH($A65,NOV!$A$8:$A$73,0)),"")</f>
        <v/>
      </c>
      <c r="N65" s="150">
        <f>IFERROR(INDEX(DEZ!$AY$8:$AY$73,MATCH($A65,DEZ!$A$8:$A$73,0)),"")</f>
        <v/>
      </c>
      <c r="O65" s="151">
        <f>SUM(C65:N65)</f>
        <v/>
      </c>
      <c r="P65" s="39" t="n"/>
      <c r="Q65" s="150">
        <f>IFERROR(INDEX(JAN!$AU$8:$AU$73,MATCH($A65,JAN!$A$8:$A$73,0)),"")</f>
        <v/>
      </c>
      <c r="R65" s="150">
        <f>IFERROR(INDEX(FEV!$AU$8:$AU$73,MATCH($A65,FEV!$A$8:$A$73,0)),"")</f>
        <v/>
      </c>
      <c r="S65" s="150">
        <f>IFERROR(INDEX(MAR!$AU$8:$AU$73,MATCH($A65,MAR!$A$8:$A$73,0)),"")</f>
        <v/>
      </c>
      <c r="T65" s="150">
        <f>IFERROR(INDEX(ABR!$AU$8:$AU$73,MATCH($A65,ABR!$A$8:$A$73,0)),"")</f>
        <v/>
      </c>
      <c r="U65" s="150">
        <f>IFERROR(INDEX(MAI!$AU$8:$AU$73,MATCH($A65,MAI!$A$8:$A$73,0)),"")</f>
        <v/>
      </c>
      <c r="V65" s="150">
        <f>IFERROR(INDEX(JUN!$AU$8:$AU$73,MATCH($A65,JUN!$A$8:$A$73,0)),"")</f>
        <v/>
      </c>
      <c r="W65" s="150">
        <f>IFERROR(INDEX(JUL!$AU$8:$AU$73,MATCH($A65,JUL!$A$8:$A$73,0)),"")</f>
        <v/>
      </c>
      <c r="X65" s="150">
        <f>IFERROR(INDEX(AGO!$AU$8:$AU$73,MATCH($A65,AGO!$A$8:$A$73,0)),"")</f>
        <v/>
      </c>
      <c r="Y65" s="150">
        <f>IFERROR(INDEX(SET!$AU$8:$AU$73,MATCH($A65,SET!$A$8:$A$73,0)),"")</f>
        <v/>
      </c>
      <c r="Z65" s="150">
        <f>IFERROR(INDEX(OUT!$AU$8:$AU$73,MATCH($A65,OUT!$A$8:$A$73,0)),"")</f>
        <v/>
      </c>
      <c r="AA65" s="150">
        <f>IFERROR(INDEX(NOV!$AU$8:$AU$73,MATCH($A65,NOV!$A$8:$A$73,0)),"")</f>
        <v/>
      </c>
      <c r="AB65" s="150">
        <f>IFERROR(INDEX(DEZ!$AU$8:$AU$73,MATCH($A65,DEZ!$A$8:$A$73,0)),"")</f>
        <v/>
      </c>
      <c r="AC65" s="151">
        <f>SUM(Q65:AB65)</f>
        <v/>
      </c>
      <c r="AD65" s="39" t="n"/>
      <c r="AE65" s="150">
        <f>IFERROR(INDEX(JAN!$AV$8:$AV$73,MATCH($A65,JAN!$A$8:$A$73,0)),"")</f>
        <v/>
      </c>
      <c r="AF65" s="150">
        <f>IFERROR(INDEX(FEV!$AV$8:$AV$73,MATCH($A65,FEV!$A$8:$A$73,0)),"")</f>
        <v/>
      </c>
      <c r="AG65" s="150">
        <f>IFERROR(INDEX(MAR!$AV$8:$AV$73,MATCH($A65,MAR!$A$8:$A$73,0)),"")</f>
        <v/>
      </c>
      <c r="AH65" s="150">
        <f>IFERROR(INDEX(ABR!$AV$8:$AV$73,MATCH($A65,ABR!$A$8:$A$73,0)),"")</f>
        <v/>
      </c>
      <c r="AI65" s="150">
        <f>IFERROR(INDEX(MAI!$AV$8:$AV$73,MATCH($A65,MAI!$A$8:$A$73,0)),"")</f>
        <v/>
      </c>
      <c r="AJ65" s="150">
        <f>IFERROR(INDEX(JUN!$AV$8:$AV$73,MATCH($A65,JUN!$A$8:$A$73,0)),"")</f>
        <v/>
      </c>
      <c r="AK65" s="150">
        <f>IFERROR(INDEX(JUL!$AV$8:$AV$73,MATCH($A65,JUL!$A$8:$A$73,0)),"")</f>
        <v/>
      </c>
      <c r="AL65" s="150">
        <f>IFERROR(INDEX(AGO!$AV$8:$AV$73,MATCH($A65,AGO!$A$8:$A$73,0)),"")</f>
        <v/>
      </c>
      <c r="AM65" s="150">
        <f>IFERROR(INDEX(SET!$AV$8:$AV$73,MATCH($A65,SET!$A$8:$A$73,0)),"")</f>
        <v/>
      </c>
      <c r="AN65" s="150">
        <f>IFERROR(INDEX(OUT!$AV$8:$AV$73,MATCH($A65,OUT!$A$8:$A$73,0)),"")</f>
        <v/>
      </c>
      <c r="AO65" s="150">
        <f>IFERROR(INDEX(NOV!$AV$8:$AV$73,MATCH($A65,NOV!$A$8:$A$73,0)),"")</f>
        <v/>
      </c>
      <c r="AP65" s="150">
        <f>IFERROR(INDEX(DEZ!$AV$8:$AV$73,MATCH($A65,DEZ!$A$8:$A$73,0)),"")</f>
        <v/>
      </c>
      <c r="AQ65" s="151">
        <f>SUM(AE65:AP65)</f>
        <v/>
      </c>
      <c r="AR65" s="39" t="n"/>
      <c r="AS65" s="150">
        <f>IFERROR(INDEX(JAN!$AW$8:$AW$73,MATCH($A65,JAN!$A$8:$A$73,0)),"")</f>
        <v/>
      </c>
      <c r="AT65" s="150">
        <f>IFERROR(INDEX(FEV!$AW$8:$AW$73,MATCH($A65,FEV!$A$8:$A$73,0)),"")</f>
        <v/>
      </c>
      <c r="AU65" s="150">
        <f>IFERROR(INDEX(MAR!$AW$8:$AW$73,MATCH($A65,MAR!$A$8:$A$73,0)),"")</f>
        <v/>
      </c>
      <c r="AV65" s="150">
        <f>IFERROR(INDEX(ABR!$AW$8:$AW$73,MATCH($A65,ABR!$A$8:$A$73,0)),"")</f>
        <v/>
      </c>
      <c r="AW65" s="150">
        <f>IFERROR(INDEX(MAI!$AW$8:$AW$73,MATCH($A65,MAI!$A$8:$A$73,0)),"")</f>
        <v/>
      </c>
      <c r="AX65" s="150">
        <f>IFERROR(INDEX(JUN!$AW$8:$AW$73,MATCH($A65,JUN!$A$8:$A$73,0)),"")</f>
        <v/>
      </c>
      <c r="AY65" s="150">
        <f>IFERROR(INDEX(JUL!$AW$8:$AW$73,MATCH($A65,JUL!$A$8:$A$73,0)),"")</f>
        <v/>
      </c>
      <c r="AZ65" s="150">
        <f>IFERROR(INDEX(AGO!$AW$8:$AW$73,MATCH($A65,AGO!$A$8:$A$73,0)),"")</f>
        <v/>
      </c>
      <c r="BA65" s="150">
        <f>IFERROR(INDEX(SET!$AW$8:$AW$73,MATCH($A65,SET!$A$8:$A$73,0)),"")</f>
        <v/>
      </c>
      <c r="BB65" s="150">
        <f>IFERROR(INDEX(OUT!$AW$8:$AW$73,MATCH($A65,OUT!$A$8:$A$73,0)),"")</f>
        <v/>
      </c>
      <c r="BC65" s="150">
        <f>IFERROR(INDEX(NOV!$AW$8:$AW$73,MATCH($A65,NOV!$A$8:$A$73,0)),"")</f>
        <v/>
      </c>
      <c r="BD65" s="150">
        <f>IFERROR(INDEX(DEZ!$AW$8:$AW$73,MATCH($A65,DEZ!$A$8:$A$73,0)),"")</f>
        <v/>
      </c>
      <c r="BE65" s="151">
        <f>SUM(AS65:BD65)</f>
        <v/>
      </c>
      <c r="BF65" s="39" t="n"/>
      <c r="BG65" s="102" t="n">
        <v>2</v>
      </c>
      <c r="BH65" s="120">
        <f>SUM(AE65:AP65)</f>
        <v/>
      </c>
      <c r="BI65" s="152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3">
        <f>CADASTRO!$C62</f>
        <v/>
      </c>
      <c r="C66" s="150">
        <f>IFERROR(INDEX(JAN!$AY$8:$AY$73,MATCH($A66,JAN!$A$8:$A$73,0)),"")</f>
        <v/>
      </c>
      <c r="D66" s="150">
        <f>IFERROR(INDEX(FEV!$AY$8:$AY$73,MATCH($A66,FEV!$A$8:$A$73,0)),"")</f>
        <v/>
      </c>
      <c r="E66" s="150">
        <f>IFERROR(INDEX(MAR!$AY$8:$AY$73,MATCH($A66,MAR!$A$8:$A$73,0)),"")</f>
        <v/>
      </c>
      <c r="F66" s="150">
        <f>IFERROR(INDEX(ABR!$AY$8:$AY$73,MATCH($A66,ABR!$A$8:$A$73,0)),"")</f>
        <v/>
      </c>
      <c r="G66" s="150">
        <f>IFERROR(INDEX(MAI!$AY$8:$AY$73,MATCH($A66,MAI!$A$8:$A$73,0)),"")</f>
        <v/>
      </c>
      <c r="H66" s="150">
        <f>IFERROR(INDEX(JUN!$AY$8:$AY$73,MATCH($A66,JUN!$A$8:$A$73,0)),"")</f>
        <v/>
      </c>
      <c r="I66" s="150">
        <f>IFERROR(INDEX(JUL!$AY$8:$AY$73,MATCH($A66,JUL!$A$8:$A$73,0)),"")</f>
        <v/>
      </c>
      <c r="J66" s="150">
        <f>IFERROR(INDEX(AGO!$AY$8:$AY$73,MATCH($A66,AGO!$A$8:$A$73,0)),"")</f>
        <v/>
      </c>
      <c r="K66" s="150">
        <f>IFERROR(INDEX(SET!$AY$8:$AY$73,MATCH($A66,SET!$A$8:$A$73,0)),"")</f>
        <v/>
      </c>
      <c r="L66" s="150">
        <f>IFERROR(INDEX(OUT!$AY$8:$AY$73,MATCH($A66,OUT!$A$8:$A$73,0)),"")</f>
        <v/>
      </c>
      <c r="M66" s="150">
        <f>IFERROR(INDEX(NOV!$AY$8:$AY$73,MATCH($A66,NOV!$A$8:$A$73,0)),"")</f>
        <v/>
      </c>
      <c r="N66" s="150">
        <f>IFERROR(INDEX(DEZ!$AY$8:$AY$73,MATCH($A66,DEZ!$A$8:$A$73,0)),"")</f>
        <v/>
      </c>
      <c r="O66" s="151">
        <f>SUM(C66:N66)</f>
        <v/>
      </c>
      <c r="P66" s="39" t="n"/>
      <c r="Q66" s="150">
        <f>IFERROR(INDEX(JAN!$AU$8:$AU$73,MATCH($A66,JAN!$A$8:$A$73,0)),"")</f>
        <v/>
      </c>
      <c r="R66" s="150">
        <f>IFERROR(INDEX(FEV!$AU$8:$AU$73,MATCH($A66,FEV!$A$8:$A$73,0)),"")</f>
        <v/>
      </c>
      <c r="S66" s="150">
        <f>IFERROR(INDEX(MAR!$AU$8:$AU$73,MATCH($A66,MAR!$A$8:$A$73,0)),"")</f>
        <v/>
      </c>
      <c r="T66" s="150">
        <f>IFERROR(INDEX(ABR!$AU$8:$AU$73,MATCH($A66,ABR!$A$8:$A$73,0)),"")</f>
        <v/>
      </c>
      <c r="U66" s="150">
        <f>IFERROR(INDEX(MAI!$AU$8:$AU$73,MATCH($A66,MAI!$A$8:$A$73,0)),"")</f>
        <v/>
      </c>
      <c r="V66" s="150">
        <f>IFERROR(INDEX(JUN!$AU$8:$AU$73,MATCH($A66,JUN!$A$8:$A$73,0)),"")</f>
        <v/>
      </c>
      <c r="W66" s="150">
        <f>IFERROR(INDEX(JUL!$AU$8:$AU$73,MATCH($A66,JUL!$A$8:$A$73,0)),"")</f>
        <v/>
      </c>
      <c r="X66" s="150">
        <f>IFERROR(INDEX(AGO!$AU$8:$AU$73,MATCH($A66,AGO!$A$8:$A$73,0)),"")</f>
        <v/>
      </c>
      <c r="Y66" s="150">
        <f>IFERROR(INDEX(SET!$AU$8:$AU$73,MATCH($A66,SET!$A$8:$A$73,0)),"")</f>
        <v/>
      </c>
      <c r="Z66" s="150">
        <f>IFERROR(INDEX(OUT!$AU$8:$AU$73,MATCH($A66,OUT!$A$8:$A$73,0)),"")</f>
        <v/>
      </c>
      <c r="AA66" s="150">
        <f>IFERROR(INDEX(NOV!$AU$8:$AU$73,MATCH($A66,NOV!$A$8:$A$73,0)),"")</f>
        <v/>
      </c>
      <c r="AB66" s="150">
        <f>IFERROR(INDEX(DEZ!$AU$8:$AU$73,MATCH($A66,DEZ!$A$8:$A$73,0)),"")</f>
        <v/>
      </c>
      <c r="AC66" s="151">
        <f>SUM(Q66:AB66)</f>
        <v/>
      </c>
      <c r="AD66" s="39" t="n"/>
      <c r="AE66" s="150">
        <f>IFERROR(INDEX(JAN!$AV$8:$AV$73,MATCH($A66,JAN!$A$8:$A$73,0)),"")</f>
        <v/>
      </c>
      <c r="AF66" s="150">
        <f>IFERROR(INDEX(FEV!$AV$8:$AV$73,MATCH($A66,FEV!$A$8:$A$73,0)),"")</f>
        <v/>
      </c>
      <c r="AG66" s="150">
        <f>IFERROR(INDEX(MAR!$AV$8:$AV$73,MATCH($A66,MAR!$A$8:$A$73,0)),"")</f>
        <v/>
      </c>
      <c r="AH66" s="150">
        <f>IFERROR(INDEX(ABR!$AV$8:$AV$73,MATCH($A66,ABR!$A$8:$A$73,0)),"")</f>
        <v/>
      </c>
      <c r="AI66" s="150">
        <f>IFERROR(INDEX(MAI!$AV$8:$AV$73,MATCH($A66,MAI!$A$8:$A$73,0)),"")</f>
        <v/>
      </c>
      <c r="AJ66" s="150">
        <f>IFERROR(INDEX(JUN!$AV$8:$AV$73,MATCH($A66,JUN!$A$8:$A$73,0)),"")</f>
        <v/>
      </c>
      <c r="AK66" s="150">
        <f>IFERROR(INDEX(JUL!$AV$8:$AV$73,MATCH($A66,JUL!$A$8:$A$73,0)),"")</f>
        <v/>
      </c>
      <c r="AL66" s="150">
        <f>IFERROR(INDEX(AGO!$AV$8:$AV$73,MATCH($A66,AGO!$A$8:$A$73,0)),"")</f>
        <v/>
      </c>
      <c r="AM66" s="150">
        <f>IFERROR(INDEX(SET!$AV$8:$AV$73,MATCH($A66,SET!$A$8:$A$73,0)),"")</f>
        <v/>
      </c>
      <c r="AN66" s="150">
        <f>IFERROR(INDEX(OUT!$AV$8:$AV$73,MATCH($A66,OUT!$A$8:$A$73,0)),"")</f>
        <v/>
      </c>
      <c r="AO66" s="150">
        <f>IFERROR(INDEX(NOV!$AV$8:$AV$73,MATCH($A66,NOV!$A$8:$A$73,0)),"")</f>
        <v/>
      </c>
      <c r="AP66" s="150">
        <f>IFERROR(INDEX(DEZ!$AV$8:$AV$73,MATCH($A66,DEZ!$A$8:$A$73,0)),"")</f>
        <v/>
      </c>
      <c r="AQ66" s="151">
        <f>SUM(AE66:AP66)</f>
        <v/>
      </c>
      <c r="AR66" s="39" t="n"/>
      <c r="AS66" s="150">
        <f>IFERROR(INDEX(JAN!$AW$8:$AW$73,MATCH($A66,JAN!$A$8:$A$73,0)),"")</f>
        <v/>
      </c>
      <c r="AT66" s="150">
        <f>IFERROR(INDEX(FEV!$AW$8:$AW$73,MATCH($A66,FEV!$A$8:$A$73,0)),"")</f>
        <v/>
      </c>
      <c r="AU66" s="150">
        <f>IFERROR(INDEX(MAR!$AW$8:$AW$73,MATCH($A66,MAR!$A$8:$A$73,0)),"")</f>
        <v/>
      </c>
      <c r="AV66" s="150">
        <f>IFERROR(INDEX(ABR!$AW$8:$AW$73,MATCH($A66,ABR!$A$8:$A$73,0)),"")</f>
        <v/>
      </c>
      <c r="AW66" s="150">
        <f>IFERROR(INDEX(MAI!$AW$8:$AW$73,MATCH($A66,MAI!$A$8:$A$73,0)),"")</f>
        <v/>
      </c>
      <c r="AX66" s="150">
        <f>IFERROR(INDEX(JUN!$AW$8:$AW$73,MATCH($A66,JUN!$A$8:$A$73,0)),"")</f>
        <v/>
      </c>
      <c r="AY66" s="150">
        <f>IFERROR(INDEX(JUL!$AW$8:$AW$73,MATCH($A66,JUL!$A$8:$A$73,0)),"")</f>
        <v/>
      </c>
      <c r="AZ66" s="150">
        <f>IFERROR(INDEX(AGO!$AW$8:$AW$73,MATCH($A66,AGO!$A$8:$A$73,0)),"")</f>
        <v/>
      </c>
      <c r="BA66" s="150">
        <f>IFERROR(INDEX(SET!$AW$8:$AW$73,MATCH($A66,SET!$A$8:$A$73,0)),"")</f>
        <v/>
      </c>
      <c r="BB66" s="150">
        <f>IFERROR(INDEX(OUT!$AW$8:$AW$73,MATCH($A66,OUT!$A$8:$A$73,0)),"")</f>
        <v/>
      </c>
      <c r="BC66" s="150">
        <f>IFERROR(INDEX(NOV!$AW$8:$AW$73,MATCH($A66,NOV!$A$8:$A$73,0)),"")</f>
        <v/>
      </c>
      <c r="BD66" s="150">
        <f>IFERROR(INDEX(DEZ!$AW$8:$AW$73,MATCH($A66,DEZ!$A$8:$A$73,0)),"")</f>
        <v/>
      </c>
      <c r="BE66" s="151">
        <f>SUM(AS66:BD66)</f>
        <v/>
      </c>
      <c r="BF66" s="39" t="n"/>
      <c r="BG66" s="102" t="n">
        <v>5</v>
      </c>
      <c r="BH66" s="120">
        <f>SUM(AE66:AP66)</f>
        <v/>
      </c>
      <c r="BI66" s="152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3">
        <f>CADASTRO!$C63</f>
        <v/>
      </c>
      <c r="C67" s="150">
        <f>IFERROR(INDEX(JAN!$AY$8:$AY$73,MATCH($A67,JAN!$A$8:$A$73,0)),"")</f>
        <v/>
      </c>
      <c r="D67" s="150">
        <f>IFERROR(INDEX(FEV!$AY$8:$AY$73,MATCH($A67,FEV!$A$8:$A$73,0)),"")</f>
        <v/>
      </c>
      <c r="E67" s="150">
        <f>IFERROR(INDEX(MAR!$AY$8:$AY$73,MATCH($A67,MAR!$A$8:$A$73,0)),"")</f>
        <v/>
      </c>
      <c r="F67" s="150">
        <f>IFERROR(INDEX(ABR!$AY$8:$AY$73,MATCH($A67,ABR!$A$8:$A$73,0)),"")</f>
        <v/>
      </c>
      <c r="G67" s="150">
        <f>IFERROR(INDEX(MAI!$AY$8:$AY$73,MATCH($A67,MAI!$A$8:$A$73,0)),"")</f>
        <v/>
      </c>
      <c r="H67" s="150">
        <f>IFERROR(INDEX(JUN!$AY$8:$AY$73,MATCH($A67,JUN!$A$8:$A$73,0)),"")</f>
        <v/>
      </c>
      <c r="I67" s="150">
        <f>IFERROR(INDEX(JUL!$AY$8:$AY$73,MATCH($A67,JUL!$A$8:$A$73,0)),"")</f>
        <v/>
      </c>
      <c r="J67" s="150">
        <f>IFERROR(INDEX(AGO!$AY$8:$AY$73,MATCH($A67,AGO!$A$8:$A$73,0)),"")</f>
        <v/>
      </c>
      <c r="K67" s="150">
        <f>IFERROR(INDEX(SET!$AY$8:$AY$73,MATCH($A67,SET!$A$8:$A$73,0)),"")</f>
        <v/>
      </c>
      <c r="L67" s="150">
        <f>IFERROR(INDEX(OUT!$AY$8:$AY$73,MATCH($A67,OUT!$A$8:$A$73,0)),"")</f>
        <v/>
      </c>
      <c r="M67" s="150">
        <f>IFERROR(INDEX(NOV!$AY$8:$AY$73,MATCH($A67,NOV!$A$8:$A$73,0)),"")</f>
        <v/>
      </c>
      <c r="N67" s="150">
        <f>IFERROR(INDEX(DEZ!$AY$8:$AY$73,MATCH($A67,DEZ!$A$8:$A$73,0)),"")</f>
        <v/>
      </c>
      <c r="O67" s="151">
        <f>SUM(C67:N67)</f>
        <v/>
      </c>
      <c r="P67" s="39" t="n"/>
      <c r="Q67" s="150">
        <f>IFERROR(INDEX(JAN!$AU$8:$AU$73,MATCH($A67,JAN!$A$8:$A$73,0)),"")</f>
        <v/>
      </c>
      <c r="R67" s="150">
        <f>IFERROR(INDEX(FEV!$AU$8:$AU$73,MATCH($A67,FEV!$A$8:$A$73,0)),"")</f>
        <v/>
      </c>
      <c r="S67" s="150">
        <f>IFERROR(INDEX(MAR!$AU$8:$AU$73,MATCH($A67,MAR!$A$8:$A$73,0)),"")</f>
        <v/>
      </c>
      <c r="T67" s="150">
        <f>IFERROR(INDEX(ABR!$AU$8:$AU$73,MATCH($A67,ABR!$A$8:$A$73,0)),"")</f>
        <v/>
      </c>
      <c r="U67" s="150">
        <f>IFERROR(INDEX(MAI!$AU$8:$AU$73,MATCH($A67,MAI!$A$8:$A$73,0)),"")</f>
        <v/>
      </c>
      <c r="V67" s="150">
        <f>IFERROR(INDEX(JUN!$AU$8:$AU$73,MATCH($A67,JUN!$A$8:$A$73,0)),"")</f>
        <v/>
      </c>
      <c r="W67" s="150">
        <f>IFERROR(INDEX(JUL!$AU$8:$AU$73,MATCH($A67,JUL!$A$8:$A$73,0)),"")</f>
        <v/>
      </c>
      <c r="X67" s="150">
        <f>IFERROR(INDEX(AGO!$AU$8:$AU$73,MATCH($A67,AGO!$A$8:$A$73,0)),"")</f>
        <v/>
      </c>
      <c r="Y67" s="150">
        <f>IFERROR(INDEX(SET!$AU$8:$AU$73,MATCH($A67,SET!$A$8:$A$73,0)),"")</f>
        <v/>
      </c>
      <c r="Z67" s="150">
        <f>IFERROR(INDEX(OUT!$AU$8:$AU$73,MATCH($A67,OUT!$A$8:$A$73,0)),"")</f>
        <v/>
      </c>
      <c r="AA67" s="150">
        <f>IFERROR(INDEX(NOV!$AU$8:$AU$73,MATCH($A67,NOV!$A$8:$A$73,0)),"")</f>
        <v/>
      </c>
      <c r="AB67" s="150">
        <f>IFERROR(INDEX(DEZ!$AU$8:$AU$73,MATCH($A67,DEZ!$A$8:$A$73,0)),"")</f>
        <v/>
      </c>
      <c r="AC67" s="151">
        <f>SUM(Q67:AB67)</f>
        <v/>
      </c>
      <c r="AD67" s="39" t="n"/>
      <c r="AE67" s="150">
        <f>IFERROR(INDEX(JAN!$AV$8:$AV$73,MATCH($A67,JAN!$A$8:$A$73,0)),"")</f>
        <v/>
      </c>
      <c r="AF67" s="150">
        <f>IFERROR(INDEX(FEV!$AV$8:$AV$73,MATCH($A67,FEV!$A$8:$A$73,0)),"")</f>
        <v/>
      </c>
      <c r="AG67" s="150">
        <f>IFERROR(INDEX(MAR!$AV$8:$AV$73,MATCH($A67,MAR!$A$8:$A$73,0)),"")</f>
        <v/>
      </c>
      <c r="AH67" s="150">
        <f>IFERROR(INDEX(ABR!$AV$8:$AV$73,MATCH($A67,ABR!$A$8:$A$73,0)),"")</f>
        <v/>
      </c>
      <c r="AI67" s="150">
        <f>IFERROR(INDEX(MAI!$AV$8:$AV$73,MATCH($A67,MAI!$A$8:$A$73,0)),"")</f>
        <v/>
      </c>
      <c r="AJ67" s="150">
        <f>IFERROR(INDEX(JUN!$AV$8:$AV$73,MATCH($A67,JUN!$A$8:$A$73,0)),"")</f>
        <v/>
      </c>
      <c r="AK67" s="150">
        <f>IFERROR(INDEX(JUL!$AV$8:$AV$73,MATCH($A67,JUL!$A$8:$A$73,0)),"")</f>
        <v/>
      </c>
      <c r="AL67" s="150">
        <f>IFERROR(INDEX(AGO!$AV$8:$AV$73,MATCH($A67,AGO!$A$8:$A$73,0)),"")</f>
        <v/>
      </c>
      <c r="AM67" s="150">
        <f>IFERROR(INDEX(SET!$AV$8:$AV$73,MATCH($A67,SET!$A$8:$A$73,0)),"")</f>
        <v/>
      </c>
      <c r="AN67" s="150">
        <f>IFERROR(INDEX(OUT!$AV$8:$AV$73,MATCH($A67,OUT!$A$8:$A$73,0)),"")</f>
        <v/>
      </c>
      <c r="AO67" s="150">
        <f>IFERROR(INDEX(NOV!$AV$8:$AV$73,MATCH($A67,NOV!$A$8:$A$73,0)),"")</f>
        <v/>
      </c>
      <c r="AP67" s="150">
        <f>IFERROR(INDEX(DEZ!$AV$8:$AV$73,MATCH($A67,DEZ!$A$8:$A$73,0)),"")</f>
        <v/>
      </c>
      <c r="AQ67" s="151">
        <f>SUM(AE67:AP67)</f>
        <v/>
      </c>
      <c r="AR67" s="39" t="n"/>
      <c r="AS67" s="150">
        <f>IFERROR(INDEX(JAN!$AW$8:$AW$73,MATCH($A67,JAN!$A$8:$A$73,0)),"")</f>
        <v/>
      </c>
      <c r="AT67" s="150">
        <f>IFERROR(INDEX(FEV!$AW$8:$AW$73,MATCH($A67,FEV!$A$8:$A$73,0)),"")</f>
        <v/>
      </c>
      <c r="AU67" s="150">
        <f>IFERROR(INDEX(MAR!$AW$8:$AW$73,MATCH($A67,MAR!$A$8:$A$73,0)),"")</f>
        <v/>
      </c>
      <c r="AV67" s="150">
        <f>IFERROR(INDEX(ABR!$AW$8:$AW$73,MATCH($A67,ABR!$A$8:$A$73,0)),"")</f>
        <v/>
      </c>
      <c r="AW67" s="150">
        <f>IFERROR(INDEX(MAI!$AW$8:$AW$73,MATCH($A67,MAI!$A$8:$A$73,0)),"")</f>
        <v/>
      </c>
      <c r="AX67" s="150">
        <f>IFERROR(INDEX(JUN!$AW$8:$AW$73,MATCH($A67,JUN!$A$8:$A$73,0)),"")</f>
        <v/>
      </c>
      <c r="AY67" s="150">
        <f>IFERROR(INDEX(JUL!$AW$8:$AW$73,MATCH($A67,JUL!$A$8:$A$73,0)),"")</f>
        <v/>
      </c>
      <c r="AZ67" s="150">
        <f>IFERROR(INDEX(AGO!$AW$8:$AW$73,MATCH($A67,AGO!$A$8:$A$73,0)),"")</f>
        <v/>
      </c>
      <c r="BA67" s="150">
        <f>IFERROR(INDEX(SET!$AW$8:$AW$73,MATCH($A67,SET!$A$8:$A$73,0)),"")</f>
        <v/>
      </c>
      <c r="BB67" s="150">
        <f>IFERROR(INDEX(OUT!$AW$8:$AW$73,MATCH($A67,OUT!$A$8:$A$73,0)),"")</f>
        <v/>
      </c>
      <c r="BC67" s="150">
        <f>IFERROR(INDEX(NOV!$AW$8:$AW$73,MATCH($A67,NOV!$A$8:$A$73,0)),"")</f>
        <v/>
      </c>
      <c r="BD67" s="150">
        <f>IFERROR(INDEX(DEZ!$AW$8:$AW$73,MATCH($A67,DEZ!$A$8:$A$73,0)),"")</f>
        <v/>
      </c>
      <c r="BE67" s="151">
        <f>SUM(AS67:BD67)</f>
        <v/>
      </c>
      <c r="BF67" s="39" t="n"/>
      <c r="BG67" s="102" t="n">
        <v>4</v>
      </c>
      <c r="BH67" s="120">
        <f>SUM(AE67:AP67)</f>
        <v/>
      </c>
      <c r="BI67" s="152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3">
        <f>CADASTRO!$C64</f>
        <v/>
      </c>
      <c r="C68" s="150">
        <f>IFERROR(INDEX(JAN!$AY$8:$AY$73,MATCH($A68,JAN!$A$8:$A$73,0)),"")</f>
        <v/>
      </c>
      <c r="D68" s="150">
        <f>IFERROR(INDEX(FEV!$AY$8:$AY$73,MATCH($A68,FEV!$A$8:$A$73,0)),"")</f>
        <v/>
      </c>
      <c r="E68" s="150">
        <f>IFERROR(INDEX(MAR!$AY$8:$AY$73,MATCH($A68,MAR!$A$8:$A$73,0)),"")</f>
        <v/>
      </c>
      <c r="F68" s="150">
        <f>IFERROR(INDEX(ABR!$AY$8:$AY$73,MATCH($A68,ABR!$A$8:$A$73,0)),"")</f>
        <v/>
      </c>
      <c r="G68" s="150">
        <f>IFERROR(INDEX(MAI!$AY$8:$AY$73,MATCH($A68,MAI!$A$8:$A$73,0)),"")</f>
        <v/>
      </c>
      <c r="H68" s="150">
        <f>IFERROR(INDEX(JUN!$AY$8:$AY$73,MATCH($A68,JUN!$A$8:$A$73,0)),"")</f>
        <v/>
      </c>
      <c r="I68" s="150">
        <f>IFERROR(INDEX(JUL!$AY$8:$AY$73,MATCH($A68,JUL!$A$8:$A$73,0)),"")</f>
        <v/>
      </c>
      <c r="J68" s="150">
        <f>IFERROR(INDEX(AGO!$AY$8:$AY$73,MATCH($A68,AGO!$A$8:$A$73,0)),"")</f>
        <v/>
      </c>
      <c r="K68" s="150">
        <f>IFERROR(INDEX(SET!$AY$8:$AY$73,MATCH($A68,SET!$A$8:$A$73,0)),"")</f>
        <v/>
      </c>
      <c r="L68" s="150">
        <f>IFERROR(INDEX(OUT!$AY$8:$AY$73,MATCH($A68,OUT!$A$8:$A$73,0)),"")</f>
        <v/>
      </c>
      <c r="M68" s="150">
        <f>IFERROR(INDEX(NOV!$AY$8:$AY$73,MATCH($A68,NOV!$A$8:$A$73,0)),"")</f>
        <v/>
      </c>
      <c r="N68" s="150">
        <f>IFERROR(INDEX(DEZ!$AY$8:$AY$73,MATCH($A68,DEZ!$A$8:$A$73,0)),"")</f>
        <v/>
      </c>
      <c r="O68" s="151">
        <f>SUM(C68:N68)</f>
        <v/>
      </c>
      <c r="P68" s="39" t="n"/>
      <c r="Q68" s="150">
        <f>IFERROR(INDEX(JAN!$AU$8:$AU$73,MATCH($A68,JAN!$A$8:$A$73,0)),"")</f>
        <v/>
      </c>
      <c r="R68" s="150">
        <f>IFERROR(INDEX(FEV!$AU$8:$AU$73,MATCH($A68,FEV!$A$8:$A$73,0)),"")</f>
        <v/>
      </c>
      <c r="S68" s="150">
        <f>IFERROR(INDEX(MAR!$AU$8:$AU$73,MATCH($A68,MAR!$A$8:$A$73,0)),"")</f>
        <v/>
      </c>
      <c r="T68" s="150">
        <f>IFERROR(INDEX(ABR!$AU$8:$AU$73,MATCH($A68,ABR!$A$8:$A$73,0)),"")</f>
        <v/>
      </c>
      <c r="U68" s="150">
        <f>IFERROR(INDEX(MAI!$AU$8:$AU$73,MATCH($A68,MAI!$A$8:$A$73,0)),"")</f>
        <v/>
      </c>
      <c r="V68" s="150">
        <f>IFERROR(INDEX(JUN!$AU$8:$AU$73,MATCH($A68,JUN!$A$8:$A$73,0)),"")</f>
        <v/>
      </c>
      <c r="W68" s="150">
        <f>IFERROR(INDEX(JUL!$AU$8:$AU$73,MATCH($A68,JUL!$A$8:$A$73,0)),"")</f>
        <v/>
      </c>
      <c r="X68" s="150">
        <f>IFERROR(INDEX(AGO!$AU$8:$AU$73,MATCH($A68,AGO!$A$8:$A$73,0)),"")</f>
        <v/>
      </c>
      <c r="Y68" s="150">
        <f>IFERROR(INDEX(SET!$AU$8:$AU$73,MATCH($A68,SET!$A$8:$A$73,0)),"")</f>
        <v/>
      </c>
      <c r="Z68" s="150">
        <f>IFERROR(INDEX(OUT!$AU$8:$AU$73,MATCH($A68,OUT!$A$8:$A$73,0)),"")</f>
        <v/>
      </c>
      <c r="AA68" s="150">
        <f>IFERROR(INDEX(NOV!$AU$8:$AU$73,MATCH($A68,NOV!$A$8:$A$73,0)),"")</f>
        <v/>
      </c>
      <c r="AB68" s="150">
        <f>IFERROR(INDEX(DEZ!$AU$8:$AU$73,MATCH($A68,DEZ!$A$8:$A$73,0)),"")</f>
        <v/>
      </c>
      <c r="AC68" s="151">
        <f>SUM(Q68:AB68)</f>
        <v/>
      </c>
      <c r="AD68" s="39" t="n"/>
      <c r="AE68" s="150">
        <f>IFERROR(INDEX(JAN!$AV$8:$AV$73,MATCH($A68,JAN!$A$8:$A$73,0)),"")</f>
        <v/>
      </c>
      <c r="AF68" s="150">
        <f>IFERROR(INDEX(FEV!$AV$8:$AV$73,MATCH($A68,FEV!$A$8:$A$73,0)),"")</f>
        <v/>
      </c>
      <c r="AG68" s="150">
        <f>IFERROR(INDEX(MAR!$AV$8:$AV$73,MATCH($A68,MAR!$A$8:$A$73,0)),"")</f>
        <v/>
      </c>
      <c r="AH68" s="150">
        <f>IFERROR(INDEX(ABR!$AV$8:$AV$73,MATCH($A68,ABR!$A$8:$A$73,0)),"")</f>
        <v/>
      </c>
      <c r="AI68" s="150">
        <f>IFERROR(INDEX(MAI!$AV$8:$AV$73,MATCH($A68,MAI!$A$8:$A$73,0)),"")</f>
        <v/>
      </c>
      <c r="AJ68" s="150">
        <f>IFERROR(INDEX(JUN!$AV$8:$AV$73,MATCH($A68,JUN!$A$8:$A$73,0)),"")</f>
        <v/>
      </c>
      <c r="AK68" s="150">
        <f>IFERROR(INDEX(JUL!$AV$8:$AV$73,MATCH($A68,JUL!$A$8:$A$73,0)),"")</f>
        <v/>
      </c>
      <c r="AL68" s="150">
        <f>IFERROR(INDEX(AGO!$AV$8:$AV$73,MATCH($A68,AGO!$A$8:$A$73,0)),"")</f>
        <v/>
      </c>
      <c r="AM68" s="150">
        <f>IFERROR(INDEX(SET!$AV$8:$AV$73,MATCH($A68,SET!$A$8:$A$73,0)),"")</f>
        <v/>
      </c>
      <c r="AN68" s="150">
        <f>IFERROR(INDEX(OUT!$AV$8:$AV$73,MATCH($A68,OUT!$A$8:$A$73,0)),"")</f>
        <v/>
      </c>
      <c r="AO68" s="150">
        <f>IFERROR(INDEX(NOV!$AV$8:$AV$73,MATCH($A68,NOV!$A$8:$A$73,0)),"")</f>
        <v/>
      </c>
      <c r="AP68" s="150">
        <f>IFERROR(INDEX(DEZ!$AV$8:$AV$73,MATCH($A68,DEZ!$A$8:$A$73,0)),"")</f>
        <v/>
      </c>
      <c r="AQ68" s="151">
        <f>SUM(AE68:AP68)</f>
        <v/>
      </c>
      <c r="AR68" s="39" t="n"/>
      <c r="AS68" s="150">
        <f>IFERROR(INDEX(JAN!$AW$8:$AW$73,MATCH($A68,JAN!$A$8:$A$73,0)),"")</f>
        <v/>
      </c>
      <c r="AT68" s="150">
        <f>IFERROR(INDEX(FEV!$AW$8:$AW$73,MATCH($A68,FEV!$A$8:$A$73,0)),"")</f>
        <v/>
      </c>
      <c r="AU68" s="150">
        <f>IFERROR(INDEX(MAR!$AW$8:$AW$73,MATCH($A68,MAR!$A$8:$A$73,0)),"")</f>
        <v/>
      </c>
      <c r="AV68" s="150">
        <f>IFERROR(INDEX(ABR!$AW$8:$AW$73,MATCH($A68,ABR!$A$8:$A$73,0)),"")</f>
        <v/>
      </c>
      <c r="AW68" s="150">
        <f>IFERROR(INDEX(MAI!$AW$8:$AW$73,MATCH($A68,MAI!$A$8:$A$73,0)),"")</f>
        <v/>
      </c>
      <c r="AX68" s="150">
        <f>IFERROR(INDEX(JUN!$AW$8:$AW$73,MATCH($A68,JUN!$A$8:$A$73,0)),"")</f>
        <v/>
      </c>
      <c r="AY68" s="150">
        <f>IFERROR(INDEX(JUL!$AW$8:$AW$73,MATCH($A68,JUL!$A$8:$A$73,0)),"")</f>
        <v/>
      </c>
      <c r="AZ68" s="150">
        <f>IFERROR(INDEX(AGO!$AW$8:$AW$73,MATCH($A68,AGO!$A$8:$A$73,0)),"")</f>
        <v/>
      </c>
      <c r="BA68" s="150">
        <f>IFERROR(INDEX(SET!$AW$8:$AW$73,MATCH($A68,SET!$A$8:$A$73,0)),"")</f>
        <v/>
      </c>
      <c r="BB68" s="150">
        <f>IFERROR(INDEX(OUT!$AW$8:$AW$73,MATCH($A68,OUT!$A$8:$A$73,0)),"")</f>
        <v/>
      </c>
      <c r="BC68" s="150">
        <f>IFERROR(INDEX(NOV!$AW$8:$AW$73,MATCH($A68,NOV!$A$8:$A$73,0)),"")</f>
        <v/>
      </c>
      <c r="BD68" s="150">
        <f>IFERROR(INDEX(DEZ!$AW$8:$AW$73,MATCH($A68,DEZ!$A$8:$A$73,0)),"")</f>
        <v/>
      </c>
      <c r="BE68" s="151">
        <f>SUM(AS68:BD68)</f>
        <v/>
      </c>
      <c r="BF68" s="39" t="n"/>
      <c r="BG68" s="102" t="n">
        <v>5</v>
      </c>
      <c r="BH68" s="120">
        <f>SUM(AE68:AP68)</f>
        <v/>
      </c>
      <c r="BI68" s="152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3">
        <f>CADASTRO!$C65</f>
        <v/>
      </c>
      <c r="C69" s="150">
        <f>IFERROR(INDEX(JAN!$AY$8:$AY$73,MATCH($A69,JAN!$A$8:$A$73,0)),"")</f>
        <v/>
      </c>
      <c r="D69" s="150">
        <f>IFERROR(INDEX(FEV!$AY$8:$AY$73,MATCH($A69,FEV!$A$8:$A$73,0)),"")</f>
        <v/>
      </c>
      <c r="E69" s="150">
        <f>IFERROR(INDEX(MAR!$AY$8:$AY$73,MATCH($A69,MAR!$A$8:$A$73,0)),"")</f>
        <v/>
      </c>
      <c r="F69" s="150">
        <f>IFERROR(INDEX(ABR!$AY$8:$AY$73,MATCH($A69,ABR!$A$8:$A$73,0)),"")</f>
        <v/>
      </c>
      <c r="G69" s="150">
        <f>IFERROR(INDEX(MAI!$AY$8:$AY$73,MATCH($A69,MAI!$A$8:$A$73,0)),"")</f>
        <v/>
      </c>
      <c r="H69" s="150">
        <f>IFERROR(INDEX(JUN!$AY$8:$AY$73,MATCH($A69,JUN!$A$8:$A$73,0)),"")</f>
        <v/>
      </c>
      <c r="I69" s="150">
        <f>IFERROR(INDEX(JUL!$AY$8:$AY$73,MATCH($A69,JUL!$A$8:$A$73,0)),"")</f>
        <v/>
      </c>
      <c r="J69" s="150">
        <f>IFERROR(INDEX(AGO!$AY$8:$AY$73,MATCH($A69,AGO!$A$8:$A$73,0)),"")</f>
        <v/>
      </c>
      <c r="K69" s="150">
        <f>IFERROR(INDEX(SET!$AY$8:$AY$73,MATCH($A69,SET!$A$8:$A$73,0)),"")</f>
        <v/>
      </c>
      <c r="L69" s="150">
        <f>IFERROR(INDEX(OUT!$AY$8:$AY$73,MATCH($A69,OUT!$A$8:$A$73,0)),"")</f>
        <v/>
      </c>
      <c r="M69" s="150">
        <f>IFERROR(INDEX(NOV!$AY$8:$AY$73,MATCH($A69,NOV!$A$8:$A$73,0)),"")</f>
        <v/>
      </c>
      <c r="N69" s="150">
        <f>IFERROR(INDEX(DEZ!$AY$8:$AY$73,MATCH($A69,DEZ!$A$8:$A$73,0)),"")</f>
        <v/>
      </c>
      <c r="O69" s="151">
        <f>SUM(C69:N69)</f>
        <v/>
      </c>
      <c r="P69" s="39" t="n"/>
      <c r="Q69" s="150">
        <f>IFERROR(INDEX(JAN!$AU$8:$AU$73,MATCH($A69,JAN!$A$8:$A$73,0)),"")</f>
        <v/>
      </c>
      <c r="R69" s="150">
        <f>IFERROR(INDEX(FEV!$AU$8:$AU$73,MATCH($A69,FEV!$A$8:$A$73,0)),"")</f>
        <v/>
      </c>
      <c r="S69" s="150">
        <f>IFERROR(INDEX(MAR!$AU$8:$AU$73,MATCH($A69,MAR!$A$8:$A$73,0)),"")</f>
        <v/>
      </c>
      <c r="T69" s="150">
        <f>IFERROR(INDEX(ABR!$AU$8:$AU$73,MATCH($A69,ABR!$A$8:$A$73,0)),"")</f>
        <v/>
      </c>
      <c r="U69" s="150">
        <f>IFERROR(INDEX(MAI!$AU$8:$AU$73,MATCH($A69,MAI!$A$8:$A$73,0)),"")</f>
        <v/>
      </c>
      <c r="V69" s="150">
        <f>IFERROR(INDEX(JUN!$AU$8:$AU$73,MATCH($A69,JUN!$A$8:$A$73,0)),"")</f>
        <v/>
      </c>
      <c r="W69" s="150">
        <f>IFERROR(INDEX(JUL!$AU$8:$AU$73,MATCH($A69,JUL!$A$8:$A$73,0)),"")</f>
        <v/>
      </c>
      <c r="X69" s="150">
        <f>IFERROR(INDEX(AGO!$AU$8:$AU$73,MATCH($A69,AGO!$A$8:$A$73,0)),"")</f>
        <v/>
      </c>
      <c r="Y69" s="150">
        <f>IFERROR(INDEX(SET!$AU$8:$AU$73,MATCH($A69,SET!$A$8:$A$73,0)),"")</f>
        <v/>
      </c>
      <c r="Z69" s="150">
        <f>IFERROR(INDEX(OUT!$AU$8:$AU$73,MATCH($A69,OUT!$A$8:$A$73,0)),"")</f>
        <v/>
      </c>
      <c r="AA69" s="150">
        <f>IFERROR(INDEX(NOV!$AU$8:$AU$73,MATCH($A69,NOV!$A$8:$A$73,0)),"")</f>
        <v/>
      </c>
      <c r="AB69" s="150">
        <f>IFERROR(INDEX(DEZ!$AU$8:$AU$73,MATCH($A69,DEZ!$A$8:$A$73,0)),"")</f>
        <v/>
      </c>
      <c r="AC69" s="151">
        <f>SUM(Q69:AB69)</f>
        <v/>
      </c>
      <c r="AD69" s="39" t="n"/>
      <c r="AE69" s="150">
        <f>IFERROR(INDEX(JAN!$AV$8:$AV$73,MATCH($A69,JAN!$A$8:$A$73,0)),"")</f>
        <v/>
      </c>
      <c r="AF69" s="150">
        <f>IFERROR(INDEX(FEV!$AV$8:$AV$73,MATCH($A69,FEV!$A$8:$A$73,0)),"")</f>
        <v/>
      </c>
      <c r="AG69" s="150">
        <f>IFERROR(INDEX(MAR!$AV$8:$AV$73,MATCH($A69,MAR!$A$8:$A$73,0)),"")</f>
        <v/>
      </c>
      <c r="AH69" s="150">
        <f>IFERROR(INDEX(ABR!$AV$8:$AV$73,MATCH($A69,ABR!$A$8:$A$73,0)),"")</f>
        <v/>
      </c>
      <c r="AI69" s="150">
        <f>IFERROR(INDEX(MAI!$AV$8:$AV$73,MATCH($A69,MAI!$A$8:$A$73,0)),"")</f>
        <v/>
      </c>
      <c r="AJ69" s="150">
        <f>IFERROR(INDEX(JUN!$AV$8:$AV$73,MATCH($A69,JUN!$A$8:$A$73,0)),"")</f>
        <v/>
      </c>
      <c r="AK69" s="150">
        <f>IFERROR(INDEX(JUL!$AV$8:$AV$73,MATCH($A69,JUL!$A$8:$A$73,0)),"")</f>
        <v/>
      </c>
      <c r="AL69" s="150">
        <f>IFERROR(INDEX(AGO!$AV$8:$AV$73,MATCH($A69,AGO!$A$8:$A$73,0)),"")</f>
        <v/>
      </c>
      <c r="AM69" s="150">
        <f>IFERROR(INDEX(SET!$AV$8:$AV$73,MATCH($A69,SET!$A$8:$A$73,0)),"")</f>
        <v/>
      </c>
      <c r="AN69" s="150">
        <f>IFERROR(INDEX(OUT!$AV$8:$AV$73,MATCH($A69,OUT!$A$8:$A$73,0)),"")</f>
        <v/>
      </c>
      <c r="AO69" s="150">
        <f>IFERROR(INDEX(NOV!$AV$8:$AV$73,MATCH($A69,NOV!$A$8:$A$73,0)),"")</f>
        <v/>
      </c>
      <c r="AP69" s="150">
        <f>IFERROR(INDEX(DEZ!$AV$8:$AV$73,MATCH($A69,DEZ!$A$8:$A$73,0)),"")</f>
        <v/>
      </c>
      <c r="AQ69" s="151">
        <f>SUM(AE69:AP69)</f>
        <v/>
      </c>
      <c r="AR69" s="39" t="n"/>
      <c r="AS69" s="150">
        <f>IFERROR(INDEX(JAN!$AW$8:$AW$73,MATCH($A69,JAN!$A$8:$A$73,0)),"")</f>
        <v/>
      </c>
      <c r="AT69" s="150">
        <f>IFERROR(INDEX(FEV!$AW$8:$AW$73,MATCH($A69,FEV!$A$8:$A$73,0)),"")</f>
        <v/>
      </c>
      <c r="AU69" s="150">
        <f>IFERROR(INDEX(MAR!$AW$8:$AW$73,MATCH($A69,MAR!$A$8:$A$73,0)),"")</f>
        <v/>
      </c>
      <c r="AV69" s="150">
        <f>IFERROR(INDEX(ABR!$AW$8:$AW$73,MATCH($A69,ABR!$A$8:$A$73,0)),"")</f>
        <v/>
      </c>
      <c r="AW69" s="150">
        <f>IFERROR(INDEX(MAI!$AW$8:$AW$73,MATCH($A69,MAI!$A$8:$A$73,0)),"")</f>
        <v/>
      </c>
      <c r="AX69" s="150">
        <f>IFERROR(INDEX(JUN!$AW$8:$AW$73,MATCH($A69,JUN!$A$8:$A$73,0)),"")</f>
        <v/>
      </c>
      <c r="AY69" s="150">
        <f>IFERROR(INDEX(JUL!$AW$8:$AW$73,MATCH($A69,JUL!$A$8:$A$73,0)),"")</f>
        <v/>
      </c>
      <c r="AZ69" s="150">
        <f>IFERROR(INDEX(AGO!$AW$8:$AW$73,MATCH($A69,AGO!$A$8:$A$73,0)),"")</f>
        <v/>
      </c>
      <c r="BA69" s="150">
        <f>IFERROR(INDEX(SET!$AW$8:$AW$73,MATCH($A69,SET!$A$8:$A$73,0)),"")</f>
        <v/>
      </c>
      <c r="BB69" s="150">
        <f>IFERROR(INDEX(OUT!$AW$8:$AW$73,MATCH($A69,OUT!$A$8:$A$73,0)),"")</f>
        <v/>
      </c>
      <c r="BC69" s="150">
        <f>IFERROR(INDEX(NOV!$AW$8:$AW$73,MATCH($A69,NOV!$A$8:$A$73,0)),"")</f>
        <v/>
      </c>
      <c r="BD69" s="150">
        <f>IFERROR(INDEX(DEZ!$AW$8:$AW$73,MATCH($A69,DEZ!$A$8:$A$73,0)),"")</f>
        <v/>
      </c>
      <c r="BE69" s="151">
        <f>SUM(AS69:BD69)</f>
        <v/>
      </c>
      <c r="BF69" s="39" t="n"/>
      <c r="BG69" s="102" t="n">
        <v>3</v>
      </c>
      <c r="BH69" s="120">
        <f>SUM(AE69:AP69)</f>
        <v/>
      </c>
      <c r="BI69" s="152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3">
        <f>CADASTRO!$C66</f>
        <v/>
      </c>
      <c r="C70" s="150">
        <f>IFERROR(INDEX(JAN!$AY$8:$AY$73,MATCH($A70,JAN!$A$8:$A$73,0)),"")</f>
        <v/>
      </c>
      <c r="D70" s="150">
        <f>IFERROR(INDEX(FEV!$AY$8:$AY$73,MATCH($A70,FEV!$A$8:$A$73,0)),"")</f>
        <v/>
      </c>
      <c r="E70" s="150">
        <f>IFERROR(INDEX(MAR!$AY$8:$AY$73,MATCH($A70,MAR!$A$8:$A$73,0)),"")</f>
        <v/>
      </c>
      <c r="F70" s="150">
        <f>IFERROR(INDEX(ABR!$AY$8:$AY$73,MATCH($A70,ABR!$A$8:$A$73,0)),"")</f>
        <v/>
      </c>
      <c r="G70" s="150">
        <f>IFERROR(INDEX(MAI!$AY$8:$AY$73,MATCH($A70,MAI!$A$8:$A$73,0)),"")</f>
        <v/>
      </c>
      <c r="H70" s="150">
        <f>IFERROR(INDEX(JUN!$AY$8:$AY$73,MATCH($A70,JUN!$A$8:$A$73,0)),"")</f>
        <v/>
      </c>
      <c r="I70" s="150">
        <f>IFERROR(INDEX(JUL!$AY$8:$AY$73,MATCH($A70,JUL!$A$8:$A$73,0)),"")</f>
        <v/>
      </c>
      <c r="J70" s="150">
        <f>IFERROR(INDEX(AGO!$AY$8:$AY$73,MATCH($A70,AGO!$A$8:$A$73,0)),"")</f>
        <v/>
      </c>
      <c r="K70" s="150">
        <f>IFERROR(INDEX(SET!$AY$8:$AY$73,MATCH($A70,SET!$A$8:$A$73,0)),"")</f>
        <v/>
      </c>
      <c r="L70" s="150">
        <f>IFERROR(INDEX(OUT!$AY$8:$AY$73,MATCH($A70,OUT!$A$8:$A$73,0)),"")</f>
        <v/>
      </c>
      <c r="M70" s="150">
        <f>IFERROR(INDEX(NOV!$AY$8:$AY$73,MATCH($A70,NOV!$A$8:$A$73,0)),"")</f>
        <v/>
      </c>
      <c r="N70" s="150">
        <f>IFERROR(INDEX(DEZ!$AY$8:$AY$73,MATCH($A70,DEZ!$A$8:$A$73,0)),"")</f>
        <v/>
      </c>
      <c r="O70" s="151">
        <f>SUM(C70:N70)</f>
        <v/>
      </c>
      <c r="P70" s="39" t="n"/>
      <c r="Q70" s="150">
        <f>IFERROR(INDEX(JAN!$AU$8:$AU$73,MATCH($A70,JAN!$A$8:$A$73,0)),"")</f>
        <v/>
      </c>
      <c r="R70" s="150">
        <f>IFERROR(INDEX(FEV!$AU$8:$AU$73,MATCH($A70,FEV!$A$8:$A$73,0)),"")</f>
        <v/>
      </c>
      <c r="S70" s="150">
        <f>IFERROR(INDEX(MAR!$AU$8:$AU$73,MATCH($A70,MAR!$A$8:$A$73,0)),"")</f>
        <v/>
      </c>
      <c r="T70" s="150">
        <f>IFERROR(INDEX(ABR!$AU$8:$AU$73,MATCH($A70,ABR!$A$8:$A$73,0)),"")</f>
        <v/>
      </c>
      <c r="U70" s="150">
        <f>IFERROR(INDEX(MAI!$AU$8:$AU$73,MATCH($A70,MAI!$A$8:$A$73,0)),"")</f>
        <v/>
      </c>
      <c r="V70" s="150">
        <f>IFERROR(INDEX(JUN!$AU$8:$AU$73,MATCH($A70,JUN!$A$8:$A$73,0)),"")</f>
        <v/>
      </c>
      <c r="W70" s="150">
        <f>IFERROR(INDEX(JUL!$AU$8:$AU$73,MATCH($A70,JUL!$A$8:$A$73,0)),"")</f>
        <v/>
      </c>
      <c r="X70" s="150">
        <f>IFERROR(INDEX(AGO!$AU$8:$AU$73,MATCH($A70,AGO!$A$8:$A$73,0)),"")</f>
        <v/>
      </c>
      <c r="Y70" s="150">
        <f>IFERROR(INDEX(SET!$AU$8:$AU$73,MATCH($A70,SET!$A$8:$A$73,0)),"")</f>
        <v/>
      </c>
      <c r="Z70" s="150">
        <f>IFERROR(INDEX(OUT!$AU$8:$AU$73,MATCH($A70,OUT!$A$8:$A$73,0)),"")</f>
        <v/>
      </c>
      <c r="AA70" s="150">
        <f>IFERROR(INDEX(NOV!$AU$8:$AU$73,MATCH($A70,NOV!$A$8:$A$73,0)),"")</f>
        <v/>
      </c>
      <c r="AB70" s="150">
        <f>IFERROR(INDEX(DEZ!$AU$8:$AU$73,MATCH($A70,DEZ!$A$8:$A$73,0)),"")</f>
        <v/>
      </c>
      <c r="AC70" s="151">
        <f>SUM(Q70:AB70)</f>
        <v/>
      </c>
      <c r="AD70" s="39" t="n"/>
      <c r="AE70" s="150">
        <f>IFERROR(INDEX(JAN!$AV$8:$AV$73,MATCH($A70,JAN!$A$8:$A$73,0)),"")</f>
        <v/>
      </c>
      <c r="AF70" s="150">
        <f>IFERROR(INDEX(FEV!$AV$8:$AV$73,MATCH($A70,FEV!$A$8:$A$73,0)),"")</f>
        <v/>
      </c>
      <c r="AG70" s="150">
        <f>IFERROR(INDEX(MAR!$AV$8:$AV$73,MATCH($A70,MAR!$A$8:$A$73,0)),"")</f>
        <v/>
      </c>
      <c r="AH70" s="150">
        <f>IFERROR(INDEX(ABR!$AV$8:$AV$73,MATCH($A70,ABR!$A$8:$A$73,0)),"")</f>
        <v/>
      </c>
      <c r="AI70" s="150">
        <f>IFERROR(INDEX(MAI!$AV$8:$AV$73,MATCH($A70,MAI!$A$8:$A$73,0)),"")</f>
        <v/>
      </c>
      <c r="AJ70" s="150">
        <f>IFERROR(INDEX(JUN!$AV$8:$AV$73,MATCH($A70,JUN!$A$8:$A$73,0)),"")</f>
        <v/>
      </c>
      <c r="AK70" s="150">
        <f>IFERROR(INDEX(JUL!$AV$8:$AV$73,MATCH($A70,JUL!$A$8:$A$73,0)),"")</f>
        <v/>
      </c>
      <c r="AL70" s="150">
        <f>IFERROR(INDEX(AGO!$AV$8:$AV$73,MATCH($A70,AGO!$A$8:$A$73,0)),"")</f>
        <v/>
      </c>
      <c r="AM70" s="150">
        <f>IFERROR(INDEX(SET!$AV$8:$AV$73,MATCH($A70,SET!$A$8:$A$73,0)),"")</f>
        <v/>
      </c>
      <c r="AN70" s="150">
        <f>IFERROR(INDEX(OUT!$AV$8:$AV$73,MATCH($A70,OUT!$A$8:$A$73,0)),"")</f>
        <v/>
      </c>
      <c r="AO70" s="150">
        <f>IFERROR(INDEX(NOV!$AV$8:$AV$73,MATCH($A70,NOV!$A$8:$A$73,0)),"")</f>
        <v/>
      </c>
      <c r="AP70" s="150">
        <f>IFERROR(INDEX(DEZ!$AV$8:$AV$73,MATCH($A70,DEZ!$A$8:$A$73,0)),"")</f>
        <v/>
      </c>
      <c r="AQ70" s="151">
        <f>SUM(AE70:AP70)</f>
        <v/>
      </c>
      <c r="AR70" s="39" t="n"/>
      <c r="AS70" s="150">
        <f>IFERROR(INDEX(JAN!$AW$8:$AW$73,MATCH($A70,JAN!$A$8:$A$73,0)),"")</f>
        <v/>
      </c>
      <c r="AT70" s="150">
        <f>IFERROR(INDEX(FEV!$AW$8:$AW$73,MATCH($A70,FEV!$A$8:$A$73,0)),"")</f>
        <v/>
      </c>
      <c r="AU70" s="150">
        <f>IFERROR(INDEX(MAR!$AW$8:$AW$73,MATCH($A70,MAR!$A$8:$A$73,0)),"")</f>
        <v/>
      </c>
      <c r="AV70" s="150">
        <f>IFERROR(INDEX(ABR!$AW$8:$AW$73,MATCH($A70,ABR!$A$8:$A$73,0)),"")</f>
        <v/>
      </c>
      <c r="AW70" s="150">
        <f>IFERROR(INDEX(MAI!$AW$8:$AW$73,MATCH($A70,MAI!$A$8:$A$73,0)),"")</f>
        <v/>
      </c>
      <c r="AX70" s="150">
        <f>IFERROR(INDEX(JUN!$AW$8:$AW$73,MATCH($A70,JUN!$A$8:$A$73,0)),"")</f>
        <v/>
      </c>
      <c r="AY70" s="150">
        <f>IFERROR(INDEX(JUL!$AW$8:$AW$73,MATCH($A70,JUL!$A$8:$A$73,0)),"")</f>
        <v/>
      </c>
      <c r="AZ70" s="150">
        <f>IFERROR(INDEX(AGO!$AW$8:$AW$73,MATCH($A70,AGO!$A$8:$A$73,0)),"")</f>
        <v/>
      </c>
      <c r="BA70" s="150">
        <f>IFERROR(INDEX(SET!$AW$8:$AW$73,MATCH($A70,SET!$A$8:$A$73,0)),"")</f>
        <v/>
      </c>
      <c r="BB70" s="150">
        <f>IFERROR(INDEX(OUT!$AW$8:$AW$73,MATCH($A70,OUT!$A$8:$A$73,0)),"")</f>
        <v/>
      </c>
      <c r="BC70" s="150">
        <f>IFERROR(INDEX(NOV!$AW$8:$AW$73,MATCH($A70,NOV!$A$8:$A$73,0)),"")</f>
        <v/>
      </c>
      <c r="BD70" s="150">
        <f>IFERROR(INDEX(DEZ!$AW$8:$AW$73,MATCH($A70,DEZ!$A$8:$A$73,0)),"")</f>
        <v/>
      </c>
      <c r="BE70" s="151">
        <f>SUM(AS70:BD70)</f>
        <v/>
      </c>
      <c r="BF70" s="39" t="n"/>
      <c r="BG70" s="102" t="n">
        <v>0</v>
      </c>
      <c r="BH70" s="120">
        <f>SUM(AE70:AP70)</f>
        <v/>
      </c>
      <c r="BI70" s="152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3">
        <f>CADASTRO!$C67</f>
        <v/>
      </c>
      <c r="C71" s="150">
        <f>IFERROR(INDEX(JAN!$AY$8:$AY$73,MATCH($A71,JAN!$A$8:$A$73,0)),"")</f>
        <v/>
      </c>
      <c r="D71" s="150">
        <f>IFERROR(INDEX(FEV!$AY$8:$AY$73,MATCH($A71,FEV!$A$8:$A$73,0)),"")</f>
        <v/>
      </c>
      <c r="E71" s="150">
        <f>IFERROR(INDEX(MAR!$AY$8:$AY$73,MATCH($A71,MAR!$A$8:$A$73,0)),"")</f>
        <v/>
      </c>
      <c r="F71" s="150">
        <f>IFERROR(INDEX(ABR!$AY$8:$AY$73,MATCH($A71,ABR!$A$8:$A$73,0)),"")</f>
        <v/>
      </c>
      <c r="G71" s="150">
        <f>IFERROR(INDEX(MAI!$AY$8:$AY$73,MATCH($A71,MAI!$A$8:$A$73,0)),"")</f>
        <v/>
      </c>
      <c r="H71" s="150">
        <f>IFERROR(INDEX(JUN!$AY$8:$AY$73,MATCH($A71,JUN!$A$8:$A$73,0)),"")</f>
        <v/>
      </c>
      <c r="I71" s="150">
        <f>IFERROR(INDEX(JUL!$AY$8:$AY$73,MATCH($A71,JUL!$A$8:$A$73,0)),"")</f>
        <v/>
      </c>
      <c r="J71" s="150">
        <f>IFERROR(INDEX(AGO!$AY$8:$AY$73,MATCH($A71,AGO!$A$8:$A$73,0)),"")</f>
        <v/>
      </c>
      <c r="K71" s="150">
        <f>IFERROR(INDEX(SET!$AY$8:$AY$73,MATCH($A71,SET!$A$8:$A$73,0)),"")</f>
        <v/>
      </c>
      <c r="L71" s="150">
        <f>IFERROR(INDEX(OUT!$AY$8:$AY$73,MATCH($A71,OUT!$A$8:$A$73,0)),"")</f>
        <v/>
      </c>
      <c r="M71" s="150">
        <f>IFERROR(INDEX(NOV!$AY$8:$AY$73,MATCH($A71,NOV!$A$8:$A$73,0)),"")</f>
        <v/>
      </c>
      <c r="N71" s="150">
        <f>IFERROR(INDEX(DEZ!$AY$8:$AY$73,MATCH($A71,DEZ!$A$8:$A$73,0)),"")</f>
        <v/>
      </c>
      <c r="O71" s="151">
        <f>SUM(C71:N71)</f>
        <v/>
      </c>
      <c r="P71" s="39" t="n"/>
      <c r="Q71" s="150">
        <f>IFERROR(INDEX(JAN!$AU$8:$AU$73,MATCH($A71,JAN!$A$8:$A$73,0)),"")</f>
        <v/>
      </c>
      <c r="R71" s="150">
        <f>IFERROR(INDEX(FEV!$AU$8:$AU$73,MATCH($A71,FEV!$A$8:$A$73,0)),"")</f>
        <v/>
      </c>
      <c r="S71" s="150">
        <f>IFERROR(INDEX(MAR!$AU$8:$AU$73,MATCH($A71,MAR!$A$8:$A$73,0)),"")</f>
        <v/>
      </c>
      <c r="T71" s="150">
        <f>IFERROR(INDEX(ABR!$AU$8:$AU$73,MATCH($A71,ABR!$A$8:$A$73,0)),"")</f>
        <v/>
      </c>
      <c r="U71" s="150">
        <f>IFERROR(INDEX(MAI!$AU$8:$AU$73,MATCH($A71,MAI!$A$8:$A$73,0)),"")</f>
        <v/>
      </c>
      <c r="V71" s="150">
        <f>IFERROR(INDEX(JUN!$AU$8:$AU$73,MATCH($A71,JUN!$A$8:$A$73,0)),"")</f>
        <v/>
      </c>
      <c r="W71" s="150">
        <f>IFERROR(INDEX(JUL!$AU$8:$AU$73,MATCH($A71,JUL!$A$8:$A$73,0)),"")</f>
        <v/>
      </c>
      <c r="X71" s="150">
        <f>IFERROR(INDEX(AGO!$AU$8:$AU$73,MATCH($A71,AGO!$A$8:$A$73,0)),"")</f>
        <v/>
      </c>
      <c r="Y71" s="150">
        <f>IFERROR(INDEX(SET!$AU$8:$AU$73,MATCH($A71,SET!$A$8:$A$73,0)),"")</f>
        <v/>
      </c>
      <c r="Z71" s="150">
        <f>IFERROR(INDEX(OUT!$AU$8:$AU$73,MATCH($A71,OUT!$A$8:$A$73,0)),"")</f>
        <v/>
      </c>
      <c r="AA71" s="150">
        <f>IFERROR(INDEX(NOV!$AU$8:$AU$73,MATCH($A71,NOV!$A$8:$A$73,0)),"")</f>
        <v/>
      </c>
      <c r="AB71" s="150">
        <f>IFERROR(INDEX(DEZ!$AU$8:$AU$73,MATCH($A71,DEZ!$A$8:$A$73,0)),"")</f>
        <v/>
      </c>
      <c r="AC71" s="151">
        <f>SUM(Q71:AB71)</f>
        <v/>
      </c>
      <c r="AD71" s="39" t="n"/>
      <c r="AE71" s="150">
        <f>IFERROR(INDEX(JAN!$AV$8:$AV$73,MATCH($A71,JAN!$A$8:$A$73,0)),"")</f>
        <v/>
      </c>
      <c r="AF71" s="150">
        <f>IFERROR(INDEX(FEV!$AV$8:$AV$73,MATCH($A71,FEV!$A$8:$A$73,0)),"")</f>
        <v/>
      </c>
      <c r="AG71" s="150">
        <f>IFERROR(INDEX(MAR!$AV$8:$AV$73,MATCH($A71,MAR!$A$8:$A$73,0)),"")</f>
        <v/>
      </c>
      <c r="AH71" s="150">
        <f>IFERROR(INDEX(ABR!$AV$8:$AV$73,MATCH($A71,ABR!$A$8:$A$73,0)),"")</f>
        <v/>
      </c>
      <c r="AI71" s="150">
        <f>IFERROR(INDEX(MAI!$AV$8:$AV$73,MATCH($A71,MAI!$A$8:$A$73,0)),"")</f>
        <v/>
      </c>
      <c r="AJ71" s="150">
        <f>IFERROR(INDEX(JUN!$AV$8:$AV$73,MATCH($A71,JUN!$A$8:$A$73,0)),"")</f>
        <v/>
      </c>
      <c r="AK71" s="150">
        <f>IFERROR(INDEX(JUL!$AV$8:$AV$73,MATCH($A71,JUL!$A$8:$A$73,0)),"")</f>
        <v/>
      </c>
      <c r="AL71" s="150">
        <f>IFERROR(INDEX(AGO!$AV$8:$AV$73,MATCH($A71,AGO!$A$8:$A$73,0)),"")</f>
        <v/>
      </c>
      <c r="AM71" s="150">
        <f>IFERROR(INDEX(SET!$AV$8:$AV$73,MATCH($A71,SET!$A$8:$A$73,0)),"")</f>
        <v/>
      </c>
      <c r="AN71" s="150">
        <f>IFERROR(INDEX(OUT!$AV$8:$AV$73,MATCH($A71,OUT!$A$8:$A$73,0)),"")</f>
        <v/>
      </c>
      <c r="AO71" s="150">
        <f>IFERROR(INDEX(NOV!$AV$8:$AV$73,MATCH($A71,NOV!$A$8:$A$73,0)),"")</f>
        <v/>
      </c>
      <c r="AP71" s="150">
        <f>IFERROR(INDEX(DEZ!$AV$8:$AV$73,MATCH($A71,DEZ!$A$8:$A$73,0)),"")</f>
        <v/>
      </c>
      <c r="AQ71" s="151">
        <f>SUM(AE71:AP71)</f>
        <v/>
      </c>
      <c r="AR71" s="39" t="n"/>
      <c r="AS71" s="150">
        <f>IFERROR(INDEX(JAN!$AW$8:$AW$73,MATCH($A71,JAN!$A$8:$A$73,0)),"")</f>
        <v/>
      </c>
      <c r="AT71" s="150">
        <f>IFERROR(INDEX(FEV!$AW$8:$AW$73,MATCH($A71,FEV!$A$8:$A$73,0)),"")</f>
        <v/>
      </c>
      <c r="AU71" s="150">
        <f>IFERROR(INDEX(MAR!$AW$8:$AW$73,MATCH($A71,MAR!$A$8:$A$73,0)),"")</f>
        <v/>
      </c>
      <c r="AV71" s="150">
        <f>IFERROR(INDEX(ABR!$AW$8:$AW$73,MATCH($A71,ABR!$A$8:$A$73,0)),"")</f>
        <v/>
      </c>
      <c r="AW71" s="150">
        <f>IFERROR(INDEX(MAI!$AW$8:$AW$73,MATCH($A71,MAI!$A$8:$A$73,0)),"")</f>
        <v/>
      </c>
      <c r="AX71" s="150">
        <f>IFERROR(INDEX(JUN!$AW$8:$AW$73,MATCH($A71,JUN!$A$8:$A$73,0)),"")</f>
        <v/>
      </c>
      <c r="AY71" s="150">
        <f>IFERROR(INDEX(JUL!$AW$8:$AW$73,MATCH($A71,JUL!$A$8:$A$73,0)),"")</f>
        <v/>
      </c>
      <c r="AZ71" s="150">
        <f>IFERROR(INDEX(AGO!$AW$8:$AW$73,MATCH($A71,AGO!$A$8:$A$73,0)),"")</f>
        <v/>
      </c>
      <c r="BA71" s="150">
        <f>IFERROR(INDEX(SET!$AW$8:$AW$73,MATCH($A71,SET!$A$8:$A$73,0)),"")</f>
        <v/>
      </c>
      <c r="BB71" s="150">
        <f>IFERROR(INDEX(OUT!$AW$8:$AW$73,MATCH($A71,OUT!$A$8:$A$73,0)),"")</f>
        <v/>
      </c>
      <c r="BC71" s="150">
        <f>IFERROR(INDEX(NOV!$AW$8:$AW$73,MATCH($A71,NOV!$A$8:$A$73,0)),"")</f>
        <v/>
      </c>
      <c r="BD71" s="150">
        <f>IFERROR(INDEX(DEZ!$AW$8:$AW$73,MATCH($A71,DEZ!$A$8:$A$73,0)),"")</f>
        <v/>
      </c>
      <c r="BE71" s="151">
        <f>SUM(AS71:BD71)</f>
        <v/>
      </c>
      <c r="BF71" s="39" t="n"/>
      <c r="BG71" s="102" t="n">
        <v>1</v>
      </c>
      <c r="BH71" s="120">
        <f>SUM(AE71:AP71)</f>
        <v/>
      </c>
      <c r="BI71" s="152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3">
        <f>CADASTRO!$C68</f>
        <v/>
      </c>
      <c r="C72" s="150">
        <f>IFERROR(INDEX(JAN!$AY$8:$AY$73,MATCH($A72,JAN!$A$8:$A$73,0)),"")</f>
        <v/>
      </c>
      <c r="D72" s="150">
        <f>IFERROR(INDEX(FEV!$AY$8:$AY$73,MATCH($A72,FEV!$A$8:$A$73,0)),"")</f>
        <v/>
      </c>
      <c r="E72" s="150">
        <f>IFERROR(INDEX(MAR!$AY$8:$AY$73,MATCH($A72,MAR!$A$8:$A$73,0)),"")</f>
        <v/>
      </c>
      <c r="F72" s="150">
        <f>IFERROR(INDEX(ABR!$AY$8:$AY$73,MATCH($A72,ABR!$A$8:$A$73,0)),"")</f>
        <v/>
      </c>
      <c r="G72" s="150">
        <f>IFERROR(INDEX(MAI!$AY$8:$AY$73,MATCH($A72,MAI!$A$8:$A$73,0)),"")</f>
        <v/>
      </c>
      <c r="H72" s="150">
        <f>IFERROR(INDEX(JUN!$AY$8:$AY$73,MATCH($A72,JUN!$A$8:$A$73,0)),"")</f>
        <v/>
      </c>
      <c r="I72" s="150">
        <f>IFERROR(INDEX(JUL!$AY$8:$AY$73,MATCH($A72,JUL!$A$8:$A$73,0)),"")</f>
        <v/>
      </c>
      <c r="J72" s="150">
        <f>IFERROR(INDEX(AGO!$AY$8:$AY$73,MATCH($A72,AGO!$A$8:$A$73,0)),"")</f>
        <v/>
      </c>
      <c r="K72" s="150">
        <f>IFERROR(INDEX(SET!$AY$8:$AY$73,MATCH($A72,SET!$A$8:$A$73,0)),"")</f>
        <v/>
      </c>
      <c r="L72" s="150">
        <f>IFERROR(INDEX(OUT!$AY$8:$AY$73,MATCH($A72,OUT!$A$8:$A$73,0)),"")</f>
        <v/>
      </c>
      <c r="M72" s="150">
        <f>IFERROR(INDEX(NOV!$AY$8:$AY$73,MATCH($A72,NOV!$A$8:$A$73,0)),"")</f>
        <v/>
      </c>
      <c r="N72" s="150">
        <f>IFERROR(INDEX(DEZ!$AY$8:$AY$73,MATCH($A72,DEZ!$A$8:$A$73,0)),"")</f>
        <v/>
      </c>
      <c r="O72" s="151">
        <f>SUM(C72:N72)</f>
        <v/>
      </c>
      <c r="P72" s="39" t="n"/>
      <c r="Q72" s="150">
        <f>IFERROR(INDEX(JAN!$AU$8:$AU$73,MATCH($A72,JAN!$A$8:$A$73,0)),"")</f>
        <v/>
      </c>
      <c r="R72" s="150">
        <f>IFERROR(INDEX(FEV!$AU$8:$AU$73,MATCH($A72,FEV!$A$8:$A$73,0)),"")</f>
        <v/>
      </c>
      <c r="S72" s="150">
        <f>IFERROR(INDEX(MAR!$AU$8:$AU$73,MATCH($A72,MAR!$A$8:$A$73,0)),"")</f>
        <v/>
      </c>
      <c r="T72" s="150">
        <f>IFERROR(INDEX(ABR!$AU$8:$AU$73,MATCH($A72,ABR!$A$8:$A$73,0)),"")</f>
        <v/>
      </c>
      <c r="U72" s="150">
        <f>IFERROR(INDEX(MAI!$AU$8:$AU$73,MATCH($A72,MAI!$A$8:$A$73,0)),"")</f>
        <v/>
      </c>
      <c r="V72" s="150">
        <f>IFERROR(INDEX(JUN!$AU$8:$AU$73,MATCH($A72,JUN!$A$8:$A$73,0)),"")</f>
        <v/>
      </c>
      <c r="W72" s="150">
        <f>IFERROR(INDEX(JUL!$AU$8:$AU$73,MATCH($A72,JUL!$A$8:$A$73,0)),"")</f>
        <v/>
      </c>
      <c r="X72" s="150">
        <f>IFERROR(INDEX(AGO!$AU$8:$AU$73,MATCH($A72,AGO!$A$8:$A$73,0)),"")</f>
        <v/>
      </c>
      <c r="Y72" s="150">
        <f>IFERROR(INDEX(SET!$AU$8:$AU$73,MATCH($A72,SET!$A$8:$A$73,0)),"")</f>
        <v/>
      </c>
      <c r="Z72" s="150">
        <f>IFERROR(INDEX(OUT!$AU$8:$AU$73,MATCH($A72,OUT!$A$8:$A$73,0)),"")</f>
        <v/>
      </c>
      <c r="AA72" s="150">
        <f>IFERROR(INDEX(NOV!$AU$8:$AU$73,MATCH($A72,NOV!$A$8:$A$73,0)),"")</f>
        <v/>
      </c>
      <c r="AB72" s="150">
        <f>IFERROR(INDEX(DEZ!$AU$8:$AU$73,MATCH($A72,DEZ!$A$8:$A$73,0)),"")</f>
        <v/>
      </c>
      <c r="AC72" s="151">
        <f>SUM(Q72:AB72)</f>
        <v/>
      </c>
      <c r="AD72" s="39" t="n"/>
      <c r="AE72" s="150">
        <f>IFERROR(INDEX(JAN!$AV$8:$AV$73,MATCH($A72,JAN!$A$8:$A$73,0)),"")</f>
        <v/>
      </c>
      <c r="AF72" s="150">
        <f>IFERROR(INDEX(FEV!$AV$8:$AV$73,MATCH($A72,FEV!$A$8:$A$73,0)),"")</f>
        <v/>
      </c>
      <c r="AG72" s="150">
        <f>IFERROR(INDEX(MAR!$AV$8:$AV$73,MATCH($A72,MAR!$A$8:$A$73,0)),"")</f>
        <v/>
      </c>
      <c r="AH72" s="150">
        <f>IFERROR(INDEX(ABR!$AV$8:$AV$73,MATCH($A72,ABR!$A$8:$A$73,0)),"")</f>
        <v/>
      </c>
      <c r="AI72" s="150">
        <f>IFERROR(INDEX(MAI!$AV$8:$AV$73,MATCH($A72,MAI!$A$8:$A$73,0)),"")</f>
        <v/>
      </c>
      <c r="AJ72" s="150">
        <f>IFERROR(INDEX(JUN!$AV$8:$AV$73,MATCH($A72,JUN!$A$8:$A$73,0)),"")</f>
        <v/>
      </c>
      <c r="AK72" s="150">
        <f>IFERROR(INDEX(JUL!$AV$8:$AV$73,MATCH($A72,JUL!$A$8:$A$73,0)),"")</f>
        <v/>
      </c>
      <c r="AL72" s="150">
        <f>IFERROR(INDEX(AGO!$AV$8:$AV$73,MATCH($A72,AGO!$A$8:$A$73,0)),"")</f>
        <v/>
      </c>
      <c r="AM72" s="150">
        <f>IFERROR(INDEX(SET!$AV$8:$AV$73,MATCH($A72,SET!$A$8:$A$73,0)),"")</f>
        <v/>
      </c>
      <c r="AN72" s="150">
        <f>IFERROR(INDEX(OUT!$AV$8:$AV$73,MATCH($A72,OUT!$A$8:$A$73,0)),"")</f>
        <v/>
      </c>
      <c r="AO72" s="150">
        <f>IFERROR(INDEX(NOV!$AV$8:$AV$73,MATCH($A72,NOV!$A$8:$A$73,0)),"")</f>
        <v/>
      </c>
      <c r="AP72" s="150">
        <f>IFERROR(INDEX(DEZ!$AV$8:$AV$73,MATCH($A72,DEZ!$A$8:$A$73,0)),"")</f>
        <v/>
      </c>
      <c r="AQ72" s="151">
        <f>SUM(AE72:AP72)</f>
        <v/>
      </c>
      <c r="AR72" s="39" t="n"/>
      <c r="AS72" s="150">
        <f>IFERROR(INDEX(JAN!$AW$8:$AW$73,MATCH($A72,JAN!$A$8:$A$73,0)),"")</f>
        <v/>
      </c>
      <c r="AT72" s="150">
        <f>IFERROR(INDEX(FEV!$AW$8:$AW$73,MATCH($A72,FEV!$A$8:$A$73,0)),"")</f>
        <v/>
      </c>
      <c r="AU72" s="150">
        <f>IFERROR(INDEX(MAR!$AW$8:$AW$73,MATCH($A72,MAR!$A$8:$A$73,0)),"")</f>
        <v/>
      </c>
      <c r="AV72" s="150">
        <f>IFERROR(INDEX(ABR!$AW$8:$AW$73,MATCH($A72,ABR!$A$8:$A$73,0)),"")</f>
        <v/>
      </c>
      <c r="AW72" s="150">
        <f>IFERROR(INDEX(MAI!$AW$8:$AW$73,MATCH($A72,MAI!$A$8:$A$73,0)),"")</f>
        <v/>
      </c>
      <c r="AX72" s="150">
        <f>IFERROR(INDEX(JUN!$AW$8:$AW$73,MATCH($A72,JUN!$A$8:$A$73,0)),"")</f>
        <v/>
      </c>
      <c r="AY72" s="150">
        <f>IFERROR(INDEX(JUL!$AW$8:$AW$73,MATCH($A72,JUL!$A$8:$A$73,0)),"")</f>
        <v/>
      </c>
      <c r="AZ72" s="150">
        <f>IFERROR(INDEX(AGO!$AW$8:$AW$73,MATCH($A72,AGO!$A$8:$A$73,0)),"")</f>
        <v/>
      </c>
      <c r="BA72" s="150">
        <f>IFERROR(INDEX(SET!$AW$8:$AW$73,MATCH($A72,SET!$A$8:$A$73,0)),"")</f>
        <v/>
      </c>
      <c r="BB72" s="150">
        <f>IFERROR(INDEX(OUT!$AW$8:$AW$73,MATCH($A72,OUT!$A$8:$A$73,0)),"")</f>
        <v/>
      </c>
      <c r="BC72" s="150">
        <f>IFERROR(INDEX(NOV!$AW$8:$AW$73,MATCH($A72,NOV!$A$8:$A$73,0)),"")</f>
        <v/>
      </c>
      <c r="BD72" s="150">
        <f>IFERROR(INDEX(DEZ!$AW$8:$AW$73,MATCH($A72,DEZ!$A$8:$A$73,0)),"")</f>
        <v/>
      </c>
      <c r="BE72" s="151">
        <f>SUM(AS72:BD72)</f>
        <v/>
      </c>
      <c r="BF72" s="39" t="n"/>
      <c r="BG72" s="102" t="n">
        <v>2</v>
      </c>
      <c r="BH72" s="120">
        <f>SUM(AE72:AP72)</f>
        <v/>
      </c>
      <c r="BI72" s="152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3">
        <f>CADASTRO!$C69</f>
        <v/>
      </c>
      <c r="C73" s="150">
        <f>IFERROR(INDEX(JAN!$AY$8:$AY$73,MATCH($A73,JAN!$A$8:$A$73,0)),"")</f>
        <v/>
      </c>
      <c r="D73" s="150">
        <f>IFERROR(INDEX(FEV!$AY$8:$AY$73,MATCH($A73,FEV!$A$8:$A$73,0)),"")</f>
        <v/>
      </c>
      <c r="E73" s="150">
        <f>IFERROR(INDEX(MAR!$AY$8:$AY$73,MATCH($A73,MAR!$A$8:$A$73,0)),"")</f>
        <v/>
      </c>
      <c r="F73" s="150">
        <f>IFERROR(INDEX(ABR!$AY$8:$AY$73,MATCH($A73,ABR!$A$8:$A$73,0)),"")</f>
        <v/>
      </c>
      <c r="G73" s="150">
        <f>IFERROR(INDEX(MAI!$AY$8:$AY$73,MATCH($A73,MAI!$A$8:$A$73,0)),"")</f>
        <v/>
      </c>
      <c r="H73" s="150">
        <f>IFERROR(INDEX(JUN!$AY$8:$AY$73,MATCH($A73,JUN!$A$8:$A$73,0)),"")</f>
        <v/>
      </c>
      <c r="I73" s="150">
        <f>IFERROR(INDEX(JUL!$AY$8:$AY$73,MATCH($A73,JUL!$A$8:$A$73,0)),"")</f>
        <v/>
      </c>
      <c r="J73" s="150">
        <f>IFERROR(INDEX(AGO!$AY$8:$AY$73,MATCH($A73,AGO!$A$8:$A$73,0)),"")</f>
        <v/>
      </c>
      <c r="K73" s="150">
        <f>IFERROR(INDEX(SET!$AY$8:$AY$73,MATCH($A73,SET!$A$8:$A$73,0)),"")</f>
        <v/>
      </c>
      <c r="L73" s="150">
        <f>IFERROR(INDEX(OUT!$AY$8:$AY$73,MATCH($A73,OUT!$A$8:$A$73,0)),"")</f>
        <v/>
      </c>
      <c r="M73" s="150">
        <f>IFERROR(INDEX(NOV!$AY$8:$AY$73,MATCH($A73,NOV!$A$8:$A$73,0)),"")</f>
        <v/>
      </c>
      <c r="N73" s="150">
        <f>IFERROR(INDEX(DEZ!$AY$8:$AY$73,MATCH($A73,DEZ!$A$8:$A$73,0)),"")</f>
        <v/>
      </c>
      <c r="O73" s="151">
        <f>SUM(C73:N73)</f>
        <v/>
      </c>
      <c r="P73" s="39" t="n"/>
      <c r="Q73" s="150">
        <f>IFERROR(INDEX(JAN!$AU$8:$AU$73,MATCH($A73,JAN!$A$8:$A$73,0)),"")</f>
        <v/>
      </c>
      <c r="R73" s="150">
        <f>IFERROR(INDEX(FEV!$AU$8:$AU$73,MATCH($A73,FEV!$A$8:$A$73,0)),"")</f>
        <v/>
      </c>
      <c r="S73" s="150">
        <f>IFERROR(INDEX(MAR!$AU$8:$AU$73,MATCH($A73,MAR!$A$8:$A$73,0)),"")</f>
        <v/>
      </c>
      <c r="T73" s="150">
        <f>IFERROR(INDEX(ABR!$AU$8:$AU$73,MATCH($A73,ABR!$A$8:$A$73,0)),"")</f>
        <v/>
      </c>
      <c r="U73" s="150">
        <f>IFERROR(INDEX(MAI!$AU$8:$AU$73,MATCH($A73,MAI!$A$8:$A$73,0)),"")</f>
        <v/>
      </c>
      <c r="V73" s="150">
        <f>IFERROR(INDEX(JUN!$AU$8:$AU$73,MATCH($A73,JUN!$A$8:$A$73,0)),"")</f>
        <v/>
      </c>
      <c r="W73" s="150">
        <f>IFERROR(INDEX(JUL!$AU$8:$AU$73,MATCH($A73,JUL!$A$8:$A$73,0)),"")</f>
        <v/>
      </c>
      <c r="X73" s="150">
        <f>IFERROR(INDEX(AGO!$AU$8:$AU$73,MATCH($A73,AGO!$A$8:$A$73,0)),"")</f>
        <v/>
      </c>
      <c r="Y73" s="150">
        <f>IFERROR(INDEX(SET!$AU$8:$AU$73,MATCH($A73,SET!$A$8:$A$73,0)),"")</f>
        <v/>
      </c>
      <c r="Z73" s="150">
        <f>IFERROR(INDEX(OUT!$AU$8:$AU$73,MATCH($A73,OUT!$A$8:$A$73,0)),"")</f>
        <v/>
      </c>
      <c r="AA73" s="150">
        <f>IFERROR(INDEX(NOV!$AU$8:$AU$73,MATCH($A73,NOV!$A$8:$A$73,0)),"")</f>
        <v/>
      </c>
      <c r="AB73" s="150">
        <f>IFERROR(INDEX(DEZ!$AU$8:$AU$73,MATCH($A73,DEZ!$A$8:$A$73,0)),"")</f>
        <v/>
      </c>
      <c r="AC73" s="151">
        <f>SUM(Q73:AB73)</f>
        <v/>
      </c>
      <c r="AD73" s="39" t="n"/>
      <c r="AE73" s="150">
        <f>IFERROR(INDEX(JAN!$AV$8:$AV$73,MATCH($A73,JAN!$A$8:$A$73,0)),"")</f>
        <v/>
      </c>
      <c r="AF73" s="150">
        <f>IFERROR(INDEX(FEV!$AV$8:$AV$73,MATCH($A73,FEV!$A$8:$A$73,0)),"")</f>
        <v/>
      </c>
      <c r="AG73" s="150">
        <f>IFERROR(INDEX(MAR!$AV$8:$AV$73,MATCH($A73,MAR!$A$8:$A$73,0)),"")</f>
        <v/>
      </c>
      <c r="AH73" s="150">
        <f>IFERROR(INDEX(ABR!$AV$8:$AV$73,MATCH($A73,ABR!$A$8:$A$73,0)),"")</f>
        <v/>
      </c>
      <c r="AI73" s="150">
        <f>IFERROR(INDEX(MAI!$AV$8:$AV$73,MATCH($A73,MAI!$A$8:$A$73,0)),"")</f>
        <v/>
      </c>
      <c r="AJ73" s="150">
        <f>IFERROR(INDEX(JUN!$AV$8:$AV$73,MATCH($A73,JUN!$A$8:$A$73,0)),"")</f>
        <v/>
      </c>
      <c r="AK73" s="150">
        <f>IFERROR(INDEX(JUL!$AV$8:$AV$73,MATCH($A73,JUL!$A$8:$A$73,0)),"")</f>
        <v/>
      </c>
      <c r="AL73" s="150">
        <f>IFERROR(INDEX(AGO!$AV$8:$AV$73,MATCH($A73,AGO!$A$8:$A$73,0)),"")</f>
        <v/>
      </c>
      <c r="AM73" s="150">
        <f>IFERROR(INDEX(SET!$AV$8:$AV$73,MATCH($A73,SET!$A$8:$A$73,0)),"")</f>
        <v/>
      </c>
      <c r="AN73" s="150">
        <f>IFERROR(INDEX(OUT!$AV$8:$AV$73,MATCH($A73,OUT!$A$8:$A$73,0)),"")</f>
        <v/>
      </c>
      <c r="AO73" s="150">
        <f>IFERROR(INDEX(NOV!$AV$8:$AV$73,MATCH($A73,NOV!$A$8:$A$73,0)),"")</f>
        <v/>
      </c>
      <c r="AP73" s="150">
        <f>IFERROR(INDEX(DEZ!$AV$8:$AV$73,MATCH($A73,DEZ!$A$8:$A$73,0)),"")</f>
        <v/>
      </c>
      <c r="AQ73" s="151">
        <f>SUM(AE73:AP73)</f>
        <v/>
      </c>
      <c r="AR73" s="39" t="n"/>
      <c r="AS73" s="150">
        <f>IFERROR(INDEX(JAN!$AW$8:$AW$73,MATCH($A73,JAN!$A$8:$A$73,0)),"")</f>
        <v/>
      </c>
      <c r="AT73" s="150">
        <f>IFERROR(INDEX(FEV!$AW$8:$AW$73,MATCH($A73,FEV!$A$8:$A$73,0)),"")</f>
        <v/>
      </c>
      <c r="AU73" s="150">
        <f>IFERROR(INDEX(MAR!$AW$8:$AW$73,MATCH($A73,MAR!$A$8:$A$73,0)),"")</f>
        <v/>
      </c>
      <c r="AV73" s="150">
        <f>IFERROR(INDEX(ABR!$AW$8:$AW$73,MATCH($A73,ABR!$A$8:$A$73,0)),"")</f>
        <v/>
      </c>
      <c r="AW73" s="150">
        <f>IFERROR(INDEX(MAI!$AW$8:$AW$73,MATCH($A73,MAI!$A$8:$A$73,0)),"")</f>
        <v/>
      </c>
      <c r="AX73" s="150">
        <f>IFERROR(INDEX(JUN!$AW$8:$AW$73,MATCH($A73,JUN!$A$8:$A$73,0)),"")</f>
        <v/>
      </c>
      <c r="AY73" s="150">
        <f>IFERROR(INDEX(JUL!$AW$8:$AW$73,MATCH($A73,JUL!$A$8:$A$73,0)),"")</f>
        <v/>
      </c>
      <c r="AZ73" s="150">
        <f>IFERROR(INDEX(AGO!$AW$8:$AW$73,MATCH($A73,AGO!$A$8:$A$73,0)),"")</f>
        <v/>
      </c>
      <c r="BA73" s="150">
        <f>IFERROR(INDEX(SET!$AW$8:$AW$73,MATCH($A73,SET!$A$8:$A$73,0)),"")</f>
        <v/>
      </c>
      <c r="BB73" s="150">
        <f>IFERROR(INDEX(OUT!$AW$8:$AW$73,MATCH($A73,OUT!$A$8:$A$73,0)),"")</f>
        <v/>
      </c>
      <c r="BC73" s="150">
        <f>IFERROR(INDEX(NOV!$AW$8:$AW$73,MATCH($A73,NOV!$A$8:$A$73,0)),"")</f>
        <v/>
      </c>
      <c r="BD73" s="150">
        <f>IFERROR(INDEX(DEZ!$AW$8:$AW$73,MATCH($A73,DEZ!$A$8:$A$73,0)),"")</f>
        <v/>
      </c>
      <c r="BE73" s="151">
        <f>SUM(AS73:BD73)</f>
        <v/>
      </c>
      <c r="BF73" s="39" t="n"/>
      <c r="BG73" s="102" t="n">
        <v>4</v>
      </c>
      <c r="BH73" s="120">
        <f>SUM(AE73:AP73)</f>
        <v/>
      </c>
      <c r="BI73" s="152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I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>
      <c r="A1" s="94" t="inlineStr">
        <is>
          <t>Códigos Senior</t>
        </is>
      </c>
      <c r="B1" s="153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</row>
    <row r="2">
      <c r="A2" s="39" t="n"/>
      <c r="B2" s="39" t="n"/>
      <c r="C2" s="154">
        <f>IFERROR(INDIRECT($B$1&amp;"!I2"),"")</f>
        <v/>
      </c>
      <c r="D2" s="154">
        <f>IFERROR(INDIRECT($B$1&amp;"!J2"),"")</f>
        <v/>
      </c>
      <c r="E2" s="154">
        <f>IFERROR(INDIRECT($B$1&amp;"!K2"),"")</f>
        <v/>
      </c>
      <c r="F2" s="154">
        <f>IFERROR(INDIRECT($B$1&amp;"!L2"),"")</f>
        <v/>
      </c>
      <c r="G2" s="154">
        <f>IFERROR(INDIRECT($B$1&amp;"!M2"),"")</f>
        <v/>
      </c>
      <c r="H2" s="154">
        <f>IFERROR(INDIRECT($B$1&amp;"!N2"),"")</f>
        <v/>
      </c>
      <c r="I2" s="154">
        <f>IFERROR(INDIRECT($B$1&amp;"!O2"),"")</f>
        <v/>
      </c>
      <c r="J2" s="154">
        <f>IFERROR(INDIRECT($B$1&amp;"!P2"),"")</f>
        <v/>
      </c>
      <c r="K2" s="154">
        <f>IFERROR(INDIRECT($B$1&amp;"!Q2"),"")</f>
        <v/>
      </c>
      <c r="L2" s="154">
        <f>IFERROR(INDIRECT($B$1&amp;"!R2"),"")</f>
        <v/>
      </c>
      <c r="M2" s="154">
        <f>IFERROR(INDIRECT($B$1&amp;"!S2"),"")</f>
        <v/>
      </c>
      <c r="N2" s="154">
        <f>IFERROR(INDIRECT($B$1&amp;"!T2"),"")</f>
        <v/>
      </c>
      <c r="O2" s="154">
        <f>IFERROR(INDIRECT($B$1&amp;"!U2"),"")</f>
        <v/>
      </c>
      <c r="P2" s="154">
        <f>IFERROR(INDIRECT($B$1&amp;"!V2"),"")</f>
        <v/>
      </c>
      <c r="Q2" s="154">
        <f>IFERROR(INDIRECT($B$1&amp;"!W2"),"")</f>
        <v/>
      </c>
      <c r="R2" s="154">
        <f>IFERROR(INDIRECT($B$1&amp;"!X2"),"")</f>
        <v/>
      </c>
      <c r="S2" s="154">
        <f>IFERROR(INDIRECT($B$1&amp;"!Y2"),"")</f>
        <v/>
      </c>
      <c r="T2" s="154">
        <f>IFERROR(INDIRECT($B$1&amp;"!Z2"),"")</f>
        <v/>
      </c>
      <c r="U2" s="154">
        <f>IFERROR(INDIRECT($B$1&amp;"!AA2"),"")</f>
        <v/>
      </c>
      <c r="V2" s="154">
        <f>IFERROR(INDIRECT($B$1&amp;"!AB2"),"")</f>
        <v/>
      </c>
      <c r="W2" s="154">
        <f>IFERROR(INDIRECT($B$1&amp;"!AC2"),"")</f>
        <v/>
      </c>
      <c r="X2" s="154">
        <f>IFERROR(INDIRECT($B$1&amp;"!AD2"),"")</f>
        <v/>
      </c>
      <c r="Y2" s="154">
        <f>IFERROR(INDIRECT($B$1&amp;"!AE2"),"")</f>
        <v/>
      </c>
      <c r="Z2" s="154">
        <f>IFERROR(INDIRECT($B$1&amp;"!AF2"),"")</f>
        <v/>
      </c>
      <c r="AA2" s="154">
        <f>IFERROR(INDIRECT($B$1&amp;"!AG2"),"")</f>
        <v/>
      </c>
      <c r="AB2" s="154">
        <f>IFERROR(INDIRECT($B$1&amp;"!AH2"),"")</f>
        <v/>
      </c>
      <c r="AC2" s="154">
        <f>IFERROR(INDIRECT($B$1&amp;"!AI2"),"")</f>
        <v/>
      </c>
      <c r="AD2" s="154">
        <f>IFERROR(INDIRECT($B$1&amp;"!AJ2"),"")</f>
        <v/>
      </c>
      <c r="AE2" s="154">
        <f>IFERROR(INDIRECT($B$1&amp;"!AK2"),"")</f>
        <v/>
      </c>
      <c r="AF2" s="154">
        <f>IFERROR(INDIRECT($B$1&amp;"!AL2"),"")</f>
        <v/>
      </c>
      <c r="AG2" s="154">
        <f>IFERROR(INDIRECT($B$1&amp;"!AM2"),"")</f>
        <v/>
      </c>
      <c r="AH2" s="154">
        <f>IFERROR(INDIRECT($B$1&amp;"!AN2"),"")</f>
        <v/>
      </c>
      <c r="AI2" s="39" t="n"/>
    </row>
    <row r="3">
      <c r="A3" s="39" t="n"/>
      <c r="B3" s="39" t="n"/>
      <c r="C3" s="102">
        <f>IFERROR(INDIRECT($B$1&amp;"!I3"),"")</f>
        <v/>
      </c>
      <c r="D3" s="102">
        <f>IFERROR(INDIRECT($B$1&amp;"!J3"),"")</f>
        <v/>
      </c>
      <c r="E3" s="102">
        <f>IFERROR(INDIRECT($B$1&amp;"!K3"),"")</f>
        <v/>
      </c>
      <c r="F3" s="102">
        <f>IFERROR(INDIRECT($B$1&amp;"!L3"),"")</f>
        <v/>
      </c>
      <c r="G3" s="102">
        <f>IFERROR(INDIRECT($B$1&amp;"!M3"),"")</f>
        <v/>
      </c>
      <c r="H3" s="102">
        <f>IFERROR(INDIRECT($B$1&amp;"!N3"),"")</f>
        <v/>
      </c>
      <c r="I3" s="102">
        <f>IFERROR(INDIRECT($B$1&amp;"!O3"),"")</f>
        <v/>
      </c>
      <c r="J3" s="102">
        <f>IFERROR(INDIRECT($B$1&amp;"!P3"),"")</f>
        <v/>
      </c>
      <c r="K3" s="102">
        <f>IFERROR(INDIRECT($B$1&amp;"!Q3"),"")</f>
        <v/>
      </c>
      <c r="L3" s="102">
        <f>IFERROR(INDIRECT($B$1&amp;"!R3"),"")</f>
        <v/>
      </c>
      <c r="M3" s="102">
        <f>IFERROR(INDIRECT($B$1&amp;"!S3"),"")</f>
        <v/>
      </c>
      <c r="N3" s="102">
        <f>IFERROR(INDIRECT($B$1&amp;"!T3"),"")</f>
        <v/>
      </c>
      <c r="O3" s="102">
        <f>IFERROR(INDIRECT($B$1&amp;"!U3"),"")</f>
        <v/>
      </c>
      <c r="P3" s="102">
        <f>IFERROR(INDIRECT($B$1&amp;"!V3"),"")</f>
        <v/>
      </c>
      <c r="Q3" s="102">
        <f>IFERROR(INDIRECT($B$1&amp;"!W3"),"")</f>
        <v/>
      </c>
      <c r="R3" s="102">
        <f>IFERROR(INDIRECT($B$1&amp;"!X3"),"")</f>
        <v/>
      </c>
      <c r="S3" s="102">
        <f>IFERROR(INDIRECT($B$1&amp;"!Y3"),"")</f>
        <v/>
      </c>
      <c r="T3" s="102">
        <f>IFERROR(INDIRECT($B$1&amp;"!Z3"),"")</f>
        <v/>
      </c>
      <c r="U3" s="102">
        <f>IFERROR(INDIRECT($B$1&amp;"!AA3"),"")</f>
        <v/>
      </c>
      <c r="V3" s="102">
        <f>IFERROR(INDIRECT($B$1&amp;"!AB3"),"")</f>
        <v/>
      </c>
      <c r="W3" s="102">
        <f>IFERROR(INDIRECT($B$1&amp;"!AC3"),"")</f>
        <v/>
      </c>
      <c r="X3" s="102">
        <f>IFERROR(INDIRECT($B$1&amp;"!AD3"),"")</f>
        <v/>
      </c>
      <c r="Y3" s="102">
        <f>IFERROR(INDIRECT($B$1&amp;"!AE3"),"")</f>
        <v/>
      </c>
      <c r="Z3" s="102">
        <f>IFERROR(INDIRECT($B$1&amp;"!AF3"),"")</f>
        <v/>
      </c>
      <c r="AA3" s="102">
        <f>IFERROR(INDIRECT($B$1&amp;"!AG3"),"")</f>
        <v/>
      </c>
      <c r="AB3" s="102">
        <f>IFERROR(INDIRECT($B$1&amp;"!AH3"),"")</f>
        <v/>
      </c>
      <c r="AC3" s="102">
        <f>IFERROR(INDIRECT($B$1&amp;"!AI3"),"")</f>
        <v/>
      </c>
      <c r="AD3" s="102">
        <f>IFERROR(INDIRECT($B$1&amp;"!AJ3"),"")</f>
        <v/>
      </c>
      <c r="AE3" s="102">
        <f>IFERROR(INDIRECT($B$1&amp;"!AK3"),"")</f>
        <v/>
      </c>
      <c r="AF3" s="102">
        <f>IFERROR(INDIRECT($B$1&amp;"!AL3"),"")</f>
        <v/>
      </c>
      <c r="AG3" s="102">
        <f>IFERROR(INDIRECT($B$1&amp;"!AM3"),"")</f>
        <v/>
      </c>
      <c r="AH3" s="102">
        <f>IFERROR(INDIRECT($B$1&amp;"!AN3"),"")</f>
        <v/>
      </c>
      <c r="AI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</row>
    <row r="7">
      <c r="A7" s="43" t="inlineStr">
        <is>
          <t>Médico</t>
        </is>
      </c>
      <c r="B7" s="43" t="inlineStr">
        <is>
          <t>Apelido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</row>
    <row r="8">
      <c r="A8" s="155" t="inlineStr">
        <is>
          <t>Frederico Pires</t>
        </is>
      </c>
      <c r="B8" s="156" t="inlineStr">
        <is>
          <t>Fred</t>
        </is>
      </c>
      <c r="C8" s="157">
        <f>IFERROR(VLOOKUP(INDEX(INDIRECT($B$1&amp;"!"&amp;ADDRESS(8,COLUMN()+6,4)&amp;":"&amp;ADDRESS(73,COLUMN()+6,4)),MATCH($B8,INDIRECT($B$1&amp;"!$A$8:$A$73"),0)),CONFIG!$A$15:$B$28,2,FALSE),"")</f>
        <v/>
      </c>
      <c r="D8" s="157">
        <f>IFERROR(VLOOKUP(INDEX(INDIRECT($B$1&amp;"!"&amp;ADDRESS(8,COLUMN()+6,4)&amp;":"&amp;ADDRESS(73,COLUMN()+6,4)),MATCH($B8,INDIRECT($B$1&amp;"!$A$8:$A$73"),0)),CONFIG!$A$15:$B$28,2,FALSE),"")</f>
        <v/>
      </c>
      <c r="E8" s="157">
        <f>IFERROR(VLOOKUP(INDEX(INDIRECT($B$1&amp;"!"&amp;ADDRESS(8,COLUMN()+6,4)&amp;":"&amp;ADDRESS(73,COLUMN()+6,4)),MATCH($B8,INDIRECT($B$1&amp;"!$A$8:$A$73"),0)),CONFIG!$A$15:$B$28,2,FALSE),"")</f>
        <v/>
      </c>
      <c r="F8" s="157">
        <f>IFERROR(VLOOKUP(INDEX(INDIRECT($B$1&amp;"!"&amp;ADDRESS(8,COLUMN()+6,4)&amp;":"&amp;ADDRESS(73,COLUMN()+6,4)),MATCH($B8,INDIRECT($B$1&amp;"!$A$8:$A$73"),0)),CONFIG!$A$15:$B$28,2,FALSE),"")</f>
        <v/>
      </c>
      <c r="G8" s="157">
        <f>IFERROR(VLOOKUP(INDEX(INDIRECT($B$1&amp;"!"&amp;ADDRESS(8,COLUMN()+6,4)&amp;":"&amp;ADDRESS(73,COLUMN()+6,4)),MATCH($B8,INDIRECT($B$1&amp;"!$A$8:$A$73"),0)),CONFIG!$A$15:$B$28,2,FALSE),"")</f>
        <v/>
      </c>
      <c r="H8" s="157">
        <f>IFERROR(VLOOKUP(INDEX(INDIRECT($B$1&amp;"!"&amp;ADDRESS(8,COLUMN()+6,4)&amp;":"&amp;ADDRESS(73,COLUMN()+6,4)),MATCH($B8,INDIRECT($B$1&amp;"!$A$8:$A$73"),0)),CONFIG!$A$15:$B$28,2,FALSE),"")</f>
        <v/>
      </c>
      <c r="I8" s="157">
        <f>IFERROR(VLOOKUP(INDEX(INDIRECT($B$1&amp;"!"&amp;ADDRESS(8,COLUMN()+6,4)&amp;":"&amp;ADDRESS(73,COLUMN()+6,4)),MATCH($B8,INDIRECT($B$1&amp;"!$A$8:$A$73"),0)),CONFIG!$A$15:$B$28,2,FALSE),"")</f>
        <v/>
      </c>
      <c r="J8" s="157">
        <f>IFERROR(VLOOKUP(INDEX(INDIRECT($B$1&amp;"!"&amp;ADDRESS(8,COLUMN()+6,4)&amp;":"&amp;ADDRESS(73,COLUMN()+6,4)),MATCH($B8,INDIRECT($B$1&amp;"!$A$8:$A$73"),0)),CONFIG!$A$15:$B$28,2,FALSE),"")</f>
        <v/>
      </c>
      <c r="K8" s="157">
        <f>IFERROR(VLOOKUP(INDEX(INDIRECT($B$1&amp;"!"&amp;ADDRESS(8,COLUMN()+6,4)&amp;":"&amp;ADDRESS(73,COLUMN()+6,4)),MATCH($B8,INDIRECT($B$1&amp;"!$A$8:$A$73"),0)),CONFIG!$A$15:$B$28,2,FALSE),"")</f>
        <v/>
      </c>
      <c r="L8" s="157">
        <f>IFERROR(VLOOKUP(INDEX(INDIRECT($B$1&amp;"!"&amp;ADDRESS(8,COLUMN()+6,4)&amp;":"&amp;ADDRESS(73,COLUMN()+6,4)),MATCH($B8,INDIRECT($B$1&amp;"!$A$8:$A$73"),0)),CONFIG!$A$15:$B$28,2,FALSE),"")</f>
        <v/>
      </c>
      <c r="M8" s="157">
        <f>IFERROR(VLOOKUP(INDEX(INDIRECT($B$1&amp;"!"&amp;ADDRESS(8,COLUMN()+6,4)&amp;":"&amp;ADDRESS(73,COLUMN()+6,4)),MATCH($B8,INDIRECT($B$1&amp;"!$A$8:$A$73"),0)),CONFIG!$A$15:$B$28,2,FALSE),"")</f>
        <v/>
      </c>
      <c r="N8" s="157">
        <f>IFERROR(VLOOKUP(INDEX(INDIRECT($B$1&amp;"!"&amp;ADDRESS(8,COLUMN()+6,4)&amp;":"&amp;ADDRESS(73,COLUMN()+6,4)),MATCH($B8,INDIRECT($B$1&amp;"!$A$8:$A$73"),0)),CONFIG!$A$15:$B$28,2,FALSE),"")</f>
        <v/>
      </c>
      <c r="O8" s="157">
        <f>IFERROR(VLOOKUP(INDEX(INDIRECT($B$1&amp;"!"&amp;ADDRESS(8,COLUMN()+6,4)&amp;":"&amp;ADDRESS(73,COLUMN()+6,4)),MATCH($B8,INDIRECT($B$1&amp;"!$A$8:$A$73"),0)),CONFIG!$A$15:$B$28,2,FALSE),"")</f>
        <v/>
      </c>
      <c r="P8" s="157">
        <f>IFERROR(VLOOKUP(INDEX(INDIRECT($B$1&amp;"!"&amp;ADDRESS(8,COLUMN()+6,4)&amp;":"&amp;ADDRESS(73,COLUMN()+6,4)),MATCH($B8,INDIRECT($B$1&amp;"!$A$8:$A$73"),0)),CONFIG!$A$15:$B$28,2,FALSE),"")</f>
        <v/>
      </c>
      <c r="Q8" s="157">
        <f>IFERROR(VLOOKUP(INDEX(INDIRECT($B$1&amp;"!"&amp;ADDRESS(8,COLUMN()+6,4)&amp;":"&amp;ADDRESS(73,COLUMN()+6,4)),MATCH($B8,INDIRECT($B$1&amp;"!$A$8:$A$73"),0)),CONFIG!$A$15:$B$28,2,FALSE),"")</f>
        <v/>
      </c>
      <c r="R8" s="157">
        <f>IFERROR(VLOOKUP(INDEX(INDIRECT($B$1&amp;"!"&amp;ADDRESS(8,COLUMN()+6,4)&amp;":"&amp;ADDRESS(73,COLUMN()+6,4)),MATCH($B8,INDIRECT($B$1&amp;"!$A$8:$A$73"),0)),CONFIG!$A$15:$B$28,2,FALSE),"")</f>
        <v/>
      </c>
      <c r="S8" s="157">
        <f>IFERROR(VLOOKUP(INDEX(INDIRECT($B$1&amp;"!"&amp;ADDRESS(8,COLUMN()+6,4)&amp;":"&amp;ADDRESS(73,COLUMN()+6,4)),MATCH($B8,INDIRECT($B$1&amp;"!$A$8:$A$73"),0)),CONFIG!$A$15:$B$28,2,FALSE),"")</f>
        <v/>
      </c>
      <c r="T8" s="157">
        <f>IFERROR(VLOOKUP(INDEX(INDIRECT($B$1&amp;"!"&amp;ADDRESS(8,COLUMN()+6,4)&amp;":"&amp;ADDRESS(73,COLUMN()+6,4)),MATCH($B8,INDIRECT($B$1&amp;"!$A$8:$A$73"),0)),CONFIG!$A$15:$B$28,2,FALSE),"")</f>
        <v/>
      </c>
      <c r="U8" s="157">
        <f>IFERROR(VLOOKUP(INDEX(INDIRECT($B$1&amp;"!"&amp;ADDRESS(8,COLUMN()+6,4)&amp;":"&amp;ADDRESS(73,COLUMN()+6,4)),MATCH($B8,INDIRECT($B$1&amp;"!$A$8:$A$73"),0)),CONFIG!$A$15:$B$28,2,FALSE),"")</f>
        <v/>
      </c>
      <c r="V8" s="157">
        <f>IFERROR(VLOOKUP(INDEX(INDIRECT($B$1&amp;"!"&amp;ADDRESS(8,COLUMN()+6,4)&amp;":"&amp;ADDRESS(73,COLUMN()+6,4)),MATCH($B8,INDIRECT($B$1&amp;"!$A$8:$A$73"),0)),CONFIG!$A$15:$B$28,2,FALSE),"")</f>
        <v/>
      </c>
      <c r="W8" s="157">
        <f>IFERROR(VLOOKUP(INDEX(INDIRECT($B$1&amp;"!"&amp;ADDRESS(8,COLUMN()+6,4)&amp;":"&amp;ADDRESS(73,COLUMN()+6,4)),MATCH($B8,INDIRECT($B$1&amp;"!$A$8:$A$73"),0)),CONFIG!$A$15:$B$28,2,FALSE),"")</f>
        <v/>
      </c>
      <c r="X8" s="157">
        <f>IFERROR(VLOOKUP(INDEX(INDIRECT($B$1&amp;"!"&amp;ADDRESS(8,COLUMN()+6,4)&amp;":"&amp;ADDRESS(73,COLUMN()+6,4)),MATCH($B8,INDIRECT($B$1&amp;"!$A$8:$A$73"),0)),CONFIG!$A$15:$B$28,2,FALSE),"")</f>
        <v/>
      </c>
      <c r="Y8" s="157">
        <f>IFERROR(VLOOKUP(INDEX(INDIRECT($B$1&amp;"!"&amp;ADDRESS(8,COLUMN()+6,4)&amp;":"&amp;ADDRESS(73,COLUMN()+6,4)),MATCH($B8,INDIRECT($B$1&amp;"!$A$8:$A$73"),0)),CONFIG!$A$15:$B$28,2,FALSE),"")</f>
        <v/>
      </c>
      <c r="Z8" s="157">
        <f>IFERROR(VLOOKUP(INDEX(INDIRECT($B$1&amp;"!"&amp;ADDRESS(8,COLUMN()+6,4)&amp;":"&amp;ADDRESS(73,COLUMN()+6,4)),MATCH($B8,INDIRECT($B$1&amp;"!$A$8:$A$73"),0)),CONFIG!$A$15:$B$28,2,FALSE),"")</f>
        <v/>
      </c>
      <c r="AA8" s="157">
        <f>IFERROR(VLOOKUP(INDEX(INDIRECT($B$1&amp;"!"&amp;ADDRESS(8,COLUMN()+6,4)&amp;":"&amp;ADDRESS(73,COLUMN()+6,4)),MATCH($B8,INDIRECT($B$1&amp;"!$A$8:$A$73"),0)),CONFIG!$A$15:$B$28,2,FALSE),"")</f>
        <v/>
      </c>
      <c r="AB8" s="157">
        <f>IFERROR(VLOOKUP(INDEX(INDIRECT($B$1&amp;"!"&amp;ADDRESS(8,COLUMN()+6,4)&amp;":"&amp;ADDRESS(73,COLUMN()+6,4)),MATCH($B8,INDIRECT($B$1&amp;"!$A$8:$A$73"),0)),CONFIG!$A$15:$B$28,2,FALSE),"")</f>
        <v/>
      </c>
      <c r="AC8" s="157">
        <f>IFERROR(VLOOKUP(INDEX(INDIRECT($B$1&amp;"!"&amp;ADDRESS(8,COLUMN()+6,4)&amp;":"&amp;ADDRESS(73,COLUMN()+6,4)),MATCH($B8,INDIRECT($B$1&amp;"!$A$8:$A$73"),0)),CONFIG!$A$15:$B$28,2,FALSE),"")</f>
        <v/>
      </c>
      <c r="AD8" s="157">
        <f>IFERROR(VLOOKUP(INDEX(INDIRECT($B$1&amp;"!"&amp;ADDRESS(8,COLUMN()+6,4)&amp;":"&amp;ADDRESS(73,COLUMN()+6,4)),MATCH($B8,INDIRECT($B$1&amp;"!$A$8:$A$73"),0)),CONFIG!$A$15:$B$28,2,FALSE),"")</f>
        <v/>
      </c>
      <c r="AE8" s="157">
        <f>IFERROR(VLOOKUP(INDEX(INDIRECT($B$1&amp;"!"&amp;ADDRESS(8,COLUMN()+6,4)&amp;":"&amp;ADDRESS(73,COLUMN()+6,4)),MATCH($B8,INDIRECT($B$1&amp;"!$A$8:$A$73"),0)),CONFIG!$A$15:$B$28,2,FALSE),"")</f>
        <v/>
      </c>
      <c r="AF8" s="157">
        <f>IFERROR(VLOOKUP(INDEX(INDIRECT($B$1&amp;"!"&amp;ADDRESS(8,COLUMN()+6,4)&amp;":"&amp;ADDRESS(73,COLUMN()+6,4)),MATCH($B8,INDIRECT($B$1&amp;"!$A$8:$A$73"),0)),CONFIG!$A$15:$B$28,2,FALSE),"")</f>
        <v/>
      </c>
      <c r="AG8" s="157">
        <f>IFERROR(VLOOKUP(INDEX(INDIRECT($B$1&amp;"!"&amp;ADDRESS(8,COLUMN()+6,4)&amp;":"&amp;ADDRESS(73,COLUMN()+6,4)),MATCH($B8,INDIRECT($B$1&amp;"!$A$8:$A$73"),0)),CONFIG!$A$15:$B$28,2,FALSE),"")</f>
        <v/>
      </c>
      <c r="AH8" s="157">
        <f>IFERROR(VLOOKUP(INDEX(INDIRECT($B$1&amp;"!"&amp;ADDRESS(8,COLUMN()+6,4)&amp;":"&amp;ADDRESS(73,COLUMN()+6,4)),MATCH($B8,INDIRECT($B$1&amp;"!$A$8:$A$73"),0)),CONFIG!$A$15:$B$28,2,FALSE),"")</f>
        <v/>
      </c>
      <c r="AI8" s="39" t="n"/>
    </row>
    <row r="9">
      <c r="A9" s="155" t="inlineStr">
        <is>
          <t>Milena</t>
        </is>
      </c>
      <c r="B9" s="156" t="inlineStr">
        <is>
          <t>Milena</t>
        </is>
      </c>
      <c r="C9" s="157">
        <f>IFERROR(VLOOKUP(INDEX(INDIRECT($B$1&amp;"!"&amp;ADDRESS(8,COLUMN()+6,4)&amp;":"&amp;ADDRESS(73,COLUMN()+6,4)),MATCH($B9,INDIRECT($B$1&amp;"!$A$8:$A$73"),0)),CONFIG!$A$15:$B$28,2,FALSE),"")</f>
        <v/>
      </c>
      <c r="D9" s="157">
        <f>IFERROR(VLOOKUP(INDEX(INDIRECT($B$1&amp;"!"&amp;ADDRESS(8,COLUMN()+6,4)&amp;":"&amp;ADDRESS(73,COLUMN()+6,4)),MATCH($B9,INDIRECT($B$1&amp;"!$A$8:$A$73"),0)),CONFIG!$A$15:$B$28,2,FALSE),"")</f>
        <v/>
      </c>
      <c r="E9" s="157">
        <f>IFERROR(VLOOKUP(INDEX(INDIRECT($B$1&amp;"!"&amp;ADDRESS(8,COLUMN()+6,4)&amp;":"&amp;ADDRESS(73,COLUMN()+6,4)),MATCH($B9,INDIRECT($B$1&amp;"!$A$8:$A$73"),0)),CONFIG!$A$15:$B$28,2,FALSE),"")</f>
        <v/>
      </c>
      <c r="F9" s="157">
        <f>IFERROR(VLOOKUP(INDEX(INDIRECT($B$1&amp;"!"&amp;ADDRESS(8,COLUMN()+6,4)&amp;":"&amp;ADDRESS(73,COLUMN()+6,4)),MATCH($B9,INDIRECT($B$1&amp;"!$A$8:$A$73"),0)),CONFIG!$A$15:$B$28,2,FALSE),"")</f>
        <v/>
      </c>
      <c r="G9" s="157">
        <f>IFERROR(VLOOKUP(INDEX(INDIRECT($B$1&amp;"!"&amp;ADDRESS(8,COLUMN()+6,4)&amp;":"&amp;ADDRESS(73,COLUMN()+6,4)),MATCH($B9,INDIRECT($B$1&amp;"!$A$8:$A$73"),0)),CONFIG!$A$15:$B$28,2,FALSE),"")</f>
        <v/>
      </c>
      <c r="H9" s="157">
        <f>IFERROR(VLOOKUP(INDEX(INDIRECT($B$1&amp;"!"&amp;ADDRESS(8,COLUMN()+6,4)&amp;":"&amp;ADDRESS(73,COLUMN()+6,4)),MATCH($B9,INDIRECT($B$1&amp;"!$A$8:$A$73"),0)),CONFIG!$A$15:$B$28,2,FALSE),"")</f>
        <v/>
      </c>
      <c r="I9" s="157">
        <f>IFERROR(VLOOKUP(INDEX(INDIRECT($B$1&amp;"!"&amp;ADDRESS(8,COLUMN()+6,4)&amp;":"&amp;ADDRESS(73,COLUMN()+6,4)),MATCH($B9,INDIRECT($B$1&amp;"!$A$8:$A$73"),0)),CONFIG!$A$15:$B$28,2,FALSE),"")</f>
        <v/>
      </c>
      <c r="J9" s="157">
        <f>IFERROR(VLOOKUP(INDEX(INDIRECT($B$1&amp;"!"&amp;ADDRESS(8,COLUMN()+6,4)&amp;":"&amp;ADDRESS(73,COLUMN()+6,4)),MATCH($B9,INDIRECT($B$1&amp;"!$A$8:$A$73"),0)),CONFIG!$A$15:$B$28,2,FALSE),"")</f>
        <v/>
      </c>
      <c r="K9" s="157">
        <f>IFERROR(VLOOKUP(INDEX(INDIRECT($B$1&amp;"!"&amp;ADDRESS(8,COLUMN()+6,4)&amp;":"&amp;ADDRESS(73,COLUMN()+6,4)),MATCH($B9,INDIRECT($B$1&amp;"!$A$8:$A$73"),0)),CONFIG!$A$15:$B$28,2,FALSE),"")</f>
        <v/>
      </c>
      <c r="L9" s="157">
        <f>IFERROR(VLOOKUP(INDEX(INDIRECT($B$1&amp;"!"&amp;ADDRESS(8,COLUMN()+6,4)&amp;":"&amp;ADDRESS(73,COLUMN()+6,4)),MATCH($B9,INDIRECT($B$1&amp;"!$A$8:$A$73"),0)),CONFIG!$A$15:$B$28,2,FALSE),"")</f>
        <v/>
      </c>
      <c r="M9" s="157">
        <f>IFERROR(VLOOKUP(INDEX(INDIRECT($B$1&amp;"!"&amp;ADDRESS(8,COLUMN()+6,4)&amp;":"&amp;ADDRESS(73,COLUMN()+6,4)),MATCH($B9,INDIRECT($B$1&amp;"!$A$8:$A$73"),0)),CONFIG!$A$15:$B$28,2,FALSE),"")</f>
        <v/>
      </c>
      <c r="N9" s="157">
        <f>IFERROR(VLOOKUP(INDEX(INDIRECT($B$1&amp;"!"&amp;ADDRESS(8,COLUMN()+6,4)&amp;":"&amp;ADDRESS(73,COLUMN()+6,4)),MATCH($B9,INDIRECT($B$1&amp;"!$A$8:$A$73"),0)),CONFIG!$A$15:$B$28,2,FALSE),"")</f>
        <v/>
      </c>
      <c r="O9" s="157">
        <f>IFERROR(VLOOKUP(INDEX(INDIRECT($B$1&amp;"!"&amp;ADDRESS(8,COLUMN()+6,4)&amp;":"&amp;ADDRESS(73,COLUMN()+6,4)),MATCH($B9,INDIRECT($B$1&amp;"!$A$8:$A$73"),0)),CONFIG!$A$15:$B$28,2,FALSE),"")</f>
        <v/>
      </c>
      <c r="P9" s="157">
        <f>IFERROR(VLOOKUP(INDEX(INDIRECT($B$1&amp;"!"&amp;ADDRESS(8,COLUMN()+6,4)&amp;":"&amp;ADDRESS(73,COLUMN()+6,4)),MATCH($B9,INDIRECT($B$1&amp;"!$A$8:$A$73"),0)),CONFIG!$A$15:$B$28,2,FALSE),"")</f>
        <v/>
      </c>
      <c r="Q9" s="157">
        <f>IFERROR(VLOOKUP(INDEX(INDIRECT($B$1&amp;"!"&amp;ADDRESS(8,COLUMN()+6,4)&amp;":"&amp;ADDRESS(73,COLUMN()+6,4)),MATCH($B9,INDIRECT($B$1&amp;"!$A$8:$A$73"),0)),CONFIG!$A$15:$B$28,2,FALSE),"")</f>
        <v/>
      </c>
      <c r="R9" s="157">
        <f>IFERROR(VLOOKUP(INDEX(INDIRECT($B$1&amp;"!"&amp;ADDRESS(8,COLUMN()+6,4)&amp;":"&amp;ADDRESS(73,COLUMN()+6,4)),MATCH($B9,INDIRECT($B$1&amp;"!$A$8:$A$73"),0)),CONFIG!$A$15:$B$28,2,FALSE),"")</f>
        <v/>
      </c>
      <c r="S9" s="157">
        <f>IFERROR(VLOOKUP(INDEX(INDIRECT($B$1&amp;"!"&amp;ADDRESS(8,COLUMN()+6,4)&amp;":"&amp;ADDRESS(73,COLUMN()+6,4)),MATCH($B9,INDIRECT($B$1&amp;"!$A$8:$A$73"),0)),CONFIG!$A$15:$B$28,2,FALSE),"")</f>
        <v/>
      </c>
      <c r="T9" s="157">
        <f>IFERROR(VLOOKUP(INDEX(INDIRECT($B$1&amp;"!"&amp;ADDRESS(8,COLUMN()+6,4)&amp;":"&amp;ADDRESS(73,COLUMN()+6,4)),MATCH($B9,INDIRECT($B$1&amp;"!$A$8:$A$73"),0)),CONFIG!$A$15:$B$28,2,FALSE),"")</f>
        <v/>
      </c>
      <c r="U9" s="157">
        <f>IFERROR(VLOOKUP(INDEX(INDIRECT($B$1&amp;"!"&amp;ADDRESS(8,COLUMN()+6,4)&amp;":"&amp;ADDRESS(73,COLUMN()+6,4)),MATCH($B9,INDIRECT($B$1&amp;"!$A$8:$A$73"),0)),CONFIG!$A$15:$B$28,2,FALSE),"")</f>
        <v/>
      </c>
      <c r="V9" s="157">
        <f>IFERROR(VLOOKUP(INDEX(INDIRECT($B$1&amp;"!"&amp;ADDRESS(8,COLUMN()+6,4)&amp;":"&amp;ADDRESS(73,COLUMN()+6,4)),MATCH($B9,INDIRECT($B$1&amp;"!$A$8:$A$73"),0)),CONFIG!$A$15:$B$28,2,FALSE),"")</f>
        <v/>
      </c>
      <c r="W9" s="157">
        <f>IFERROR(VLOOKUP(INDEX(INDIRECT($B$1&amp;"!"&amp;ADDRESS(8,COLUMN()+6,4)&amp;":"&amp;ADDRESS(73,COLUMN()+6,4)),MATCH($B9,INDIRECT($B$1&amp;"!$A$8:$A$73"),0)),CONFIG!$A$15:$B$28,2,FALSE),"")</f>
        <v/>
      </c>
      <c r="X9" s="157">
        <f>IFERROR(VLOOKUP(INDEX(INDIRECT($B$1&amp;"!"&amp;ADDRESS(8,COLUMN()+6,4)&amp;":"&amp;ADDRESS(73,COLUMN()+6,4)),MATCH($B9,INDIRECT($B$1&amp;"!$A$8:$A$73"),0)),CONFIG!$A$15:$B$28,2,FALSE),"")</f>
        <v/>
      </c>
      <c r="Y9" s="157">
        <f>IFERROR(VLOOKUP(INDEX(INDIRECT($B$1&amp;"!"&amp;ADDRESS(8,COLUMN()+6,4)&amp;":"&amp;ADDRESS(73,COLUMN()+6,4)),MATCH($B9,INDIRECT($B$1&amp;"!$A$8:$A$73"),0)),CONFIG!$A$15:$B$28,2,FALSE),"")</f>
        <v/>
      </c>
      <c r="Z9" s="157">
        <f>IFERROR(VLOOKUP(INDEX(INDIRECT($B$1&amp;"!"&amp;ADDRESS(8,COLUMN()+6,4)&amp;":"&amp;ADDRESS(73,COLUMN()+6,4)),MATCH($B9,INDIRECT($B$1&amp;"!$A$8:$A$73"),0)),CONFIG!$A$15:$B$28,2,FALSE),"")</f>
        <v/>
      </c>
      <c r="AA9" s="157">
        <f>IFERROR(VLOOKUP(INDEX(INDIRECT($B$1&amp;"!"&amp;ADDRESS(8,COLUMN()+6,4)&amp;":"&amp;ADDRESS(73,COLUMN()+6,4)),MATCH($B9,INDIRECT($B$1&amp;"!$A$8:$A$73"),0)),CONFIG!$A$15:$B$28,2,FALSE),"")</f>
        <v/>
      </c>
      <c r="AB9" s="157">
        <f>IFERROR(VLOOKUP(INDEX(INDIRECT($B$1&amp;"!"&amp;ADDRESS(8,COLUMN()+6,4)&amp;":"&amp;ADDRESS(73,COLUMN()+6,4)),MATCH($B9,INDIRECT($B$1&amp;"!$A$8:$A$73"),0)),CONFIG!$A$15:$B$28,2,FALSE),"")</f>
        <v/>
      </c>
      <c r="AC9" s="157">
        <f>IFERROR(VLOOKUP(INDEX(INDIRECT($B$1&amp;"!"&amp;ADDRESS(8,COLUMN()+6,4)&amp;":"&amp;ADDRESS(73,COLUMN()+6,4)),MATCH($B9,INDIRECT($B$1&amp;"!$A$8:$A$73"),0)),CONFIG!$A$15:$B$28,2,FALSE),"")</f>
        <v/>
      </c>
      <c r="AD9" s="157">
        <f>IFERROR(VLOOKUP(INDEX(INDIRECT($B$1&amp;"!"&amp;ADDRESS(8,COLUMN()+6,4)&amp;":"&amp;ADDRESS(73,COLUMN()+6,4)),MATCH($B9,INDIRECT($B$1&amp;"!$A$8:$A$73"),0)),CONFIG!$A$15:$B$28,2,FALSE),"")</f>
        <v/>
      </c>
      <c r="AE9" s="157">
        <f>IFERROR(VLOOKUP(INDEX(INDIRECT($B$1&amp;"!"&amp;ADDRESS(8,COLUMN()+6,4)&amp;":"&amp;ADDRESS(73,COLUMN()+6,4)),MATCH($B9,INDIRECT($B$1&amp;"!$A$8:$A$73"),0)),CONFIG!$A$15:$B$28,2,FALSE),"")</f>
        <v/>
      </c>
      <c r="AF9" s="157">
        <f>IFERROR(VLOOKUP(INDEX(INDIRECT($B$1&amp;"!"&amp;ADDRESS(8,COLUMN()+6,4)&amp;":"&amp;ADDRESS(73,COLUMN()+6,4)),MATCH($B9,INDIRECT($B$1&amp;"!$A$8:$A$73"),0)),CONFIG!$A$15:$B$28,2,FALSE),"")</f>
        <v/>
      </c>
      <c r="AG9" s="157">
        <f>IFERROR(VLOOKUP(INDEX(INDIRECT($B$1&amp;"!"&amp;ADDRESS(8,COLUMN()+6,4)&amp;":"&amp;ADDRESS(73,COLUMN()+6,4)),MATCH($B9,INDIRECT($B$1&amp;"!$A$8:$A$73"),0)),CONFIG!$A$15:$B$28,2,FALSE),"")</f>
        <v/>
      </c>
      <c r="AH9" s="157">
        <f>IFERROR(VLOOKUP(INDEX(INDIRECT($B$1&amp;"!"&amp;ADDRESS(8,COLUMN()+6,4)&amp;":"&amp;ADDRESS(73,COLUMN()+6,4)),MATCH($B9,INDIRECT($B$1&amp;"!$A$8:$A$73"),0)),CONFIG!$A$15:$B$28,2,FALSE),"")</f>
        <v/>
      </c>
      <c r="AI9" s="39" t="n"/>
    </row>
    <row r="10">
      <c r="A10" s="155" t="inlineStr">
        <is>
          <t>Paula Abdo</t>
        </is>
      </c>
      <c r="B10" s="156" t="inlineStr">
        <is>
          <t>Pabdo</t>
        </is>
      </c>
      <c r="C10" s="157">
        <f>IFERROR(VLOOKUP(INDEX(INDIRECT($B$1&amp;"!"&amp;ADDRESS(8,COLUMN()+6,4)&amp;":"&amp;ADDRESS(73,COLUMN()+6,4)),MATCH($B10,INDIRECT($B$1&amp;"!$A$8:$A$73"),0)),CONFIG!$A$15:$B$28,2,FALSE),"")</f>
        <v/>
      </c>
      <c r="D10" s="157">
        <f>IFERROR(VLOOKUP(INDEX(INDIRECT($B$1&amp;"!"&amp;ADDRESS(8,COLUMN()+6,4)&amp;":"&amp;ADDRESS(73,COLUMN()+6,4)),MATCH($B10,INDIRECT($B$1&amp;"!$A$8:$A$73"),0)),CONFIG!$A$15:$B$28,2,FALSE),"")</f>
        <v/>
      </c>
      <c r="E10" s="157">
        <f>IFERROR(VLOOKUP(INDEX(INDIRECT($B$1&amp;"!"&amp;ADDRESS(8,COLUMN()+6,4)&amp;":"&amp;ADDRESS(73,COLUMN()+6,4)),MATCH($B10,INDIRECT($B$1&amp;"!$A$8:$A$73"),0)),CONFIG!$A$15:$B$28,2,FALSE),"")</f>
        <v/>
      </c>
      <c r="F10" s="157">
        <f>IFERROR(VLOOKUP(INDEX(INDIRECT($B$1&amp;"!"&amp;ADDRESS(8,COLUMN()+6,4)&amp;":"&amp;ADDRESS(73,COLUMN()+6,4)),MATCH($B10,INDIRECT($B$1&amp;"!$A$8:$A$73"),0)),CONFIG!$A$15:$B$28,2,FALSE),"")</f>
        <v/>
      </c>
      <c r="G10" s="157">
        <f>IFERROR(VLOOKUP(INDEX(INDIRECT($B$1&amp;"!"&amp;ADDRESS(8,COLUMN()+6,4)&amp;":"&amp;ADDRESS(73,COLUMN()+6,4)),MATCH($B10,INDIRECT($B$1&amp;"!$A$8:$A$73"),0)),CONFIG!$A$15:$B$28,2,FALSE),"")</f>
        <v/>
      </c>
      <c r="H10" s="157">
        <f>IFERROR(VLOOKUP(INDEX(INDIRECT($B$1&amp;"!"&amp;ADDRESS(8,COLUMN()+6,4)&amp;":"&amp;ADDRESS(73,COLUMN()+6,4)),MATCH($B10,INDIRECT($B$1&amp;"!$A$8:$A$73"),0)),CONFIG!$A$15:$B$28,2,FALSE),"")</f>
        <v/>
      </c>
      <c r="I10" s="157">
        <f>IFERROR(VLOOKUP(INDEX(INDIRECT($B$1&amp;"!"&amp;ADDRESS(8,COLUMN()+6,4)&amp;":"&amp;ADDRESS(73,COLUMN()+6,4)),MATCH($B10,INDIRECT($B$1&amp;"!$A$8:$A$73"),0)),CONFIG!$A$15:$B$28,2,FALSE),"")</f>
        <v/>
      </c>
      <c r="J10" s="157">
        <f>IFERROR(VLOOKUP(INDEX(INDIRECT($B$1&amp;"!"&amp;ADDRESS(8,COLUMN()+6,4)&amp;":"&amp;ADDRESS(73,COLUMN()+6,4)),MATCH($B10,INDIRECT($B$1&amp;"!$A$8:$A$73"),0)),CONFIG!$A$15:$B$28,2,FALSE),"")</f>
        <v/>
      </c>
      <c r="K10" s="157">
        <f>IFERROR(VLOOKUP(INDEX(INDIRECT($B$1&amp;"!"&amp;ADDRESS(8,COLUMN()+6,4)&amp;":"&amp;ADDRESS(73,COLUMN()+6,4)),MATCH($B10,INDIRECT($B$1&amp;"!$A$8:$A$73"),0)),CONFIG!$A$15:$B$28,2,FALSE),"")</f>
        <v/>
      </c>
      <c r="L10" s="157">
        <f>IFERROR(VLOOKUP(INDEX(INDIRECT($B$1&amp;"!"&amp;ADDRESS(8,COLUMN()+6,4)&amp;":"&amp;ADDRESS(73,COLUMN()+6,4)),MATCH($B10,INDIRECT($B$1&amp;"!$A$8:$A$73"),0)),CONFIG!$A$15:$B$28,2,FALSE),"")</f>
        <v/>
      </c>
      <c r="M10" s="157">
        <f>IFERROR(VLOOKUP(INDEX(INDIRECT($B$1&amp;"!"&amp;ADDRESS(8,COLUMN()+6,4)&amp;":"&amp;ADDRESS(73,COLUMN()+6,4)),MATCH($B10,INDIRECT($B$1&amp;"!$A$8:$A$73"),0)),CONFIG!$A$15:$B$28,2,FALSE),"")</f>
        <v/>
      </c>
      <c r="N10" s="157">
        <f>IFERROR(VLOOKUP(INDEX(INDIRECT($B$1&amp;"!"&amp;ADDRESS(8,COLUMN()+6,4)&amp;":"&amp;ADDRESS(73,COLUMN()+6,4)),MATCH($B10,INDIRECT($B$1&amp;"!$A$8:$A$73"),0)),CONFIG!$A$15:$B$28,2,FALSE),"")</f>
        <v/>
      </c>
      <c r="O10" s="157">
        <f>IFERROR(VLOOKUP(INDEX(INDIRECT($B$1&amp;"!"&amp;ADDRESS(8,COLUMN()+6,4)&amp;":"&amp;ADDRESS(73,COLUMN()+6,4)),MATCH($B10,INDIRECT($B$1&amp;"!$A$8:$A$73"),0)),CONFIG!$A$15:$B$28,2,FALSE),"")</f>
        <v/>
      </c>
      <c r="P10" s="157">
        <f>IFERROR(VLOOKUP(INDEX(INDIRECT($B$1&amp;"!"&amp;ADDRESS(8,COLUMN()+6,4)&amp;":"&amp;ADDRESS(73,COLUMN()+6,4)),MATCH($B10,INDIRECT($B$1&amp;"!$A$8:$A$73"),0)),CONFIG!$A$15:$B$28,2,FALSE),"")</f>
        <v/>
      </c>
      <c r="Q10" s="157">
        <f>IFERROR(VLOOKUP(INDEX(INDIRECT($B$1&amp;"!"&amp;ADDRESS(8,COLUMN()+6,4)&amp;":"&amp;ADDRESS(73,COLUMN()+6,4)),MATCH($B10,INDIRECT($B$1&amp;"!$A$8:$A$73"),0)),CONFIG!$A$15:$B$28,2,FALSE),"")</f>
        <v/>
      </c>
      <c r="R10" s="157">
        <f>IFERROR(VLOOKUP(INDEX(INDIRECT($B$1&amp;"!"&amp;ADDRESS(8,COLUMN()+6,4)&amp;":"&amp;ADDRESS(73,COLUMN()+6,4)),MATCH($B10,INDIRECT($B$1&amp;"!$A$8:$A$73"),0)),CONFIG!$A$15:$B$28,2,FALSE),"")</f>
        <v/>
      </c>
      <c r="S10" s="157">
        <f>IFERROR(VLOOKUP(INDEX(INDIRECT($B$1&amp;"!"&amp;ADDRESS(8,COLUMN()+6,4)&amp;":"&amp;ADDRESS(73,COLUMN()+6,4)),MATCH($B10,INDIRECT($B$1&amp;"!$A$8:$A$73"),0)),CONFIG!$A$15:$B$28,2,FALSE),"")</f>
        <v/>
      </c>
      <c r="T10" s="157">
        <f>IFERROR(VLOOKUP(INDEX(INDIRECT($B$1&amp;"!"&amp;ADDRESS(8,COLUMN()+6,4)&amp;":"&amp;ADDRESS(73,COLUMN()+6,4)),MATCH($B10,INDIRECT($B$1&amp;"!$A$8:$A$73"),0)),CONFIG!$A$15:$B$28,2,FALSE),"")</f>
        <v/>
      </c>
      <c r="U10" s="157">
        <f>IFERROR(VLOOKUP(INDEX(INDIRECT($B$1&amp;"!"&amp;ADDRESS(8,COLUMN()+6,4)&amp;":"&amp;ADDRESS(73,COLUMN()+6,4)),MATCH($B10,INDIRECT($B$1&amp;"!$A$8:$A$73"),0)),CONFIG!$A$15:$B$28,2,FALSE),"")</f>
        <v/>
      </c>
      <c r="V10" s="157">
        <f>IFERROR(VLOOKUP(INDEX(INDIRECT($B$1&amp;"!"&amp;ADDRESS(8,COLUMN()+6,4)&amp;":"&amp;ADDRESS(73,COLUMN()+6,4)),MATCH($B10,INDIRECT($B$1&amp;"!$A$8:$A$73"),0)),CONFIG!$A$15:$B$28,2,FALSE),"")</f>
        <v/>
      </c>
      <c r="W10" s="157">
        <f>IFERROR(VLOOKUP(INDEX(INDIRECT($B$1&amp;"!"&amp;ADDRESS(8,COLUMN()+6,4)&amp;":"&amp;ADDRESS(73,COLUMN()+6,4)),MATCH($B10,INDIRECT($B$1&amp;"!$A$8:$A$73"),0)),CONFIG!$A$15:$B$28,2,FALSE),"")</f>
        <v/>
      </c>
      <c r="X10" s="157">
        <f>IFERROR(VLOOKUP(INDEX(INDIRECT($B$1&amp;"!"&amp;ADDRESS(8,COLUMN()+6,4)&amp;":"&amp;ADDRESS(73,COLUMN()+6,4)),MATCH($B10,INDIRECT($B$1&amp;"!$A$8:$A$73"),0)),CONFIG!$A$15:$B$28,2,FALSE),"")</f>
        <v/>
      </c>
      <c r="Y10" s="157">
        <f>IFERROR(VLOOKUP(INDEX(INDIRECT($B$1&amp;"!"&amp;ADDRESS(8,COLUMN()+6,4)&amp;":"&amp;ADDRESS(73,COLUMN()+6,4)),MATCH($B10,INDIRECT($B$1&amp;"!$A$8:$A$73"),0)),CONFIG!$A$15:$B$28,2,FALSE),"")</f>
        <v/>
      </c>
      <c r="Z10" s="157">
        <f>IFERROR(VLOOKUP(INDEX(INDIRECT($B$1&amp;"!"&amp;ADDRESS(8,COLUMN()+6,4)&amp;":"&amp;ADDRESS(73,COLUMN()+6,4)),MATCH($B10,INDIRECT($B$1&amp;"!$A$8:$A$73"),0)),CONFIG!$A$15:$B$28,2,FALSE),"")</f>
        <v/>
      </c>
      <c r="AA10" s="157">
        <f>IFERROR(VLOOKUP(INDEX(INDIRECT($B$1&amp;"!"&amp;ADDRESS(8,COLUMN()+6,4)&amp;":"&amp;ADDRESS(73,COLUMN()+6,4)),MATCH($B10,INDIRECT($B$1&amp;"!$A$8:$A$73"),0)),CONFIG!$A$15:$B$28,2,FALSE),"")</f>
        <v/>
      </c>
      <c r="AB10" s="157">
        <f>IFERROR(VLOOKUP(INDEX(INDIRECT($B$1&amp;"!"&amp;ADDRESS(8,COLUMN()+6,4)&amp;":"&amp;ADDRESS(73,COLUMN()+6,4)),MATCH($B10,INDIRECT($B$1&amp;"!$A$8:$A$73"),0)),CONFIG!$A$15:$B$28,2,FALSE),"")</f>
        <v/>
      </c>
      <c r="AC10" s="157">
        <f>IFERROR(VLOOKUP(INDEX(INDIRECT($B$1&amp;"!"&amp;ADDRESS(8,COLUMN()+6,4)&amp;":"&amp;ADDRESS(73,COLUMN()+6,4)),MATCH($B10,INDIRECT($B$1&amp;"!$A$8:$A$73"),0)),CONFIG!$A$15:$B$28,2,FALSE),"")</f>
        <v/>
      </c>
      <c r="AD10" s="157">
        <f>IFERROR(VLOOKUP(INDEX(INDIRECT($B$1&amp;"!"&amp;ADDRESS(8,COLUMN()+6,4)&amp;":"&amp;ADDRESS(73,COLUMN()+6,4)),MATCH($B10,INDIRECT($B$1&amp;"!$A$8:$A$73"),0)),CONFIG!$A$15:$B$28,2,FALSE),"")</f>
        <v/>
      </c>
      <c r="AE10" s="157">
        <f>IFERROR(VLOOKUP(INDEX(INDIRECT($B$1&amp;"!"&amp;ADDRESS(8,COLUMN()+6,4)&amp;":"&amp;ADDRESS(73,COLUMN()+6,4)),MATCH($B10,INDIRECT($B$1&amp;"!$A$8:$A$73"),0)),CONFIG!$A$15:$B$28,2,FALSE),"")</f>
        <v/>
      </c>
      <c r="AF10" s="157">
        <f>IFERROR(VLOOKUP(INDEX(INDIRECT($B$1&amp;"!"&amp;ADDRESS(8,COLUMN()+6,4)&amp;":"&amp;ADDRESS(73,COLUMN()+6,4)),MATCH($B10,INDIRECT($B$1&amp;"!$A$8:$A$73"),0)),CONFIG!$A$15:$B$28,2,FALSE),"")</f>
        <v/>
      </c>
      <c r="AG10" s="157">
        <f>IFERROR(VLOOKUP(INDEX(INDIRECT($B$1&amp;"!"&amp;ADDRESS(8,COLUMN()+6,4)&amp;":"&amp;ADDRESS(73,COLUMN()+6,4)),MATCH($B10,INDIRECT($B$1&amp;"!$A$8:$A$73"),0)),CONFIG!$A$15:$B$28,2,FALSE),"")</f>
        <v/>
      </c>
      <c r="AH10" s="157">
        <f>IFERROR(VLOOKUP(INDEX(INDIRECT($B$1&amp;"!"&amp;ADDRESS(8,COLUMN()+6,4)&amp;":"&amp;ADDRESS(73,COLUMN()+6,4)),MATCH($B10,INDIRECT($B$1&amp;"!$A$8:$A$73"),0)),CONFIG!$A$15:$B$28,2,FALSE),"")</f>
        <v/>
      </c>
      <c r="AI10" s="39" t="n"/>
    </row>
    <row r="11">
      <c r="A11" s="155" t="inlineStr">
        <is>
          <t>Marina Salomão</t>
        </is>
      </c>
      <c r="B11" s="156" t="inlineStr">
        <is>
          <t>MSalomão</t>
        </is>
      </c>
      <c r="C11" s="157">
        <f>IFERROR(VLOOKUP(INDEX(INDIRECT($B$1&amp;"!"&amp;ADDRESS(8,COLUMN()+6,4)&amp;":"&amp;ADDRESS(73,COLUMN()+6,4)),MATCH($B11,INDIRECT($B$1&amp;"!$A$8:$A$73"),0)),CONFIG!$A$15:$B$28,2,FALSE),"")</f>
        <v/>
      </c>
      <c r="D11" s="157">
        <f>IFERROR(VLOOKUP(INDEX(INDIRECT($B$1&amp;"!"&amp;ADDRESS(8,COLUMN()+6,4)&amp;":"&amp;ADDRESS(73,COLUMN()+6,4)),MATCH($B11,INDIRECT($B$1&amp;"!$A$8:$A$73"),0)),CONFIG!$A$15:$B$28,2,FALSE),"")</f>
        <v/>
      </c>
      <c r="E11" s="157">
        <f>IFERROR(VLOOKUP(INDEX(INDIRECT($B$1&amp;"!"&amp;ADDRESS(8,COLUMN()+6,4)&amp;":"&amp;ADDRESS(73,COLUMN()+6,4)),MATCH($B11,INDIRECT($B$1&amp;"!$A$8:$A$73"),0)),CONFIG!$A$15:$B$28,2,FALSE),"")</f>
        <v/>
      </c>
      <c r="F11" s="157">
        <f>IFERROR(VLOOKUP(INDEX(INDIRECT($B$1&amp;"!"&amp;ADDRESS(8,COLUMN()+6,4)&amp;":"&amp;ADDRESS(73,COLUMN()+6,4)),MATCH($B11,INDIRECT($B$1&amp;"!$A$8:$A$73"),0)),CONFIG!$A$15:$B$28,2,FALSE),"")</f>
        <v/>
      </c>
      <c r="G11" s="157">
        <f>IFERROR(VLOOKUP(INDEX(INDIRECT($B$1&amp;"!"&amp;ADDRESS(8,COLUMN()+6,4)&amp;":"&amp;ADDRESS(73,COLUMN()+6,4)),MATCH($B11,INDIRECT($B$1&amp;"!$A$8:$A$73"),0)),CONFIG!$A$15:$B$28,2,FALSE),"")</f>
        <v/>
      </c>
      <c r="H11" s="157">
        <f>IFERROR(VLOOKUP(INDEX(INDIRECT($B$1&amp;"!"&amp;ADDRESS(8,COLUMN()+6,4)&amp;":"&amp;ADDRESS(73,COLUMN()+6,4)),MATCH($B11,INDIRECT($B$1&amp;"!$A$8:$A$73"),0)),CONFIG!$A$15:$B$28,2,FALSE),"")</f>
        <v/>
      </c>
      <c r="I11" s="157">
        <f>IFERROR(VLOOKUP(INDEX(INDIRECT($B$1&amp;"!"&amp;ADDRESS(8,COLUMN()+6,4)&amp;":"&amp;ADDRESS(73,COLUMN()+6,4)),MATCH($B11,INDIRECT($B$1&amp;"!$A$8:$A$73"),0)),CONFIG!$A$15:$B$28,2,FALSE),"")</f>
        <v/>
      </c>
      <c r="J11" s="157">
        <f>IFERROR(VLOOKUP(INDEX(INDIRECT($B$1&amp;"!"&amp;ADDRESS(8,COLUMN()+6,4)&amp;":"&amp;ADDRESS(73,COLUMN()+6,4)),MATCH($B11,INDIRECT($B$1&amp;"!$A$8:$A$73"),0)),CONFIG!$A$15:$B$28,2,FALSE),"")</f>
        <v/>
      </c>
      <c r="K11" s="157">
        <f>IFERROR(VLOOKUP(INDEX(INDIRECT($B$1&amp;"!"&amp;ADDRESS(8,COLUMN()+6,4)&amp;":"&amp;ADDRESS(73,COLUMN()+6,4)),MATCH($B11,INDIRECT($B$1&amp;"!$A$8:$A$73"),0)),CONFIG!$A$15:$B$28,2,FALSE),"")</f>
        <v/>
      </c>
      <c r="L11" s="157">
        <f>IFERROR(VLOOKUP(INDEX(INDIRECT($B$1&amp;"!"&amp;ADDRESS(8,COLUMN()+6,4)&amp;":"&amp;ADDRESS(73,COLUMN()+6,4)),MATCH($B11,INDIRECT($B$1&amp;"!$A$8:$A$73"),0)),CONFIG!$A$15:$B$28,2,FALSE),"")</f>
        <v/>
      </c>
      <c r="M11" s="157">
        <f>IFERROR(VLOOKUP(INDEX(INDIRECT($B$1&amp;"!"&amp;ADDRESS(8,COLUMN()+6,4)&amp;":"&amp;ADDRESS(73,COLUMN()+6,4)),MATCH($B11,INDIRECT($B$1&amp;"!$A$8:$A$73"),0)),CONFIG!$A$15:$B$28,2,FALSE),"")</f>
        <v/>
      </c>
      <c r="N11" s="157">
        <f>IFERROR(VLOOKUP(INDEX(INDIRECT($B$1&amp;"!"&amp;ADDRESS(8,COLUMN()+6,4)&amp;":"&amp;ADDRESS(73,COLUMN()+6,4)),MATCH($B11,INDIRECT($B$1&amp;"!$A$8:$A$73"),0)),CONFIG!$A$15:$B$28,2,FALSE),"")</f>
        <v/>
      </c>
      <c r="O11" s="157">
        <f>IFERROR(VLOOKUP(INDEX(INDIRECT($B$1&amp;"!"&amp;ADDRESS(8,COLUMN()+6,4)&amp;":"&amp;ADDRESS(73,COLUMN()+6,4)),MATCH($B11,INDIRECT($B$1&amp;"!$A$8:$A$73"),0)),CONFIG!$A$15:$B$28,2,FALSE),"")</f>
        <v/>
      </c>
      <c r="P11" s="157">
        <f>IFERROR(VLOOKUP(INDEX(INDIRECT($B$1&amp;"!"&amp;ADDRESS(8,COLUMN()+6,4)&amp;":"&amp;ADDRESS(73,COLUMN()+6,4)),MATCH($B11,INDIRECT($B$1&amp;"!$A$8:$A$73"),0)),CONFIG!$A$15:$B$28,2,FALSE),"")</f>
        <v/>
      </c>
      <c r="Q11" s="157">
        <f>IFERROR(VLOOKUP(INDEX(INDIRECT($B$1&amp;"!"&amp;ADDRESS(8,COLUMN()+6,4)&amp;":"&amp;ADDRESS(73,COLUMN()+6,4)),MATCH($B11,INDIRECT($B$1&amp;"!$A$8:$A$73"),0)),CONFIG!$A$15:$B$28,2,FALSE),"")</f>
        <v/>
      </c>
      <c r="R11" s="157">
        <f>IFERROR(VLOOKUP(INDEX(INDIRECT($B$1&amp;"!"&amp;ADDRESS(8,COLUMN()+6,4)&amp;":"&amp;ADDRESS(73,COLUMN()+6,4)),MATCH($B11,INDIRECT($B$1&amp;"!$A$8:$A$73"),0)),CONFIG!$A$15:$B$28,2,FALSE),"")</f>
        <v/>
      </c>
      <c r="S11" s="157">
        <f>IFERROR(VLOOKUP(INDEX(INDIRECT($B$1&amp;"!"&amp;ADDRESS(8,COLUMN()+6,4)&amp;":"&amp;ADDRESS(73,COLUMN()+6,4)),MATCH($B11,INDIRECT($B$1&amp;"!$A$8:$A$73"),0)),CONFIG!$A$15:$B$28,2,FALSE),"")</f>
        <v/>
      </c>
      <c r="T11" s="157">
        <f>IFERROR(VLOOKUP(INDEX(INDIRECT($B$1&amp;"!"&amp;ADDRESS(8,COLUMN()+6,4)&amp;":"&amp;ADDRESS(73,COLUMN()+6,4)),MATCH($B11,INDIRECT($B$1&amp;"!$A$8:$A$73"),0)),CONFIG!$A$15:$B$28,2,FALSE),"")</f>
        <v/>
      </c>
      <c r="U11" s="157">
        <f>IFERROR(VLOOKUP(INDEX(INDIRECT($B$1&amp;"!"&amp;ADDRESS(8,COLUMN()+6,4)&amp;":"&amp;ADDRESS(73,COLUMN()+6,4)),MATCH($B11,INDIRECT($B$1&amp;"!$A$8:$A$73"),0)),CONFIG!$A$15:$B$28,2,FALSE),"")</f>
        <v/>
      </c>
      <c r="V11" s="157">
        <f>IFERROR(VLOOKUP(INDEX(INDIRECT($B$1&amp;"!"&amp;ADDRESS(8,COLUMN()+6,4)&amp;":"&amp;ADDRESS(73,COLUMN()+6,4)),MATCH($B11,INDIRECT($B$1&amp;"!$A$8:$A$73"),0)),CONFIG!$A$15:$B$28,2,FALSE),"")</f>
        <v/>
      </c>
      <c r="W11" s="157">
        <f>IFERROR(VLOOKUP(INDEX(INDIRECT($B$1&amp;"!"&amp;ADDRESS(8,COLUMN()+6,4)&amp;":"&amp;ADDRESS(73,COLUMN()+6,4)),MATCH($B11,INDIRECT($B$1&amp;"!$A$8:$A$73"),0)),CONFIG!$A$15:$B$28,2,FALSE),"")</f>
        <v/>
      </c>
      <c r="X11" s="157">
        <f>IFERROR(VLOOKUP(INDEX(INDIRECT($B$1&amp;"!"&amp;ADDRESS(8,COLUMN()+6,4)&amp;":"&amp;ADDRESS(73,COLUMN()+6,4)),MATCH($B11,INDIRECT($B$1&amp;"!$A$8:$A$73"),0)),CONFIG!$A$15:$B$28,2,FALSE),"")</f>
        <v/>
      </c>
      <c r="Y11" s="157">
        <f>IFERROR(VLOOKUP(INDEX(INDIRECT($B$1&amp;"!"&amp;ADDRESS(8,COLUMN()+6,4)&amp;":"&amp;ADDRESS(73,COLUMN()+6,4)),MATCH($B11,INDIRECT($B$1&amp;"!$A$8:$A$73"),0)),CONFIG!$A$15:$B$28,2,FALSE),"")</f>
        <v/>
      </c>
      <c r="Z11" s="157">
        <f>IFERROR(VLOOKUP(INDEX(INDIRECT($B$1&amp;"!"&amp;ADDRESS(8,COLUMN()+6,4)&amp;":"&amp;ADDRESS(73,COLUMN()+6,4)),MATCH($B11,INDIRECT($B$1&amp;"!$A$8:$A$73"),0)),CONFIG!$A$15:$B$28,2,FALSE),"")</f>
        <v/>
      </c>
      <c r="AA11" s="157">
        <f>IFERROR(VLOOKUP(INDEX(INDIRECT($B$1&amp;"!"&amp;ADDRESS(8,COLUMN()+6,4)&amp;":"&amp;ADDRESS(73,COLUMN()+6,4)),MATCH($B11,INDIRECT($B$1&amp;"!$A$8:$A$73"),0)),CONFIG!$A$15:$B$28,2,FALSE),"")</f>
        <v/>
      </c>
      <c r="AB11" s="157">
        <f>IFERROR(VLOOKUP(INDEX(INDIRECT($B$1&amp;"!"&amp;ADDRESS(8,COLUMN()+6,4)&amp;":"&amp;ADDRESS(73,COLUMN()+6,4)),MATCH($B11,INDIRECT($B$1&amp;"!$A$8:$A$73"),0)),CONFIG!$A$15:$B$28,2,FALSE),"")</f>
        <v/>
      </c>
      <c r="AC11" s="157">
        <f>IFERROR(VLOOKUP(INDEX(INDIRECT($B$1&amp;"!"&amp;ADDRESS(8,COLUMN()+6,4)&amp;":"&amp;ADDRESS(73,COLUMN()+6,4)),MATCH($B11,INDIRECT($B$1&amp;"!$A$8:$A$73"),0)),CONFIG!$A$15:$B$28,2,FALSE),"")</f>
        <v/>
      </c>
      <c r="AD11" s="157">
        <f>IFERROR(VLOOKUP(INDEX(INDIRECT($B$1&amp;"!"&amp;ADDRESS(8,COLUMN()+6,4)&amp;":"&amp;ADDRESS(73,COLUMN()+6,4)),MATCH($B11,INDIRECT($B$1&amp;"!$A$8:$A$73"),0)),CONFIG!$A$15:$B$28,2,FALSE),"")</f>
        <v/>
      </c>
      <c r="AE11" s="157">
        <f>IFERROR(VLOOKUP(INDEX(INDIRECT($B$1&amp;"!"&amp;ADDRESS(8,COLUMN()+6,4)&amp;":"&amp;ADDRESS(73,COLUMN()+6,4)),MATCH($B11,INDIRECT($B$1&amp;"!$A$8:$A$73"),0)),CONFIG!$A$15:$B$28,2,FALSE),"")</f>
        <v/>
      </c>
      <c r="AF11" s="157">
        <f>IFERROR(VLOOKUP(INDEX(INDIRECT($B$1&amp;"!"&amp;ADDRESS(8,COLUMN()+6,4)&amp;":"&amp;ADDRESS(73,COLUMN()+6,4)),MATCH($B11,INDIRECT($B$1&amp;"!$A$8:$A$73"),0)),CONFIG!$A$15:$B$28,2,FALSE),"")</f>
        <v/>
      </c>
      <c r="AG11" s="157">
        <f>IFERROR(VLOOKUP(INDEX(INDIRECT($B$1&amp;"!"&amp;ADDRESS(8,COLUMN()+6,4)&amp;":"&amp;ADDRESS(73,COLUMN()+6,4)),MATCH($B11,INDIRECT($B$1&amp;"!$A$8:$A$73"),0)),CONFIG!$A$15:$B$28,2,FALSE),"")</f>
        <v/>
      </c>
      <c r="AH11" s="157">
        <f>IFERROR(VLOOKUP(INDEX(INDIRECT($B$1&amp;"!"&amp;ADDRESS(8,COLUMN()+6,4)&amp;":"&amp;ADDRESS(73,COLUMN()+6,4)),MATCH($B11,INDIRECT($B$1&amp;"!$A$8:$A$73"),0)),CONFIG!$A$15:$B$28,2,FALSE),"")</f>
        <v/>
      </c>
      <c r="AI11" s="39" t="n"/>
    </row>
    <row r="12">
      <c r="A12" s="155" t="inlineStr">
        <is>
          <t>Deborah Alves</t>
        </is>
      </c>
      <c r="B12" s="156" t="inlineStr">
        <is>
          <t>DebAlves</t>
        </is>
      </c>
      <c r="C12" s="157">
        <f>IFERROR(VLOOKUP(INDEX(INDIRECT($B$1&amp;"!"&amp;ADDRESS(8,COLUMN()+6,4)&amp;":"&amp;ADDRESS(73,COLUMN()+6,4)),MATCH($B12,INDIRECT($B$1&amp;"!$A$8:$A$73"),0)),CONFIG!$A$15:$B$28,2,FALSE),"")</f>
        <v/>
      </c>
      <c r="D12" s="157">
        <f>IFERROR(VLOOKUP(INDEX(INDIRECT($B$1&amp;"!"&amp;ADDRESS(8,COLUMN()+6,4)&amp;":"&amp;ADDRESS(73,COLUMN()+6,4)),MATCH($B12,INDIRECT($B$1&amp;"!$A$8:$A$73"),0)),CONFIG!$A$15:$B$28,2,FALSE),"")</f>
        <v/>
      </c>
      <c r="E12" s="157">
        <f>IFERROR(VLOOKUP(INDEX(INDIRECT($B$1&amp;"!"&amp;ADDRESS(8,COLUMN()+6,4)&amp;":"&amp;ADDRESS(73,COLUMN()+6,4)),MATCH($B12,INDIRECT($B$1&amp;"!$A$8:$A$73"),0)),CONFIG!$A$15:$B$28,2,FALSE),"")</f>
        <v/>
      </c>
      <c r="F12" s="157">
        <f>IFERROR(VLOOKUP(INDEX(INDIRECT($B$1&amp;"!"&amp;ADDRESS(8,COLUMN()+6,4)&amp;":"&amp;ADDRESS(73,COLUMN()+6,4)),MATCH($B12,INDIRECT($B$1&amp;"!$A$8:$A$73"),0)),CONFIG!$A$15:$B$28,2,FALSE),"")</f>
        <v/>
      </c>
      <c r="G12" s="157">
        <f>IFERROR(VLOOKUP(INDEX(INDIRECT($B$1&amp;"!"&amp;ADDRESS(8,COLUMN()+6,4)&amp;":"&amp;ADDRESS(73,COLUMN()+6,4)),MATCH($B12,INDIRECT($B$1&amp;"!$A$8:$A$73"),0)),CONFIG!$A$15:$B$28,2,FALSE),"")</f>
        <v/>
      </c>
      <c r="H12" s="157">
        <f>IFERROR(VLOOKUP(INDEX(INDIRECT($B$1&amp;"!"&amp;ADDRESS(8,COLUMN()+6,4)&amp;":"&amp;ADDRESS(73,COLUMN()+6,4)),MATCH($B12,INDIRECT($B$1&amp;"!$A$8:$A$73"),0)),CONFIG!$A$15:$B$28,2,FALSE),"")</f>
        <v/>
      </c>
      <c r="I12" s="157">
        <f>IFERROR(VLOOKUP(INDEX(INDIRECT($B$1&amp;"!"&amp;ADDRESS(8,COLUMN()+6,4)&amp;":"&amp;ADDRESS(73,COLUMN()+6,4)),MATCH($B12,INDIRECT($B$1&amp;"!$A$8:$A$73"),0)),CONFIG!$A$15:$B$28,2,FALSE),"")</f>
        <v/>
      </c>
      <c r="J12" s="157">
        <f>IFERROR(VLOOKUP(INDEX(INDIRECT($B$1&amp;"!"&amp;ADDRESS(8,COLUMN()+6,4)&amp;":"&amp;ADDRESS(73,COLUMN()+6,4)),MATCH($B12,INDIRECT($B$1&amp;"!$A$8:$A$73"),0)),CONFIG!$A$15:$B$28,2,FALSE),"")</f>
        <v/>
      </c>
      <c r="K12" s="157">
        <f>IFERROR(VLOOKUP(INDEX(INDIRECT($B$1&amp;"!"&amp;ADDRESS(8,COLUMN()+6,4)&amp;":"&amp;ADDRESS(73,COLUMN()+6,4)),MATCH($B12,INDIRECT($B$1&amp;"!$A$8:$A$73"),0)),CONFIG!$A$15:$B$28,2,FALSE),"")</f>
        <v/>
      </c>
      <c r="L12" s="157">
        <f>IFERROR(VLOOKUP(INDEX(INDIRECT($B$1&amp;"!"&amp;ADDRESS(8,COLUMN()+6,4)&amp;":"&amp;ADDRESS(73,COLUMN()+6,4)),MATCH($B12,INDIRECT($B$1&amp;"!$A$8:$A$73"),0)),CONFIG!$A$15:$B$28,2,FALSE),"")</f>
        <v/>
      </c>
      <c r="M12" s="157">
        <f>IFERROR(VLOOKUP(INDEX(INDIRECT($B$1&amp;"!"&amp;ADDRESS(8,COLUMN()+6,4)&amp;":"&amp;ADDRESS(73,COLUMN()+6,4)),MATCH($B12,INDIRECT($B$1&amp;"!$A$8:$A$73"),0)),CONFIG!$A$15:$B$28,2,FALSE),"")</f>
        <v/>
      </c>
      <c r="N12" s="157">
        <f>IFERROR(VLOOKUP(INDEX(INDIRECT($B$1&amp;"!"&amp;ADDRESS(8,COLUMN()+6,4)&amp;":"&amp;ADDRESS(73,COLUMN()+6,4)),MATCH($B12,INDIRECT($B$1&amp;"!$A$8:$A$73"),0)),CONFIG!$A$15:$B$28,2,FALSE),"")</f>
        <v/>
      </c>
      <c r="O12" s="157">
        <f>IFERROR(VLOOKUP(INDEX(INDIRECT($B$1&amp;"!"&amp;ADDRESS(8,COLUMN()+6,4)&amp;":"&amp;ADDRESS(73,COLUMN()+6,4)),MATCH($B12,INDIRECT($B$1&amp;"!$A$8:$A$73"),0)),CONFIG!$A$15:$B$28,2,FALSE),"")</f>
        <v/>
      </c>
      <c r="P12" s="157">
        <f>IFERROR(VLOOKUP(INDEX(INDIRECT($B$1&amp;"!"&amp;ADDRESS(8,COLUMN()+6,4)&amp;":"&amp;ADDRESS(73,COLUMN()+6,4)),MATCH($B12,INDIRECT($B$1&amp;"!$A$8:$A$73"),0)),CONFIG!$A$15:$B$28,2,FALSE),"")</f>
        <v/>
      </c>
      <c r="Q12" s="157">
        <f>IFERROR(VLOOKUP(INDEX(INDIRECT($B$1&amp;"!"&amp;ADDRESS(8,COLUMN()+6,4)&amp;":"&amp;ADDRESS(73,COLUMN()+6,4)),MATCH($B12,INDIRECT($B$1&amp;"!$A$8:$A$73"),0)),CONFIG!$A$15:$B$28,2,FALSE),"")</f>
        <v/>
      </c>
      <c r="R12" s="157">
        <f>IFERROR(VLOOKUP(INDEX(INDIRECT($B$1&amp;"!"&amp;ADDRESS(8,COLUMN()+6,4)&amp;":"&amp;ADDRESS(73,COLUMN()+6,4)),MATCH($B12,INDIRECT($B$1&amp;"!$A$8:$A$73"),0)),CONFIG!$A$15:$B$28,2,FALSE),"")</f>
        <v/>
      </c>
      <c r="S12" s="157">
        <f>IFERROR(VLOOKUP(INDEX(INDIRECT($B$1&amp;"!"&amp;ADDRESS(8,COLUMN()+6,4)&amp;":"&amp;ADDRESS(73,COLUMN()+6,4)),MATCH($B12,INDIRECT($B$1&amp;"!$A$8:$A$73"),0)),CONFIG!$A$15:$B$28,2,FALSE),"")</f>
        <v/>
      </c>
      <c r="T12" s="157">
        <f>IFERROR(VLOOKUP(INDEX(INDIRECT($B$1&amp;"!"&amp;ADDRESS(8,COLUMN()+6,4)&amp;":"&amp;ADDRESS(73,COLUMN()+6,4)),MATCH($B12,INDIRECT($B$1&amp;"!$A$8:$A$73"),0)),CONFIG!$A$15:$B$28,2,FALSE),"")</f>
        <v/>
      </c>
      <c r="U12" s="157">
        <f>IFERROR(VLOOKUP(INDEX(INDIRECT($B$1&amp;"!"&amp;ADDRESS(8,COLUMN()+6,4)&amp;":"&amp;ADDRESS(73,COLUMN()+6,4)),MATCH($B12,INDIRECT($B$1&amp;"!$A$8:$A$73"),0)),CONFIG!$A$15:$B$28,2,FALSE),"")</f>
        <v/>
      </c>
      <c r="V12" s="157">
        <f>IFERROR(VLOOKUP(INDEX(INDIRECT($B$1&amp;"!"&amp;ADDRESS(8,COLUMN()+6,4)&amp;":"&amp;ADDRESS(73,COLUMN()+6,4)),MATCH($B12,INDIRECT($B$1&amp;"!$A$8:$A$73"),0)),CONFIG!$A$15:$B$28,2,FALSE),"")</f>
        <v/>
      </c>
      <c r="W12" s="157">
        <f>IFERROR(VLOOKUP(INDEX(INDIRECT($B$1&amp;"!"&amp;ADDRESS(8,COLUMN()+6,4)&amp;":"&amp;ADDRESS(73,COLUMN()+6,4)),MATCH($B12,INDIRECT($B$1&amp;"!$A$8:$A$73"),0)),CONFIG!$A$15:$B$28,2,FALSE),"")</f>
        <v/>
      </c>
      <c r="X12" s="157">
        <f>IFERROR(VLOOKUP(INDEX(INDIRECT($B$1&amp;"!"&amp;ADDRESS(8,COLUMN()+6,4)&amp;":"&amp;ADDRESS(73,COLUMN()+6,4)),MATCH($B12,INDIRECT($B$1&amp;"!$A$8:$A$73"),0)),CONFIG!$A$15:$B$28,2,FALSE),"")</f>
        <v/>
      </c>
      <c r="Y12" s="157">
        <f>IFERROR(VLOOKUP(INDEX(INDIRECT($B$1&amp;"!"&amp;ADDRESS(8,COLUMN()+6,4)&amp;":"&amp;ADDRESS(73,COLUMN()+6,4)),MATCH($B12,INDIRECT($B$1&amp;"!$A$8:$A$73"),0)),CONFIG!$A$15:$B$28,2,FALSE),"")</f>
        <v/>
      </c>
      <c r="Z12" s="157">
        <f>IFERROR(VLOOKUP(INDEX(INDIRECT($B$1&amp;"!"&amp;ADDRESS(8,COLUMN()+6,4)&amp;":"&amp;ADDRESS(73,COLUMN()+6,4)),MATCH($B12,INDIRECT($B$1&amp;"!$A$8:$A$73"),0)),CONFIG!$A$15:$B$28,2,FALSE),"")</f>
        <v/>
      </c>
      <c r="AA12" s="157">
        <f>IFERROR(VLOOKUP(INDEX(INDIRECT($B$1&amp;"!"&amp;ADDRESS(8,COLUMN()+6,4)&amp;":"&amp;ADDRESS(73,COLUMN()+6,4)),MATCH($B12,INDIRECT($B$1&amp;"!$A$8:$A$73"),0)),CONFIG!$A$15:$B$28,2,FALSE),"")</f>
        <v/>
      </c>
      <c r="AB12" s="157">
        <f>IFERROR(VLOOKUP(INDEX(INDIRECT($B$1&amp;"!"&amp;ADDRESS(8,COLUMN()+6,4)&amp;":"&amp;ADDRESS(73,COLUMN()+6,4)),MATCH($B12,INDIRECT($B$1&amp;"!$A$8:$A$73"),0)),CONFIG!$A$15:$B$28,2,FALSE),"")</f>
        <v/>
      </c>
      <c r="AC12" s="157">
        <f>IFERROR(VLOOKUP(INDEX(INDIRECT($B$1&amp;"!"&amp;ADDRESS(8,COLUMN()+6,4)&amp;":"&amp;ADDRESS(73,COLUMN()+6,4)),MATCH($B12,INDIRECT($B$1&amp;"!$A$8:$A$73"),0)),CONFIG!$A$15:$B$28,2,FALSE),"")</f>
        <v/>
      </c>
      <c r="AD12" s="157">
        <f>IFERROR(VLOOKUP(INDEX(INDIRECT($B$1&amp;"!"&amp;ADDRESS(8,COLUMN()+6,4)&amp;":"&amp;ADDRESS(73,COLUMN()+6,4)),MATCH($B12,INDIRECT($B$1&amp;"!$A$8:$A$73"),0)),CONFIG!$A$15:$B$28,2,FALSE),"")</f>
        <v/>
      </c>
      <c r="AE12" s="157">
        <f>IFERROR(VLOOKUP(INDEX(INDIRECT($B$1&amp;"!"&amp;ADDRESS(8,COLUMN()+6,4)&amp;":"&amp;ADDRESS(73,COLUMN()+6,4)),MATCH($B12,INDIRECT($B$1&amp;"!$A$8:$A$73"),0)),CONFIG!$A$15:$B$28,2,FALSE),"")</f>
        <v/>
      </c>
      <c r="AF12" s="157">
        <f>IFERROR(VLOOKUP(INDEX(INDIRECT($B$1&amp;"!"&amp;ADDRESS(8,COLUMN()+6,4)&amp;":"&amp;ADDRESS(73,COLUMN()+6,4)),MATCH($B12,INDIRECT($B$1&amp;"!$A$8:$A$73"),0)),CONFIG!$A$15:$B$28,2,FALSE),"")</f>
        <v/>
      </c>
      <c r="AG12" s="157">
        <f>IFERROR(VLOOKUP(INDEX(INDIRECT($B$1&amp;"!"&amp;ADDRESS(8,COLUMN()+6,4)&amp;":"&amp;ADDRESS(73,COLUMN()+6,4)),MATCH($B12,INDIRECT($B$1&amp;"!$A$8:$A$73"),0)),CONFIG!$A$15:$B$28,2,FALSE),"")</f>
        <v/>
      </c>
      <c r="AH12" s="157">
        <f>IFERROR(VLOOKUP(INDEX(INDIRECT($B$1&amp;"!"&amp;ADDRESS(8,COLUMN()+6,4)&amp;":"&amp;ADDRESS(73,COLUMN()+6,4)),MATCH($B12,INDIRECT($B$1&amp;"!$A$8:$A$73"),0)),CONFIG!$A$15:$B$28,2,FALSE),"")</f>
        <v/>
      </c>
      <c r="AI12" s="39" t="n"/>
    </row>
    <row r="13">
      <c r="A13" s="155" t="inlineStr">
        <is>
          <t>Vinicius Bezerra</t>
        </is>
      </c>
      <c r="B13" s="156" t="inlineStr">
        <is>
          <t>Vinicius</t>
        </is>
      </c>
      <c r="C13" s="157">
        <f>IFERROR(VLOOKUP(INDEX(INDIRECT($B$1&amp;"!"&amp;ADDRESS(8,COLUMN()+6,4)&amp;":"&amp;ADDRESS(73,COLUMN()+6,4)),MATCH($B13,INDIRECT($B$1&amp;"!$A$8:$A$73"),0)),CONFIG!$A$15:$B$28,2,FALSE),"")</f>
        <v/>
      </c>
      <c r="D13" s="157">
        <f>IFERROR(VLOOKUP(INDEX(INDIRECT($B$1&amp;"!"&amp;ADDRESS(8,COLUMN()+6,4)&amp;":"&amp;ADDRESS(73,COLUMN()+6,4)),MATCH($B13,INDIRECT($B$1&amp;"!$A$8:$A$73"),0)),CONFIG!$A$15:$B$28,2,FALSE),"")</f>
        <v/>
      </c>
      <c r="E13" s="157">
        <f>IFERROR(VLOOKUP(INDEX(INDIRECT($B$1&amp;"!"&amp;ADDRESS(8,COLUMN()+6,4)&amp;":"&amp;ADDRESS(73,COLUMN()+6,4)),MATCH($B13,INDIRECT($B$1&amp;"!$A$8:$A$73"),0)),CONFIG!$A$15:$B$28,2,FALSE),"")</f>
        <v/>
      </c>
      <c r="F13" s="157">
        <f>IFERROR(VLOOKUP(INDEX(INDIRECT($B$1&amp;"!"&amp;ADDRESS(8,COLUMN()+6,4)&amp;":"&amp;ADDRESS(73,COLUMN()+6,4)),MATCH($B13,INDIRECT($B$1&amp;"!$A$8:$A$73"),0)),CONFIG!$A$15:$B$28,2,FALSE),"")</f>
        <v/>
      </c>
      <c r="G13" s="157">
        <f>IFERROR(VLOOKUP(INDEX(INDIRECT($B$1&amp;"!"&amp;ADDRESS(8,COLUMN()+6,4)&amp;":"&amp;ADDRESS(73,COLUMN()+6,4)),MATCH($B13,INDIRECT($B$1&amp;"!$A$8:$A$73"),0)),CONFIG!$A$15:$B$28,2,FALSE),"")</f>
        <v/>
      </c>
      <c r="H13" s="157">
        <f>IFERROR(VLOOKUP(INDEX(INDIRECT($B$1&amp;"!"&amp;ADDRESS(8,COLUMN()+6,4)&amp;":"&amp;ADDRESS(73,COLUMN()+6,4)),MATCH($B13,INDIRECT($B$1&amp;"!$A$8:$A$73"),0)),CONFIG!$A$15:$B$28,2,FALSE),"")</f>
        <v/>
      </c>
      <c r="I13" s="157">
        <f>IFERROR(VLOOKUP(INDEX(INDIRECT($B$1&amp;"!"&amp;ADDRESS(8,COLUMN()+6,4)&amp;":"&amp;ADDRESS(73,COLUMN()+6,4)),MATCH($B13,INDIRECT($B$1&amp;"!$A$8:$A$73"),0)),CONFIG!$A$15:$B$28,2,FALSE),"")</f>
        <v/>
      </c>
      <c r="J13" s="157">
        <f>IFERROR(VLOOKUP(INDEX(INDIRECT($B$1&amp;"!"&amp;ADDRESS(8,COLUMN()+6,4)&amp;":"&amp;ADDRESS(73,COLUMN()+6,4)),MATCH($B13,INDIRECT($B$1&amp;"!$A$8:$A$73"),0)),CONFIG!$A$15:$B$28,2,FALSE),"")</f>
        <v/>
      </c>
      <c r="K13" s="157">
        <f>IFERROR(VLOOKUP(INDEX(INDIRECT($B$1&amp;"!"&amp;ADDRESS(8,COLUMN()+6,4)&amp;":"&amp;ADDRESS(73,COLUMN()+6,4)),MATCH($B13,INDIRECT($B$1&amp;"!$A$8:$A$73"),0)),CONFIG!$A$15:$B$28,2,FALSE),"")</f>
        <v/>
      </c>
      <c r="L13" s="157">
        <f>IFERROR(VLOOKUP(INDEX(INDIRECT($B$1&amp;"!"&amp;ADDRESS(8,COLUMN()+6,4)&amp;":"&amp;ADDRESS(73,COLUMN()+6,4)),MATCH($B13,INDIRECT($B$1&amp;"!$A$8:$A$73"),0)),CONFIG!$A$15:$B$28,2,FALSE),"")</f>
        <v/>
      </c>
      <c r="M13" s="157">
        <f>IFERROR(VLOOKUP(INDEX(INDIRECT($B$1&amp;"!"&amp;ADDRESS(8,COLUMN()+6,4)&amp;":"&amp;ADDRESS(73,COLUMN()+6,4)),MATCH($B13,INDIRECT($B$1&amp;"!$A$8:$A$73"),0)),CONFIG!$A$15:$B$28,2,FALSE),"")</f>
        <v/>
      </c>
      <c r="N13" s="157">
        <f>IFERROR(VLOOKUP(INDEX(INDIRECT($B$1&amp;"!"&amp;ADDRESS(8,COLUMN()+6,4)&amp;":"&amp;ADDRESS(73,COLUMN()+6,4)),MATCH($B13,INDIRECT($B$1&amp;"!$A$8:$A$73"),0)),CONFIG!$A$15:$B$28,2,FALSE),"")</f>
        <v/>
      </c>
      <c r="O13" s="157">
        <f>IFERROR(VLOOKUP(INDEX(INDIRECT($B$1&amp;"!"&amp;ADDRESS(8,COLUMN()+6,4)&amp;":"&amp;ADDRESS(73,COLUMN()+6,4)),MATCH($B13,INDIRECT($B$1&amp;"!$A$8:$A$73"),0)),CONFIG!$A$15:$B$28,2,FALSE),"")</f>
        <v/>
      </c>
      <c r="P13" s="157">
        <f>IFERROR(VLOOKUP(INDEX(INDIRECT($B$1&amp;"!"&amp;ADDRESS(8,COLUMN()+6,4)&amp;":"&amp;ADDRESS(73,COLUMN()+6,4)),MATCH($B13,INDIRECT($B$1&amp;"!$A$8:$A$73"),0)),CONFIG!$A$15:$B$28,2,FALSE),"")</f>
        <v/>
      </c>
      <c r="Q13" s="157">
        <f>IFERROR(VLOOKUP(INDEX(INDIRECT($B$1&amp;"!"&amp;ADDRESS(8,COLUMN()+6,4)&amp;":"&amp;ADDRESS(73,COLUMN()+6,4)),MATCH($B13,INDIRECT($B$1&amp;"!$A$8:$A$73"),0)),CONFIG!$A$15:$B$28,2,FALSE),"")</f>
        <v/>
      </c>
      <c r="R13" s="157">
        <f>IFERROR(VLOOKUP(INDEX(INDIRECT($B$1&amp;"!"&amp;ADDRESS(8,COLUMN()+6,4)&amp;":"&amp;ADDRESS(73,COLUMN()+6,4)),MATCH($B13,INDIRECT($B$1&amp;"!$A$8:$A$73"),0)),CONFIG!$A$15:$B$28,2,FALSE),"")</f>
        <v/>
      </c>
      <c r="S13" s="157">
        <f>IFERROR(VLOOKUP(INDEX(INDIRECT($B$1&amp;"!"&amp;ADDRESS(8,COLUMN()+6,4)&amp;":"&amp;ADDRESS(73,COLUMN()+6,4)),MATCH($B13,INDIRECT($B$1&amp;"!$A$8:$A$73"),0)),CONFIG!$A$15:$B$28,2,FALSE),"")</f>
        <v/>
      </c>
      <c r="T13" s="157">
        <f>IFERROR(VLOOKUP(INDEX(INDIRECT($B$1&amp;"!"&amp;ADDRESS(8,COLUMN()+6,4)&amp;":"&amp;ADDRESS(73,COLUMN()+6,4)),MATCH($B13,INDIRECT($B$1&amp;"!$A$8:$A$73"),0)),CONFIG!$A$15:$B$28,2,FALSE),"")</f>
        <v/>
      </c>
      <c r="U13" s="157">
        <f>IFERROR(VLOOKUP(INDEX(INDIRECT($B$1&amp;"!"&amp;ADDRESS(8,COLUMN()+6,4)&amp;":"&amp;ADDRESS(73,COLUMN()+6,4)),MATCH($B13,INDIRECT($B$1&amp;"!$A$8:$A$73"),0)),CONFIG!$A$15:$B$28,2,FALSE),"")</f>
        <v/>
      </c>
      <c r="V13" s="157">
        <f>IFERROR(VLOOKUP(INDEX(INDIRECT($B$1&amp;"!"&amp;ADDRESS(8,COLUMN()+6,4)&amp;":"&amp;ADDRESS(73,COLUMN()+6,4)),MATCH($B13,INDIRECT($B$1&amp;"!$A$8:$A$73"),0)),CONFIG!$A$15:$B$28,2,FALSE),"")</f>
        <v/>
      </c>
      <c r="W13" s="157">
        <f>IFERROR(VLOOKUP(INDEX(INDIRECT($B$1&amp;"!"&amp;ADDRESS(8,COLUMN()+6,4)&amp;":"&amp;ADDRESS(73,COLUMN()+6,4)),MATCH($B13,INDIRECT($B$1&amp;"!$A$8:$A$73"),0)),CONFIG!$A$15:$B$28,2,FALSE),"")</f>
        <v/>
      </c>
      <c r="X13" s="157">
        <f>IFERROR(VLOOKUP(INDEX(INDIRECT($B$1&amp;"!"&amp;ADDRESS(8,COLUMN()+6,4)&amp;":"&amp;ADDRESS(73,COLUMN()+6,4)),MATCH($B13,INDIRECT($B$1&amp;"!$A$8:$A$73"),0)),CONFIG!$A$15:$B$28,2,FALSE),"")</f>
        <v/>
      </c>
      <c r="Y13" s="157">
        <f>IFERROR(VLOOKUP(INDEX(INDIRECT($B$1&amp;"!"&amp;ADDRESS(8,COLUMN()+6,4)&amp;":"&amp;ADDRESS(73,COLUMN()+6,4)),MATCH($B13,INDIRECT($B$1&amp;"!$A$8:$A$73"),0)),CONFIG!$A$15:$B$28,2,FALSE),"")</f>
        <v/>
      </c>
      <c r="Z13" s="157">
        <f>IFERROR(VLOOKUP(INDEX(INDIRECT($B$1&amp;"!"&amp;ADDRESS(8,COLUMN()+6,4)&amp;":"&amp;ADDRESS(73,COLUMN()+6,4)),MATCH($B13,INDIRECT($B$1&amp;"!$A$8:$A$73"),0)),CONFIG!$A$15:$B$28,2,FALSE),"")</f>
        <v/>
      </c>
      <c r="AA13" s="157">
        <f>IFERROR(VLOOKUP(INDEX(INDIRECT($B$1&amp;"!"&amp;ADDRESS(8,COLUMN()+6,4)&amp;":"&amp;ADDRESS(73,COLUMN()+6,4)),MATCH($B13,INDIRECT($B$1&amp;"!$A$8:$A$73"),0)),CONFIG!$A$15:$B$28,2,FALSE),"")</f>
        <v/>
      </c>
      <c r="AB13" s="157">
        <f>IFERROR(VLOOKUP(INDEX(INDIRECT($B$1&amp;"!"&amp;ADDRESS(8,COLUMN()+6,4)&amp;":"&amp;ADDRESS(73,COLUMN()+6,4)),MATCH($B13,INDIRECT($B$1&amp;"!$A$8:$A$73"),0)),CONFIG!$A$15:$B$28,2,FALSE),"")</f>
        <v/>
      </c>
      <c r="AC13" s="157">
        <f>IFERROR(VLOOKUP(INDEX(INDIRECT($B$1&amp;"!"&amp;ADDRESS(8,COLUMN()+6,4)&amp;":"&amp;ADDRESS(73,COLUMN()+6,4)),MATCH($B13,INDIRECT($B$1&amp;"!$A$8:$A$73"),0)),CONFIG!$A$15:$B$28,2,FALSE),"")</f>
        <v/>
      </c>
      <c r="AD13" s="157">
        <f>IFERROR(VLOOKUP(INDEX(INDIRECT($B$1&amp;"!"&amp;ADDRESS(8,COLUMN()+6,4)&amp;":"&amp;ADDRESS(73,COLUMN()+6,4)),MATCH($B13,INDIRECT($B$1&amp;"!$A$8:$A$73"),0)),CONFIG!$A$15:$B$28,2,FALSE),"")</f>
        <v/>
      </c>
      <c r="AE13" s="157">
        <f>IFERROR(VLOOKUP(INDEX(INDIRECT($B$1&amp;"!"&amp;ADDRESS(8,COLUMN()+6,4)&amp;":"&amp;ADDRESS(73,COLUMN()+6,4)),MATCH($B13,INDIRECT($B$1&amp;"!$A$8:$A$73"),0)),CONFIG!$A$15:$B$28,2,FALSE),"")</f>
        <v/>
      </c>
      <c r="AF13" s="157">
        <f>IFERROR(VLOOKUP(INDEX(INDIRECT($B$1&amp;"!"&amp;ADDRESS(8,COLUMN()+6,4)&amp;":"&amp;ADDRESS(73,COLUMN()+6,4)),MATCH($B13,INDIRECT($B$1&amp;"!$A$8:$A$73"),0)),CONFIG!$A$15:$B$28,2,FALSE),"")</f>
        <v/>
      </c>
      <c r="AG13" s="157">
        <f>IFERROR(VLOOKUP(INDEX(INDIRECT($B$1&amp;"!"&amp;ADDRESS(8,COLUMN()+6,4)&amp;":"&amp;ADDRESS(73,COLUMN()+6,4)),MATCH($B13,INDIRECT($B$1&amp;"!$A$8:$A$73"),0)),CONFIG!$A$15:$B$28,2,FALSE),"")</f>
        <v/>
      </c>
      <c r="AH13" s="157">
        <f>IFERROR(VLOOKUP(INDEX(INDIRECT($B$1&amp;"!"&amp;ADDRESS(8,COLUMN()+6,4)&amp;":"&amp;ADDRESS(73,COLUMN()+6,4)),MATCH($B13,INDIRECT($B$1&amp;"!$A$8:$A$73"),0)),CONFIG!$A$15:$B$28,2,FALSE),"")</f>
        <v/>
      </c>
      <c r="AI13" s="39" t="n"/>
    </row>
    <row r="14">
      <c r="A14" s="155" t="inlineStr">
        <is>
          <t>Fernanda Amelio</t>
        </is>
      </c>
      <c r="B14" s="156" t="inlineStr">
        <is>
          <t>Amelio</t>
        </is>
      </c>
      <c r="C14" s="157">
        <f>IFERROR(VLOOKUP(INDEX(INDIRECT($B$1&amp;"!"&amp;ADDRESS(8,COLUMN()+6,4)&amp;":"&amp;ADDRESS(73,COLUMN()+6,4)),MATCH($B14,INDIRECT($B$1&amp;"!$A$8:$A$73"),0)),CONFIG!$A$15:$B$28,2,FALSE),"")</f>
        <v/>
      </c>
      <c r="D14" s="157">
        <f>IFERROR(VLOOKUP(INDEX(INDIRECT($B$1&amp;"!"&amp;ADDRESS(8,COLUMN()+6,4)&amp;":"&amp;ADDRESS(73,COLUMN()+6,4)),MATCH($B14,INDIRECT($B$1&amp;"!$A$8:$A$73"),0)),CONFIG!$A$15:$B$28,2,FALSE),"")</f>
        <v/>
      </c>
      <c r="E14" s="157">
        <f>IFERROR(VLOOKUP(INDEX(INDIRECT($B$1&amp;"!"&amp;ADDRESS(8,COLUMN()+6,4)&amp;":"&amp;ADDRESS(73,COLUMN()+6,4)),MATCH($B14,INDIRECT($B$1&amp;"!$A$8:$A$73"),0)),CONFIG!$A$15:$B$28,2,FALSE),"")</f>
        <v/>
      </c>
      <c r="F14" s="157">
        <f>IFERROR(VLOOKUP(INDEX(INDIRECT($B$1&amp;"!"&amp;ADDRESS(8,COLUMN()+6,4)&amp;":"&amp;ADDRESS(73,COLUMN()+6,4)),MATCH($B14,INDIRECT($B$1&amp;"!$A$8:$A$73"),0)),CONFIG!$A$15:$B$28,2,FALSE),"")</f>
        <v/>
      </c>
      <c r="G14" s="157">
        <f>IFERROR(VLOOKUP(INDEX(INDIRECT($B$1&amp;"!"&amp;ADDRESS(8,COLUMN()+6,4)&amp;":"&amp;ADDRESS(73,COLUMN()+6,4)),MATCH($B14,INDIRECT($B$1&amp;"!$A$8:$A$73"),0)),CONFIG!$A$15:$B$28,2,FALSE),"")</f>
        <v/>
      </c>
      <c r="H14" s="157">
        <f>IFERROR(VLOOKUP(INDEX(INDIRECT($B$1&amp;"!"&amp;ADDRESS(8,COLUMN()+6,4)&amp;":"&amp;ADDRESS(73,COLUMN()+6,4)),MATCH($B14,INDIRECT($B$1&amp;"!$A$8:$A$73"),0)),CONFIG!$A$15:$B$28,2,FALSE),"")</f>
        <v/>
      </c>
      <c r="I14" s="157">
        <f>IFERROR(VLOOKUP(INDEX(INDIRECT($B$1&amp;"!"&amp;ADDRESS(8,COLUMN()+6,4)&amp;":"&amp;ADDRESS(73,COLUMN()+6,4)),MATCH($B14,INDIRECT($B$1&amp;"!$A$8:$A$73"),0)),CONFIG!$A$15:$B$28,2,FALSE),"")</f>
        <v/>
      </c>
      <c r="J14" s="157">
        <f>IFERROR(VLOOKUP(INDEX(INDIRECT($B$1&amp;"!"&amp;ADDRESS(8,COLUMN()+6,4)&amp;":"&amp;ADDRESS(73,COLUMN()+6,4)),MATCH($B14,INDIRECT($B$1&amp;"!$A$8:$A$73"),0)),CONFIG!$A$15:$B$28,2,FALSE),"")</f>
        <v/>
      </c>
      <c r="K14" s="157">
        <f>IFERROR(VLOOKUP(INDEX(INDIRECT($B$1&amp;"!"&amp;ADDRESS(8,COLUMN()+6,4)&amp;":"&amp;ADDRESS(73,COLUMN()+6,4)),MATCH($B14,INDIRECT($B$1&amp;"!$A$8:$A$73"),0)),CONFIG!$A$15:$B$28,2,FALSE),"")</f>
        <v/>
      </c>
      <c r="L14" s="157">
        <f>IFERROR(VLOOKUP(INDEX(INDIRECT($B$1&amp;"!"&amp;ADDRESS(8,COLUMN()+6,4)&amp;":"&amp;ADDRESS(73,COLUMN()+6,4)),MATCH($B14,INDIRECT($B$1&amp;"!$A$8:$A$73"),0)),CONFIG!$A$15:$B$28,2,FALSE),"")</f>
        <v/>
      </c>
      <c r="M14" s="157">
        <f>IFERROR(VLOOKUP(INDEX(INDIRECT($B$1&amp;"!"&amp;ADDRESS(8,COLUMN()+6,4)&amp;":"&amp;ADDRESS(73,COLUMN()+6,4)),MATCH($B14,INDIRECT($B$1&amp;"!$A$8:$A$73"),0)),CONFIG!$A$15:$B$28,2,FALSE),"")</f>
        <v/>
      </c>
      <c r="N14" s="157">
        <f>IFERROR(VLOOKUP(INDEX(INDIRECT($B$1&amp;"!"&amp;ADDRESS(8,COLUMN()+6,4)&amp;":"&amp;ADDRESS(73,COLUMN()+6,4)),MATCH($B14,INDIRECT($B$1&amp;"!$A$8:$A$73"),0)),CONFIG!$A$15:$B$28,2,FALSE),"")</f>
        <v/>
      </c>
      <c r="O14" s="157">
        <f>IFERROR(VLOOKUP(INDEX(INDIRECT($B$1&amp;"!"&amp;ADDRESS(8,COLUMN()+6,4)&amp;":"&amp;ADDRESS(73,COLUMN()+6,4)),MATCH($B14,INDIRECT($B$1&amp;"!$A$8:$A$73"),0)),CONFIG!$A$15:$B$28,2,FALSE),"")</f>
        <v/>
      </c>
      <c r="P14" s="157">
        <f>IFERROR(VLOOKUP(INDEX(INDIRECT($B$1&amp;"!"&amp;ADDRESS(8,COLUMN()+6,4)&amp;":"&amp;ADDRESS(73,COLUMN()+6,4)),MATCH($B14,INDIRECT($B$1&amp;"!$A$8:$A$73"),0)),CONFIG!$A$15:$B$28,2,FALSE),"")</f>
        <v/>
      </c>
      <c r="Q14" s="157">
        <f>IFERROR(VLOOKUP(INDEX(INDIRECT($B$1&amp;"!"&amp;ADDRESS(8,COLUMN()+6,4)&amp;":"&amp;ADDRESS(73,COLUMN()+6,4)),MATCH($B14,INDIRECT($B$1&amp;"!$A$8:$A$73"),0)),CONFIG!$A$15:$B$28,2,FALSE),"")</f>
        <v/>
      </c>
      <c r="R14" s="157">
        <f>IFERROR(VLOOKUP(INDEX(INDIRECT($B$1&amp;"!"&amp;ADDRESS(8,COLUMN()+6,4)&amp;":"&amp;ADDRESS(73,COLUMN()+6,4)),MATCH($B14,INDIRECT($B$1&amp;"!$A$8:$A$73"),0)),CONFIG!$A$15:$B$28,2,FALSE),"")</f>
        <v/>
      </c>
      <c r="S14" s="157">
        <f>IFERROR(VLOOKUP(INDEX(INDIRECT($B$1&amp;"!"&amp;ADDRESS(8,COLUMN()+6,4)&amp;":"&amp;ADDRESS(73,COLUMN()+6,4)),MATCH($B14,INDIRECT($B$1&amp;"!$A$8:$A$73"),0)),CONFIG!$A$15:$B$28,2,FALSE),"")</f>
        <v/>
      </c>
      <c r="T14" s="157">
        <f>IFERROR(VLOOKUP(INDEX(INDIRECT($B$1&amp;"!"&amp;ADDRESS(8,COLUMN()+6,4)&amp;":"&amp;ADDRESS(73,COLUMN()+6,4)),MATCH($B14,INDIRECT($B$1&amp;"!$A$8:$A$73"),0)),CONFIG!$A$15:$B$28,2,FALSE),"")</f>
        <v/>
      </c>
      <c r="U14" s="157">
        <f>IFERROR(VLOOKUP(INDEX(INDIRECT($B$1&amp;"!"&amp;ADDRESS(8,COLUMN()+6,4)&amp;":"&amp;ADDRESS(73,COLUMN()+6,4)),MATCH($B14,INDIRECT($B$1&amp;"!$A$8:$A$73"),0)),CONFIG!$A$15:$B$28,2,FALSE),"")</f>
        <v/>
      </c>
      <c r="V14" s="157">
        <f>IFERROR(VLOOKUP(INDEX(INDIRECT($B$1&amp;"!"&amp;ADDRESS(8,COLUMN()+6,4)&amp;":"&amp;ADDRESS(73,COLUMN()+6,4)),MATCH($B14,INDIRECT($B$1&amp;"!$A$8:$A$73"),0)),CONFIG!$A$15:$B$28,2,FALSE),"")</f>
        <v/>
      </c>
      <c r="W14" s="157">
        <f>IFERROR(VLOOKUP(INDEX(INDIRECT($B$1&amp;"!"&amp;ADDRESS(8,COLUMN()+6,4)&amp;":"&amp;ADDRESS(73,COLUMN()+6,4)),MATCH($B14,INDIRECT($B$1&amp;"!$A$8:$A$73"),0)),CONFIG!$A$15:$B$28,2,FALSE),"")</f>
        <v/>
      </c>
      <c r="X14" s="157">
        <f>IFERROR(VLOOKUP(INDEX(INDIRECT($B$1&amp;"!"&amp;ADDRESS(8,COLUMN()+6,4)&amp;":"&amp;ADDRESS(73,COLUMN()+6,4)),MATCH($B14,INDIRECT($B$1&amp;"!$A$8:$A$73"),0)),CONFIG!$A$15:$B$28,2,FALSE),"")</f>
        <v/>
      </c>
      <c r="Y14" s="157">
        <f>IFERROR(VLOOKUP(INDEX(INDIRECT($B$1&amp;"!"&amp;ADDRESS(8,COLUMN()+6,4)&amp;":"&amp;ADDRESS(73,COLUMN()+6,4)),MATCH($B14,INDIRECT($B$1&amp;"!$A$8:$A$73"),0)),CONFIG!$A$15:$B$28,2,FALSE),"")</f>
        <v/>
      </c>
      <c r="Z14" s="157">
        <f>IFERROR(VLOOKUP(INDEX(INDIRECT($B$1&amp;"!"&amp;ADDRESS(8,COLUMN()+6,4)&amp;":"&amp;ADDRESS(73,COLUMN()+6,4)),MATCH($B14,INDIRECT($B$1&amp;"!$A$8:$A$73"),0)),CONFIG!$A$15:$B$28,2,FALSE),"")</f>
        <v/>
      </c>
      <c r="AA14" s="157">
        <f>IFERROR(VLOOKUP(INDEX(INDIRECT($B$1&amp;"!"&amp;ADDRESS(8,COLUMN()+6,4)&amp;":"&amp;ADDRESS(73,COLUMN()+6,4)),MATCH($B14,INDIRECT($B$1&amp;"!$A$8:$A$73"),0)),CONFIG!$A$15:$B$28,2,FALSE),"")</f>
        <v/>
      </c>
      <c r="AB14" s="157">
        <f>IFERROR(VLOOKUP(INDEX(INDIRECT($B$1&amp;"!"&amp;ADDRESS(8,COLUMN()+6,4)&amp;":"&amp;ADDRESS(73,COLUMN()+6,4)),MATCH($B14,INDIRECT($B$1&amp;"!$A$8:$A$73"),0)),CONFIG!$A$15:$B$28,2,FALSE),"")</f>
        <v/>
      </c>
      <c r="AC14" s="157">
        <f>IFERROR(VLOOKUP(INDEX(INDIRECT($B$1&amp;"!"&amp;ADDRESS(8,COLUMN()+6,4)&amp;":"&amp;ADDRESS(73,COLUMN()+6,4)),MATCH($B14,INDIRECT($B$1&amp;"!$A$8:$A$73"),0)),CONFIG!$A$15:$B$28,2,FALSE),"")</f>
        <v/>
      </c>
      <c r="AD14" s="157">
        <f>IFERROR(VLOOKUP(INDEX(INDIRECT($B$1&amp;"!"&amp;ADDRESS(8,COLUMN()+6,4)&amp;":"&amp;ADDRESS(73,COLUMN()+6,4)),MATCH($B14,INDIRECT($B$1&amp;"!$A$8:$A$73"),0)),CONFIG!$A$15:$B$28,2,FALSE),"")</f>
        <v/>
      </c>
      <c r="AE14" s="157">
        <f>IFERROR(VLOOKUP(INDEX(INDIRECT($B$1&amp;"!"&amp;ADDRESS(8,COLUMN()+6,4)&amp;":"&amp;ADDRESS(73,COLUMN()+6,4)),MATCH($B14,INDIRECT($B$1&amp;"!$A$8:$A$73"),0)),CONFIG!$A$15:$B$28,2,FALSE),"")</f>
        <v/>
      </c>
      <c r="AF14" s="157">
        <f>IFERROR(VLOOKUP(INDEX(INDIRECT($B$1&amp;"!"&amp;ADDRESS(8,COLUMN()+6,4)&amp;":"&amp;ADDRESS(73,COLUMN()+6,4)),MATCH($B14,INDIRECT($B$1&amp;"!$A$8:$A$73"),0)),CONFIG!$A$15:$B$28,2,FALSE),"")</f>
        <v/>
      </c>
      <c r="AG14" s="157">
        <f>IFERROR(VLOOKUP(INDEX(INDIRECT($B$1&amp;"!"&amp;ADDRESS(8,COLUMN()+6,4)&amp;":"&amp;ADDRESS(73,COLUMN()+6,4)),MATCH($B14,INDIRECT($B$1&amp;"!$A$8:$A$73"),0)),CONFIG!$A$15:$B$28,2,FALSE),"")</f>
        <v/>
      </c>
      <c r="AH14" s="157">
        <f>IFERROR(VLOOKUP(INDEX(INDIRECT($B$1&amp;"!"&amp;ADDRESS(8,COLUMN()+6,4)&amp;":"&amp;ADDRESS(73,COLUMN()+6,4)),MATCH($B14,INDIRECT($B$1&amp;"!$A$8:$A$73"),0)),CONFIG!$A$15:$B$28,2,FALSE),"")</f>
        <v/>
      </c>
      <c r="AI14" s="39" t="n"/>
    </row>
    <row r="15">
      <c r="A15" s="155" t="inlineStr">
        <is>
          <t>Murilo</t>
        </is>
      </c>
      <c r="B15" s="156" t="inlineStr">
        <is>
          <t>Murilo</t>
        </is>
      </c>
      <c r="C15" s="157">
        <f>IFERROR(VLOOKUP(INDEX(INDIRECT($B$1&amp;"!"&amp;ADDRESS(8,COLUMN()+6,4)&amp;":"&amp;ADDRESS(73,COLUMN()+6,4)),MATCH($B15,INDIRECT($B$1&amp;"!$A$8:$A$73"),0)),CONFIG!$A$15:$B$28,2,FALSE),"")</f>
        <v/>
      </c>
      <c r="D15" s="157">
        <f>IFERROR(VLOOKUP(INDEX(INDIRECT($B$1&amp;"!"&amp;ADDRESS(8,COLUMN()+6,4)&amp;":"&amp;ADDRESS(73,COLUMN()+6,4)),MATCH($B15,INDIRECT($B$1&amp;"!$A$8:$A$73"),0)),CONFIG!$A$15:$B$28,2,FALSE),"")</f>
        <v/>
      </c>
      <c r="E15" s="157">
        <f>IFERROR(VLOOKUP(INDEX(INDIRECT($B$1&amp;"!"&amp;ADDRESS(8,COLUMN()+6,4)&amp;":"&amp;ADDRESS(73,COLUMN()+6,4)),MATCH($B15,INDIRECT($B$1&amp;"!$A$8:$A$73"),0)),CONFIG!$A$15:$B$28,2,FALSE),"")</f>
        <v/>
      </c>
      <c r="F15" s="157">
        <f>IFERROR(VLOOKUP(INDEX(INDIRECT($B$1&amp;"!"&amp;ADDRESS(8,COLUMN()+6,4)&amp;":"&amp;ADDRESS(73,COLUMN()+6,4)),MATCH($B15,INDIRECT($B$1&amp;"!$A$8:$A$73"),0)),CONFIG!$A$15:$B$28,2,FALSE),"")</f>
        <v/>
      </c>
      <c r="G15" s="157">
        <f>IFERROR(VLOOKUP(INDEX(INDIRECT($B$1&amp;"!"&amp;ADDRESS(8,COLUMN()+6,4)&amp;":"&amp;ADDRESS(73,COLUMN()+6,4)),MATCH($B15,INDIRECT($B$1&amp;"!$A$8:$A$73"),0)),CONFIG!$A$15:$B$28,2,FALSE),"")</f>
        <v/>
      </c>
      <c r="H15" s="157">
        <f>IFERROR(VLOOKUP(INDEX(INDIRECT($B$1&amp;"!"&amp;ADDRESS(8,COLUMN()+6,4)&amp;":"&amp;ADDRESS(73,COLUMN()+6,4)),MATCH($B15,INDIRECT($B$1&amp;"!$A$8:$A$73"),0)),CONFIG!$A$15:$B$28,2,FALSE),"")</f>
        <v/>
      </c>
      <c r="I15" s="157">
        <f>IFERROR(VLOOKUP(INDEX(INDIRECT($B$1&amp;"!"&amp;ADDRESS(8,COLUMN()+6,4)&amp;":"&amp;ADDRESS(73,COLUMN()+6,4)),MATCH($B15,INDIRECT($B$1&amp;"!$A$8:$A$73"),0)),CONFIG!$A$15:$B$28,2,FALSE),"")</f>
        <v/>
      </c>
      <c r="J15" s="157">
        <f>IFERROR(VLOOKUP(INDEX(INDIRECT($B$1&amp;"!"&amp;ADDRESS(8,COLUMN()+6,4)&amp;":"&amp;ADDRESS(73,COLUMN()+6,4)),MATCH($B15,INDIRECT($B$1&amp;"!$A$8:$A$73"),0)),CONFIG!$A$15:$B$28,2,FALSE),"")</f>
        <v/>
      </c>
      <c r="K15" s="157">
        <f>IFERROR(VLOOKUP(INDEX(INDIRECT($B$1&amp;"!"&amp;ADDRESS(8,COLUMN()+6,4)&amp;":"&amp;ADDRESS(73,COLUMN()+6,4)),MATCH($B15,INDIRECT($B$1&amp;"!$A$8:$A$73"),0)),CONFIG!$A$15:$B$28,2,FALSE),"")</f>
        <v/>
      </c>
      <c r="L15" s="157">
        <f>IFERROR(VLOOKUP(INDEX(INDIRECT($B$1&amp;"!"&amp;ADDRESS(8,COLUMN()+6,4)&amp;":"&amp;ADDRESS(73,COLUMN()+6,4)),MATCH($B15,INDIRECT($B$1&amp;"!$A$8:$A$73"),0)),CONFIG!$A$15:$B$28,2,FALSE),"")</f>
        <v/>
      </c>
      <c r="M15" s="157">
        <f>IFERROR(VLOOKUP(INDEX(INDIRECT($B$1&amp;"!"&amp;ADDRESS(8,COLUMN()+6,4)&amp;":"&amp;ADDRESS(73,COLUMN()+6,4)),MATCH($B15,INDIRECT($B$1&amp;"!$A$8:$A$73"),0)),CONFIG!$A$15:$B$28,2,FALSE),"")</f>
        <v/>
      </c>
      <c r="N15" s="157">
        <f>IFERROR(VLOOKUP(INDEX(INDIRECT($B$1&amp;"!"&amp;ADDRESS(8,COLUMN()+6,4)&amp;":"&amp;ADDRESS(73,COLUMN()+6,4)),MATCH($B15,INDIRECT($B$1&amp;"!$A$8:$A$73"),0)),CONFIG!$A$15:$B$28,2,FALSE),"")</f>
        <v/>
      </c>
      <c r="O15" s="157">
        <f>IFERROR(VLOOKUP(INDEX(INDIRECT($B$1&amp;"!"&amp;ADDRESS(8,COLUMN()+6,4)&amp;":"&amp;ADDRESS(73,COLUMN()+6,4)),MATCH($B15,INDIRECT($B$1&amp;"!$A$8:$A$73"),0)),CONFIG!$A$15:$B$28,2,FALSE),"")</f>
        <v/>
      </c>
      <c r="P15" s="157">
        <f>IFERROR(VLOOKUP(INDEX(INDIRECT($B$1&amp;"!"&amp;ADDRESS(8,COLUMN()+6,4)&amp;":"&amp;ADDRESS(73,COLUMN()+6,4)),MATCH($B15,INDIRECT($B$1&amp;"!$A$8:$A$73"),0)),CONFIG!$A$15:$B$28,2,FALSE),"")</f>
        <v/>
      </c>
      <c r="Q15" s="157">
        <f>IFERROR(VLOOKUP(INDEX(INDIRECT($B$1&amp;"!"&amp;ADDRESS(8,COLUMN()+6,4)&amp;":"&amp;ADDRESS(73,COLUMN()+6,4)),MATCH($B15,INDIRECT($B$1&amp;"!$A$8:$A$73"),0)),CONFIG!$A$15:$B$28,2,FALSE),"")</f>
        <v/>
      </c>
      <c r="R15" s="157">
        <f>IFERROR(VLOOKUP(INDEX(INDIRECT($B$1&amp;"!"&amp;ADDRESS(8,COLUMN()+6,4)&amp;":"&amp;ADDRESS(73,COLUMN()+6,4)),MATCH($B15,INDIRECT($B$1&amp;"!$A$8:$A$73"),0)),CONFIG!$A$15:$B$28,2,FALSE),"")</f>
        <v/>
      </c>
      <c r="S15" s="157">
        <f>IFERROR(VLOOKUP(INDEX(INDIRECT($B$1&amp;"!"&amp;ADDRESS(8,COLUMN()+6,4)&amp;":"&amp;ADDRESS(73,COLUMN()+6,4)),MATCH($B15,INDIRECT($B$1&amp;"!$A$8:$A$73"),0)),CONFIG!$A$15:$B$28,2,FALSE),"")</f>
        <v/>
      </c>
      <c r="T15" s="157">
        <f>IFERROR(VLOOKUP(INDEX(INDIRECT($B$1&amp;"!"&amp;ADDRESS(8,COLUMN()+6,4)&amp;":"&amp;ADDRESS(73,COLUMN()+6,4)),MATCH($B15,INDIRECT($B$1&amp;"!$A$8:$A$73"),0)),CONFIG!$A$15:$B$28,2,FALSE),"")</f>
        <v/>
      </c>
      <c r="U15" s="157">
        <f>IFERROR(VLOOKUP(INDEX(INDIRECT($B$1&amp;"!"&amp;ADDRESS(8,COLUMN()+6,4)&amp;":"&amp;ADDRESS(73,COLUMN()+6,4)),MATCH($B15,INDIRECT($B$1&amp;"!$A$8:$A$73"),0)),CONFIG!$A$15:$B$28,2,FALSE),"")</f>
        <v/>
      </c>
      <c r="V15" s="157">
        <f>IFERROR(VLOOKUP(INDEX(INDIRECT($B$1&amp;"!"&amp;ADDRESS(8,COLUMN()+6,4)&amp;":"&amp;ADDRESS(73,COLUMN()+6,4)),MATCH($B15,INDIRECT($B$1&amp;"!$A$8:$A$73"),0)),CONFIG!$A$15:$B$28,2,FALSE),"")</f>
        <v/>
      </c>
      <c r="W15" s="157">
        <f>IFERROR(VLOOKUP(INDEX(INDIRECT($B$1&amp;"!"&amp;ADDRESS(8,COLUMN()+6,4)&amp;":"&amp;ADDRESS(73,COLUMN()+6,4)),MATCH($B15,INDIRECT($B$1&amp;"!$A$8:$A$73"),0)),CONFIG!$A$15:$B$28,2,FALSE),"")</f>
        <v/>
      </c>
      <c r="X15" s="157">
        <f>IFERROR(VLOOKUP(INDEX(INDIRECT($B$1&amp;"!"&amp;ADDRESS(8,COLUMN()+6,4)&amp;":"&amp;ADDRESS(73,COLUMN()+6,4)),MATCH($B15,INDIRECT($B$1&amp;"!$A$8:$A$73"),0)),CONFIG!$A$15:$B$28,2,FALSE),"")</f>
        <v/>
      </c>
      <c r="Y15" s="157">
        <f>IFERROR(VLOOKUP(INDEX(INDIRECT($B$1&amp;"!"&amp;ADDRESS(8,COLUMN()+6,4)&amp;":"&amp;ADDRESS(73,COLUMN()+6,4)),MATCH($B15,INDIRECT($B$1&amp;"!$A$8:$A$73"),0)),CONFIG!$A$15:$B$28,2,FALSE),"")</f>
        <v/>
      </c>
      <c r="Z15" s="157">
        <f>IFERROR(VLOOKUP(INDEX(INDIRECT($B$1&amp;"!"&amp;ADDRESS(8,COLUMN()+6,4)&amp;":"&amp;ADDRESS(73,COLUMN()+6,4)),MATCH($B15,INDIRECT($B$1&amp;"!$A$8:$A$73"),0)),CONFIG!$A$15:$B$28,2,FALSE),"")</f>
        <v/>
      </c>
      <c r="AA15" s="157">
        <f>IFERROR(VLOOKUP(INDEX(INDIRECT($B$1&amp;"!"&amp;ADDRESS(8,COLUMN()+6,4)&amp;":"&amp;ADDRESS(73,COLUMN()+6,4)),MATCH($B15,INDIRECT($B$1&amp;"!$A$8:$A$73"),0)),CONFIG!$A$15:$B$28,2,FALSE),"")</f>
        <v/>
      </c>
      <c r="AB15" s="157">
        <f>IFERROR(VLOOKUP(INDEX(INDIRECT($B$1&amp;"!"&amp;ADDRESS(8,COLUMN()+6,4)&amp;":"&amp;ADDRESS(73,COLUMN()+6,4)),MATCH($B15,INDIRECT($B$1&amp;"!$A$8:$A$73"),0)),CONFIG!$A$15:$B$28,2,FALSE),"")</f>
        <v/>
      </c>
      <c r="AC15" s="157">
        <f>IFERROR(VLOOKUP(INDEX(INDIRECT($B$1&amp;"!"&amp;ADDRESS(8,COLUMN()+6,4)&amp;":"&amp;ADDRESS(73,COLUMN()+6,4)),MATCH($B15,INDIRECT($B$1&amp;"!$A$8:$A$73"),0)),CONFIG!$A$15:$B$28,2,FALSE),"")</f>
        <v/>
      </c>
      <c r="AD15" s="157">
        <f>IFERROR(VLOOKUP(INDEX(INDIRECT($B$1&amp;"!"&amp;ADDRESS(8,COLUMN()+6,4)&amp;":"&amp;ADDRESS(73,COLUMN()+6,4)),MATCH($B15,INDIRECT($B$1&amp;"!$A$8:$A$73"),0)),CONFIG!$A$15:$B$28,2,FALSE),"")</f>
        <v/>
      </c>
      <c r="AE15" s="157">
        <f>IFERROR(VLOOKUP(INDEX(INDIRECT($B$1&amp;"!"&amp;ADDRESS(8,COLUMN()+6,4)&amp;":"&amp;ADDRESS(73,COLUMN()+6,4)),MATCH($B15,INDIRECT($B$1&amp;"!$A$8:$A$73"),0)),CONFIG!$A$15:$B$28,2,FALSE),"")</f>
        <v/>
      </c>
      <c r="AF15" s="157">
        <f>IFERROR(VLOOKUP(INDEX(INDIRECT($B$1&amp;"!"&amp;ADDRESS(8,COLUMN()+6,4)&amp;":"&amp;ADDRESS(73,COLUMN()+6,4)),MATCH($B15,INDIRECT($B$1&amp;"!$A$8:$A$73"),0)),CONFIG!$A$15:$B$28,2,FALSE),"")</f>
        <v/>
      </c>
      <c r="AG15" s="157">
        <f>IFERROR(VLOOKUP(INDEX(INDIRECT($B$1&amp;"!"&amp;ADDRESS(8,COLUMN()+6,4)&amp;":"&amp;ADDRESS(73,COLUMN()+6,4)),MATCH($B15,INDIRECT($B$1&amp;"!$A$8:$A$73"),0)),CONFIG!$A$15:$B$28,2,FALSE),"")</f>
        <v/>
      </c>
      <c r="AH15" s="157">
        <f>IFERROR(VLOOKUP(INDEX(INDIRECT($B$1&amp;"!"&amp;ADDRESS(8,COLUMN()+6,4)&amp;":"&amp;ADDRESS(73,COLUMN()+6,4)),MATCH($B15,INDIRECT($B$1&amp;"!$A$8:$A$73"),0)),CONFIG!$A$15:$B$28,2,FALSE),"")</f>
        <v/>
      </c>
      <c r="AI15" s="39" t="n"/>
    </row>
    <row r="16">
      <c r="A16" s="155" t="inlineStr">
        <is>
          <t>Janaina Rabelo</t>
        </is>
      </c>
      <c r="B16" s="156" t="inlineStr">
        <is>
          <t>Janaina</t>
        </is>
      </c>
      <c r="C16" s="157">
        <f>IFERROR(VLOOKUP(INDEX(INDIRECT($B$1&amp;"!"&amp;ADDRESS(8,COLUMN()+6,4)&amp;":"&amp;ADDRESS(73,COLUMN()+6,4)),MATCH($B16,INDIRECT($B$1&amp;"!$A$8:$A$73"),0)),CONFIG!$A$15:$B$28,2,FALSE),"")</f>
        <v/>
      </c>
      <c r="D16" s="157">
        <f>IFERROR(VLOOKUP(INDEX(INDIRECT($B$1&amp;"!"&amp;ADDRESS(8,COLUMN()+6,4)&amp;":"&amp;ADDRESS(73,COLUMN()+6,4)),MATCH($B16,INDIRECT($B$1&amp;"!$A$8:$A$73"),0)),CONFIG!$A$15:$B$28,2,FALSE),"")</f>
        <v/>
      </c>
      <c r="E16" s="157">
        <f>IFERROR(VLOOKUP(INDEX(INDIRECT($B$1&amp;"!"&amp;ADDRESS(8,COLUMN()+6,4)&amp;":"&amp;ADDRESS(73,COLUMN()+6,4)),MATCH($B16,INDIRECT($B$1&amp;"!$A$8:$A$73"),0)),CONFIG!$A$15:$B$28,2,FALSE),"")</f>
        <v/>
      </c>
      <c r="F16" s="157">
        <f>IFERROR(VLOOKUP(INDEX(INDIRECT($B$1&amp;"!"&amp;ADDRESS(8,COLUMN()+6,4)&amp;":"&amp;ADDRESS(73,COLUMN()+6,4)),MATCH($B16,INDIRECT($B$1&amp;"!$A$8:$A$73"),0)),CONFIG!$A$15:$B$28,2,FALSE),"")</f>
        <v/>
      </c>
      <c r="G16" s="157">
        <f>IFERROR(VLOOKUP(INDEX(INDIRECT($B$1&amp;"!"&amp;ADDRESS(8,COLUMN()+6,4)&amp;":"&amp;ADDRESS(73,COLUMN()+6,4)),MATCH($B16,INDIRECT($B$1&amp;"!$A$8:$A$73"),0)),CONFIG!$A$15:$B$28,2,FALSE),"")</f>
        <v/>
      </c>
      <c r="H16" s="157">
        <f>IFERROR(VLOOKUP(INDEX(INDIRECT($B$1&amp;"!"&amp;ADDRESS(8,COLUMN()+6,4)&amp;":"&amp;ADDRESS(73,COLUMN()+6,4)),MATCH($B16,INDIRECT($B$1&amp;"!$A$8:$A$73"),0)),CONFIG!$A$15:$B$28,2,FALSE),"")</f>
        <v/>
      </c>
      <c r="I16" s="157">
        <f>IFERROR(VLOOKUP(INDEX(INDIRECT($B$1&amp;"!"&amp;ADDRESS(8,COLUMN()+6,4)&amp;":"&amp;ADDRESS(73,COLUMN()+6,4)),MATCH($B16,INDIRECT($B$1&amp;"!$A$8:$A$73"),0)),CONFIG!$A$15:$B$28,2,FALSE),"")</f>
        <v/>
      </c>
      <c r="J16" s="157">
        <f>IFERROR(VLOOKUP(INDEX(INDIRECT($B$1&amp;"!"&amp;ADDRESS(8,COLUMN()+6,4)&amp;":"&amp;ADDRESS(73,COLUMN()+6,4)),MATCH($B16,INDIRECT($B$1&amp;"!$A$8:$A$73"),0)),CONFIG!$A$15:$B$28,2,FALSE),"")</f>
        <v/>
      </c>
      <c r="K16" s="157">
        <f>IFERROR(VLOOKUP(INDEX(INDIRECT($B$1&amp;"!"&amp;ADDRESS(8,COLUMN()+6,4)&amp;":"&amp;ADDRESS(73,COLUMN()+6,4)),MATCH($B16,INDIRECT($B$1&amp;"!$A$8:$A$73"),0)),CONFIG!$A$15:$B$28,2,FALSE),"")</f>
        <v/>
      </c>
      <c r="L16" s="157">
        <f>IFERROR(VLOOKUP(INDEX(INDIRECT($B$1&amp;"!"&amp;ADDRESS(8,COLUMN()+6,4)&amp;":"&amp;ADDRESS(73,COLUMN()+6,4)),MATCH($B16,INDIRECT($B$1&amp;"!$A$8:$A$73"),0)),CONFIG!$A$15:$B$28,2,FALSE),"")</f>
        <v/>
      </c>
      <c r="M16" s="157">
        <f>IFERROR(VLOOKUP(INDEX(INDIRECT($B$1&amp;"!"&amp;ADDRESS(8,COLUMN()+6,4)&amp;":"&amp;ADDRESS(73,COLUMN()+6,4)),MATCH($B16,INDIRECT($B$1&amp;"!$A$8:$A$73"),0)),CONFIG!$A$15:$B$28,2,FALSE),"")</f>
        <v/>
      </c>
      <c r="N16" s="157">
        <f>IFERROR(VLOOKUP(INDEX(INDIRECT($B$1&amp;"!"&amp;ADDRESS(8,COLUMN()+6,4)&amp;":"&amp;ADDRESS(73,COLUMN()+6,4)),MATCH($B16,INDIRECT($B$1&amp;"!$A$8:$A$73"),0)),CONFIG!$A$15:$B$28,2,FALSE),"")</f>
        <v/>
      </c>
      <c r="O16" s="157">
        <f>IFERROR(VLOOKUP(INDEX(INDIRECT($B$1&amp;"!"&amp;ADDRESS(8,COLUMN()+6,4)&amp;":"&amp;ADDRESS(73,COLUMN()+6,4)),MATCH($B16,INDIRECT($B$1&amp;"!$A$8:$A$73"),0)),CONFIG!$A$15:$B$28,2,FALSE),"")</f>
        <v/>
      </c>
      <c r="P16" s="157">
        <f>IFERROR(VLOOKUP(INDEX(INDIRECT($B$1&amp;"!"&amp;ADDRESS(8,COLUMN()+6,4)&amp;":"&amp;ADDRESS(73,COLUMN()+6,4)),MATCH($B16,INDIRECT($B$1&amp;"!$A$8:$A$73"),0)),CONFIG!$A$15:$B$28,2,FALSE),"")</f>
        <v/>
      </c>
      <c r="Q16" s="157">
        <f>IFERROR(VLOOKUP(INDEX(INDIRECT($B$1&amp;"!"&amp;ADDRESS(8,COLUMN()+6,4)&amp;":"&amp;ADDRESS(73,COLUMN()+6,4)),MATCH($B16,INDIRECT($B$1&amp;"!$A$8:$A$73"),0)),CONFIG!$A$15:$B$28,2,FALSE),"")</f>
        <v/>
      </c>
      <c r="R16" s="157">
        <f>IFERROR(VLOOKUP(INDEX(INDIRECT($B$1&amp;"!"&amp;ADDRESS(8,COLUMN()+6,4)&amp;":"&amp;ADDRESS(73,COLUMN()+6,4)),MATCH($B16,INDIRECT($B$1&amp;"!$A$8:$A$73"),0)),CONFIG!$A$15:$B$28,2,FALSE),"")</f>
        <v/>
      </c>
      <c r="S16" s="157">
        <f>IFERROR(VLOOKUP(INDEX(INDIRECT($B$1&amp;"!"&amp;ADDRESS(8,COLUMN()+6,4)&amp;":"&amp;ADDRESS(73,COLUMN()+6,4)),MATCH($B16,INDIRECT($B$1&amp;"!$A$8:$A$73"),0)),CONFIG!$A$15:$B$28,2,FALSE),"")</f>
        <v/>
      </c>
      <c r="T16" s="157">
        <f>IFERROR(VLOOKUP(INDEX(INDIRECT($B$1&amp;"!"&amp;ADDRESS(8,COLUMN()+6,4)&amp;":"&amp;ADDRESS(73,COLUMN()+6,4)),MATCH($B16,INDIRECT($B$1&amp;"!$A$8:$A$73"),0)),CONFIG!$A$15:$B$28,2,FALSE),"")</f>
        <v/>
      </c>
      <c r="U16" s="157">
        <f>IFERROR(VLOOKUP(INDEX(INDIRECT($B$1&amp;"!"&amp;ADDRESS(8,COLUMN()+6,4)&amp;":"&amp;ADDRESS(73,COLUMN()+6,4)),MATCH($B16,INDIRECT($B$1&amp;"!$A$8:$A$73"),0)),CONFIG!$A$15:$B$28,2,FALSE),"")</f>
        <v/>
      </c>
      <c r="V16" s="157">
        <f>IFERROR(VLOOKUP(INDEX(INDIRECT($B$1&amp;"!"&amp;ADDRESS(8,COLUMN()+6,4)&amp;":"&amp;ADDRESS(73,COLUMN()+6,4)),MATCH($B16,INDIRECT($B$1&amp;"!$A$8:$A$73"),0)),CONFIG!$A$15:$B$28,2,FALSE),"")</f>
        <v/>
      </c>
      <c r="W16" s="157">
        <f>IFERROR(VLOOKUP(INDEX(INDIRECT($B$1&amp;"!"&amp;ADDRESS(8,COLUMN()+6,4)&amp;":"&amp;ADDRESS(73,COLUMN()+6,4)),MATCH($B16,INDIRECT($B$1&amp;"!$A$8:$A$73"),0)),CONFIG!$A$15:$B$28,2,FALSE),"")</f>
        <v/>
      </c>
      <c r="X16" s="157">
        <f>IFERROR(VLOOKUP(INDEX(INDIRECT($B$1&amp;"!"&amp;ADDRESS(8,COLUMN()+6,4)&amp;":"&amp;ADDRESS(73,COLUMN()+6,4)),MATCH($B16,INDIRECT($B$1&amp;"!$A$8:$A$73"),0)),CONFIG!$A$15:$B$28,2,FALSE),"")</f>
        <v/>
      </c>
      <c r="Y16" s="157">
        <f>IFERROR(VLOOKUP(INDEX(INDIRECT($B$1&amp;"!"&amp;ADDRESS(8,COLUMN()+6,4)&amp;":"&amp;ADDRESS(73,COLUMN()+6,4)),MATCH($B16,INDIRECT($B$1&amp;"!$A$8:$A$73"),0)),CONFIG!$A$15:$B$28,2,FALSE),"")</f>
        <v/>
      </c>
      <c r="Z16" s="157">
        <f>IFERROR(VLOOKUP(INDEX(INDIRECT($B$1&amp;"!"&amp;ADDRESS(8,COLUMN()+6,4)&amp;":"&amp;ADDRESS(73,COLUMN()+6,4)),MATCH($B16,INDIRECT($B$1&amp;"!$A$8:$A$73"),0)),CONFIG!$A$15:$B$28,2,FALSE),"")</f>
        <v/>
      </c>
      <c r="AA16" s="157">
        <f>IFERROR(VLOOKUP(INDEX(INDIRECT($B$1&amp;"!"&amp;ADDRESS(8,COLUMN()+6,4)&amp;":"&amp;ADDRESS(73,COLUMN()+6,4)),MATCH($B16,INDIRECT($B$1&amp;"!$A$8:$A$73"),0)),CONFIG!$A$15:$B$28,2,FALSE),"")</f>
        <v/>
      </c>
      <c r="AB16" s="157">
        <f>IFERROR(VLOOKUP(INDEX(INDIRECT($B$1&amp;"!"&amp;ADDRESS(8,COLUMN()+6,4)&amp;":"&amp;ADDRESS(73,COLUMN()+6,4)),MATCH($B16,INDIRECT($B$1&amp;"!$A$8:$A$73"),0)),CONFIG!$A$15:$B$28,2,FALSE),"")</f>
        <v/>
      </c>
      <c r="AC16" s="157">
        <f>IFERROR(VLOOKUP(INDEX(INDIRECT($B$1&amp;"!"&amp;ADDRESS(8,COLUMN()+6,4)&amp;":"&amp;ADDRESS(73,COLUMN()+6,4)),MATCH($B16,INDIRECT($B$1&amp;"!$A$8:$A$73"),0)),CONFIG!$A$15:$B$28,2,FALSE),"")</f>
        <v/>
      </c>
      <c r="AD16" s="157">
        <f>IFERROR(VLOOKUP(INDEX(INDIRECT($B$1&amp;"!"&amp;ADDRESS(8,COLUMN()+6,4)&amp;":"&amp;ADDRESS(73,COLUMN()+6,4)),MATCH($B16,INDIRECT($B$1&amp;"!$A$8:$A$73"),0)),CONFIG!$A$15:$B$28,2,FALSE),"")</f>
        <v/>
      </c>
      <c r="AE16" s="157">
        <f>IFERROR(VLOOKUP(INDEX(INDIRECT($B$1&amp;"!"&amp;ADDRESS(8,COLUMN()+6,4)&amp;":"&amp;ADDRESS(73,COLUMN()+6,4)),MATCH($B16,INDIRECT($B$1&amp;"!$A$8:$A$73"),0)),CONFIG!$A$15:$B$28,2,FALSE),"")</f>
        <v/>
      </c>
      <c r="AF16" s="157">
        <f>IFERROR(VLOOKUP(INDEX(INDIRECT($B$1&amp;"!"&amp;ADDRESS(8,COLUMN()+6,4)&amp;":"&amp;ADDRESS(73,COLUMN()+6,4)),MATCH($B16,INDIRECT($B$1&amp;"!$A$8:$A$73"),0)),CONFIG!$A$15:$B$28,2,FALSE),"")</f>
        <v/>
      </c>
      <c r="AG16" s="157">
        <f>IFERROR(VLOOKUP(INDEX(INDIRECT($B$1&amp;"!"&amp;ADDRESS(8,COLUMN()+6,4)&amp;":"&amp;ADDRESS(73,COLUMN()+6,4)),MATCH($B16,INDIRECT($B$1&amp;"!$A$8:$A$73"),0)),CONFIG!$A$15:$B$28,2,FALSE),"")</f>
        <v/>
      </c>
      <c r="AH16" s="157">
        <f>IFERROR(VLOOKUP(INDEX(INDIRECT($B$1&amp;"!"&amp;ADDRESS(8,COLUMN()+6,4)&amp;":"&amp;ADDRESS(73,COLUMN()+6,4)),MATCH($B16,INDIRECT($B$1&amp;"!$A$8:$A$73"),0)),CONFIG!$A$15:$B$28,2,FALSE),"")</f>
        <v/>
      </c>
      <c r="AI16" s="39" t="n"/>
    </row>
    <row r="17">
      <c r="A17" s="155" t="inlineStr">
        <is>
          <t>Aline Saliba</t>
        </is>
      </c>
      <c r="B17" s="156" t="inlineStr">
        <is>
          <t>Aline</t>
        </is>
      </c>
      <c r="C17" s="157">
        <f>IFERROR(VLOOKUP(INDEX(INDIRECT($B$1&amp;"!"&amp;ADDRESS(8,COLUMN()+6,4)&amp;":"&amp;ADDRESS(73,COLUMN()+6,4)),MATCH($B17,INDIRECT($B$1&amp;"!$A$8:$A$73"),0)),CONFIG!$A$15:$B$28,2,FALSE),"")</f>
        <v/>
      </c>
      <c r="D17" s="157">
        <f>IFERROR(VLOOKUP(INDEX(INDIRECT($B$1&amp;"!"&amp;ADDRESS(8,COLUMN()+6,4)&amp;":"&amp;ADDRESS(73,COLUMN()+6,4)),MATCH($B17,INDIRECT($B$1&amp;"!$A$8:$A$73"),0)),CONFIG!$A$15:$B$28,2,FALSE),"")</f>
        <v/>
      </c>
      <c r="E17" s="157">
        <f>IFERROR(VLOOKUP(INDEX(INDIRECT($B$1&amp;"!"&amp;ADDRESS(8,COLUMN()+6,4)&amp;":"&amp;ADDRESS(73,COLUMN()+6,4)),MATCH($B17,INDIRECT($B$1&amp;"!$A$8:$A$73"),0)),CONFIG!$A$15:$B$28,2,FALSE),"")</f>
        <v/>
      </c>
      <c r="F17" s="157">
        <f>IFERROR(VLOOKUP(INDEX(INDIRECT($B$1&amp;"!"&amp;ADDRESS(8,COLUMN()+6,4)&amp;":"&amp;ADDRESS(73,COLUMN()+6,4)),MATCH($B17,INDIRECT($B$1&amp;"!$A$8:$A$73"),0)),CONFIG!$A$15:$B$28,2,FALSE),"")</f>
        <v/>
      </c>
      <c r="G17" s="157">
        <f>IFERROR(VLOOKUP(INDEX(INDIRECT($B$1&amp;"!"&amp;ADDRESS(8,COLUMN()+6,4)&amp;":"&amp;ADDRESS(73,COLUMN()+6,4)),MATCH($B17,INDIRECT($B$1&amp;"!$A$8:$A$73"),0)),CONFIG!$A$15:$B$28,2,FALSE),"")</f>
        <v/>
      </c>
      <c r="H17" s="157">
        <f>IFERROR(VLOOKUP(INDEX(INDIRECT($B$1&amp;"!"&amp;ADDRESS(8,COLUMN()+6,4)&amp;":"&amp;ADDRESS(73,COLUMN()+6,4)),MATCH($B17,INDIRECT($B$1&amp;"!$A$8:$A$73"),0)),CONFIG!$A$15:$B$28,2,FALSE),"")</f>
        <v/>
      </c>
      <c r="I17" s="157">
        <f>IFERROR(VLOOKUP(INDEX(INDIRECT($B$1&amp;"!"&amp;ADDRESS(8,COLUMN()+6,4)&amp;":"&amp;ADDRESS(73,COLUMN()+6,4)),MATCH($B17,INDIRECT($B$1&amp;"!$A$8:$A$73"),0)),CONFIG!$A$15:$B$28,2,FALSE),"")</f>
        <v/>
      </c>
      <c r="J17" s="157">
        <f>IFERROR(VLOOKUP(INDEX(INDIRECT($B$1&amp;"!"&amp;ADDRESS(8,COLUMN()+6,4)&amp;":"&amp;ADDRESS(73,COLUMN()+6,4)),MATCH($B17,INDIRECT($B$1&amp;"!$A$8:$A$73"),0)),CONFIG!$A$15:$B$28,2,FALSE),"")</f>
        <v/>
      </c>
      <c r="K17" s="157">
        <f>IFERROR(VLOOKUP(INDEX(INDIRECT($B$1&amp;"!"&amp;ADDRESS(8,COLUMN()+6,4)&amp;":"&amp;ADDRESS(73,COLUMN()+6,4)),MATCH($B17,INDIRECT($B$1&amp;"!$A$8:$A$73"),0)),CONFIG!$A$15:$B$28,2,FALSE),"")</f>
        <v/>
      </c>
      <c r="L17" s="157">
        <f>IFERROR(VLOOKUP(INDEX(INDIRECT($B$1&amp;"!"&amp;ADDRESS(8,COLUMN()+6,4)&amp;":"&amp;ADDRESS(73,COLUMN()+6,4)),MATCH($B17,INDIRECT($B$1&amp;"!$A$8:$A$73"),0)),CONFIG!$A$15:$B$28,2,FALSE),"")</f>
        <v/>
      </c>
      <c r="M17" s="157">
        <f>IFERROR(VLOOKUP(INDEX(INDIRECT($B$1&amp;"!"&amp;ADDRESS(8,COLUMN()+6,4)&amp;":"&amp;ADDRESS(73,COLUMN()+6,4)),MATCH($B17,INDIRECT($B$1&amp;"!$A$8:$A$73"),0)),CONFIG!$A$15:$B$28,2,FALSE),"")</f>
        <v/>
      </c>
      <c r="N17" s="157">
        <f>IFERROR(VLOOKUP(INDEX(INDIRECT($B$1&amp;"!"&amp;ADDRESS(8,COLUMN()+6,4)&amp;":"&amp;ADDRESS(73,COLUMN()+6,4)),MATCH($B17,INDIRECT($B$1&amp;"!$A$8:$A$73"),0)),CONFIG!$A$15:$B$28,2,FALSE),"")</f>
        <v/>
      </c>
      <c r="O17" s="157">
        <f>IFERROR(VLOOKUP(INDEX(INDIRECT($B$1&amp;"!"&amp;ADDRESS(8,COLUMN()+6,4)&amp;":"&amp;ADDRESS(73,COLUMN()+6,4)),MATCH($B17,INDIRECT($B$1&amp;"!$A$8:$A$73"),0)),CONFIG!$A$15:$B$28,2,FALSE),"")</f>
        <v/>
      </c>
      <c r="P17" s="157">
        <f>IFERROR(VLOOKUP(INDEX(INDIRECT($B$1&amp;"!"&amp;ADDRESS(8,COLUMN()+6,4)&amp;":"&amp;ADDRESS(73,COLUMN()+6,4)),MATCH($B17,INDIRECT($B$1&amp;"!$A$8:$A$73"),0)),CONFIG!$A$15:$B$28,2,FALSE),"")</f>
        <v/>
      </c>
      <c r="Q17" s="157">
        <f>IFERROR(VLOOKUP(INDEX(INDIRECT($B$1&amp;"!"&amp;ADDRESS(8,COLUMN()+6,4)&amp;":"&amp;ADDRESS(73,COLUMN()+6,4)),MATCH($B17,INDIRECT($B$1&amp;"!$A$8:$A$73"),0)),CONFIG!$A$15:$B$28,2,FALSE),"")</f>
        <v/>
      </c>
      <c r="R17" s="157">
        <f>IFERROR(VLOOKUP(INDEX(INDIRECT($B$1&amp;"!"&amp;ADDRESS(8,COLUMN()+6,4)&amp;":"&amp;ADDRESS(73,COLUMN()+6,4)),MATCH($B17,INDIRECT($B$1&amp;"!$A$8:$A$73"),0)),CONFIG!$A$15:$B$28,2,FALSE),"")</f>
        <v/>
      </c>
      <c r="S17" s="157">
        <f>IFERROR(VLOOKUP(INDEX(INDIRECT($B$1&amp;"!"&amp;ADDRESS(8,COLUMN()+6,4)&amp;":"&amp;ADDRESS(73,COLUMN()+6,4)),MATCH($B17,INDIRECT($B$1&amp;"!$A$8:$A$73"),0)),CONFIG!$A$15:$B$28,2,FALSE),"")</f>
        <v/>
      </c>
      <c r="T17" s="157">
        <f>IFERROR(VLOOKUP(INDEX(INDIRECT($B$1&amp;"!"&amp;ADDRESS(8,COLUMN()+6,4)&amp;":"&amp;ADDRESS(73,COLUMN()+6,4)),MATCH($B17,INDIRECT($B$1&amp;"!$A$8:$A$73"),0)),CONFIG!$A$15:$B$28,2,FALSE),"")</f>
        <v/>
      </c>
      <c r="U17" s="157">
        <f>IFERROR(VLOOKUP(INDEX(INDIRECT($B$1&amp;"!"&amp;ADDRESS(8,COLUMN()+6,4)&amp;":"&amp;ADDRESS(73,COLUMN()+6,4)),MATCH($B17,INDIRECT($B$1&amp;"!$A$8:$A$73"),0)),CONFIG!$A$15:$B$28,2,FALSE),"")</f>
        <v/>
      </c>
      <c r="V17" s="157">
        <f>IFERROR(VLOOKUP(INDEX(INDIRECT($B$1&amp;"!"&amp;ADDRESS(8,COLUMN()+6,4)&amp;":"&amp;ADDRESS(73,COLUMN()+6,4)),MATCH($B17,INDIRECT($B$1&amp;"!$A$8:$A$73"),0)),CONFIG!$A$15:$B$28,2,FALSE),"")</f>
        <v/>
      </c>
      <c r="W17" s="157">
        <f>IFERROR(VLOOKUP(INDEX(INDIRECT($B$1&amp;"!"&amp;ADDRESS(8,COLUMN()+6,4)&amp;":"&amp;ADDRESS(73,COLUMN()+6,4)),MATCH($B17,INDIRECT($B$1&amp;"!$A$8:$A$73"),0)),CONFIG!$A$15:$B$28,2,FALSE),"")</f>
        <v/>
      </c>
      <c r="X17" s="157">
        <f>IFERROR(VLOOKUP(INDEX(INDIRECT($B$1&amp;"!"&amp;ADDRESS(8,COLUMN()+6,4)&amp;":"&amp;ADDRESS(73,COLUMN()+6,4)),MATCH($B17,INDIRECT($B$1&amp;"!$A$8:$A$73"),0)),CONFIG!$A$15:$B$28,2,FALSE),"")</f>
        <v/>
      </c>
      <c r="Y17" s="157">
        <f>IFERROR(VLOOKUP(INDEX(INDIRECT($B$1&amp;"!"&amp;ADDRESS(8,COLUMN()+6,4)&amp;":"&amp;ADDRESS(73,COLUMN()+6,4)),MATCH($B17,INDIRECT($B$1&amp;"!$A$8:$A$73"),0)),CONFIG!$A$15:$B$28,2,FALSE),"")</f>
        <v/>
      </c>
      <c r="Z17" s="157">
        <f>IFERROR(VLOOKUP(INDEX(INDIRECT($B$1&amp;"!"&amp;ADDRESS(8,COLUMN()+6,4)&amp;":"&amp;ADDRESS(73,COLUMN()+6,4)),MATCH($B17,INDIRECT($B$1&amp;"!$A$8:$A$73"),0)),CONFIG!$A$15:$B$28,2,FALSE),"")</f>
        <v/>
      </c>
      <c r="AA17" s="157">
        <f>IFERROR(VLOOKUP(INDEX(INDIRECT($B$1&amp;"!"&amp;ADDRESS(8,COLUMN()+6,4)&amp;":"&amp;ADDRESS(73,COLUMN()+6,4)),MATCH($B17,INDIRECT($B$1&amp;"!$A$8:$A$73"),0)),CONFIG!$A$15:$B$28,2,FALSE),"")</f>
        <v/>
      </c>
      <c r="AB17" s="157">
        <f>IFERROR(VLOOKUP(INDEX(INDIRECT($B$1&amp;"!"&amp;ADDRESS(8,COLUMN()+6,4)&amp;":"&amp;ADDRESS(73,COLUMN()+6,4)),MATCH($B17,INDIRECT($B$1&amp;"!$A$8:$A$73"),0)),CONFIG!$A$15:$B$28,2,FALSE),"")</f>
        <v/>
      </c>
      <c r="AC17" s="157">
        <f>IFERROR(VLOOKUP(INDEX(INDIRECT($B$1&amp;"!"&amp;ADDRESS(8,COLUMN()+6,4)&amp;":"&amp;ADDRESS(73,COLUMN()+6,4)),MATCH($B17,INDIRECT($B$1&amp;"!$A$8:$A$73"),0)),CONFIG!$A$15:$B$28,2,FALSE),"")</f>
        <v/>
      </c>
      <c r="AD17" s="157">
        <f>IFERROR(VLOOKUP(INDEX(INDIRECT($B$1&amp;"!"&amp;ADDRESS(8,COLUMN()+6,4)&amp;":"&amp;ADDRESS(73,COLUMN()+6,4)),MATCH($B17,INDIRECT($B$1&amp;"!$A$8:$A$73"),0)),CONFIG!$A$15:$B$28,2,FALSE),"")</f>
        <v/>
      </c>
      <c r="AE17" s="157">
        <f>IFERROR(VLOOKUP(INDEX(INDIRECT($B$1&amp;"!"&amp;ADDRESS(8,COLUMN()+6,4)&amp;":"&amp;ADDRESS(73,COLUMN()+6,4)),MATCH($B17,INDIRECT($B$1&amp;"!$A$8:$A$73"),0)),CONFIG!$A$15:$B$28,2,FALSE),"")</f>
        <v/>
      </c>
      <c r="AF17" s="157">
        <f>IFERROR(VLOOKUP(INDEX(INDIRECT($B$1&amp;"!"&amp;ADDRESS(8,COLUMN()+6,4)&amp;":"&amp;ADDRESS(73,COLUMN()+6,4)),MATCH($B17,INDIRECT($B$1&amp;"!$A$8:$A$73"),0)),CONFIG!$A$15:$B$28,2,FALSE),"")</f>
        <v/>
      </c>
      <c r="AG17" s="157">
        <f>IFERROR(VLOOKUP(INDEX(INDIRECT($B$1&amp;"!"&amp;ADDRESS(8,COLUMN()+6,4)&amp;":"&amp;ADDRESS(73,COLUMN()+6,4)),MATCH($B17,INDIRECT($B$1&amp;"!$A$8:$A$73"),0)),CONFIG!$A$15:$B$28,2,FALSE),"")</f>
        <v/>
      </c>
      <c r="AH17" s="157">
        <f>IFERROR(VLOOKUP(INDEX(INDIRECT($B$1&amp;"!"&amp;ADDRESS(8,COLUMN()+6,4)&amp;":"&amp;ADDRESS(73,COLUMN()+6,4)),MATCH($B17,INDIRECT($B$1&amp;"!$A$8:$A$73"),0)),CONFIG!$A$15:$B$28,2,FALSE),"")</f>
        <v/>
      </c>
      <c r="AI17" s="39" t="n"/>
    </row>
    <row r="18">
      <c r="A18" s="155" t="inlineStr">
        <is>
          <t>Camila Abreu</t>
        </is>
      </c>
      <c r="B18" s="156" t="inlineStr">
        <is>
          <t>CaAbreu</t>
        </is>
      </c>
      <c r="C18" s="157">
        <f>IFERROR(VLOOKUP(INDEX(INDIRECT($B$1&amp;"!"&amp;ADDRESS(8,COLUMN()+6,4)&amp;":"&amp;ADDRESS(73,COLUMN()+6,4)),MATCH($B18,INDIRECT($B$1&amp;"!$A$8:$A$73"),0)),CONFIG!$A$15:$B$28,2,FALSE),"")</f>
        <v/>
      </c>
      <c r="D18" s="157">
        <f>IFERROR(VLOOKUP(INDEX(INDIRECT($B$1&amp;"!"&amp;ADDRESS(8,COLUMN()+6,4)&amp;":"&amp;ADDRESS(73,COLUMN()+6,4)),MATCH($B18,INDIRECT($B$1&amp;"!$A$8:$A$73"),0)),CONFIG!$A$15:$B$28,2,FALSE),"")</f>
        <v/>
      </c>
      <c r="E18" s="157">
        <f>IFERROR(VLOOKUP(INDEX(INDIRECT($B$1&amp;"!"&amp;ADDRESS(8,COLUMN()+6,4)&amp;":"&amp;ADDRESS(73,COLUMN()+6,4)),MATCH($B18,INDIRECT($B$1&amp;"!$A$8:$A$73"),0)),CONFIG!$A$15:$B$28,2,FALSE),"")</f>
        <v/>
      </c>
      <c r="F18" s="157">
        <f>IFERROR(VLOOKUP(INDEX(INDIRECT($B$1&amp;"!"&amp;ADDRESS(8,COLUMN()+6,4)&amp;":"&amp;ADDRESS(73,COLUMN()+6,4)),MATCH($B18,INDIRECT($B$1&amp;"!$A$8:$A$73"),0)),CONFIG!$A$15:$B$28,2,FALSE),"")</f>
        <v/>
      </c>
      <c r="G18" s="157">
        <f>IFERROR(VLOOKUP(INDEX(INDIRECT($B$1&amp;"!"&amp;ADDRESS(8,COLUMN()+6,4)&amp;":"&amp;ADDRESS(73,COLUMN()+6,4)),MATCH($B18,INDIRECT($B$1&amp;"!$A$8:$A$73"),0)),CONFIG!$A$15:$B$28,2,FALSE),"")</f>
        <v/>
      </c>
      <c r="H18" s="157">
        <f>IFERROR(VLOOKUP(INDEX(INDIRECT($B$1&amp;"!"&amp;ADDRESS(8,COLUMN()+6,4)&amp;":"&amp;ADDRESS(73,COLUMN()+6,4)),MATCH($B18,INDIRECT($B$1&amp;"!$A$8:$A$73"),0)),CONFIG!$A$15:$B$28,2,FALSE),"")</f>
        <v/>
      </c>
      <c r="I18" s="157">
        <f>IFERROR(VLOOKUP(INDEX(INDIRECT($B$1&amp;"!"&amp;ADDRESS(8,COLUMN()+6,4)&amp;":"&amp;ADDRESS(73,COLUMN()+6,4)),MATCH($B18,INDIRECT($B$1&amp;"!$A$8:$A$73"),0)),CONFIG!$A$15:$B$28,2,FALSE),"")</f>
        <v/>
      </c>
      <c r="J18" s="157">
        <f>IFERROR(VLOOKUP(INDEX(INDIRECT($B$1&amp;"!"&amp;ADDRESS(8,COLUMN()+6,4)&amp;":"&amp;ADDRESS(73,COLUMN()+6,4)),MATCH($B18,INDIRECT($B$1&amp;"!$A$8:$A$73"),0)),CONFIG!$A$15:$B$28,2,FALSE),"")</f>
        <v/>
      </c>
      <c r="K18" s="157">
        <f>IFERROR(VLOOKUP(INDEX(INDIRECT($B$1&amp;"!"&amp;ADDRESS(8,COLUMN()+6,4)&amp;":"&amp;ADDRESS(73,COLUMN()+6,4)),MATCH($B18,INDIRECT($B$1&amp;"!$A$8:$A$73"),0)),CONFIG!$A$15:$B$28,2,FALSE),"")</f>
        <v/>
      </c>
      <c r="L18" s="157">
        <f>IFERROR(VLOOKUP(INDEX(INDIRECT($B$1&amp;"!"&amp;ADDRESS(8,COLUMN()+6,4)&amp;":"&amp;ADDRESS(73,COLUMN()+6,4)),MATCH($B18,INDIRECT($B$1&amp;"!$A$8:$A$73"),0)),CONFIG!$A$15:$B$28,2,FALSE),"")</f>
        <v/>
      </c>
      <c r="M18" s="157">
        <f>IFERROR(VLOOKUP(INDEX(INDIRECT($B$1&amp;"!"&amp;ADDRESS(8,COLUMN()+6,4)&amp;":"&amp;ADDRESS(73,COLUMN()+6,4)),MATCH($B18,INDIRECT($B$1&amp;"!$A$8:$A$73"),0)),CONFIG!$A$15:$B$28,2,FALSE),"")</f>
        <v/>
      </c>
      <c r="N18" s="157">
        <f>IFERROR(VLOOKUP(INDEX(INDIRECT($B$1&amp;"!"&amp;ADDRESS(8,COLUMN()+6,4)&amp;":"&amp;ADDRESS(73,COLUMN()+6,4)),MATCH($B18,INDIRECT($B$1&amp;"!$A$8:$A$73"),0)),CONFIG!$A$15:$B$28,2,FALSE),"")</f>
        <v/>
      </c>
      <c r="O18" s="157">
        <f>IFERROR(VLOOKUP(INDEX(INDIRECT($B$1&amp;"!"&amp;ADDRESS(8,COLUMN()+6,4)&amp;":"&amp;ADDRESS(73,COLUMN()+6,4)),MATCH($B18,INDIRECT($B$1&amp;"!$A$8:$A$73"),0)),CONFIG!$A$15:$B$28,2,FALSE),"")</f>
        <v/>
      </c>
      <c r="P18" s="157">
        <f>IFERROR(VLOOKUP(INDEX(INDIRECT($B$1&amp;"!"&amp;ADDRESS(8,COLUMN()+6,4)&amp;":"&amp;ADDRESS(73,COLUMN()+6,4)),MATCH($B18,INDIRECT($B$1&amp;"!$A$8:$A$73"),0)),CONFIG!$A$15:$B$28,2,FALSE),"")</f>
        <v/>
      </c>
      <c r="Q18" s="157">
        <f>IFERROR(VLOOKUP(INDEX(INDIRECT($B$1&amp;"!"&amp;ADDRESS(8,COLUMN()+6,4)&amp;":"&amp;ADDRESS(73,COLUMN()+6,4)),MATCH($B18,INDIRECT($B$1&amp;"!$A$8:$A$73"),0)),CONFIG!$A$15:$B$28,2,FALSE),"")</f>
        <v/>
      </c>
      <c r="R18" s="157">
        <f>IFERROR(VLOOKUP(INDEX(INDIRECT($B$1&amp;"!"&amp;ADDRESS(8,COLUMN()+6,4)&amp;":"&amp;ADDRESS(73,COLUMN()+6,4)),MATCH($B18,INDIRECT($B$1&amp;"!$A$8:$A$73"),0)),CONFIG!$A$15:$B$28,2,FALSE),"")</f>
        <v/>
      </c>
      <c r="S18" s="157">
        <f>IFERROR(VLOOKUP(INDEX(INDIRECT($B$1&amp;"!"&amp;ADDRESS(8,COLUMN()+6,4)&amp;":"&amp;ADDRESS(73,COLUMN()+6,4)),MATCH($B18,INDIRECT($B$1&amp;"!$A$8:$A$73"),0)),CONFIG!$A$15:$B$28,2,FALSE),"")</f>
        <v/>
      </c>
      <c r="T18" s="157">
        <f>IFERROR(VLOOKUP(INDEX(INDIRECT($B$1&amp;"!"&amp;ADDRESS(8,COLUMN()+6,4)&amp;":"&amp;ADDRESS(73,COLUMN()+6,4)),MATCH($B18,INDIRECT($B$1&amp;"!$A$8:$A$73"),0)),CONFIG!$A$15:$B$28,2,FALSE),"")</f>
        <v/>
      </c>
      <c r="U18" s="157">
        <f>IFERROR(VLOOKUP(INDEX(INDIRECT($B$1&amp;"!"&amp;ADDRESS(8,COLUMN()+6,4)&amp;":"&amp;ADDRESS(73,COLUMN()+6,4)),MATCH($B18,INDIRECT($B$1&amp;"!$A$8:$A$73"),0)),CONFIG!$A$15:$B$28,2,FALSE),"")</f>
        <v/>
      </c>
      <c r="V18" s="157">
        <f>IFERROR(VLOOKUP(INDEX(INDIRECT($B$1&amp;"!"&amp;ADDRESS(8,COLUMN()+6,4)&amp;":"&amp;ADDRESS(73,COLUMN()+6,4)),MATCH($B18,INDIRECT($B$1&amp;"!$A$8:$A$73"),0)),CONFIG!$A$15:$B$28,2,FALSE),"")</f>
        <v/>
      </c>
      <c r="W18" s="157">
        <f>IFERROR(VLOOKUP(INDEX(INDIRECT($B$1&amp;"!"&amp;ADDRESS(8,COLUMN()+6,4)&amp;":"&amp;ADDRESS(73,COLUMN()+6,4)),MATCH($B18,INDIRECT($B$1&amp;"!$A$8:$A$73"),0)),CONFIG!$A$15:$B$28,2,FALSE),"")</f>
        <v/>
      </c>
      <c r="X18" s="157">
        <f>IFERROR(VLOOKUP(INDEX(INDIRECT($B$1&amp;"!"&amp;ADDRESS(8,COLUMN()+6,4)&amp;":"&amp;ADDRESS(73,COLUMN()+6,4)),MATCH($B18,INDIRECT($B$1&amp;"!$A$8:$A$73"),0)),CONFIG!$A$15:$B$28,2,FALSE),"")</f>
        <v/>
      </c>
      <c r="Y18" s="157">
        <f>IFERROR(VLOOKUP(INDEX(INDIRECT($B$1&amp;"!"&amp;ADDRESS(8,COLUMN()+6,4)&amp;":"&amp;ADDRESS(73,COLUMN()+6,4)),MATCH($B18,INDIRECT($B$1&amp;"!$A$8:$A$73"),0)),CONFIG!$A$15:$B$28,2,FALSE),"")</f>
        <v/>
      </c>
      <c r="Z18" s="157">
        <f>IFERROR(VLOOKUP(INDEX(INDIRECT($B$1&amp;"!"&amp;ADDRESS(8,COLUMN()+6,4)&amp;":"&amp;ADDRESS(73,COLUMN()+6,4)),MATCH($B18,INDIRECT($B$1&amp;"!$A$8:$A$73"),0)),CONFIG!$A$15:$B$28,2,FALSE),"")</f>
        <v/>
      </c>
      <c r="AA18" s="157">
        <f>IFERROR(VLOOKUP(INDEX(INDIRECT($B$1&amp;"!"&amp;ADDRESS(8,COLUMN()+6,4)&amp;":"&amp;ADDRESS(73,COLUMN()+6,4)),MATCH($B18,INDIRECT($B$1&amp;"!$A$8:$A$73"),0)),CONFIG!$A$15:$B$28,2,FALSE),"")</f>
        <v/>
      </c>
      <c r="AB18" s="157">
        <f>IFERROR(VLOOKUP(INDEX(INDIRECT($B$1&amp;"!"&amp;ADDRESS(8,COLUMN()+6,4)&amp;":"&amp;ADDRESS(73,COLUMN()+6,4)),MATCH($B18,INDIRECT($B$1&amp;"!$A$8:$A$73"),0)),CONFIG!$A$15:$B$28,2,FALSE),"")</f>
        <v/>
      </c>
      <c r="AC18" s="157">
        <f>IFERROR(VLOOKUP(INDEX(INDIRECT($B$1&amp;"!"&amp;ADDRESS(8,COLUMN()+6,4)&amp;":"&amp;ADDRESS(73,COLUMN()+6,4)),MATCH($B18,INDIRECT($B$1&amp;"!$A$8:$A$73"),0)),CONFIG!$A$15:$B$28,2,FALSE),"")</f>
        <v/>
      </c>
      <c r="AD18" s="157">
        <f>IFERROR(VLOOKUP(INDEX(INDIRECT($B$1&amp;"!"&amp;ADDRESS(8,COLUMN()+6,4)&amp;":"&amp;ADDRESS(73,COLUMN()+6,4)),MATCH($B18,INDIRECT($B$1&amp;"!$A$8:$A$73"),0)),CONFIG!$A$15:$B$28,2,FALSE),"")</f>
        <v/>
      </c>
      <c r="AE18" s="157">
        <f>IFERROR(VLOOKUP(INDEX(INDIRECT($B$1&amp;"!"&amp;ADDRESS(8,COLUMN()+6,4)&amp;":"&amp;ADDRESS(73,COLUMN()+6,4)),MATCH($B18,INDIRECT($B$1&amp;"!$A$8:$A$73"),0)),CONFIG!$A$15:$B$28,2,FALSE),"")</f>
        <v/>
      </c>
      <c r="AF18" s="157">
        <f>IFERROR(VLOOKUP(INDEX(INDIRECT($B$1&amp;"!"&amp;ADDRESS(8,COLUMN()+6,4)&amp;":"&amp;ADDRESS(73,COLUMN()+6,4)),MATCH($B18,INDIRECT($B$1&amp;"!$A$8:$A$73"),0)),CONFIG!$A$15:$B$28,2,FALSE),"")</f>
        <v/>
      </c>
      <c r="AG18" s="157">
        <f>IFERROR(VLOOKUP(INDEX(INDIRECT($B$1&amp;"!"&amp;ADDRESS(8,COLUMN()+6,4)&amp;":"&amp;ADDRESS(73,COLUMN()+6,4)),MATCH($B18,INDIRECT($B$1&amp;"!$A$8:$A$73"),0)),CONFIG!$A$15:$B$28,2,FALSE),"")</f>
        <v/>
      </c>
      <c r="AH18" s="157">
        <f>IFERROR(VLOOKUP(INDEX(INDIRECT($B$1&amp;"!"&amp;ADDRESS(8,COLUMN()+6,4)&amp;":"&amp;ADDRESS(73,COLUMN()+6,4)),MATCH($B18,INDIRECT($B$1&amp;"!$A$8:$A$73"),0)),CONFIG!$A$15:$B$28,2,FALSE),"")</f>
        <v/>
      </c>
      <c r="AI18" s="39" t="n"/>
    </row>
    <row r="19">
      <c r="A19" s="155" t="inlineStr">
        <is>
          <t>Danielle Tanajura</t>
        </is>
      </c>
      <c r="B19" s="156" t="inlineStr">
        <is>
          <t>Danielle</t>
        </is>
      </c>
      <c r="C19" s="157">
        <f>IFERROR(VLOOKUP(INDEX(INDIRECT($B$1&amp;"!"&amp;ADDRESS(8,COLUMN()+6,4)&amp;":"&amp;ADDRESS(73,COLUMN()+6,4)),MATCH($B19,INDIRECT($B$1&amp;"!$A$8:$A$73"),0)),CONFIG!$A$15:$B$28,2,FALSE),"")</f>
        <v/>
      </c>
      <c r="D19" s="157">
        <f>IFERROR(VLOOKUP(INDEX(INDIRECT($B$1&amp;"!"&amp;ADDRESS(8,COLUMN()+6,4)&amp;":"&amp;ADDRESS(73,COLUMN()+6,4)),MATCH($B19,INDIRECT($B$1&amp;"!$A$8:$A$73"),0)),CONFIG!$A$15:$B$28,2,FALSE),"")</f>
        <v/>
      </c>
      <c r="E19" s="157">
        <f>IFERROR(VLOOKUP(INDEX(INDIRECT($B$1&amp;"!"&amp;ADDRESS(8,COLUMN()+6,4)&amp;":"&amp;ADDRESS(73,COLUMN()+6,4)),MATCH($B19,INDIRECT($B$1&amp;"!$A$8:$A$73"),0)),CONFIG!$A$15:$B$28,2,FALSE),"")</f>
        <v/>
      </c>
      <c r="F19" s="157">
        <f>IFERROR(VLOOKUP(INDEX(INDIRECT($B$1&amp;"!"&amp;ADDRESS(8,COLUMN()+6,4)&amp;":"&amp;ADDRESS(73,COLUMN()+6,4)),MATCH($B19,INDIRECT($B$1&amp;"!$A$8:$A$73"),0)),CONFIG!$A$15:$B$28,2,FALSE),"")</f>
        <v/>
      </c>
      <c r="G19" s="157">
        <f>IFERROR(VLOOKUP(INDEX(INDIRECT($B$1&amp;"!"&amp;ADDRESS(8,COLUMN()+6,4)&amp;":"&amp;ADDRESS(73,COLUMN()+6,4)),MATCH($B19,INDIRECT($B$1&amp;"!$A$8:$A$73"),0)),CONFIG!$A$15:$B$28,2,FALSE),"")</f>
        <v/>
      </c>
      <c r="H19" s="157">
        <f>IFERROR(VLOOKUP(INDEX(INDIRECT($B$1&amp;"!"&amp;ADDRESS(8,COLUMN()+6,4)&amp;":"&amp;ADDRESS(73,COLUMN()+6,4)),MATCH($B19,INDIRECT($B$1&amp;"!$A$8:$A$73"),0)),CONFIG!$A$15:$B$28,2,FALSE),"")</f>
        <v/>
      </c>
      <c r="I19" s="157">
        <f>IFERROR(VLOOKUP(INDEX(INDIRECT($B$1&amp;"!"&amp;ADDRESS(8,COLUMN()+6,4)&amp;":"&amp;ADDRESS(73,COLUMN()+6,4)),MATCH($B19,INDIRECT($B$1&amp;"!$A$8:$A$73"),0)),CONFIG!$A$15:$B$28,2,FALSE),"")</f>
        <v/>
      </c>
      <c r="J19" s="157">
        <f>IFERROR(VLOOKUP(INDEX(INDIRECT($B$1&amp;"!"&amp;ADDRESS(8,COLUMN()+6,4)&amp;":"&amp;ADDRESS(73,COLUMN()+6,4)),MATCH($B19,INDIRECT($B$1&amp;"!$A$8:$A$73"),0)),CONFIG!$A$15:$B$28,2,FALSE),"")</f>
        <v/>
      </c>
      <c r="K19" s="157">
        <f>IFERROR(VLOOKUP(INDEX(INDIRECT($B$1&amp;"!"&amp;ADDRESS(8,COLUMN()+6,4)&amp;":"&amp;ADDRESS(73,COLUMN()+6,4)),MATCH($B19,INDIRECT($B$1&amp;"!$A$8:$A$73"),0)),CONFIG!$A$15:$B$28,2,FALSE),"")</f>
        <v/>
      </c>
      <c r="L19" s="157">
        <f>IFERROR(VLOOKUP(INDEX(INDIRECT($B$1&amp;"!"&amp;ADDRESS(8,COLUMN()+6,4)&amp;":"&amp;ADDRESS(73,COLUMN()+6,4)),MATCH($B19,INDIRECT($B$1&amp;"!$A$8:$A$73"),0)),CONFIG!$A$15:$B$28,2,FALSE),"")</f>
        <v/>
      </c>
      <c r="M19" s="157">
        <f>IFERROR(VLOOKUP(INDEX(INDIRECT($B$1&amp;"!"&amp;ADDRESS(8,COLUMN()+6,4)&amp;":"&amp;ADDRESS(73,COLUMN()+6,4)),MATCH($B19,INDIRECT($B$1&amp;"!$A$8:$A$73"),0)),CONFIG!$A$15:$B$28,2,FALSE),"")</f>
        <v/>
      </c>
      <c r="N19" s="157">
        <f>IFERROR(VLOOKUP(INDEX(INDIRECT($B$1&amp;"!"&amp;ADDRESS(8,COLUMN()+6,4)&amp;":"&amp;ADDRESS(73,COLUMN()+6,4)),MATCH($B19,INDIRECT($B$1&amp;"!$A$8:$A$73"),0)),CONFIG!$A$15:$B$28,2,FALSE),"")</f>
        <v/>
      </c>
      <c r="O19" s="157">
        <f>IFERROR(VLOOKUP(INDEX(INDIRECT($B$1&amp;"!"&amp;ADDRESS(8,COLUMN()+6,4)&amp;":"&amp;ADDRESS(73,COLUMN()+6,4)),MATCH($B19,INDIRECT($B$1&amp;"!$A$8:$A$73"),0)),CONFIG!$A$15:$B$28,2,FALSE),"")</f>
        <v/>
      </c>
      <c r="P19" s="157">
        <f>IFERROR(VLOOKUP(INDEX(INDIRECT($B$1&amp;"!"&amp;ADDRESS(8,COLUMN()+6,4)&amp;":"&amp;ADDRESS(73,COLUMN()+6,4)),MATCH($B19,INDIRECT($B$1&amp;"!$A$8:$A$73"),0)),CONFIG!$A$15:$B$28,2,FALSE),"")</f>
        <v/>
      </c>
      <c r="Q19" s="157">
        <f>IFERROR(VLOOKUP(INDEX(INDIRECT($B$1&amp;"!"&amp;ADDRESS(8,COLUMN()+6,4)&amp;":"&amp;ADDRESS(73,COLUMN()+6,4)),MATCH($B19,INDIRECT($B$1&amp;"!$A$8:$A$73"),0)),CONFIG!$A$15:$B$28,2,FALSE),"")</f>
        <v/>
      </c>
      <c r="R19" s="157">
        <f>IFERROR(VLOOKUP(INDEX(INDIRECT($B$1&amp;"!"&amp;ADDRESS(8,COLUMN()+6,4)&amp;":"&amp;ADDRESS(73,COLUMN()+6,4)),MATCH($B19,INDIRECT($B$1&amp;"!$A$8:$A$73"),0)),CONFIG!$A$15:$B$28,2,FALSE),"")</f>
        <v/>
      </c>
      <c r="S19" s="157">
        <f>IFERROR(VLOOKUP(INDEX(INDIRECT($B$1&amp;"!"&amp;ADDRESS(8,COLUMN()+6,4)&amp;":"&amp;ADDRESS(73,COLUMN()+6,4)),MATCH($B19,INDIRECT($B$1&amp;"!$A$8:$A$73"),0)),CONFIG!$A$15:$B$28,2,FALSE),"")</f>
        <v/>
      </c>
      <c r="T19" s="157">
        <f>IFERROR(VLOOKUP(INDEX(INDIRECT($B$1&amp;"!"&amp;ADDRESS(8,COLUMN()+6,4)&amp;":"&amp;ADDRESS(73,COLUMN()+6,4)),MATCH($B19,INDIRECT($B$1&amp;"!$A$8:$A$73"),0)),CONFIG!$A$15:$B$28,2,FALSE),"")</f>
        <v/>
      </c>
      <c r="U19" s="157">
        <f>IFERROR(VLOOKUP(INDEX(INDIRECT($B$1&amp;"!"&amp;ADDRESS(8,COLUMN()+6,4)&amp;":"&amp;ADDRESS(73,COLUMN()+6,4)),MATCH($B19,INDIRECT($B$1&amp;"!$A$8:$A$73"),0)),CONFIG!$A$15:$B$28,2,FALSE),"")</f>
        <v/>
      </c>
      <c r="V19" s="157">
        <f>IFERROR(VLOOKUP(INDEX(INDIRECT($B$1&amp;"!"&amp;ADDRESS(8,COLUMN()+6,4)&amp;":"&amp;ADDRESS(73,COLUMN()+6,4)),MATCH($B19,INDIRECT($B$1&amp;"!$A$8:$A$73"),0)),CONFIG!$A$15:$B$28,2,FALSE),"")</f>
        <v/>
      </c>
      <c r="W19" s="157">
        <f>IFERROR(VLOOKUP(INDEX(INDIRECT($B$1&amp;"!"&amp;ADDRESS(8,COLUMN()+6,4)&amp;":"&amp;ADDRESS(73,COLUMN()+6,4)),MATCH($B19,INDIRECT($B$1&amp;"!$A$8:$A$73"),0)),CONFIG!$A$15:$B$28,2,FALSE),"")</f>
        <v/>
      </c>
      <c r="X19" s="157">
        <f>IFERROR(VLOOKUP(INDEX(INDIRECT($B$1&amp;"!"&amp;ADDRESS(8,COLUMN()+6,4)&amp;":"&amp;ADDRESS(73,COLUMN()+6,4)),MATCH($B19,INDIRECT($B$1&amp;"!$A$8:$A$73"),0)),CONFIG!$A$15:$B$28,2,FALSE),"")</f>
        <v/>
      </c>
      <c r="Y19" s="157">
        <f>IFERROR(VLOOKUP(INDEX(INDIRECT($B$1&amp;"!"&amp;ADDRESS(8,COLUMN()+6,4)&amp;":"&amp;ADDRESS(73,COLUMN()+6,4)),MATCH($B19,INDIRECT($B$1&amp;"!$A$8:$A$73"),0)),CONFIG!$A$15:$B$28,2,FALSE),"")</f>
        <v/>
      </c>
      <c r="Z19" s="157">
        <f>IFERROR(VLOOKUP(INDEX(INDIRECT($B$1&amp;"!"&amp;ADDRESS(8,COLUMN()+6,4)&amp;":"&amp;ADDRESS(73,COLUMN()+6,4)),MATCH($B19,INDIRECT($B$1&amp;"!$A$8:$A$73"),0)),CONFIG!$A$15:$B$28,2,FALSE),"")</f>
        <v/>
      </c>
      <c r="AA19" s="157">
        <f>IFERROR(VLOOKUP(INDEX(INDIRECT($B$1&amp;"!"&amp;ADDRESS(8,COLUMN()+6,4)&amp;":"&amp;ADDRESS(73,COLUMN()+6,4)),MATCH($B19,INDIRECT($B$1&amp;"!$A$8:$A$73"),0)),CONFIG!$A$15:$B$28,2,FALSE),"")</f>
        <v/>
      </c>
      <c r="AB19" s="157">
        <f>IFERROR(VLOOKUP(INDEX(INDIRECT($B$1&amp;"!"&amp;ADDRESS(8,COLUMN()+6,4)&amp;":"&amp;ADDRESS(73,COLUMN()+6,4)),MATCH($B19,INDIRECT($B$1&amp;"!$A$8:$A$73"),0)),CONFIG!$A$15:$B$28,2,FALSE),"")</f>
        <v/>
      </c>
      <c r="AC19" s="157">
        <f>IFERROR(VLOOKUP(INDEX(INDIRECT($B$1&amp;"!"&amp;ADDRESS(8,COLUMN()+6,4)&amp;":"&amp;ADDRESS(73,COLUMN()+6,4)),MATCH($B19,INDIRECT($B$1&amp;"!$A$8:$A$73"),0)),CONFIG!$A$15:$B$28,2,FALSE),"")</f>
        <v/>
      </c>
      <c r="AD19" s="157">
        <f>IFERROR(VLOOKUP(INDEX(INDIRECT($B$1&amp;"!"&amp;ADDRESS(8,COLUMN()+6,4)&amp;":"&amp;ADDRESS(73,COLUMN()+6,4)),MATCH($B19,INDIRECT($B$1&amp;"!$A$8:$A$73"),0)),CONFIG!$A$15:$B$28,2,FALSE),"")</f>
        <v/>
      </c>
      <c r="AE19" s="157">
        <f>IFERROR(VLOOKUP(INDEX(INDIRECT($B$1&amp;"!"&amp;ADDRESS(8,COLUMN()+6,4)&amp;":"&amp;ADDRESS(73,COLUMN()+6,4)),MATCH($B19,INDIRECT($B$1&amp;"!$A$8:$A$73"),0)),CONFIG!$A$15:$B$28,2,FALSE),"")</f>
        <v/>
      </c>
      <c r="AF19" s="157">
        <f>IFERROR(VLOOKUP(INDEX(INDIRECT($B$1&amp;"!"&amp;ADDRESS(8,COLUMN()+6,4)&amp;":"&amp;ADDRESS(73,COLUMN()+6,4)),MATCH($B19,INDIRECT($B$1&amp;"!$A$8:$A$73"),0)),CONFIG!$A$15:$B$28,2,FALSE),"")</f>
        <v/>
      </c>
      <c r="AG19" s="157">
        <f>IFERROR(VLOOKUP(INDEX(INDIRECT($B$1&amp;"!"&amp;ADDRESS(8,COLUMN()+6,4)&amp;":"&amp;ADDRESS(73,COLUMN()+6,4)),MATCH($B19,INDIRECT($B$1&amp;"!$A$8:$A$73"),0)),CONFIG!$A$15:$B$28,2,FALSE),"")</f>
        <v/>
      </c>
      <c r="AH19" s="157">
        <f>IFERROR(VLOOKUP(INDEX(INDIRECT($B$1&amp;"!"&amp;ADDRESS(8,COLUMN()+6,4)&amp;":"&amp;ADDRESS(73,COLUMN()+6,4)),MATCH($B19,INDIRECT($B$1&amp;"!$A$8:$A$73"),0)),CONFIG!$A$15:$B$28,2,FALSE),"")</f>
        <v/>
      </c>
      <c r="AI19" s="39" t="n"/>
    </row>
    <row r="20">
      <c r="A20" s="155" t="inlineStr">
        <is>
          <t>Fabiula Czameski</t>
        </is>
      </c>
      <c r="B20" s="156" t="inlineStr">
        <is>
          <t>Fabiula</t>
        </is>
      </c>
      <c r="C20" s="157">
        <f>IFERROR(VLOOKUP(INDEX(INDIRECT($B$1&amp;"!"&amp;ADDRESS(8,COLUMN()+6,4)&amp;":"&amp;ADDRESS(73,COLUMN()+6,4)),MATCH($B20,INDIRECT($B$1&amp;"!$A$8:$A$73"),0)),CONFIG!$A$15:$B$28,2,FALSE),"")</f>
        <v/>
      </c>
      <c r="D20" s="157">
        <f>IFERROR(VLOOKUP(INDEX(INDIRECT($B$1&amp;"!"&amp;ADDRESS(8,COLUMN()+6,4)&amp;":"&amp;ADDRESS(73,COLUMN()+6,4)),MATCH($B20,INDIRECT($B$1&amp;"!$A$8:$A$73"),0)),CONFIG!$A$15:$B$28,2,FALSE),"")</f>
        <v/>
      </c>
      <c r="E20" s="157">
        <f>IFERROR(VLOOKUP(INDEX(INDIRECT($B$1&amp;"!"&amp;ADDRESS(8,COLUMN()+6,4)&amp;":"&amp;ADDRESS(73,COLUMN()+6,4)),MATCH($B20,INDIRECT($B$1&amp;"!$A$8:$A$73"),0)),CONFIG!$A$15:$B$28,2,FALSE),"")</f>
        <v/>
      </c>
      <c r="F20" s="157">
        <f>IFERROR(VLOOKUP(INDEX(INDIRECT($B$1&amp;"!"&amp;ADDRESS(8,COLUMN()+6,4)&amp;":"&amp;ADDRESS(73,COLUMN()+6,4)),MATCH($B20,INDIRECT($B$1&amp;"!$A$8:$A$73"),0)),CONFIG!$A$15:$B$28,2,FALSE),"")</f>
        <v/>
      </c>
      <c r="G20" s="157">
        <f>IFERROR(VLOOKUP(INDEX(INDIRECT($B$1&amp;"!"&amp;ADDRESS(8,COLUMN()+6,4)&amp;":"&amp;ADDRESS(73,COLUMN()+6,4)),MATCH($B20,INDIRECT($B$1&amp;"!$A$8:$A$73"),0)),CONFIG!$A$15:$B$28,2,FALSE),"")</f>
        <v/>
      </c>
      <c r="H20" s="157">
        <f>IFERROR(VLOOKUP(INDEX(INDIRECT($B$1&amp;"!"&amp;ADDRESS(8,COLUMN()+6,4)&amp;":"&amp;ADDRESS(73,COLUMN()+6,4)),MATCH($B20,INDIRECT($B$1&amp;"!$A$8:$A$73"),0)),CONFIG!$A$15:$B$28,2,FALSE),"")</f>
        <v/>
      </c>
      <c r="I20" s="157">
        <f>IFERROR(VLOOKUP(INDEX(INDIRECT($B$1&amp;"!"&amp;ADDRESS(8,COLUMN()+6,4)&amp;":"&amp;ADDRESS(73,COLUMN()+6,4)),MATCH($B20,INDIRECT($B$1&amp;"!$A$8:$A$73"),0)),CONFIG!$A$15:$B$28,2,FALSE),"")</f>
        <v/>
      </c>
      <c r="J20" s="157">
        <f>IFERROR(VLOOKUP(INDEX(INDIRECT($B$1&amp;"!"&amp;ADDRESS(8,COLUMN()+6,4)&amp;":"&amp;ADDRESS(73,COLUMN()+6,4)),MATCH($B20,INDIRECT($B$1&amp;"!$A$8:$A$73"),0)),CONFIG!$A$15:$B$28,2,FALSE),"")</f>
        <v/>
      </c>
      <c r="K20" s="157">
        <f>IFERROR(VLOOKUP(INDEX(INDIRECT($B$1&amp;"!"&amp;ADDRESS(8,COLUMN()+6,4)&amp;":"&amp;ADDRESS(73,COLUMN()+6,4)),MATCH($B20,INDIRECT($B$1&amp;"!$A$8:$A$73"),0)),CONFIG!$A$15:$B$28,2,FALSE),"")</f>
        <v/>
      </c>
      <c r="L20" s="157">
        <f>IFERROR(VLOOKUP(INDEX(INDIRECT($B$1&amp;"!"&amp;ADDRESS(8,COLUMN()+6,4)&amp;":"&amp;ADDRESS(73,COLUMN()+6,4)),MATCH($B20,INDIRECT($B$1&amp;"!$A$8:$A$73"),0)),CONFIG!$A$15:$B$28,2,FALSE),"")</f>
        <v/>
      </c>
      <c r="M20" s="157">
        <f>IFERROR(VLOOKUP(INDEX(INDIRECT($B$1&amp;"!"&amp;ADDRESS(8,COLUMN()+6,4)&amp;":"&amp;ADDRESS(73,COLUMN()+6,4)),MATCH($B20,INDIRECT($B$1&amp;"!$A$8:$A$73"),0)),CONFIG!$A$15:$B$28,2,FALSE),"")</f>
        <v/>
      </c>
      <c r="N20" s="157">
        <f>IFERROR(VLOOKUP(INDEX(INDIRECT($B$1&amp;"!"&amp;ADDRESS(8,COLUMN()+6,4)&amp;":"&amp;ADDRESS(73,COLUMN()+6,4)),MATCH($B20,INDIRECT($B$1&amp;"!$A$8:$A$73"),0)),CONFIG!$A$15:$B$28,2,FALSE),"")</f>
        <v/>
      </c>
      <c r="O20" s="157">
        <f>IFERROR(VLOOKUP(INDEX(INDIRECT($B$1&amp;"!"&amp;ADDRESS(8,COLUMN()+6,4)&amp;":"&amp;ADDRESS(73,COLUMN()+6,4)),MATCH($B20,INDIRECT($B$1&amp;"!$A$8:$A$73"),0)),CONFIG!$A$15:$B$28,2,FALSE),"")</f>
        <v/>
      </c>
      <c r="P20" s="157">
        <f>IFERROR(VLOOKUP(INDEX(INDIRECT($B$1&amp;"!"&amp;ADDRESS(8,COLUMN()+6,4)&amp;":"&amp;ADDRESS(73,COLUMN()+6,4)),MATCH($B20,INDIRECT($B$1&amp;"!$A$8:$A$73"),0)),CONFIG!$A$15:$B$28,2,FALSE),"")</f>
        <v/>
      </c>
      <c r="Q20" s="157">
        <f>IFERROR(VLOOKUP(INDEX(INDIRECT($B$1&amp;"!"&amp;ADDRESS(8,COLUMN()+6,4)&amp;":"&amp;ADDRESS(73,COLUMN()+6,4)),MATCH($B20,INDIRECT($B$1&amp;"!$A$8:$A$73"),0)),CONFIG!$A$15:$B$28,2,FALSE),"")</f>
        <v/>
      </c>
      <c r="R20" s="157">
        <f>IFERROR(VLOOKUP(INDEX(INDIRECT($B$1&amp;"!"&amp;ADDRESS(8,COLUMN()+6,4)&amp;":"&amp;ADDRESS(73,COLUMN()+6,4)),MATCH($B20,INDIRECT($B$1&amp;"!$A$8:$A$73"),0)),CONFIG!$A$15:$B$28,2,FALSE),"")</f>
        <v/>
      </c>
      <c r="S20" s="157">
        <f>IFERROR(VLOOKUP(INDEX(INDIRECT($B$1&amp;"!"&amp;ADDRESS(8,COLUMN()+6,4)&amp;":"&amp;ADDRESS(73,COLUMN()+6,4)),MATCH($B20,INDIRECT($B$1&amp;"!$A$8:$A$73"),0)),CONFIG!$A$15:$B$28,2,FALSE),"")</f>
        <v/>
      </c>
      <c r="T20" s="157">
        <f>IFERROR(VLOOKUP(INDEX(INDIRECT($B$1&amp;"!"&amp;ADDRESS(8,COLUMN()+6,4)&amp;":"&amp;ADDRESS(73,COLUMN()+6,4)),MATCH($B20,INDIRECT($B$1&amp;"!$A$8:$A$73"),0)),CONFIG!$A$15:$B$28,2,FALSE),"")</f>
        <v/>
      </c>
      <c r="U20" s="157">
        <f>IFERROR(VLOOKUP(INDEX(INDIRECT($B$1&amp;"!"&amp;ADDRESS(8,COLUMN()+6,4)&amp;":"&amp;ADDRESS(73,COLUMN()+6,4)),MATCH($B20,INDIRECT($B$1&amp;"!$A$8:$A$73"),0)),CONFIG!$A$15:$B$28,2,FALSE),"")</f>
        <v/>
      </c>
      <c r="V20" s="157">
        <f>IFERROR(VLOOKUP(INDEX(INDIRECT($B$1&amp;"!"&amp;ADDRESS(8,COLUMN()+6,4)&amp;":"&amp;ADDRESS(73,COLUMN()+6,4)),MATCH($B20,INDIRECT($B$1&amp;"!$A$8:$A$73"),0)),CONFIG!$A$15:$B$28,2,FALSE),"")</f>
        <v/>
      </c>
      <c r="W20" s="157">
        <f>IFERROR(VLOOKUP(INDEX(INDIRECT($B$1&amp;"!"&amp;ADDRESS(8,COLUMN()+6,4)&amp;":"&amp;ADDRESS(73,COLUMN()+6,4)),MATCH($B20,INDIRECT($B$1&amp;"!$A$8:$A$73"),0)),CONFIG!$A$15:$B$28,2,FALSE),"")</f>
        <v/>
      </c>
      <c r="X20" s="157">
        <f>IFERROR(VLOOKUP(INDEX(INDIRECT($B$1&amp;"!"&amp;ADDRESS(8,COLUMN()+6,4)&amp;":"&amp;ADDRESS(73,COLUMN()+6,4)),MATCH($B20,INDIRECT($B$1&amp;"!$A$8:$A$73"),0)),CONFIG!$A$15:$B$28,2,FALSE),"")</f>
        <v/>
      </c>
      <c r="Y20" s="157">
        <f>IFERROR(VLOOKUP(INDEX(INDIRECT($B$1&amp;"!"&amp;ADDRESS(8,COLUMN()+6,4)&amp;":"&amp;ADDRESS(73,COLUMN()+6,4)),MATCH($B20,INDIRECT($B$1&amp;"!$A$8:$A$73"),0)),CONFIG!$A$15:$B$28,2,FALSE),"")</f>
        <v/>
      </c>
      <c r="Z20" s="157">
        <f>IFERROR(VLOOKUP(INDEX(INDIRECT($B$1&amp;"!"&amp;ADDRESS(8,COLUMN()+6,4)&amp;":"&amp;ADDRESS(73,COLUMN()+6,4)),MATCH($B20,INDIRECT($B$1&amp;"!$A$8:$A$73"),0)),CONFIG!$A$15:$B$28,2,FALSE),"")</f>
        <v/>
      </c>
      <c r="AA20" s="157">
        <f>IFERROR(VLOOKUP(INDEX(INDIRECT($B$1&amp;"!"&amp;ADDRESS(8,COLUMN()+6,4)&amp;":"&amp;ADDRESS(73,COLUMN()+6,4)),MATCH($B20,INDIRECT($B$1&amp;"!$A$8:$A$73"),0)),CONFIG!$A$15:$B$28,2,FALSE),"")</f>
        <v/>
      </c>
      <c r="AB20" s="157">
        <f>IFERROR(VLOOKUP(INDEX(INDIRECT($B$1&amp;"!"&amp;ADDRESS(8,COLUMN()+6,4)&amp;":"&amp;ADDRESS(73,COLUMN()+6,4)),MATCH($B20,INDIRECT($B$1&amp;"!$A$8:$A$73"),0)),CONFIG!$A$15:$B$28,2,FALSE),"")</f>
        <v/>
      </c>
      <c r="AC20" s="157">
        <f>IFERROR(VLOOKUP(INDEX(INDIRECT($B$1&amp;"!"&amp;ADDRESS(8,COLUMN()+6,4)&amp;":"&amp;ADDRESS(73,COLUMN()+6,4)),MATCH($B20,INDIRECT($B$1&amp;"!$A$8:$A$73"),0)),CONFIG!$A$15:$B$28,2,FALSE),"")</f>
        <v/>
      </c>
      <c r="AD20" s="157">
        <f>IFERROR(VLOOKUP(INDEX(INDIRECT($B$1&amp;"!"&amp;ADDRESS(8,COLUMN()+6,4)&amp;":"&amp;ADDRESS(73,COLUMN()+6,4)),MATCH($B20,INDIRECT($B$1&amp;"!$A$8:$A$73"),0)),CONFIG!$A$15:$B$28,2,FALSE),"")</f>
        <v/>
      </c>
      <c r="AE20" s="157">
        <f>IFERROR(VLOOKUP(INDEX(INDIRECT($B$1&amp;"!"&amp;ADDRESS(8,COLUMN()+6,4)&amp;":"&amp;ADDRESS(73,COLUMN()+6,4)),MATCH($B20,INDIRECT($B$1&amp;"!$A$8:$A$73"),0)),CONFIG!$A$15:$B$28,2,FALSE),"")</f>
        <v/>
      </c>
      <c r="AF20" s="157">
        <f>IFERROR(VLOOKUP(INDEX(INDIRECT($B$1&amp;"!"&amp;ADDRESS(8,COLUMN()+6,4)&amp;":"&amp;ADDRESS(73,COLUMN()+6,4)),MATCH($B20,INDIRECT($B$1&amp;"!$A$8:$A$73"),0)),CONFIG!$A$15:$B$28,2,FALSE),"")</f>
        <v/>
      </c>
      <c r="AG20" s="157">
        <f>IFERROR(VLOOKUP(INDEX(INDIRECT($B$1&amp;"!"&amp;ADDRESS(8,COLUMN()+6,4)&amp;":"&amp;ADDRESS(73,COLUMN()+6,4)),MATCH($B20,INDIRECT($B$1&amp;"!$A$8:$A$73"),0)),CONFIG!$A$15:$B$28,2,FALSE),"")</f>
        <v/>
      </c>
      <c r="AH20" s="157">
        <f>IFERROR(VLOOKUP(INDEX(INDIRECT($B$1&amp;"!"&amp;ADDRESS(8,COLUMN()+6,4)&amp;":"&amp;ADDRESS(73,COLUMN()+6,4)),MATCH($B20,INDIRECT($B$1&amp;"!$A$8:$A$73"),0)),CONFIG!$A$15:$B$28,2,FALSE),"")</f>
        <v/>
      </c>
      <c r="AI20" s="39" t="n"/>
    </row>
    <row r="21">
      <c r="A21" s="155" t="inlineStr">
        <is>
          <t>Isabella Mazzaro</t>
        </is>
      </c>
      <c r="B21" s="156" t="inlineStr">
        <is>
          <t>Isabella</t>
        </is>
      </c>
      <c r="C21" s="157">
        <f>IFERROR(VLOOKUP(INDEX(INDIRECT($B$1&amp;"!"&amp;ADDRESS(8,COLUMN()+6,4)&amp;":"&amp;ADDRESS(73,COLUMN()+6,4)),MATCH($B21,INDIRECT($B$1&amp;"!$A$8:$A$73"),0)),CONFIG!$A$15:$B$28,2,FALSE),"")</f>
        <v/>
      </c>
      <c r="D21" s="157">
        <f>IFERROR(VLOOKUP(INDEX(INDIRECT($B$1&amp;"!"&amp;ADDRESS(8,COLUMN()+6,4)&amp;":"&amp;ADDRESS(73,COLUMN()+6,4)),MATCH($B21,INDIRECT($B$1&amp;"!$A$8:$A$73"),0)),CONFIG!$A$15:$B$28,2,FALSE),"")</f>
        <v/>
      </c>
      <c r="E21" s="157">
        <f>IFERROR(VLOOKUP(INDEX(INDIRECT($B$1&amp;"!"&amp;ADDRESS(8,COLUMN()+6,4)&amp;":"&amp;ADDRESS(73,COLUMN()+6,4)),MATCH($B21,INDIRECT($B$1&amp;"!$A$8:$A$73"),0)),CONFIG!$A$15:$B$28,2,FALSE),"")</f>
        <v/>
      </c>
      <c r="F21" s="157">
        <f>IFERROR(VLOOKUP(INDEX(INDIRECT($B$1&amp;"!"&amp;ADDRESS(8,COLUMN()+6,4)&amp;":"&amp;ADDRESS(73,COLUMN()+6,4)),MATCH($B21,INDIRECT($B$1&amp;"!$A$8:$A$73"),0)),CONFIG!$A$15:$B$28,2,FALSE),"")</f>
        <v/>
      </c>
      <c r="G21" s="157">
        <f>IFERROR(VLOOKUP(INDEX(INDIRECT($B$1&amp;"!"&amp;ADDRESS(8,COLUMN()+6,4)&amp;":"&amp;ADDRESS(73,COLUMN()+6,4)),MATCH($B21,INDIRECT($B$1&amp;"!$A$8:$A$73"),0)),CONFIG!$A$15:$B$28,2,FALSE),"")</f>
        <v/>
      </c>
      <c r="H21" s="157">
        <f>IFERROR(VLOOKUP(INDEX(INDIRECT($B$1&amp;"!"&amp;ADDRESS(8,COLUMN()+6,4)&amp;":"&amp;ADDRESS(73,COLUMN()+6,4)),MATCH($B21,INDIRECT($B$1&amp;"!$A$8:$A$73"),0)),CONFIG!$A$15:$B$28,2,FALSE),"")</f>
        <v/>
      </c>
      <c r="I21" s="157">
        <f>IFERROR(VLOOKUP(INDEX(INDIRECT($B$1&amp;"!"&amp;ADDRESS(8,COLUMN()+6,4)&amp;":"&amp;ADDRESS(73,COLUMN()+6,4)),MATCH($B21,INDIRECT($B$1&amp;"!$A$8:$A$73"),0)),CONFIG!$A$15:$B$28,2,FALSE),"")</f>
        <v/>
      </c>
      <c r="J21" s="157">
        <f>IFERROR(VLOOKUP(INDEX(INDIRECT($B$1&amp;"!"&amp;ADDRESS(8,COLUMN()+6,4)&amp;":"&amp;ADDRESS(73,COLUMN()+6,4)),MATCH($B21,INDIRECT($B$1&amp;"!$A$8:$A$73"),0)),CONFIG!$A$15:$B$28,2,FALSE),"")</f>
        <v/>
      </c>
      <c r="K21" s="157">
        <f>IFERROR(VLOOKUP(INDEX(INDIRECT($B$1&amp;"!"&amp;ADDRESS(8,COLUMN()+6,4)&amp;":"&amp;ADDRESS(73,COLUMN()+6,4)),MATCH($B21,INDIRECT($B$1&amp;"!$A$8:$A$73"),0)),CONFIG!$A$15:$B$28,2,FALSE),"")</f>
        <v/>
      </c>
      <c r="L21" s="157">
        <f>IFERROR(VLOOKUP(INDEX(INDIRECT($B$1&amp;"!"&amp;ADDRESS(8,COLUMN()+6,4)&amp;":"&amp;ADDRESS(73,COLUMN()+6,4)),MATCH($B21,INDIRECT($B$1&amp;"!$A$8:$A$73"),0)),CONFIG!$A$15:$B$28,2,FALSE),"")</f>
        <v/>
      </c>
      <c r="M21" s="157">
        <f>IFERROR(VLOOKUP(INDEX(INDIRECT($B$1&amp;"!"&amp;ADDRESS(8,COLUMN()+6,4)&amp;":"&amp;ADDRESS(73,COLUMN()+6,4)),MATCH($B21,INDIRECT($B$1&amp;"!$A$8:$A$73"),0)),CONFIG!$A$15:$B$28,2,FALSE),"")</f>
        <v/>
      </c>
      <c r="N21" s="157">
        <f>IFERROR(VLOOKUP(INDEX(INDIRECT($B$1&amp;"!"&amp;ADDRESS(8,COLUMN()+6,4)&amp;":"&amp;ADDRESS(73,COLUMN()+6,4)),MATCH($B21,INDIRECT($B$1&amp;"!$A$8:$A$73"),0)),CONFIG!$A$15:$B$28,2,FALSE),"")</f>
        <v/>
      </c>
      <c r="O21" s="157">
        <f>IFERROR(VLOOKUP(INDEX(INDIRECT($B$1&amp;"!"&amp;ADDRESS(8,COLUMN()+6,4)&amp;":"&amp;ADDRESS(73,COLUMN()+6,4)),MATCH($B21,INDIRECT($B$1&amp;"!$A$8:$A$73"),0)),CONFIG!$A$15:$B$28,2,FALSE),"")</f>
        <v/>
      </c>
      <c r="P21" s="157">
        <f>IFERROR(VLOOKUP(INDEX(INDIRECT($B$1&amp;"!"&amp;ADDRESS(8,COLUMN()+6,4)&amp;":"&amp;ADDRESS(73,COLUMN()+6,4)),MATCH($B21,INDIRECT($B$1&amp;"!$A$8:$A$73"),0)),CONFIG!$A$15:$B$28,2,FALSE),"")</f>
        <v/>
      </c>
      <c r="Q21" s="157">
        <f>IFERROR(VLOOKUP(INDEX(INDIRECT($B$1&amp;"!"&amp;ADDRESS(8,COLUMN()+6,4)&amp;":"&amp;ADDRESS(73,COLUMN()+6,4)),MATCH($B21,INDIRECT($B$1&amp;"!$A$8:$A$73"),0)),CONFIG!$A$15:$B$28,2,FALSE),"")</f>
        <v/>
      </c>
      <c r="R21" s="157">
        <f>IFERROR(VLOOKUP(INDEX(INDIRECT($B$1&amp;"!"&amp;ADDRESS(8,COLUMN()+6,4)&amp;":"&amp;ADDRESS(73,COLUMN()+6,4)),MATCH($B21,INDIRECT($B$1&amp;"!$A$8:$A$73"),0)),CONFIG!$A$15:$B$28,2,FALSE),"")</f>
        <v/>
      </c>
      <c r="S21" s="157">
        <f>IFERROR(VLOOKUP(INDEX(INDIRECT($B$1&amp;"!"&amp;ADDRESS(8,COLUMN()+6,4)&amp;":"&amp;ADDRESS(73,COLUMN()+6,4)),MATCH($B21,INDIRECT($B$1&amp;"!$A$8:$A$73"),0)),CONFIG!$A$15:$B$28,2,FALSE),"")</f>
        <v/>
      </c>
      <c r="T21" s="157">
        <f>IFERROR(VLOOKUP(INDEX(INDIRECT($B$1&amp;"!"&amp;ADDRESS(8,COLUMN()+6,4)&amp;":"&amp;ADDRESS(73,COLUMN()+6,4)),MATCH($B21,INDIRECT($B$1&amp;"!$A$8:$A$73"),0)),CONFIG!$A$15:$B$28,2,FALSE),"")</f>
        <v/>
      </c>
      <c r="U21" s="157">
        <f>IFERROR(VLOOKUP(INDEX(INDIRECT($B$1&amp;"!"&amp;ADDRESS(8,COLUMN()+6,4)&amp;":"&amp;ADDRESS(73,COLUMN()+6,4)),MATCH($B21,INDIRECT($B$1&amp;"!$A$8:$A$73"),0)),CONFIG!$A$15:$B$28,2,FALSE),"")</f>
        <v/>
      </c>
      <c r="V21" s="157">
        <f>IFERROR(VLOOKUP(INDEX(INDIRECT($B$1&amp;"!"&amp;ADDRESS(8,COLUMN()+6,4)&amp;":"&amp;ADDRESS(73,COLUMN()+6,4)),MATCH($B21,INDIRECT($B$1&amp;"!$A$8:$A$73"),0)),CONFIG!$A$15:$B$28,2,FALSE),"")</f>
        <v/>
      </c>
      <c r="W21" s="157">
        <f>IFERROR(VLOOKUP(INDEX(INDIRECT($B$1&amp;"!"&amp;ADDRESS(8,COLUMN()+6,4)&amp;":"&amp;ADDRESS(73,COLUMN()+6,4)),MATCH($B21,INDIRECT($B$1&amp;"!$A$8:$A$73"),0)),CONFIG!$A$15:$B$28,2,FALSE),"")</f>
        <v/>
      </c>
      <c r="X21" s="157">
        <f>IFERROR(VLOOKUP(INDEX(INDIRECT($B$1&amp;"!"&amp;ADDRESS(8,COLUMN()+6,4)&amp;":"&amp;ADDRESS(73,COLUMN()+6,4)),MATCH($B21,INDIRECT($B$1&amp;"!$A$8:$A$73"),0)),CONFIG!$A$15:$B$28,2,FALSE),"")</f>
        <v/>
      </c>
      <c r="Y21" s="157">
        <f>IFERROR(VLOOKUP(INDEX(INDIRECT($B$1&amp;"!"&amp;ADDRESS(8,COLUMN()+6,4)&amp;":"&amp;ADDRESS(73,COLUMN()+6,4)),MATCH($B21,INDIRECT($B$1&amp;"!$A$8:$A$73"),0)),CONFIG!$A$15:$B$28,2,FALSE),"")</f>
        <v/>
      </c>
      <c r="Z21" s="157">
        <f>IFERROR(VLOOKUP(INDEX(INDIRECT($B$1&amp;"!"&amp;ADDRESS(8,COLUMN()+6,4)&amp;":"&amp;ADDRESS(73,COLUMN()+6,4)),MATCH($B21,INDIRECT($B$1&amp;"!$A$8:$A$73"),0)),CONFIG!$A$15:$B$28,2,FALSE),"")</f>
        <v/>
      </c>
      <c r="AA21" s="157">
        <f>IFERROR(VLOOKUP(INDEX(INDIRECT($B$1&amp;"!"&amp;ADDRESS(8,COLUMN()+6,4)&amp;":"&amp;ADDRESS(73,COLUMN()+6,4)),MATCH($B21,INDIRECT($B$1&amp;"!$A$8:$A$73"),0)),CONFIG!$A$15:$B$28,2,FALSE),"")</f>
        <v/>
      </c>
      <c r="AB21" s="157">
        <f>IFERROR(VLOOKUP(INDEX(INDIRECT($B$1&amp;"!"&amp;ADDRESS(8,COLUMN()+6,4)&amp;":"&amp;ADDRESS(73,COLUMN()+6,4)),MATCH($B21,INDIRECT($B$1&amp;"!$A$8:$A$73"),0)),CONFIG!$A$15:$B$28,2,FALSE),"")</f>
        <v/>
      </c>
      <c r="AC21" s="157">
        <f>IFERROR(VLOOKUP(INDEX(INDIRECT($B$1&amp;"!"&amp;ADDRESS(8,COLUMN()+6,4)&amp;":"&amp;ADDRESS(73,COLUMN()+6,4)),MATCH($B21,INDIRECT($B$1&amp;"!$A$8:$A$73"),0)),CONFIG!$A$15:$B$28,2,FALSE),"")</f>
        <v/>
      </c>
      <c r="AD21" s="157">
        <f>IFERROR(VLOOKUP(INDEX(INDIRECT($B$1&amp;"!"&amp;ADDRESS(8,COLUMN()+6,4)&amp;":"&amp;ADDRESS(73,COLUMN()+6,4)),MATCH($B21,INDIRECT($B$1&amp;"!$A$8:$A$73"),0)),CONFIG!$A$15:$B$28,2,FALSE),"")</f>
        <v/>
      </c>
      <c r="AE21" s="157">
        <f>IFERROR(VLOOKUP(INDEX(INDIRECT($B$1&amp;"!"&amp;ADDRESS(8,COLUMN()+6,4)&amp;":"&amp;ADDRESS(73,COLUMN()+6,4)),MATCH($B21,INDIRECT($B$1&amp;"!$A$8:$A$73"),0)),CONFIG!$A$15:$B$28,2,FALSE),"")</f>
        <v/>
      </c>
      <c r="AF21" s="157">
        <f>IFERROR(VLOOKUP(INDEX(INDIRECT($B$1&amp;"!"&amp;ADDRESS(8,COLUMN()+6,4)&amp;":"&amp;ADDRESS(73,COLUMN()+6,4)),MATCH($B21,INDIRECT($B$1&amp;"!$A$8:$A$73"),0)),CONFIG!$A$15:$B$28,2,FALSE),"")</f>
        <v/>
      </c>
      <c r="AG21" s="157">
        <f>IFERROR(VLOOKUP(INDEX(INDIRECT($B$1&amp;"!"&amp;ADDRESS(8,COLUMN()+6,4)&amp;":"&amp;ADDRESS(73,COLUMN()+6,4)),MATCH($B21,INDIRECT($B$1&amp;"!$A$8:$A$73"),0)),CONFIG!$A$15:$B$28,2,FALSE),"")</f>
        <v/>
      </c>
      <c r="AH21" s="157">
        <f>IFERROR(VLOOKUP(INDEX(INDIRECT($B$1&amp;"!"&amp;ADDRESS(8,COLUMN()+6,4)&amp;":"&amp;ADDRESS(73,COLUMN()+6,4)),MATCH($B21,INDIRECT($B$1&amp;"!$A$8:$A$73"),0)),CONFIG!$A$15:$B$28,2,FALSE),"")</f>
        <v/>
      </c>
      <c r="AI21" s="39" t="n"/>
    </row>
    <row r="22">
      <c r="A22" s="155" t="inlineStr">
        <is>
          <t>Julliana Brito</t>
        </is>
      </c>
      <c r="B22" s="156" t="inlineStr">
        <is>
          <t>JuBrito</t>
        </is>
      </c>
      <c r="C22" s="157">
        <f>IFERROR(VLOOKUP(INDEX(INDIRECT($B$1&amp;"!"&amp;ADDRESS(8,COLUMN()+6,4)&amp;":"&amp;ADDRESS(73,COLUMN()+6,4)),MATCH($B22,INDIRECT($B$1&amp;"!$A$8:$A$73"),0)),CONFIG!$A$15:$B$28,2,FALSE),"")</f>
        <v/>
      </c>
      <c r="D22" s="157">
        <f>IFERROR(VLOOKUP(INDEX(INDIRECT($B$1&amp;"!"&amp;ADDRESS(8,COLUMN()+6,4)&amp;":"&amp;ADDRESS(73,COLUMN()+6,4)),MATCH($B22,INDIRECT($B$1&amp;"!$A$8:$A$73"),0)),CONFIG!$A$15:$B$28,2,FALSE),"")</f>
        <v/>
      </c>
      <c r="E22" s="157">
        <f>IFERROR(VLOOKUP(INDEX(INDIRECT($B$1&amp;"!"&amp;ADDRESS(8,COLUMN()+6,4)&amp;":"&amp;ADDRESS(73,COLUMN()+6,4)),MATCH($B22,INDIRECT($B$1&amp;"!$A$8:$A$73"),0)),CONFIG!$A$15:$B$28,2,FALSE),"")</f>
        <v/>
      </c>
      <c r="F22" s="157">
        <f>IFERROR(VLOOKUP(INDEX(INDIRECT($B$1&amp;"!"&amp;ADDRESS(8,COLUMN()+6,4)&amp;":"&amp;ADDRESS(73,COLUMN()+6,4)),MATCH($B22,INDIRECT($B$1&amp;"!$A$8:$A$73"),0)),CONFIG!$A$15:$B$28,2,FALSE),"")</f>
        <v/>
      </c>
      <c r="G22" s="157">
        <f>IFERROR(VLOOKUP(INDEX(INDIRECT($B$1&amp;"!"&amp;ADDRESS(8,COLUMN()+6,4)&amp;":"&amp;ADDRESS(73,COLUMN()+6,4)),MATCH($B22,INDIRECT($B$1&amp;"!$A$8:$A$73"),0)),CONFIG!$A$15:$B$28,2,FALSE),"")</f>
        <v/>
      </c>
      <c r="H22" s="157">
        <f>IFERROR(VLOOKUP(INDEX(INDIRECT($B$1&amp;"!"&amp;ADDRESS(8,COLUMN()+6,4)&amp;":"&amp;ADDRESS(73,COLUMN()+6,4)),MATCH($B22,INDIRECT($B$1&amp;"!$A$8:$A$73"),0)),CONFIG!$A$15:$B$28,2,FALSE),"")</f>
        <v/>
      </c>
      <c r="I22" s="157">
        <f>IFERROR(VLOOKUP(INDEX(INDIRECT($B$1&amp;"!"&amp;ADDRESS(8,COLUMN()+6,4)&amp;":"&amp;ADDRESS(73,COLUMN()+6,4)),MATCH($B22,INDIRECT($B$1&amp;"!$A$8:$A$73"),0)),CONFIG!$A$15:$B$28,2,FALSE),"")</f>
        <v/>
      </c>
      <c r="J22" s="157">
        <f>IFERROR(VLOOKUP(INDEX(INDIRECT($B$1&amp;"!"&amp;ADDRESS(8,COLUMN()+6,4)&amp;":"&amp;ADDRESS(73,COLUMN()+6,4)),MATCH($B22,INDIRECT($B$1&amp;"!$A$8:$A$73"),0)),CONFIG!$A$15:$B$28,2,FALSE),"")</f>
        <v/>
      </c>
      <c r="K22" s="157">
        <f>IFERROR(VLOOKUP(INDEX(INDIRECT($B$1&amp;"!"&amp;ADDRESS(8,COLUMN()+6,4)&amp;":"&amp;ADDRESS(73,COLUMN()+6,4)),MATCH($B22,INDIRECT($B$1&amp;"!$A$8:$A$73"),0)),CONFIG!$A$15:$B$28,2,FALSE),"")</f>
        <v/>
      </c>
      <c r="L22" s="157">
        <f>IFERROR(VLOOKUP(INDEX(INDIRECT($B$1&amp;"!"&amp;ADDRESS(8,COLUMN()+6,4)&amp;":"&amp;ADDRESS(73,COLUMN()+6,4)),MATCH($B22,INDIRECT($B$1&amp;"!$A$8:$A$73"),0)),CONFIG!$A$15:$B$28,2,FALSE),"")</f>
        <v/>
      </c>
      <c r="M22" s="157">
        <f>IFERROR(VLOOKUP(INDEX(INDIRECT($B$1&amp;"!"&amp;ADDRESS(8,COLUMN()+6,4)&amp;":"&amp;ADDRESS(73,COLUMN()+6,4)),MATCH($B22,INDIRECT($B$1&amp;"!$A$8:$A$73"),0)),CONFIG!$A$15:$B$28,2,FALSE),"")</f>
        <v/>
      </c>
      <c r="N22" s="157">
        <f>IFERROR(VLOOKUP(INDEX(INDIRECT($B$1&amp;"!"&amp;ADDRESS(8,COLUMN()+6,4)&amp;":"&amp;ADDRESS(73,COLUMN()+6,4)),MATCH($B22,INDIRECT($B$1&amp;"!$A$8:$A$73"),0)),CONFIG!$A$15:$B$28,2,FALSE),"")</f>
        <v/>
      </c>
      <c r="O22" s="157">
        <f>IFERROR(VLOOKUP(INDEX(INDIRECT($B$1&amp;"!"&amp;ADDRESS(8,COLUMN()+6,4)&amp;":"&amp;ADDRESS(73,COLUMN()+6,4)),MATCH($B22,INDIRECT($B$1&amp;"!$A$8:$A$73"),0)),CONFIG!$A$15:$B$28,2,FALSE),"")</f>
        <v/>
      </c>
      <c r="P22" s="157">
        <f>IFERROR(VLOOKUP(INDEX(INDIRECT($B$1&amp;"!"&amp;ADDRESS(8,COLUMN()+6,4)&amp;":"&amp;ADDRESS(73,COLUMN()+6,4)),MATCH($B22,INDIRECT($B$1&amp;"!$A$8:$A$73"),0)),CONFIG!$A$15:$B$28,2,FALSE),"")</f>
        <v/>
      </c>
      <c r="Q22" s="157">
        <f>IFERROR(VLOOKUP(INDEX(INDIRECT($B$1&amp;"!"&amp;ADDRESS(8,COLUMN()+6,4)&amp;":"&amp;ADDRESS(73,COLUMN()+6,4)),MATCH($B22,INDIRECT($B$1&amp;"!$A$8:$A$73"),0)),CONFIG!$A$15:$B$28,2,FALSE),"")</f>
        <v/>
      </c>
      <c r="R22" s="157">
        <f>IFERROR(VLOOKUP(INDEX(INDIRECT($B$1&amp;"!"&amp;ADDRESS(8,COLUMN()+6,4)&amp;":"&amp;ADDRESS(73,COLUMN()+6,4)),MATCH($B22,INDIRECT($B$1&amp;"!$A$8:$A$73"),0)),CONFIG!$A$15:$B$28,2,FALSE),"")</f>
        <v/>
      </c>
      <c r="S22" s="157">
        <f>IFERROR(VLOOKUP(INDEX(INDIRECT($B$1&amp;"!"&amp;ADDRESS(8,COLUMN()+6,4)&amp;":"&amp;ADDRESS(73,COLUMN()+6,4)),MATCH($B22,INDIRECT($B$1&amp;"!$A$8:$A$73"),0)),CONFIG!$A$15:$B$28,2,FALSE),"")</f>
        <v/>
      </c>
      <c r="T22" s="157">
        <f>IFERROR(VLOOKUP(INDEX(INDIRECT($B$1&amp;"!"&amp;ADDRESS(8,COLUMN()+6,4)&amp;":"&amp;ADDRESS(73,COLUMN()+6,4)),MATCH($B22,INDIRECT($B$1&amp;"!$A$8:$A$73"),0)),CONFIG!$A$15:$B$28,2,FALSE),"")</f>
        <v/>
      </c>
      <c r="U22" s="157">
        <f>IFERROR(VLOOKUP(INDEX(INDIRECT($B$1&amp;"!"&amp;ADDRESS(8,COLUMN()+6,4)&amp;":"&amp;ADDRESS(73,COLUMN()+6,4)),MATCH($B22,INDIRECT($B$1&amp;"!$A$8:$A$73"),0)),CONFIG!$A$15:$B$28,2,FALSE),"")</f>
        <v/>
      </c>
      <c r="V22" s="157">
        <f>IFERROR(VLOOKUP(INDEX(INDIRECT($B$1&amp;"!"&amp;ADDRESS(8,COLUMN()+6,4)&amp;":"&amp;ADDRESS(73,COLUMN()+6,4)),MATCH($B22,INDIRECT($B$1&amp;"!$A$8:$A$73"),0)),CONFIG!$A$15:$B$28,2,FALSE),"")</f>
        <v/>
      </c>
      <c r="W22" s="157">
        <f>IFERROR(VLOOKUP(INDEX(INDIRECT($B$1&amp;"!"&amp;ADDRESS(8,COLUMN()+6,4)&amp;":"&amp;ADDRESS(73,COLUMN()+6,4)),MATCH($B22,INDIRECT($B$1&amp;"!$A$8:$A$73"),0)),CONFIG!$A$15:$B$28,2,FALSE),"")</f>
        <v/>
      </c>
      <c r="X22" s="157">
        <f>IFERROR(VLOOKUP(INDEX(INDIRECT($B$1&amp;"!"&amp;ADDRESS(8,COLUMN()+6,4)&amp;":"&amp;ADDRESS(73,COLUMN()+6,4)),MATCH($B22,INDIRECT($B$1&amp;"!$A$8:$A$73"),0)),CONFIG!$A$15:$B$28,2,FALSE),"")</f>
        <v/>
      </c>
      <c r="Y22" s="157">
        <f>IFERROR(VLOOKUP(INDEX(INDIRECT($B$1&amp;"!"&amp;ADDRESS(8,COLUMN()+6,4)&amp;":"&amp;ADDRESS(73,COLUMN()+6,4)),MATCH($B22,INDIRECT($B$1&amp;"!$A$8:$A$73"),0)),CONFIG!$A$15:$B$28,2,FALSE),"")</f>
        <v/>
      </c>
      <c r="Z22" s="157">
        <f>IFERROR(VLOOKUP(INDEX(INDIRECT($B$1&amp;"!"&amp;ADDRESS(8,COLUMN()+6,4)&amp;":"&amp;ADDRESS(73,COLUMN()+6,4)),MATCH($B22,INDIRECT($B$1&amp;"!$A$8:$A$73"),0)),CONFIG!$A$15:$B$28,2,FALSE),"")</f>
        <v/>
      </c>
      <c r="AA22" s="157">
        <f>IFERROR(VLOOKUP(INDEX(INDIRECT($B$1&amp;"!"&amp;ADDRESS(8,COLUMN()+6,4)&amp;":"&amp;ADDRESS(73,COLUMN()+6,4)),MATCH($B22,INDIRECT($B$1&amp;"!$A$8:$A$73"),0)),CONFIG!$A$15:$B$28,2,FALSE),"")</f>
        <v/>
      </c>
      <c r="AB22" s="157">
        <f>IFERROR(VLOOKUP(INDEX(INDIRECT($B$1&amp;"!"&amp;ADDRESS(8,COLUMN()+6,4)&amp;":"&amp;ADDRESS(73,COLUMN()+6,4)),MATCH($B22,INDIRECT($B$1&amp;"!$A$8:$A$73"),0)),CONFIG!$A$15:$B$28,2,FALSE),"")</f>
        <v/>
      </c>
      <c r="AC22" s="157">
        <f>IFERROR(VLOOKUP(INDEX(INDIRECT($B$1&amp;"!"&amp;ADDRESS(8,COLUMN()+6,4)&amp;":"&amp;ADDRESS(73,COLUMN()+6,4)),MATCH($B22,INDIRECT($B$1&amp;"!$A$8:$A$73"),0)),CONFIG!$A$15:$B$28,2,FALSE),"")</f>
        <v/>
      </c>
      <c r="AD22" s="157">
        <f>IFERROR(VLOOKUP(INDEX(INDIRECT($B$1&amp;"!"&amp;ADDRESS(8,COLUMN()+6,4)&amp;":"&amp;ADDRESS(73,COLUMN()+6,4)),MATCH($B22,INDIRECT($B$1&amp;"!$A$8:$A$73"),0)),CONFIG!$A$15:$B$28,2,FALSE),"")</f>
        <v/>
      </c>
      <c r="AE22" s="157">
        <f>IFERROR(VLOOKUP(INDEX(INDIRECT($B$1&amp;"!"&amp;ADDRESS(8,COLUMN()+6,4)&amp;":"&amp;ADDRESS(73,COLUMN()+6,4)),MATCH($B22,INDIRECT($B$1&amp;"!$A$8:$A$73"),0)),CONFIG!$A$15:$B$28,2,FALSE),"")</f>
        <v/>
      </c>
      <c r="AF22" s="157">
        <f>IFERROR(VLOOKUP(INDEX(INDIRECT($B$1&amp;"!"&amp;ADDRESS(8,COLUMN()+6,4)&amp;":"&amp;ADDRESS(73,COLUMN()+6,4)),MATCH($B22,INDIRECT($B$1&amp;"!$A$8:$A$73"),0)),CONFIG!$A$15:$B$28,2,FALSE),"")</f>
        <v/>
      </c>
      <c r="AG22" s="157">
        <f>IFERROR(VLOOKUP(INDEX(INDIRECT($B$1&amp;"!"&amp;ADDRESS(8,COLUMN()+6,4)&amp;":"&amp;ADDRESS(73,COLUMN()+6,4)),MATCH($B22,INDIRECT($B$1&amp;"!$A$8:$A$73"),0)),CONFIG!$A$15:$B$28,2,FALSE),"")</f>
        <v/>
      </c>
      <c r="AH22" s="157">
        <f>IFERROR(VLOOKUP(INDEX(INDIRECT($B$1&amp;"!"&amp;ADDRESS(8,COLUMN()+6,4)&amp;":"&amp;ADDRESS(73,COLUMN()+6,4)),MATCH($B22,INDIRECT($B$1&amp;"!$A$8:$A$73"),0)),CONFIG!$A$15:$B$28,2,FALSE),"")</f>
        <v/>
      </c>
      <c r="AI22" s="39" t="n"/>
    </row>
    <row r="23">
      <c r="A23" s="155" t="inlineStr">
        <is>
          <t>Fernanda Kariny</t>
        </is>
      </c>
      <c r="B23" s="156" t="inlineStr">
        <is>
          <t>Kariny</t>
        </is>
      </c>
      <c r="C23" s="157">
        <f>IFERROR(VLOOKUP(INDEX(INDIRECT($B$1&amp;"!"&amp;ADDRESS(8,COLUMN()+6,4)&amp;":"&amp;ADDRESS(73,COLUMN()+6,4)),MATCH($B23,INDIRECT($B$1&amp;"!$A$8:$A$73"),0)),CONFIG!$A$15:$B$28,2,FALSE),"")</f>
        <v/>
      </c>
      <c r="D23" s="157">
        <f>IFERROR(VLOOKUP(INDEX(INDIRECT($B$1&amp;"!"&amp;ADDRESS(8,COLUMN()+6,4)&amp;":"&amp;ADDRESS(73,COLUMN()+6,4)),MATCH($B23,INDIRECT($B$1&amp;"!$A$8:$A$73"),0)),CONFIG!$A$15:$B$28,2,FALSE),"")</f>
        <v/>
      </c>
      <c r="E23" s="157">
        <f>IFERROR(VLOOKUP(INDEX(INDIRECT($B$1&amp;"!"&amp;ADDRESS(8,COLUMN()+6,4)&amp;":"&amp;ADDRESS(73,COLUMN()+6,4)),MATCH($B23,INDIRECT($B$1&amp;"!$A$8:$A$73"),0)),CONFIG!$A$15:$B$28,2,FALSE),"")</f>
        <v/>
      </c>
      <c r="F23" s="157">
        <f>IFERROR(VLOOKUP(INDEX(INDIRECT($B$1&amp;"!"&amp;ADDRESS(8,COLUMN()+6,4)&amp;":"&amp;ADDRESS(73,COLUMN()+6,4)),MATCH($B23,INDIRECT($B$1&amp;"!$A$8:$A$73"),0)),CONFIG!$A$15:$B$28,2,FALSE),"")</f>
        <v/>
      </c>
      <c r="G23" s="157">
        <f>IFERROR(VLOOKUP(INDEX(INDIRECT($B$1&amp;"!"&amp;ADDRESS(8,COLUMN()+6,4)&amp;":"&amp;ADDRESS(73,COLUMN()+6,4)),MATCH($B23,INDIRECT($B$1&amp;"!$A$8:$A$73"),0)),CONFIG!$A$15:$B$28,2,FALSE),"")</f>
        <v/>
      </c>
      <c r="H23" s="157">
        <f>IFERROR(VLOOKUP(INDEX(INDIRECT($B$1&amp;"!"&amp;ADDRESS(8,COLUMN()+6,4)&amp;":"&amp;ADDRESS(73,COLUMN()+6,4)),MATCH($B23,INDIRECT($B$1&amp;"!$A$8:$A$73"),0)),CONFIG!$A$15:$B$28,2,FALSE),"")</f>
        <v/>
      </c>
      <c r="I23" s="157">
        <f>IFERROR(VLOOKUP(INDEX(INDIRECT($B$1&amp;"!"&amp;ADDRESS(8,COLUMN()+6,4)&amp;":"&amp;ADDRESS(73,COLUMN()+6,4)),MATCH($B23,INDIRECT($B$1&amp;"!$A$8:$A$73"),0)),CONFIG!$A$15:$B$28,2,FALSE),"")</f>
        <v/>
      </c>
      <c r="J23" s="157">
        <f>IFERROR(VLOOKUP(INDEX(INDIRECT($B$1&amp;"!"&amp;ADDRESS(8,COLUMN()+6,4)&amp;":"&amp;ADDRESS(73,COLUMN()+6,4)),MATCH($B23,INDIRECT($B$1&amp;"!$A$8:$A$73"),0)),CONFIG!$A$15:$B$28,2,FALSE),"")</f>
        <v/>
      </c>
      <c r="K23" s="157">
        <f>IFERROR(VLOOKUP(INDEX(INDIRECT($B$1&amp;"!"&amp;ADDRESS(8,COLUMN()+6,4)&amp;":"&amp;ADDRESS(73,COLUMN()+6,4)),MATCH($B23,INDIRECT($B$1&amp;"!$A$8:$A$73"),0)),CONFIG!$A$15:$B$28,2,FALSE),"")</f>
        <v/>
      </c>
      <c r="L23" s="157">
        <f>IFERROR(VLOOKUP(INDEX(INDIRECT($B$1&amp;"!"&amp;ADDRESS(8,COLUMN()+6,4)&amp;":"&amp;ADDRESS(73,COLUMN()+6,4)),MATCH($B23,INDIRECT($B$1&amp;"!$A$8:$A$73"),0)),CONFIG!$A$15:$B$28,2,FALSE),"")</f>
        <v/>
      </c>
      <c r="M23" s="157">
        <f>IFERROR(VLOOKUP(INDEX(INDIRECT($B$1&amp;"!"&amp;ADDRESS(8,COLUMN()+6,4)&amp;":"&amp;ADDRESS(73,COLUMN()+6,4)),MATCH($B23,INDIRECT($B$1&amp;"!$A$8:$A$73"),0)),CONFIG!$A$15:$B$28,2,FALSE),"")</f>
        <v/>
      </c>
      <c r="N23" s="157">
        <f>IFERROR(VLOOKUP(INDEX(INDIRECT($B$1&amp;"!"&amp;ADDRESS(8,COLUMN()+6,4)&amp;":"&amp;ADDRESS(73,COLUMN()+6,4)),MATCH($B23,INDIRECT($B$1&amp;"!$A$8:$A$73"),0)),CONFIG!$A$15:$B$28,2,FALSE),"")</f>
        <v/>
      </c>
      <c r="O23" s="157">
        <f>IFERROR(VLOOKUP(INDEX(INDIRECT($B$1&amp;"!"&amp;ADDRESS(8,COLUMN()+6,4)&amp;":"&amp;ADDRESS(73,COLUMN()+6,4)),MATCH($B23,INDIRECT($B$1&amp;"!$A$8:$A$73"),0)),CONFIG!$A$15:$B$28,2,FALSE),"")</f>
        <v/>
      </c>
      <c r="P23" s="157">
        <f>IFERROR(VLOOKUP(INDEX(INDIRECT($B$1&amp;"!"&amp;ADDRESS(8,COLUMN()+6,4)&amp;":"&amp;ADDRESS(73,COLUMN()+6,4)),MATCH($B23,INDIRECT($B$1&amp;"!$A$8:$A$73"),0)),CONFIG!$A$15:$B$28,2,FALSE),"")</f>
        <v/>
      </c>
      <c r="Q23" s="157">
        <f>IFERROR(VLOOKUP(INDEX(INDIRECT($B$1&amp;"!"&amp;ADDRESS(8,COLUMN()+6,4)&amp;":"&amp;ADDRESS(73,COLUMN()+6,4)),MATCH($B23,INDIRECT($B$1&amp;"!$A$8:$A$73"),0)),CONFIG!$A$15:$B$28,2,FALSE),"")</f>
        <v/>
      </c>
      <c r="R23" s="157">
        <f>IFERROR(VLOOKUP(INDEX(INDIRECT($B$1&amp;"!"&amp;ADDRESS(8,COLUMN()+6,4)&amp;":"&amp;ADDRESS(73,COLUMN()+6,4)),MATCH($B23,INDIRECT($B$1&amp;"!$A$8:$A$73"),0)),CONFIG!$A$15:$B$28,2,FALSE),"")</f>
        <v/>
      </c>
      <c r="S23" s="157">
        <f>IFERROR(VLOOKUP(INDEX(INDIRECT($B$1&amp;"!"&amp;ADDRESS(8,COLUMN()+6,4)&amp;":"&amp;ADDRESS(73,COLUMN()+6,4)),MATCH($B23,INDIRECT($B$1&amp;"!$A$8:$A$73"),0)),CONFIG!$A$15:$B$28,2,FALSE),"")</f>
        <v/>
      </c>
      <c r="T23" s="157">
        <f>IFERROR(VLOOKUP(INDEX(INDIRECT($B$1&amp;"!"&amp;ADDRESS(8,COLUMN()+6,4)&amp;":"&amp;ADDRESS(73,COLUMN()+6,4)),MATCH($B23,INDIRECT($B$1&amp;"!$A$8:$A$73"),0)),CONFIG!$A$15:$B$28,2,FALSE),"")</f>
        <v/>
      </c>
      <c r="U23" s="157">
        <f>IFERROR(VLOOKUP(INDEX(INDIRECT($B$1&amp;"!"&amp;ADDRESS(8,COLUMN()+6,4)&amp;":"&amp;ADDRESS(73,COLUMN()+6,4)),MATCH($B23,INDIRECT($B$1&amp;"!$A$8:$A$73"),0)),CONFIG!$A$15:$B$28,2,FALSE),"")</f>
        <v/>
      </c>
      <c r="V23" s="157">
        <f>IFERROR(VLOOKUP(INDEX(INDIRECT($B$1&amp;"!"&amp;ADDRESS(8,COLUMN()+6,4)&amp;":"&amp;ADDRESS(73,COLUMN()+6,4)),MATCH($B23,INDIRECT($B$1&amp;"!$A$8:$A$73"),0)),CONFIG!$A$15:$B$28,2,FALSE),"")</f>
        <v/>
      </c>
      <c r="W23" s="157">
        <f>IFERROR(VLOOKUP(INDEX(INDIRECT($B$1&amp;"!"&amp;ADDRESS(8,COLUMN()+6,4)&amp;":"&amp;ADDRESS(73,COLUMN()+6,4)),MATCH($B23,INDIRECT($B$1&amp;"!$A$8:$A$73"),0)),CONFIG!$A$15:$B$28,2,FALSE),"")</f>
        <v/>
      </c>
      <c r="X23" s="157">
        <f>IFERROR(VLOOKUP(INDEX(INDIRECT($B$1&amp;"!"&amp;ADDRESS(8,COLUMN()+6,4)&amp;":"&amp;ADDRESS(73,COLUMN()+6,4)),MATCH($B23,INDIRECT($B$1&amp;"!$A$8:$A$73"),0)),CONFIG!$A$15:$B$28,2,FALSE),"")</f>
        <v/>
      </c>
      <c r="Y23" s="157">
        <f>IFERROR(VLOOKUP(INDEX(INDIRECT($B$1&amp;"!"&amp;ADDRESS(8,COLUMN()+6,4)&amp;":"&amp;ADDRESS(73,COLUMN()+6,4)),MATCH($B23,INDIRECT($B$1&amp;"!$A$8:$A$73"),0)),CONFIG!$A$15:$B$28,2,FALSE),"")</f>
        <v/>
      </c>
      <c r="Z23" s="157">
        <f>IFERROR(VLOOKUP(INDEX(INDIRECT($B$1&amp;"!"&amp;ADDRESS(8,COLUMN()+6,4)&amp;":"&amp;ADDRESS(73,COLUMN()+6,4)),MATCH($B23,INDIRECT($B$1&amp;"!$A$8:$A$73"),0)),CONFIG!$A$15:$B$28,2,FALSE),"")</f>
        <v/>
      </c>
      <c r="AA23" s="157">
        <f>IFERROR(VLOOKUP(INDEX(INDIRECT($B$1&amp;"!"&amp;ADDRESS(8,COLUMN()+6,4)&amp;":"&amp;ADDRESS(73,COLUMN()+6,4)),MATCH($B23,INDIRECT($B$1&amp;"!$A$8:$A$73"),0)),CONFIG!$A$15:$B$28,2,FALSE),"")</f>
        <v/>
      </c>
      <c r="AB23" s="157">
        <f>IFERROR(VLOOKUP(INDEX(INDIRECT($B$1&amp;"!"&amp;ADDRESS(8,COLUMN()+6,4)&amp;":"&amp;ADDRESS(73,COLUMN()+6,4)),MATCH($B23,INDIRECT($B$1&amp;"!$A$8:$A$73"),0)),CONFIG!$A$15:$B$28,2,FALSE),"")</f>
        <v/>
      </c>
      <c r="AC23" s="157">
        <f>IFERROR(VLOOKUP(INDEX(INDIRECT($B$1&amp;"!"&amp;ADDRESS(8,COLUMN()+6,4)&amp;":"&amp;ADDRESS(73,COLUMN()+6,4)),MATCH($B23,INDIRECT($B$1&amp;"!$A$8:$A$73"),0)),CONFIG!$A$15:$B$28,2,FALSE),"")</f>
        <v/>
      </c>
      <c r="AD23" s="157">
        <f>IFERROR(VLOOKUP(INDEX(INDIRECT($B$1&amp;"!"&amp;ADDRESS(8,COLUMN()+6,4)&amp;":"&amp;ADDRESS(73,COLUMN()+6,4)),MATCH($B23,INDIRECT($B$1&amp;"!$A$8:$A$73"),0)),CONFIG!$A$15:$B$28,2,FALSE),"")</f>
        <v/>
      </c>
      <c r="AE23" s="157">
        <f>IFERROR(VLOOKUP(INDEX(INDIRECT($B$1&amp;"!"&amp;ADDRESS(8,COLUMN()+6,4)&amp;":"&amp;ADDRESS(73,COLUMN()+6,4)),MATCH($B23,INDIRECT($B$1&amp;"!$A$8:$A$73"),0)),CONFIG!$A$15:$B$28,2,FALSE),"")</f>
        <v/>
      </c>
      <c r="AF23" s="157">
        <f>IFERROR(VLOOKUP(INDEX(INDIRECT($B$1&amp;"!"&amp;ADDRESS(8,COLUMN()+6,4)&amp;":"&amp;ADDRESS(73,COLUMN()+6,4)),MATCH($B23,INDIRECT($B$1&amp;"!$A$8:$A$73"),0)),CONFIG!$A$15:$B$28,2,FALSE),"")</f>
        <v/>
      </c>
      <c r="AG23" s="157">
        <f>IFERROR(VLOOKUP(INDEX(INDIRECT($B$1&amp;"!"&amp;ADDRESS(8,COLUMN()+6,4)&amp;":"&amp;ADDRESS(73,COLUMN()+6,4)),MATCH($B23,INDIRECT($B$1&amp;"!$A$8:$A$73"),0)),CONFIG!$A$15:$B$28,2,FALSE),"")</f>
        <v/>
      </c>
      <c r="AH23" s="157">
        <f>IFERROR(VLOOKUP(INDEX(INDIRECT($B$1&amp;"!"&amp;ADDRESS(8,COLUMN()+6,4)&amp;":"&amp;ADDRESS(73,COLUMN()+6,4)),MATCH($B23,INDIRECT($B$1&amp;"!$A$8:$A$73"),0)),CONFIG!$A$15:$B$28,2,FALSE),"")</f>
        <v/>
      </c>
      <c r="AI23" s="39" t="n"/>
    </row>
    <row r="24">
      <c r="A24" s="155" t="inlineStr">
        <is>
          <t>Mayana Leal</t>
        </is>
      </c>
      <c r="B24" s="156" t="inlineStr">
        <is>
          <t>Mayana</t>
        </is>
      </c>
      <c r="C24" s="157">
        <f>IFERROR(VLOOKUP(INDEX(INDIRECT($B$1&amp;"!"&amp;ADDRESS(8,COLUMN()+6,4)&amp;":"&amp;ADDRESS(73,COLUMN()+6,4)),MATCH($B24,INDIRECT($B$1&amp;"!$A$8:$A$73"),0)),CONFIG!$A$15:$B$28,2,FALSE),"")</f>
        <v/>
      </c>
      <c r="D24" s="157">
        <f>IFERROR(VLOOKUP(INDEX(INDIRECT($B$1&amp;"!"&amp;ADDRESS(8,COLUMN()+6,4)&amp;":"&amp;ADDRESS(73,COLUMN()+6,4)),MATCH($B24,INDIRECT($B$1&amp;"!$A$8:$A$73"),0)),CONFIG!$A$15:$B$28,2,FALSE),"")</f>
        <v/>
      </c>
      <c r="E24" s="157">
        <f>IFERROR(VLOOKUP(INDEX(INDIRECT($B$1&amp;"!"&amp;ADDRESS(8,COLUMN()+6,4)&amp;":"&amp;ADDRESS(73,COLUMN()+6,4)),MATCH($B24,INDIRECT($B$1&amp;"!$A$8:$A$73"),0)),CONFIG!$A$15:$B$28,2,FALSE),"")</f>
        <v/>
      </c>
      <c r="F24" s="157">
        <f>IFERROR(VLOOKUP(INDEX(INDIRECT($B$1&amp;"!"&amp;ADDRESS(8,COLUMN()+6,4)&amp;":"&amp;ADDRESS(73,COLUMN()+6,4)),MATCH($B24,INDIRECT($B$1&amp;"!$A$8:$A$73"),0)),CONFIG!$A$15:$B$28,2,FALSE),"")</f>
        <v/>
      </c>
      <c r="G24" s="157">
        <f>IFERROR(VLOOKUP(INDEX(INDIRECT($B$1&amp;"!"&amp;ADDRESS(8,COLUMN()+6,4)&amp;":"&amp;ADDRESS(73,COLUMN()+6,4)),MATCH($B24,INDIRECT($B$1&amp;"!$A$8:$A$73"),0)),CONFIG!$A$15:$B$28,2,FALSE),"")</f>
        <v/>
      </c>
      <c r="H24" s="157">
        <f>IFERROR(VLOOKUP(INDEX(INDIRECT($B$1&amp;"!"&amp;ADDRESS(8,COLUMN()+6,4)&amp;":"&amp;ADDRESS(73,COLUMN()+6,4)),MATCH($B24,INDIRECT($B$1&amp;"!$A$8:$A$73"),0)),CONFIG!$A$15:$B$28,2,FALSE),"")</f>
        <v/>
      </c>
      <c r="I24" s="157">
        <f>IFERROR(VLOOKUP(INDEX(INDIRECT($B$1&amp;"!"&amp;ADDRESS(8,COLUMN()+6,4)&amp;":"&amp;ADDRESS(73,COLUMN()+6,4)),MATCH($B24,INDIRECT($B$1&amp;"!$A$8:$A$73"),0)),CONFIG!$A$15:$B$28,2,FALSE),"")</f>
        <v/>
      </c>
      <c r="J24" s="157">
        <f>IFERROR(VLOOKUP(INDEX(INDIRECT($B$1&amp;"!"&amp;ADDRESS(8,COLUMN()+6,4)&amp;":"&amp;ADDRESS(73,COLUMN()+6,4)),MATCH($B24,INDIRECT($B$1&amp;"!$A$8:$A$73"),0)),CONFIG!$A$15:$B$28,2,FALSE),"")</f>
        <v/>
      </c>
      <c r="K24" s="157">
        <f>IFERROR(VLOOKUP(INDEX(INDIRECT($B$1&amp;"!"&amp;ADDRESS(8,COLUMN()+6,4)&amp;":"&amp;ADDRESS(73,COLUMN()+6,4)),MATCH($B24,INDIRECT($B$1&amp;"!$A$8:$A$73"),0)),CONFIG!$A$15:$B$28,2,FALSE),"")</f>
        <v/>
      </c>
      <c r="L24" s="157">
        <f>IFERROR(VLOOKUP(INDEX(INDIRECT($B$1&amp;"!"&amp;ADDRESS(8,COLUMN()+6,4)&amp;":"&amp;ADDRESS(73,COLUMN()+6,4)),MATCH($B24,INDIRECT($B$1&amp;"!$A$8:$A$73"),0)),CONFIG!$A$15:$B$28,2,FALSE),"")</f>
        <v/>
      </c>
      <c r="M24" s="157">
        <f>IFERROR(VLOOKUP(INDEX(INDIRECT($B$1&amp;"!"&amp;ADDRESS(8,COLUMN()+6,4)&amp;":"&amp;ADDRESS(73,COLUMN()+6,4)),MATCH($B24,INDIRECT($B$1&amp;"!$A$8:$A$73"),0)),CONFIG!$A$15:$B$28,2,FALSE),"")</f>
        <v/>
      </c>
      <c r="N24" s="157">
        <f>IFERROR(VLOOKUP(INDEX(INDIRECT($B$1&amp;"!"&amp;ADDRESS(8,COLUMN()+6,4)&amp;":"&amp;ADDRESS(73,COLUMN()+6,4)),MATCH($B24,INDIRECT($B$1&amp;"!$A$8:$A$73"),0)),CONFIG!$A$15:$B$28,2,FALSE),"")</f>
        <v/>
      </c>
      <c r="O24" s="157">
        <f>IFERROR(VLOOKUP(INDEX(INDIRECT($B$1&amp;"!"&amp;ADDRESS(8,COLUMN()+6,4)&amp;":"&amp;ADDRESS(73,COLUMN()+6,4)),MATCH($B24,INDIRECT($B$1&amp;"!$A$8:$A$73"),0)),CONFIG!$A$15:$B$28,2,FALSE),"")</f>
        <v/>
      </c>
      <c r="P24" s="157">
        <f>IFERROR(VLOOKUP(INDEX(INDIRECT($B$1&amp;"!"&amp;ADDRESS(8,COLUMN()+6,4)&amp;":"&amp;ADDRESS(73,COLUMN()+6,4)),MATCH($B24,INDIRECT($B$1&amp;"!$A$8:$A$73"),0)),CONFIG!$A$15:$B$28,2,FALSE),"")</f>
        <v/>
      </c>
      <c r="Q24" s="157">
        <f>IFERROR(VLOOKUP(INDEX(INDIRECT($B$1&amp;"!"&amp;ADDRESS(8,COLUMN()+6,4)&amp;":"&amp;ADDRESS(73,COLUMN()+6,4)),MATCH($B24,INDIRECT($B$1&amp;"!$A$8:$A$73"),0)),CONFIG!$A$15:$B$28,2,FALSE),"")</f>
        <v/>
      </c>
      <c r="R24" s="157">
        <f>IFERROR(VLOOKUP(INDEX(INDIRECT($B$1&amp;"!"&amp;ADDRESS(8,COLUMN()+6,4)&amp;":"&amp;ADDRESS(73,COLUMN()+6,4)),MATCH($B24,INDIRECT($B$1&amp;"!$A$8:$A$73"),0)),CONFIG!$A$15:$B$28,2,FALSE),"")</f>
        <v/>
      </c>
      <c r="S24" s="157">
        <f>IFERROR(VLOOKUP(INDEX(INDIRECT($B$1&amp;"!"&amp;ADDRESS(8,COLUMN()+6,4)&amp;":"&amp;ADDRESS(73,COLUMN()+6,4)),MATCH($B24,INDIRECT($B$1&amp;"!$A$8:$A$73"),0)),CONFIG!$A$15:$B$28,2,FALSE),"")</f>
        <v/>
      </c>
      <c r="T24" s="157">
        <f>IFERROR(VLOOKUP(INDEX(INDIRECT($B$1&amp;"!"&amp;ADDRESS(8,COLUMN()+6,4)&amp;":"&amp;ADDRESS(73,COLUMN()+6,4)),MATCH($B24,INDIRECT($B$1&amp;"!$A$8:$A$73"),0)),CONFIG!$A$15:$B$28,2,FALSE),"")</f>
        <v/>
      </c>
      <c r="U24" s="157">
        <f>IFERROR(VLOOKUP(INDEX(INDIRECT($B$1&amp;"!"&amp;ADDRESS(8,COLUMN()+6,4)&amp;":"&amp;ADDRESS(73,COLUMN()+6,4)),MATCH($B24,INDIRECT($B$1&amp;"!$A$8:$A$73"),0)),CONFIG!$A$15:$B$28,2,FALSE),"")</f>
        <v/>
      </c>
      <c r="V24" s="157">
        <f>IFERROR(VLOOKUP(INDEX(INDIRECT($B$1&amp;"!"&amp;ADDRESS(8,COLUMN()+6,4)&amp;":"&amp;ADDRESS(73,COLUMN()+6,4)),MATCH($B24,INDIRECT($B$1&amp;"!$A$8:$A$73"),0)),CONFIG!$A$15:$B$28,2,FALSE),"")</f>
        <v/>
      </c>
      <c r="W24" s="157">
        <f>IFERROR(VLOOKUP(INDEX(INDIRECT($B$1&amp;"!"&amp;ADDRESS(8,COLUMN()+6,4)&amp;":"&amp;ADDRESS(73,COLUMN()+6,4)),MATCH($B24,INDIRECT($B$1&amp;"!$A$8:$A$73"),0)),CONFIG!$A$15:$B$28,2,FALSE),"")</f>
        <v/>
      </c>
      <c r="X24" s="157">
        <f>IFERROR(VLOOKUP(INDEX(INDIRECT($B$1&amp;"!"&amp;ADDRESS(8,COLUMN()+6,4)&amp;":"&amp;ADDRESS(73,COLUMN()+6,4)),MATCH($B24,INDIRECT($B$1&amp;"!$A$8:$A$73"),0)),CONFIG!$A$15:$B$28,2,FALSE),"")</f>
        <v/>
      </c>
      <c r="Y24" s="157">
        <f>IFERROR(VLOOKUP(INDEX(INDIRECT($B$1&amp;"!"&amp;ADDRESS(8,COLUMN()+6,4)&amp;":"&amp;ADDRESS(73,COLUMN()+6,4)),MATCH($B24,INDIRECT($B$1&amp;"!$A$8:$A$73"),0)),CONFIG!$A$15:$B$28,2,FALSE),"")</f>
        <v/>
      </c>
      <c r="Z24" s="157">
        <f>IFERROR(VLOOKUP(INDEX(INDIRECT($B$1&amp;"!"&amp;ADDRESS(8,COLUMN()+6,4)&amp;":"&amp;ADDRESS(73,COLUMN()+6,4)),MATCH($B24,INDIRECT($B$1&amp;"!$A$8:$A$73"),0)),CONFIG!$A$15:$B$28,2,FALSE),"")</f>
        <v/>
      </c>
      <c r="AA24" s="157">
        <f>IFERROR(VLOOKUP(INDEX(INDIRECT($B$1&amp;"!"&amp;ADDRESS(8,COLUMN()+6,4)&amp;":"&amp;ADDRESS(73,COLUMN()+6,4)),MATCH($B24,INDIRECT($B$1&amp;"!$A$8:$A$73"),0)),CONFIG!$A$15:$B$28,2,FALSE),"")</f>
        <v/>
      </c>
      <c r="AB24" s="157">
        <f>IFERROR(VLOOKUP(INDEX(INDIRECT($B$1&amp;"!"&amp;ADDRESS(8,COLUMN()+6,4)&amp;":"&amp;ADDRESS(73,COLUMN()+6,4)),MATCH($B24,INDIRECT($B$1&amp;"!$A$8:$A$73"),0)),CONFIG!$A$15:$B$28,2,FALSE),"")</f>
        <v/>
      </c>
      <c r="AC24" s="157">
        <f>IFERROR(VLOOKUP(INDEX(INDIRECT($B$1&amp;"!"&amp;ADDRESS(8,COLUMN()+6,4)&amp;":"&amp;ADDRESS(73,COLUMN()+6,4)),MATCH($B24,INDIRECT($B$1&amp;"!$A$8:$A$73"),0)),CONFIG!$A$15:$B$28,2,FALSE),"")</f>
        <v/>
      </c>
      <c r="AD24" s="157">
        <f>IFERROR(VLOOKUP(INDEX(INDIRECT($B$1&amp;"!"&amp;ADDRESS(8,COLUMN()+6,4)&amp;":"&amp;ADDRESS(73,COLUMN()+6,4)),MATCH($B24,INDIRECT($B$1&amp;"!$A$8:$A$73"),0)),CONFIG!$A$15:$B$28,2,FALSE),"")</f>
        <v/>
      </c>
      <c r="AE24" s="157">
        <f>IFERROR(VLOOKUP(INDEX(INDIRECT($B$1&amp;"!"&amp;ADDRESS(8,COLUMN()+6,4)&amp;":"&amp;ADDRESS(73,COLUMN()+6,4)),MATCH($B24,INDIRECT($B$1&amp;"!$A$8:$A$73"),0)),CONFIG!$A$15:$B$28,2,FALSE),"")</f>
        <v/>
      </c>
      <c r="AF24" s="157">
        <f>IFERROR(VLOOKUP(INDEX(INDIRECT($B$1&amp;"!"&amp;ADDRESS(8,COLUMN()+6,4)&amp;":"&amp;ADDRESS(73,COLUMN()+6,4)),MATCH($B24,INDIRECT($B$1&amp;"!$A$8:$A$73"),0)),CONFIG!$A$15:$B$28,2,FALSE),"")</f>
        <v/>
      </c>
      <c r="AG24" s="157">
        <f>IFERROR(VLOOKUP(INDEX(INDIRECT($B$1&amp;"!"&amp;ADDRESS(8,COLUMN()+6,4)&amp;":"&amp;ADDRESS(73,COLUMN()+6,4)),MATCH($B24,INDIRECT($B$1&amp;"!$A$8:$A$73"),0)),CONFIG!$A$15:$B$28,2,FALSE),"")</f>
        <v/>
      </c>
      <c r="AH24" s="157">
        <f>IFERROR(VLOOKUP(INDEX(INDIRECT($B$1&amp;"!"&amp;ADDRESS(8,COLUMN()+6,4)&amp;":"&amp;ADDRESS(73,COLUMN()+6,4)),MATCH($B24,INDIRECT($B$1&amp;"!$A$8:$A$73"),0)),CONFIG!$A$15:$B$28,2,FALSE),"")</f>
        <v/>
      </c>
      <c r="AI24" s="39" t="n"/>
    </row>
    <row r="25">
      <c r="A25" s="155" t="inlineStr">
        <is>
          <t>Neyde Brito</t>
        </is>
      </c>
      <c r="B25" s="156" t="inlineStr">
        <is>
          <t>Neyde</t>
        </is>
      </c>
      <c r="C25" s="157">
        <f>IFERROR(VLOOKUP(INDEX(INDIRECT($B$1&amp;"!"&amp;ADDRESS(8,COLUMN()+6,4)&amp;":"&amp;ADDRESS(73,COLUMN()+6,4)),MATCH($B25,INDIRECT($B$1&amp;"!$A$8:$A$73"),0)),CONFIG!$A$15:$B$28,2,FALSE),"")</f>
        <v/>
      </c>
      <c r="D25" s="157">
        <f>IFERROR(VLOOKUP(INDEX(INDIRECT($B$1&amp;"!"&amp;ADDRESS(8,COLUMN()+6,4)&amp;":"&amp;ADDRESS(73,COLUMN()+6,4)),MATCH($B25,INDIRECT($B$1&amp;"!$A$8:$A$73"),0)),CONFIG!$A$15:$B$28,2,FALSE),"")</f>
        <v/>
      </c>
      <c r="E25" s="157">
        <f>IFERROR(VLOOKUP(INDEX(INDIRECT($B$1&amp;"!"&amp;ADDRESS(8,COLUMN()+6,4)&amp;":"&amp;ADDRESS(73,COLUMN()+6,4)),MATCH($B25,INDIRECT($B$1&amp;"!$A$8:$A$73"),0)),CONFIG!$A$15:$B$28,2,FALSE),"")</f>
        <v/>
      </c>
      <c r="F25" s="157">
        <f>IFERROR(VLOOKUP(INDEX(INDIRECT($B$1&amp;"!"&amp;ADDRESS(8,COLUMN()+6,4)&amp;":"&amp;ADDRESS(73,COLUMN()+6,4)),MATCH($B25,INDIRECT($B$1&amp;"!$A$8:$A$73"),0)),CONFIG!$A$15:$B$28,2,FALSE),"")</f>
        <v/>
      </c>
      <c r="G25" s="157">
        <f>IFERROR(VLOOKUP(INDEX(INDIRECT($B$1&amp;"!"&amp;ADDRESS(8,COLUMN()+6,4)&amp;":"&amp;ADDRESS(73,COLUMN()+6,4)),MATCH($B25,INDIRECT($B$1&amp;"!$A$8:$A$73"),0)),CONFIG!$A$15:$B$28,2,FALSE),"")</f>
        <v/>
      </c>
      <c r="H25" s="157">
        <f>IFERROR(VLOOKUP(INDEX(INDIRECT($B$1&amp;"!"&amp;ADDRESS(8,COLUMN()+6,4)&amp;":"&amp;ADDRESS(73,COLUMN()+6,4)),MATCH($B25,INDIRECT($B$1&amp;"!$A$8:$A$73"),0)),CONFIG!$A$15:$B$28,2,FALSE),"")</f>
        <v/>
      </c>
      <c r="I25" s="157">
        <f>IFERROR(VLOOKUP(INDEX(INDIRECT($B$1&amp;"!"&amp;ADDRESS(8,COLUMN()+6,4)&amp;":"&amp;ADDRESS(73,COLUMN()+6,4)),MATCH($B25,INDIRECT($B$1&amp;"!$A$8:$A$73"),0)),CONFIG!$A$15:$B$28,2,FALSE),"")</f>
        <v/>
      </c>
      <c r="J25" s="157">
        <f>IFERROR(VLOOKUP(INDEX(INDIRECT($B$1&amp;"!"&amp;ADDRESS(8,COLUMN()+6,4)&amp;":"&amp;ADDRESS(73,COLUMN()+6,4)),MATCH($B25,INDIRECT($B$1&amp;"!$A$8:$A$73"),0)),CONFIG!$A$15:$B$28,2,FALSE),"")</f>
        <v/>
      </c>
      <c r="K25" s="157">
        <f>IFERROR(VLOOKUP(INDEX(INDIRECT($B$1&amp;"!"&amp;ADDRESS(8,COLUMN()+6,4)&amp;":"&amp;ADDRESS(73,COLUMN()+6,4)),MATCH($B25,INDIRECT($B$1&amp;"!$A$8:$A$73"),0)),CONFIG!$A$15:$B$28,2,FALSE),"")</f>
        <v/>
      </c>
      <c r="L25" s="157">
        <f>IFERROR(VLOOKUP(INDEX(INDIRECT($B$1&amp;"!"&amp;ADDRESS(8,COLUMN()+6,4)&amp;":"&amp;ADDRESS(73,COLUMN()+6,4)),MATCH($B25,INDIRECT($B$1&amp;"!$A$8:$A$73"),0)),CONFIG!$A$15:$B$28,2,FALSE),"")</f>
        <v/>
      </c>
      <c r="M25" s="157">
        <f>IFERROR(VLOOKUP(INDEX(INDIRECT($B$1&amp;"!"&amp;ADDRESS(8,COLUMN()+6,4)&amp;":"&amp;ADDRESS(73,COLUMN()+6,4)),MATCH($B25,INDIRECT($B$1&amp;"!$A$8:$A$73"),0)),CONFIG!$A$15:$B$28,2,FALSE),"")</f>
        <v/>
      </c>
      <c r="N25" s="157">
        <f>IFERROR(VLOOKUP(INDEX(INDIRECT($B$1&amp;"!"&amp;ADDRESS(8,COLUMN()+6,4)&amp;":"&amp;ADDRESS(73,COLUMN()+6,4)),MATCH($B25,INDIRECT($B$1&amp;"!$A$8:$A$73"),0)),CONFIG!$A$15:$B$28,2,FALSE),"")</f>
        <v/>
      </c>
      <c r="O25" s="157">
        <f>IFERROR(VLOOKUP(INDEX(INDIRECT($B$1&amp;"!"&amp;ADDRESS(8,COLUMN()+6,4)&amp;":"&amp;ADDRESS(73,COLUMN()+6,4)),MATCH($B25,INDIRECT($B$1&amp;"!$A$8:$A$73"),0)),CONFIG!$A$15:$B$28,2,FALSE),"")</f>
        <v/>
      </c>
      <c r="P25" s="157">
        <f>IFERROR(VLOOKUP(INDEX(INDIRECT($B$1&amp;"!"&amp;ADDRESS(8,COLUMN()+6,4)&amp;":"&amp;ADDRESS(73,COLUMN()+6,4)),MATCH($B25,INDIRECT($B$1&amp;"!$A$8:$A$73"),0)),CONFIG!$A$15:$B$28,2,FALSE),"")</f>
        <v/>
      </c>
      <c r="Q25" s="157">
        <f>IFERROR(VLOOKUP(INDEX(INDIRECT($B$1&amp;"!"&amp;ADDRESS(8,COLUMN()+6,4)&amp;":"&amp;ADDRESS(73,COLUMN()+6,4)),MATCH($B25,INDIRECT($B$1&amp;"!$A$8:$A$73"),0)),CONFIG!$A$15:$B$28,2,FALSE),"")</f>
        <v/>
      </c>
      <c r="R25" s="157">
        <f>IFERROR(VLOOKUP(INDEX(INDIRECT($B$1&amp;"!"&amp;ADDRESS(8,COLUMN()+6,4)&amp;":"&amp;ADDRESS(73,COLUMN()+6,4)),MATCH($B25,INDIRECT($B$1&amp;"!$A$8:$A$73"),0)),CONFIG!$A$15:$B$28,2,FALSE),"")</f>
        <v/>
      </c>
      <c r="S25" s="157">
        <f>IFERROR(VLOOKUP(INDEX(INDIRECT($B$1&amp;"!"&amp;ADDRESS(8,COLUMN()+6,4)&amp;":"&amp;ADDRESS(73,COLUMN()+6,4)),MATCH($B25,INDIRECT($B$1&amp;"!$A$8:$A$73"),0)),CONFIG!$A$15:$B$28,2,FALSE),"")</f>
        <v/>
      </c>
      <c r="T25" s="157">
        <f>IFERROR(VLOOKUP(INDEX(INDIRECT($B$1&amp;"!"&amp;ADDRESS(8,COLUMN()+6,4)&amp;":"&amp;ADDRESS(73,COLUMN()+6,4)),MATCH($B25,INDIRECT($B$1&amp;"!$A$8:$A$73"),0)),CONFIG!$A$15:$B$28,2,FALSE),"")</f>
        <v/>
      </c>
      <c r="U25" s="157">
        <f>IFERROR(VLOOKUP(INDEX(INDIRECT($B$1&amp;"!"&amp;ADDRESS(8,COLUMN()+6,4)&amp;":"&amp;ADDRESS(73,COLUMN()+6,4)),MATCH($B25,INDIRECT($B$1&amp;"!$A$8:$A$73"),0)),CONFIG!$A$15:$B$28,2,FALSE),"")</f>
        <v/>
      </c>
      <c r="V25" s="157">
        <f>IFERROR(VLOOKUP(INDEX(INDIRECT($B$1&amp;"!"&amp;ADDRESS(8,COLUMN()+6,4)&amp;":"&amp;ADDRESS(73,COLUMN()+6,4)),MATCH($B25,INDIRECT($B$1&amp;"!$A$8:$A$73"),0)),CONFIG!$A$15:$B$28,2,FALSE),"")</f>
        <v/>
      </c>
      <c r="W25" s="157">
        <f>IFERROR(VLOOKUP(INDEX(INDIRECT($B$1&amp;"!"&amp;ADDRESS(8,COLUMN()+6,4)&amp;":"&amp;ADDRESS(73,COLUMN()+6,4)),MATCH($B25,INDIRECT($B$1&amp;"!$A$8:$A$73"),0)),CONFIG!$A$15:$B$28,2,FALSE),"")</f>
        <v/>
      </c>
      <c r="X25" s="157">
        <f>IFERROR(VLOOKUP(INDEX(INDIRECT($B$1&amp;"!"&amp;ADDRESS(8,COLUMN()+6,4)&amp;":"&amp;ADDRESS(73,COLUMN()+6,4)),MATCH($B25,INDIRECT($B$1&amp;"!$A$8:$A$73"),0)),CONFIG!$A$15:$B$28,2,FALSE),"")</f>
        <v/>
      </c>
      <c r="Y25" s="157">
        <f>IFERROR(VLOOKUP(INDEX(INDIRECT($B$1&amp;"!"&amp;ADDRESS(8,COLUMN()+6,4)&amp;":"&amp;ADDRESS(73,COLUMN()+6,4)),MATCH($B25,INDIRECT($B$1&amp;"!$A$8:$A$73"),0)),CONFIG!$A$15:$B$28,2,FALSE),"")</f>
        <v/>
      </c>
      <c r="Z25" s="157">
        <f>IFERROR(VLOOKUP(INDEX(INDIRECT($B$1&amp;"!"&amp;ADDRESS(8,COLUMN()+6,4)&amp;":"&amp;ADDRESS(73,COLUMN()+6,4)),MATCH($B25,INDIRECT($B$1&amp;"!$A$8:$A$73"),0)),CONFIG!$A$15:$B$28,2,FALSE),"")</f>
        <v/>
      </c>
      <c r="AA25" s="157">
        <f>IFERROR(VLOOKUP(INDEX(INDIRECT($B$1&amp;"!"&amp;ADDRESS(8,COLUMN()+6,4)&amp;":"&amp;ADDRESS(73,COLUMN()+6,4)),MATCH($B25,INDIRECT($B$1&amp;"!$A$8:$A$73"),0)),CONFIG!$A$15:$B$28,2,FALSE),"")</f>
        <v/>
      </c>
      <c r="AB25" s="157">
        <f>IFERROR(VLOOKUP(INDEX(INDIRECT($B$1&amp;"!"&amp;ADDRESS(8,COLUMN()+6,4)&amp;":"&amp;ADDRESS(73,COLUMN()+6,4)),MATCH($B25,INDIRECT($B$1&amp;"!$A$8:$A$73"),0)),CONFIG!$A$15:$B$28,2,FALSE),"")</f>
        <v/>
      </c>
      <c r="AC25" s="157">
        <f>IFERROR(VLOOKUP(INDEX(INDIRECT($B$1&amp;"!"&amp;ADDRESS(8,COLUMN()+6,4)&amp;":"&amp;ADDRESS(73,COLUMN()+6,4)),MATCH($B25,INDIRECT($B$1&amp;"!$A$8:$A$73"),0)),CONFIG!$A$15:$B$28,2,FALSE),"")</f>
        <v/>
      </c>
      <c r="AD25" s="157">
        <f>IFERROR(VLOOKUP(INDEX(INDIRECT($B$1&amp;"!"&amp;ADDRESS(8,COLUMN()+6,4)&amp;":"&amp;ADDRESS(73,COLUMN()+6,4)),MATCH($B25,INDIRECT($B$1&amp;"!$A$8:$A$73"),0)),CONFIG!$A$15:$B$28,2,FALSE),"")</f>
        <v/>
      </c>
      <c r="AE25" s="157">
        <f>IFERROR(VLOOKUP(INDEX(INDIRECT($B$1&amp;"!"&amp;ADDRESS(8,COLUMN()+6,4)&amp;":"&amp;ADDRESS(73,COLUMN()+6,4)),MATCH($B25,INDIRECT($B$1&amp;"!$A$8:$A$73"),0)),CONFIG!$A$15:$B$28,2,FALSE),"")</f>
        <v/>
      </c>
      <c r="AF25" s="157">
        <f>IFERROR(VLOOKUP(INDEX(INDIRECT($B$1&amp;"!"&amp;ADDRESS(8,COLUMN()+6,4)&amp;":"&amp;ADDRESS(73,COLUMN()+6,4)),MATCH($B25,INDIRECT($B$1&amp;"!$A$8:$A$73"),0)),CONFIG!$A$15:$B$28,2,FALSE),"")</f>
        <v/>
      </c>
      <c r="AG25" s="157">
        <f>IFERROR(VLOOKUP(INDEX(INDIRECT($B$1&amp;"!"&amp;ADDRESS(8,COLUMN()+6,4)&amp;":"&amp;ADDRESS(73,COLUMN()+6,4)),MATCH($B25,INDIRECT($B$1&amp;"!$A$8:$A$73"),0)),CONFIG!$A$15:$B$28,2,FALSE),"")</f>
        <v/>
      </c>
      <c r="AH25" s="157">
        <f>IFERROR(VLOOKUP(INDEX(INDIRECT($B$1&amp;"!"&amp;ADDRESS(8,COLUMN()+6,4)&amp;":"&amp;ADDRESS(73,COLUMN()+6,4)),MATCH($B25,INDIRECT($B$1&amp;"!$A$8:$A$73"),0)),CONFIG!$A$15:$B$28,2,FALSE),"")</f>
        <v/>
      </c>
      <c r="AI25" s="39" t="n"/>
    </row>
    <row r="26">
      <c r="A26" s="155" t="inlineStr">
        <is>
          <t>Roberta Iglesias</t>
        </is>
      </c>
      <c r="B26" s="156" t="inlineStr">
        <is>
          <t>Roberta</t>
        </is>
      </c>
      <c r="C26" s="157">
        <f>IFERROR(VLOOKUP(INDEX(INDIRECT($B$1&amp;"!"&amp;ADDRESS(8,COLUMN()+6,4)&amp;":"&amp;ADDRESS(73,COLUMN()+6,4)),MATCH($B26,INDIRECT($B$1&amp;"!$A$8:$A$73"),0)),CONFIG!$A$15:$B$28,2,FALSE),"")</f>
        <v/>
      </c>
      <c r="D26" s="157">
        <f>IFERROR(VLOOKUP(INDEX(INDIRECT($B$1&amp;"!"&amp;ADDRESS(8,COLUMN()+6,4)&amp;":"&amp;ADDRESS(73,COLUMN()+6,4)),MATCH($B26,INDIRECT($B$1&amp;"!$A$8:$A$73"),0)),CONFIG!$A$15:$B$28,2,FALSE),"")</f>
        <v/>
      </c>
      <c r="E26" s="157">
        <f>IFERROR(VLOOKUP(INDEX(INDIRECT($B$1&amp;"!"&amp;ADDRESS(8,COLUMN()+6,4)&amp;":"&amp;ADDRESS(73,COLUMN()+6,4)),MATCH($B26,INDIRECT($B$1&amp;"!$A$8:$A$73"),0)),CONFIG!$A$15:$B$28,2,FALSE),"")</f>
        <v/>
      </c>
      <c r="F26" s="157">
        <f>IFERROR(VLOOKUP(INDEX(INDIRECT($B$1&amp;"!"&amp;ADDRESS(8,COLUMN()+6,4)&amp;":"&amp;ADDRESS(73,COLUMN()+6,4)),MATCH($B26,INDIRECT($B$1&amp;"!$A$8:$A$73"),0)),CONFIG!$A$15:$B$28,2,FALSE),"")</f>
        <v/>
      </c>
      <c r="G26" s="157">
        <f>IFERROR(VLOOKUP(INDEX(INDIRECT($B$1&amp;"!"&amp;ADDRESS(8,COLUMN()+6,4)&amp;":"&amp;ADDRESS(73,COLUMN()+6,4)),MATCH($B26,INDIRECT($B$1&amp;"!$A$8:$A$73"),0)),CONFIG!$A$15:$B$28,2,FALSE),"")</f>
        <v/>
      </c>
      <c r="H26" s="157">
        <f>IFERROR(VLOOKUP(INDEX(INDIRECT($B$1&amp;"!"&amp;ADDRESS(8,COLUMN()+6,4)&amp;":"&amp;ADDRESS(73,COLUMN()+6,4)),MATCH($B26,INDIRECT($B$1&amp;"!$A$8:$A$73"),0)),CONFIG!$A$15:$B$28,2,FALSE),"")</f>
        <v/>
      </c>
      <c r="I26" s="157">
        <f>IFERROR(VLOOKUP(INDEX(INDIRECT($B$1&amp;"!"&amp;ADDRESS(8,COLUMN()+6,4)&amp;":"&amp;ADDRESS(73,COLUMN()+6,4)),MATCH($B26,INDIRECT($B$1&amp;"!$A$8:$A$73"),0)),CONFIG!$A$15:$B$28,2,FALSE),"")</f>
        <v/>
      </c>
      <c r="J26" s="157">
        <f>IFERROR(VLOOKUP(INDEX(INDIRECT($B$1&amp;"!"&amp;ADDRESS(8,COLUMN()+6,4)&amp;":"&amp;ADDRESS(73,COLUMN()+6,4)),MATCH($B26,INDIRECT($B$1&amp;"!$A$8:$A$73"),0)),CONFIG!$A$15:$B$28,2,FALSE),"")</f>
        <v/>
      </c>
      <c r="K26" s="157">
        <f>IFERROR(VLOOKUP(INDEX(INDIRECT($B$1&amp;"!"&amp;ADDRESS(8,COLUMN()+6,4)&amp;":"&amp;ADDRESS(73,COLUMN()+6,4)),MATCH($B26,INDIRECT($B$1&amp;"!$A$8:$A$73"),0)),CONFIG!$A$15:$B$28,2,FALSE),"")</f>
        <v/>
      </c>
      <c r="L26" s="157">
        <f>IFERROR(VLOOKUP(INDEX(INDIRECT($B$1&amp;"!"&amp;ADDRESS(8,COLUMN()+6,4)&amp;":"&amp;ADDRESS(73,COLUMN()+6,4)),MATCH($B26,INDIRECT($B$1&amp;"!$A$8:$A$73"),0)),CONFIG!$A$15:$B$28,2,FALSE),"")</f>
        <v/>
      </c>
      <c r="M26" s="157">
        <f>IFERROR(VLOOKUP(INDEX(INDIRECT($B$1&amp;"!"&amp;ADDRESS(8,COLUMN()+6,4)&amp;":"&amp;ADDRESS(73,COLUMN()+6,4)),MATCH($B26,INDIRECT($B$1&amp;"!$A$8:$A$73"),0)),CONFIG!$A$15:$B$28,2,FALSE),"")</f>
        <v/>
      </c>
      <c r="N26" s="157">
        <f>IFERROR(VLOOKUP(INDEX(INDIRECT($B$1&amp;"!"&amp;ADDRESS(8,COLUMN()+6,4)&amp;":"&amp;ADDRESS(73,COLUMN()+6,4)),MATCH($B26,INDIRECT($B$1&amp;"!$A$8:$A$73"),0)),CONFIG!$A$15:$B$28,2,FALSE),"")</f>
        <v/>
      </c>
      <c r="O26" s="157">
        <f>IFERROR(VLOOKUP(INDEX(INDIRECT($B$1&amp;"!"&amp;ADDRESS(8,COLUMN()+6,4)&amp;":"&amp;ADDRESS(73,COLUMN()+6,4)),MATCH($B26,INDIRECT($B$1&amp;"!$A$8:$A$73"),0)),CONFIG!$A$15:$B$28,2,FALSE),"")</f>
        <v/>
      </c>
      <c r="P26" s="157">
        <f>IFERROR(VLOOKUP(INDEX(INDIRECT($B$1&amp;"!"&amp;ADDRESS(8,COLUMN()+6,4)&amp;":"&amp;ADDRESS(73,COLUMN()+6,4)),MATCH($B26,INDIRECT($B$1&amp;"!$A$8:$A$73"),0)),CONFIG!$A$15:$B$28,2,FALSE),"")</f>
        <v/>
      </c>
      <c r="Q26" s="157">
        <f>IFERROR(VLOOKUP(INDEX(INDIRECT($B$1&amp;"!"&amp;ADDRESS(8,COLUMN()+6,4)&amp;":"&amp;ADDRESS(73,COLUMN()+6,4)),MATCH($B26,INDIRECT($B$1&amp;"!$A$8:$A$73"),0)),CONFIG!$A$15:$B$28,2,FALSE),"")</f>
        <v/>
      </c>
      <c r="R26" s="157">
        <f>IFERROR(VLOOKUP(INDEX(INDIRECT($B$1&amp;"!"&amp;ADDRESS(8,COLUMN()+6,4)&amp;":"&amp;ADDRESS(73,COLUMN()+6,4)),MATCH($B26,INDIRECT($B$1&amp;"!$A$8:$A$73"),0)),CONFIG!$A$15:$B$28,2,FALSE),"")</f>
        <v/>
      </c>
      <c r="S26" s="157">
        <f>IFERROR(VLOOKUP(INDEX(INDIRECT($B$1&amp;"!"&amp;ADDRESS(8,COLUMN()+6,4)&amp;":"&amp;ADDRESS(73,COLUMN()+6,4)),MATCH($B26,INDIRECT($B$1&amp;"!$A$8:$A$73"),0)),CONFIG!$A$15:$B$28,2,FALSE),"")</f>
        <v/>
      </c>
      <c r="T26" s="157">
        <f>IFERROR(VLOOKUP(INDEX(INDIRECT($B$1&amp;"!"&amp;ADDRESS(8,COLUMN()+6,4)&amp;":"&amp;ADDRESS(73,COLUMN()+6,4)),MATCH($B26,INDIRECT($B$1&amp;"!$A$8:$A$73"),0)),CONFIG!$A$15:$B$28,2,FALSE),"")</f>
        <v/>
      </c>
      <c r="U26" s="157">
        <f>IFERROR(VLOOKUP(INDEX(INDIRECT($B$1&amp;"!"&amp;ADDRESS(8,COLUMN()+6,4)&amp;":"&amp;ADDRESS(73,COLUMN()+6,4)),MATCH($B26,INDIRECT($B$1&amp;"!$A$8:$A$73"),0)),CONFIG!$A$15:$B$28,2,FALSE),"")</f>
        <v/>
      </c>
      <c r="V26" s="157">
        <f>IFERROR(VLOOKUP(INDEX(INDIRECT($B$1&amp;"!"&amp;ADDRESS(8,COLUMN()+6,4)&amp;":"&amp;ADDRESS(73,COLUMN()+6,4)),MATCH($B26,INDIRECT($B$1&amp;"!$A$8:$A$73"),0)),CONFIG!$A$15:$B$28,2,FALSE),"")</f>
        <v/>
      </c>
      <c r="W26" s="157">
        <f>IFERROR(VLOOKUP(INDEX(INDIRECT($B$1&amp;"!"&amp;ADDRESS(8,COLUMN()+6,4)&amp;":"&amp;ADDRESS(73,COLUMN()+6,4)),MATCH($B26,INDIRECT($B$1&amp;"!$A$8:$A$73"),0)),CONFIG!$A$15:$B$28,2,FALSE),"")</f>
        <v/>
      </c>
      <c r="X26" s="157">
        <f>IFERROR(VLOOKUP(INDEX(INDIRECT($B$1&amp;"!"&amp;ADDRESS(8,COLUMN()+6,4)&amp;":"&amp;ADDRESS(73,COLUMN()+6,4)),MATCH($B26,INDIRECT($B$1&amp;"!$A$8:$A$73"),0)),CONFIG!$A$15:$B$28,2,FALSE),"")</f>
        <v/>
      </c>
      <c r="Y26" s="157">
        <f>IFERROR(VLOOKUP(INDEX(INDIRECT($B$1&amp;"!"&amp;ADDRESS(8,COLUMN()+6,4)&amp;":"&amp;ADDRESS(73,COLUMN()+6,4)),MATCH($B26,INDIRECT($B$1&amp;"!$A$8:$A$73"),0)),CONFIG!$A$15:$B$28,2,FALSE),"")</f>
        <v/>
      </c>
      <c r="Z26" s="157">
        <f>IFERROR(VLOOKUP(INDEX(INDIRECT($B$1&amp;"!"&amp;ADDRESS(8,COLUMN()+6,4)&amp;":"&amp;ADDRESS(73,COLUMN()+6,4)),MATCH($B26,INDIRECT($B$1&amp;"!$A$8:$A$73"),0)),CONFIG!$A$15:$B$28,2,FALSE),"")</f>
        <v/>
      </c>
      <c r="AA26" s="157">
        <f>IFERROR(VLOOKUP(INDEX(INDIRECT($B$1&amp;"!"&amp;ADDRESS(8,COLUMN()+6,4)&amp;":"&amp;ADDRESS(73,COLUMN()+6,4)),MATCH($B26,INDIRECT($B$1&amp;"!$A$8:$A$73"),0)),CONFIG!$A$15:$B$28,2,FALSE),"")</f>
        <v/>
      </c>
      <c r="AB26" s="157">
        <f>IFERROR(VLOOKUP(INDEX(INDIRECT($B$1&amp;"!"&amp;ADDRESS(8,COLUMN()+6,4)&amp;":"&amp;ADDRESS(73,COLUMN()+6,4)),MATCH($B26,INDIRECT($B$1&amp;"!$A$8:$A$73"),0)),CONFIG!$A$15:$B$28,2,FALSE),"")</f>
        <v/>
      </c>
      <c r="AC26" s="157">
        <f>IFERROR(VLOOKUP(INDEX(INDIRECT($B$1&amp;"!"&amp;ADDRESS(8,COLUMN()+6,4)&amp;":"&amp;ADDRESS(73,COLUMN()+6,4)),MATCH($B26,INDIRECT($B$1&amp;"!$A$8:$A$73"),0)),CONFIG!$A$15:$B$28,2,FALSE),"")</f>
        <v/>
      </c>
      <c r="AD26" s="157">
        <f>IFERROR(VLOOKUP(INDEX(INDIRECT($B$1&amp;"!"&amp;ADDRESS(8,COLUMN()+6,4)&amp;":"&amp;ADDRESS(73,COLUMN()+6,4)),MATCH($B26,INDIRECT($B$1&amp;"!$A$8:$A$73"),0)),CONFIG!$A$15:$B$28,2,FALSE),"")</f>
        <v/>
      </c>
      <c r="AE26" s="157">
        <f>IFERROR(VLOOKUP(INDEX(INDIRECT($B$1&amp;"!"&amp;ADDRESS(8,COLUMN()+6,4)&amp;":"&amp;ADDRESS(73,COLUMN()+6,4)),MATCH($B26,INDIRECT($B$1&amp;"!$A$8:$A$73"),0)),CONFIG!$A$15:$B$28,2,FALSE),"")</f>
        <v/>
      </c>
      <c r="AF26" s="157">
        <f>IFERROR(VLOOKUP(INDEX(INDIRECT($B$1&amp;"!"&amp;ADDRESS(8,COLUMN()+6,4)&amp;":"&amp;ADDRESS(73,COLUMN()+6,4)),MATCH($B26,INDIRECT($B$1&amp;"!$A$8:$A$73"),0)),CONFIG!$A$15:$B$28,2,FALSE),"")</f>
        <v/>
      </c>
      <c r="AG26" s="157">
        <f>IFERROR(VLOOKUP(INDEX(INDIRECT($B$1&amp;"!"&amp;ADDRESS(8,COLUMN()+6,4)&amp;":"&amp;ADDRESS(73,COLUMN()+6,4)),MATCH($B26,INDIRECT($B$1&amp;"!$A$8:$A$73"),0)),CONFIG!$A$15:$B$28,2,FALSE),"")</f>
        <v/>
      </c>
      <c r="AH26" s="157">
        <f>IFERROR(VLOOKUP(INDEX(INDIRECT($B$1&amp;"!"&amp;ADDRESS(8,COLUMN()+6,4)&amp;":"&amp;ADDRESS(73,COLUMN()+6,4)),MATCH($B26,INDIRECT($B$1&amp;"!$A$8:$A$73"),0)),CONFIG!$A$15:$B$28,2,FALSE),"")</f>
        <v/>
      </c>
      <c r="AI26" s="39" t="n"/>
    </row>
    <row r="27">
      <c r="A27" s="155" t="inlineStr">
        <is>
          <t>Luciana Alice</t>
        </is>
      </c>
      <c r="B27" s="156" t="inlineStr">
        <is>
          <t>LuAlice</t>
        </is>
      </c>
      <c r="C27" s="157">
        <f>IFERROR(VLOOKUP(INDEX(INDIRECT($B$1&amp;"!"&amp;ADDRESS(8,COLUMN()+6,4)&amp;":"&amp;ADDRESS(73,COLUMN()+6,4)),MATCH($B27,INDIRECT($B$1&amp;"!$A$8:$A$73"),0)),CONFIG!$A$15:$B$28,2,FALSE),"")</f>
        <v/>
      </c>
      <c r="D27" s="157">
        <f>IFERROR(VLOOKUP(INDEX(INDIRECT($B$1&amp;"!"&amp;ADDRESS(8,COLUMN()+6,4)&amp;":"&amp;ADDRESS(73,COLUMN()+6,4)),MATCH($B27,INDIRECT($B$1&amp;"!$A$8:$A$73"),0)),CONFIG!$A$15:$B$28,2,FALSE),"")</f>
        <v/>
      </c>
      <c r="E27" s="157">
        <f>IFERROR(VLOOKUP(INDEX(INDIRECT($B$1&amp;"!"&amp;ADDRESS(8,COLUMN()+6,4)&amp;":"&amp;ADDRESS(73,COLUMN()+6,4)),MATCH($B27,INDIRECT($B$1&amp;"!$A$8:$A$73"),0)),CONFIG!$A$15:$B$28,2,FALSE),"")</f>
        <v/>
      </c>
      <c r="F27" s="157">
        <f>IFERROR(VLOOKUP(INDEX(INDIRECT($B$1&amp;"!"&amp;ADDRESS(8,COLUMN()+6,4)&amp;":"&amp;ADDRESS(73,COLUMN()+6,4)),MATCH($B27,INDIRECT($B$1&amp;"!$A$8:$A$73"),0)),CONFIG!$A$15:$B$28,2,FALSE),"")</f>
        <v/>
      </c>
      <c r="G27" s="157">
        <f>IFERROR(VLOOKUP(INDEX(INDIRECT($B$1&amp;"!"&amp;ADDRESS(8,COLUMN()+6,4)&amp;":"&amp;ADDRESS(73,COLUMN()+6,4)),MATCH($B27,INDIRECT($B$1&amp;"!$A$8:$A$73"),0)),CONFIG!$A$15:$B$28,2,FALSE),"")</f>
        <v/>
      </c>
      <c r="H27" s="157">
        <f>IFERROR(VLOOKUP(INDEX(INDIRECT($B$1&amp;"!"&amp;ADDRESS(8,COLUMN()+6,4)&amp;":"&amp;ADDRESS(73,COLUMN()+6,4)),MATCH($B27,INDIRECT($B$1&amp;"!$A$8:$A$73"),0)),CONFIG!$A$15:$B$28,2,FALSE),"")</f>
        <v/>
      </c>
      <c r="I27" s="157">
        <f>IFERROR(VLOOKUP(INDEX(INDIRECT($B$1&amp;"!"&amp;ADDRESS(8,COLUMN()+6,4)&amp;":"&amp;ADDRESS(73,COLUMN()+6,4)),MATCH($B27,INDIRECT($B$1&amp;"!$A$8:$A$73"),0)),CONFIG!$A$15:$B$28,2,FALSE),"")</f>
        <v/>
      </c>
      <c r="J27" s="157">
        <f>IFERROR(VLOOKUP(INDEX(INDIRECT($B$1&amp;"!"&amp;ADDRESS(8,COLUMN()+6,4)&amp;":"&amp;ADDRESS(73,COLUMN()+6,4)),MATCH($B27,INDIRECT($B$1&amp;"!$A$8:$A$73"),0)),CONFIG!$A$15:$B$28,2,FALSE),"")</f>
        <v/>
      </c>
      <c r="K27" s="157">
        <f>IFERROR(VLOOKUP(INDEX(INDIRECT($B$1&amp;"!"&amp;ADDRESS(8,COLUMN()+6,4)&amp;":"&amp;ADDRESS(73,COLUMN()+6,4)),MATCH($B27,INDIRECT($B$1&amp;"!$A$8:$A$73"),0)),CONFIG!$A$15:$B$28,2,FALSE),"")</f>
        <v/>
      </c>
      <c r="L27" s="157">
        <f>IFERROR(VLOOKUP(INDEX(INDIRECT($B$1&amp;"!"&amp;ADDRESS(8,COLUMN()+6,4)&amp;":"&amp;ADDRESS(73,COLUMN()+6,4)),MATCH($B27,INDIRECT($B$1&amp;"!$A$8:$A$73"),0)),CONFIG!$A$15:$B$28,2,FALSE),"")</f>
        <v/>
      </c>
      <c r="M27" s="157">
        <f>IFERROR(VLOOKUP(INDEX(INDIRECT($B$1&amp;"!"&amp;ADDRESS(8,COLUMN()+6,4)&amp;":"&amp;ADDRESS(73,COLUMN()+6,4)),MATCH($B27,INDIRECT($B$1&amp;"!$A$8:$A$73"),0)),CONFIG!$A$15:$B$28,2,FALSE),"")</f>
        <v/>
      </c>
      <c r="N27" s="157">
        <f>IFERROR(VLOOKUP(INDEX(INDIRECT($B$1&amp;"!"&amp;ADDRESS(8,COLUMN()+6,4)&amp;":"&amp;ADDRESS(73,COLUMN()+6,4)),MATCH($B27,INDIRECT($B$1&amp;"!$A$8:$A$73"),0)),CONFIG!$A$15:$B$28,2,FALSE),"")</f>
        <v/>
      </c>
      <c r="O27" s="157">
        <f>IFERROR(VLOOKUP(INDEX(INDIRECT($B$1&amp;"!"&amp;ADDRESS(8,COLUMN()+6,4)&amp;":"&amp;ADDRESS(73,COLUMN()+6,4)),MATCH($B27,INDIRECT($B$1&amp;"!$A$8:$A$73"),0)),CONFIG!$A$15:$B$28,2,FALSE),"")</f>
        <v/>
      </c>
      <c r="P27" s="157">
        <f>IFERROR(VLOOKUP(INDEX(INDIRECT($B$1&amp;"!"&amp;ADDRESS(8,COLUMN()+6,4)&amp;":"&amp;ADDRESS(73,COLUMN()+6,4)),MATCH($B27,INDIRECT($B$1&amp;"!$A$8:$A$73"),0)),CONFIG!$A$15:$B$28,2,FALSE),"")</f>
        <v/>
      </c>
      <c r="Q27" s="157">
        <f>IFERROR(VLOOKUP(INDEX(INDIRECT($B$1&amp;"!"&amp;ADDRESS(8,COLUMN()+6,4)&amp;":"&amp;ADDRESS(73,COLUMN()+6,4)),MATCH($B27,INDIRECT($B$1&amp;"!$A$8:$A$73"),0)),CONFIG!$A$15:$B$28,2,FALSE),"")</f>
        <v/>
      </c>
      <c r="R27" s="157">
        <f>IFERROR(VLOOKUP(INDEX(INDIRECT($B$1&amp;"!"&amp;ADDRESS(8,COLUMN()+6,4)&amp;":"&amp;ADDRESS(73,COLUMN()+6,4)),MATCH($B27,INDIRECT($B$1&amp;"!$A$8:$A$73"),0)),CONFIG!$A$15:$B$28,2,FALSE),"")</f>
        <v/>
      </c>
      <c r="S27" s="157">
        <f>IFERROR(VLOOKUP(INDEX(INDIRECT($B$1&amp;"!"&amp;ADDRESS(8,COLUMN()+6,4)&amp;":"&amp;ADDRESS(73,COLUMN()+6,4)),MATCH($B27,INDIRECT($B$1&amp;"!$A$8:$A$73"),0)),CONFIG!$A$15:$B$28,2,FALSE),"")</f>
        <v/>
      </c>
      <c r="T27" s="157">
        <f>IFERROR(VLOOKUP(INDEX(INDIRECT($B$1&amp;"!"&amp;ADDRESS(8,COLUMN()+6,4)&amp;":"&amp;ADDRESS(73,COLUMN()+6,4)),MATCH($B27,INDIRECT($B$1&amp;"!$A$8:$A$73"),0)),CONFIG!$A$15:$B$28,2,FALSE),"")</f>
        <v/>
      </c>
      <c r="U27" s="157">
        <f>IFERROR(VLOOKUP(INDEX(INDIRECT($B$1&amp;"!"&amp;ADDRESS(8,COLUMN()+6,4)&amp;":"&amp;ADDRESS(73,COLUMN()+6,4)),MATCH($B27,INDIRECT($B$1&amp;"!$A$8:$A$73"),0)),CONFIG!$A$15:$B$28,2,FALSE),"")</f>
        <v/>
      </c>
      <c r="V27" s="157">
        <f>IFERROR(VLOOKUP(INDEX(INDIRECT($B$1&amp;"!"&amp;ADDRESS(8,COLUMN()+6,4)&amp;":"&amp;ADDRESS(73,COLUMN()+6,4)),MATCH($B27,INDIRECT($B$1&amp;"!$A$8:$A$73"),0)),CONFIG!$A$15:$B$28,2,FALSE),"")</f>
        <v/>
      </c>
      <c r="W27" s="157">
        <f>IFERROR(VLOOKUP(INDEX(INDIRECT($B$1&amp;"!"&amp;ADDRESS(8,COLUMN()+6,4)&amp;":"&amp;ADDRESS(73,COLUMN()+6,4)),MATCH($B27,INDIRECT($B$1&amp;"!$A$8:$A$73"),0)),CONFIG!$A$15:$B$28,2,FALSE),"")</f>
        <v/>
      </c>
      <c r="X27" s="157">
        <f>IFERROR(VLOOKUP(INDEX(INDIRECT($B$1&amp;"!"&amp;ADDRESS(8,COLUMN()+6,4)&amp;":"&amp;ADDRESS(73,COLUMN()+6,4)),MATCH($B27,INDIRECT($B$1&amp;"!$A$8:$A$73"),0)),CONFIG!$A$15:$B$28,2,FALSE),"")</f>
        <v/>
      </c>
      <c r="Y27" s="157">
        <f>IFERROR(VLOOKUP(INDEX(INDIRECT($B$1&amp;"!"&amp;ADDRESS(8,COLUMN()+6,4)&amp;":"&amp;ADDRESS(73,COLUMN()+6,4)),MATCH($B27,INDIRECT($B$1&amp;"!$A$8:$A$73"),0)),CONFIG!$A$15:$B$28,2,FALSE),"")</f>
        <v/>
      </c>
      <c r="Z27" s="157">
        <f>IFERROR(VLOOKUP(INDEX(INDIRECT($B$1&amp;"!"&amp;ADDRESS(8,COLUMN()+6,4)&amp;":"&amp;ADDRESS(73,COLUMN()+6,4)),MATCH($B27,INDIRECT($B$1&amp;"!$A$8:$A$73"),0)),CONFIG!$A$15:$B$28,2,FALSE),"")</f>
        <v/>
      </c>
      <c r="AA27" s="157">
        <f>IFERROR(VLOOKUP(INDEX(INDIRECT($B$1&amp;"!"&amp;ADDRESS(8,COLUMN()+6,4)&amp;":"&amp;ADDRESS(73,COLUMN()+6,4)),MATCH($B27,INDIRECT($B$1&amp;"!$A$8:$A$73"),0)),CONFIG!$A$15:$B$28,2,FALSE),"")</f>
        <v/>
      </c>
      <c r="AB27" s="157">
        <f>IFERROR(VLOOKUP(INDEX(INDIRECT($B$1&amp;"!"&amp;ADDRESS(8,COLUMN()+6,4)&amp;":"&amp;ADDRESS(73,COLUMN()+6,4)),MATCH($B27,INDIRECT($B$1&amp;"!$A$8:$A$73"),0)),CONFIG!$A$15:$B$28,2,FALSE),"")</f>
        <v/>
      </c>
      <c r="AC27" s="157">
        <f>IFERROR(VLOOKUP(INDEX(INDIRECT($B$1&amp;"!"&amp;ADDRESS(8,COLUMN()+6,4)&amp;":"&amp;ADDRESS(73,COLUMN()+6,4)),MATCH($B27,INDIRECT($B$1&amp;"!$A$8:$A$73"),0)),CONFIG!$A$15:$B$28,2,FALSE),"")</f>
        <v/>
      </c>
      <c r="AD27" s="157">
        <f>IFERROR(VLOOKUP(INDEX(INDIRECT($B$1&amp;"!"&amp;ADDRESS(8,COLUMN()+6,4)&amp;":"&amp;ADDRESS(73,COLUMN()+6,4)),MATCH($B27,INDIRECT($B$1&amp;"!$A$8:$A$73"),0)),CONFIG!$A$15:$B$28,2,FALSE),"")</f>
        <v/>
      </c>
      <c r="AE27" s="157">
        <f>IFERROR(VLOOKUP(INDEX(INDIRECT($B$1&amp;"!"&amp;ADDRESS(8,COLUMN()+6,4)&amp;":"&amp;ADDRESS(73,COLUMN()+6,4)),MATCH($B27,INDIRECT($B$1&amp;"!$A$8:$A$73"),0)),CONFIG!$A$15:$B$28,2,FALSE),"")</f>
        <v/>
      </c>
      <c r="AF27" s="157">
        <f>IFERROR(VLOOKUP(INDEX(INDIRECT($B$1&amp;"!"&amp;ADDRESS(8,COLUMN()+6,4)&amp;":"&amp;ADDRESS(73,COLUMN()+6,4)),MATCH($B27,INDIRECT($B$1&amp;"!$A$8:$A$73"),0)),CONFIG!$A$15:$B$28,2,FALSE),"")</f>
        <v/>
      </c>
      <c r="AG27" s="157">
        <f>IFERROR(VLOOKUP(INDEX(INDIRECT($B$1&amp;"!"&amp;ADDRESS(8,COLUMN()+6,4)&amp;":"&amp;ADDRESS(73,COLUMN()+6,4)),MATCH($B27,INDIRECT($B$1&amp;"!$A$8:$A$73"),0)),CONFIG!$A$15:$B$28,2,FALSE),"")</f>
        <v/>
      </c>
      <c r="AH27" s="157">
        <f>IFERROR(VLOOKUP(INDEX(INDIRECT($B$1&amp;"!"&amp;ADDRESS(8,COLUMN()+6,4)&amp;":"&amp;ADDRESS(73,COLUMN()+6,4)),MATCH($B27,INDIRECT($B$1&amp;"!$A$8:$A$73"),0)),CONFIG!$A$15:$B$28,2,FALSE),"")</f>
        <v/>
      </c>
      <c r="AI27" s="39" t="n"/>
    </row>
    <row r="28">
      <c r="A28" s="155" t="inlineStr">
        <is>
          <t>Amanda Braga</t>
        </is>
      </c>
      <c r="B28" s="156" t="inlineStr">
        <is>
          <t>Amanda</t>
        </is>
      </c>
      <c r="C28" s="157">
        <f>IFERROR(VLOOKUP(INDEX(INDIRECT($B$1&amp;"!"&amp;ADDRESS(8,COLUMN()+6,4)&amp;":"&amp;ADDRESS(73,COLUMN()+6,4)),MATCH($B28,INDIRECT($B$1&amp;"!$A$8:$A$73"),0)),CONFIG!$A$15:$B$28,2,FALSE),"")</f>
        <v/>
      </c>
      <c r="D28" s="157">
        <f>IFERROR(VLOOKUP(INDEX(INDIRECT($B$1&amp;"!"&amp;ADDRESS(8,COLUMN()+6,4)&amp;":"&amp;ADDRESS(73,COLUMN()+6,4)),MATCH($B28,INDIRECT($B$1&amp;"!$A$8:$A$73"),0)),CONFIG!$A$15:$B$28,2,FALSE),"")</f>
        <v/>
      </c>
      <c r="E28" s="157">
        <f>IFERROR(VLOOKUP(INDEX(INDIRECT($B$1&amp;"!"&amp;ADDRESS(8,COLUMN()+6,4)&amp;":"&amp;ADDRESS(73,COLUMN()+6,4)),MATCH($B28,INDIRECT($B$1&amp;"!$A$8:$A$73"),0)),CONFIG!$A$15:$B$28,2,FALSE),"")</f>
        <v/>
      </c>
      <c r="F28" s="157">
        <f>IFERROR(VLOOKUP(INDEX(INDIRECT($B$1&amp;"!"&amp;ADDRESS(8,COLUMN()+6,4)&amp;":"&amp;ADDRESS(73,COLUMN()+6,4)),MATCH($B28,INDIRECT($B$1&amp;"!$A$8:$A$73"),0)),CONFIG!$A$15:$B$28,2,FALSE),"")</f>
        <v/>
      </c>
      <c r="G28" s="157">
        <f>IFERROR(VLOOKUP(INDEX(INDIRECT($B$1&amp;"!"&amp;ADDRESS(8,COLUMN()+6,4)&amp;":"&amp;ADDRESS(73,COLUMN()+6,4)),MATCH($B28,INDIRECT($B$1&amp;"!$A$8:$A$73"),0)),CONFIG!$A$15:$B$28,2,FALSE),"")</f>
        <v/>
      </c>
      <c r="H28" s="157">
        <f>IFERROR(VLOOKUP(INDEX(INDIRECT($B$1&amp;"!"&amp;ADDRESS(8,COLUMN()+6,4)&amp;":"&amp;ADDRESS(73,COLUMN()+6,4)),MATCH($B28,INDIRECT($B$1&amp;"!$A$8:$A$73"),0)),CONFIG!$A$15:$B$28,2,FALSE),"")</f>
        <v/>
      </c>
      <c r="I28" s="157">
        <f>IFERROR(VLOOKUP(INDEX(INDIRECT($B$1&amp;"!"&amp;ADDRESS(8,COLUMN()+6,4)&amp;":"&amp;ADDRESS(73,COLUMN()+6,4)),MATCH($B28,INDIRECT($B$1&amp;"!$A$8:$A$73"),0)),CONFIG!$A$15:$B$28,2,FALSE),"")</f>
        <v/>
      </c>
      <c r="J28" s="157">
        <f>IFERROR(VLOOKUP(INDEX(INDIRECT($B$1&amp;"!"&amp;ADDRESS(8,COLUMN()+6,4)&amp;":"&amp;ADDRESS(73,COLUMN()+6,4)),MATCH($B28,INDIRECT($B$1&amp;"!$A$8:$A$73"),0)),CONFIG!$A$15:$B$28,2,FALSE),"")</f>
        <v/>
      </c>
      <c r="K28" s="157">
        <f>IFERROR(VLOOKUP(INDEX(INDIRECT($B$1&amp;"!"&amp;ADDRESS(8,COLUMN()+6,4)&amp;":"&amp;ADDRESS(73,COLUMN()+6,4)),MATCH($B28,INDIRECT($B$1&amp;"!$A$8:$A$73"),0)),CONFIG!$A$15:$B$28,2,FALSE),"")</f>
        <v/>
      </c>
      <c r="L28" s="157">
        <f>IFERROR(VLOOKUP(INDEX(INDIRECT($B$1&amp;"!"&amp;ADDRESS(8,COLUMN()+6,4)&amp;":"&amp;ADDRESS(73,COLUMN()+6,4)),MATCH($B28,INDIRECT($B$1&amp;"!$A$8:$A$73"),0)),CONFIG!$A$15:$B$28,2,FALSE),"")</f>
        <v/>
      </c>
      <c r="M28" s="157">
        <f>IFERROR(VLOOKUP(INDEX(INDIRECT($B$1&amp;"!"&amp;ADDRESS(8,COLUMN()+6,4)&amp;":"&amp;ADDRESS(73,COLUMN()+6,4)),MATCH($B28,INDIRECT($B$1&amp;"!$A$8:$A$73"),0)),CONFIG!$A$15:$B$28,2,FALSE),"")</f>
        <v/>
      </c>
      <c r="N28" s="157">
        <f>IFERROR(VLOOKUP(INDEX(INDIRECT($B$1&amp;"!"&amp;ADDRESS(8,COLUMN()+6,4)&amp;":"&amp;ADDRESS(73,COLUMN()+6,4)),MATCH($B28,INDIRECT($B$1&amp;"!$A$8:$A$73"),0)),CONFIG!$A$15:$B$28,2,FALSE),"")</f>
        <v/>
      </c>
      <c r="O28" s="157">
        <f>IFERROR(VLOOKUP(INDEX(INDIRECT($B$1&amp;"!"&amp;ADDRESS(8,COLUMN()+6,4)&amp;":"&amp;ADDRESS(73,COLUMN()+6,4)),MATCH($B28,INDIRECT($B$1&amp;"!$A$8:$A$73"),0)),CONFIG!$A$15:$B$28,2,FALSE),"")</f>
        <v/>
      </c>
      <c r="P28" s="157">
        <f>IFERROR(VLOOKUP(INDEX(INDIRECT($B$1&amp;"!"&amp;ADDRESS(8,COLUMN()+6,4)&amp;":"&amp;ADDRESS(73,COLUMN()+6,4)),MATCH($B28,INDIRECT($B$1&amp;"!$A$8:$A$73"),0)),CONFIG!$A$15:$B$28,2,FALSE),"")</f>
        <v/>
      </c>
      <c r="Q28" s="157">
        <f>IFERROR(VLOOKUP(INDEX(INDIRECT($B$1&amp;"!"&amp;ADDRESS(8,COLUMN()+6,4)&amp;":"&amp;ADDRESS(73,COLUMN()+6,4)),MATCH($B28,INDIRECT($B$1&amp;"!$A$8:$A$73"),0)),CONFIG!$A$15:$B$28,2,FALSE),"")</f>
        <v/>
      </c>
      <c r="R28" s="157">
        <f>IFERROR(VLOOKUP(INDEX(INDIRECT($B$1&amp;"!"&amp;ADDRESS(8,COLUMN()+6,4)&amp;":"&amp;ADDRESS(73,COLUMN()+6,4)),MATCH($B28,INDIRECT($B$1&amp;"!$A$8:$A$73"),0)),CONFIG!$A$15:$B$28,2,FALSE),"")</f>
        <v/>
      </c>
      <c r="S28" s="157">
        <f>IFERROR(VLOOKUP(INDEX(INDIRECT($B$1&amp;"!"&amp;ADDRESS(8,COLUMN()+6,4)&amp;":"&amp;ADDRESS(73,COLUMN()+6,4)),MATCH($B28,INDIRECT($B$1&amp;"!$A$8:$A$73"),0)),CONFIG!$A$15:$B$28,2,FALSE),"")</f>
        <v/>
      </c>
      <c r="T28" s="157">
        <f>IFERROR(VLOOKUP(INDEX(INDIRECT($B$1&amp;"!"&amp;ADDRESS(8,COLUMN()+6,4)&amp;":"&amp;ADDRESS(73,COLUMN()+6,4)),MATCH($B28,INDIRECT($B$1&amp;"!$A$8:$A$73"),0)),CONFIG!$A$15:$B$28,2,FALSE),"")</f>
        <v/>
      </c>
      <c r="U28" s="157">
        <f>IFERROR(VLOOKUP(INDEX(INDIRECT($B$1&amp;"!"&amp;ADDRESS(8,COLUMN()+6,4)&amp;":"&amp;ADDRESS(73,COLUMN()+6,4)),MATCH($B28,INDIRECT($B$1&amp;"!$A$8:$A$73"),0)),CONFIG!$A$15:$B$28,2,FALSE),"")</f>
        <v/>
      </c>
      <c r="V28" s="157">
        <f>IFERROR(VLOOKUP(INDEX(INDIRECT($B$1&amp;"!"&amp;ADDRESS(8,COLUMN()+6,4)&amp;":"&amp;ADDRESS(73,COLUMN()+6,4)),MATCH($B28,INDIRECT($B$1&amp;"!$A$8:$A$73"),0)),CONFIG!$A$15:$B$28,2,FALSE),"")</f>
        <v/>
      </c>
      <c r="W28" s="157">
        <f>IFERROR(VLOOKUP(INDEX(INDIRECT($B$1&amp;"!"&amp;ADDRESS(8,COLUMN()+6,4)&amp;":"&amp;ADDRESS(73,COLUMN()+6,4)),MATCH($B28,INDIRECT($B$1&amp;"!$A$8:$A$73"),0)),CONFIG!$A$15:$B$28,2,FALSE),"")</f>
        <v/>
      </c>
      <c r="X28" s="157">
        <f>IFERROR(VLOOKUP(INDEX(INDIRECT($B$1&amp;"!"&amp;ADDRESS(8,COLUMN()+6,4)&amp;":"&amp;ADDRESS(73,COLUMN()+6,4)),MATCH($B28,INDIRECT($B$1&amp;"!$A$8:$A$73"),0)),CONFIG!$A$15:$B$28,2,FALSE),"")</f>
        <v/>
      </c>
      <c r="Y28" s="157">
        <f>IFERROR(VLOOKUP(INDEX(INDIRECT($B$1&amp;"!"&amp;ADDRESS(8,COLUMN()+6,4)&amp;":"&amp;ADDRESS(73,COLUMN()+6,4)),MATCH($B28,INDIRECT($B$1&amp;"!$A$8:$A$73"),0)),CONFIG!$A$15:$B$28,2,FALSE),"")</f>
        <v/>
      </c>
      <c r="Z28" s="157">
        <f>IFERROR(VLOOKUP(INDEX(INDIRECT($B$1&amp;"!"&amp;ADDRESS(8,COLUMN()+6,4)&amp;":"&amp;ADDRESS(73,COLUMN()+6,4)),MATCH($B28,INDIRECT($B$1&amp;"!$A$8:$A$73"),0)),CONFIG!$A$15:$B$28,2,FALSE),"")</f>
        <v/>
      </c>
      <c r="AA28" s="157">
        <f>IFERROR(VLOOKUP(INDEX(INDIRECT($B$1&amp;"!"&amp;ADDRESS(8,COLUMN()+6,4)&amp;":"&amp;ADDRESS(73,COLUMN()+6,4)),MATCH($B28,INDIRECT($B$1&amp;"!$A$8:$A$73"),0)),CONFIG!$A$15:$B$28,2,FALSE),"")</f>
        <v/>
      </c>
      <c r="AB28" s="157">
        <f>IFERROR(VLOOKUP(INDEX(INDIRECT($B$1&amp;"!"&amp;ADDRESS(8,COLUMN()+6,4)&amp;":"&amp;ADDRESS(73,COLUMN()+6,4)),MATCH($B28,INDIRECT($B$1&amp;"!$A$8:$A$73"),0)),CONFIG!$A$15:$B$28,2,FALSE),"")</f>
        <v/>
      </c>
      <c r="AC28" s="157">
        <f>IFERROR(VLOOKUP(INDEX(INDIRECT($B$1&amp;"!"&amp;ADDRESS(8,COLUMN()+6,4)&amp;":"&amp;ADDRESS(73,COLUMN()+6,4)),MATCH($B28,INDIRECT($B$1&amp;"!$A$8:$A$73"),0)),CONFIG!$A$15:$B$28,2,FALSE),"")</f>
        <v/>
      </c>
      <c r="AD28" s="157">
        <f>IFERROR(VLOOKUP(INDEX(INDIRECT($B$1&amp;"!"&amp;ADDRESS(8,COLUMN()+6,4)&amp;":"&amp;ADDRESS(73,COLUMN()+6,4)),MATCH($B28,INDIRECT($B$1&amp;"!$A$8:$A$73"),0)),CONFIG!$A$15:$B$28,2,FALSE),"")</f>
        <v/>
      </c>
      <c r="AE28" s="157">
        <f>IFERROR(VLOOKUP(INDEX(INDIRECT($B$1&amp;"!"&amp;ADDRESS(8,COLUMN()+6,4)&amp;":"&amp;ADDRESS(73,COLUMN()+6,4)),MATCH($B28,INDIRECT($B$1&amp;"!$A$8:$A$73"),0)),CONFIG!$A$15:$B$28,2,FALSE),"")</f>
        <v/>
      </c>
      <c r="AF28" s="157">
        <f>IFERROR(VLOOKUP(INDEX(INDIRECT($B$1&amp;"!"&amp;ADDRESS(8,COLUMN()+6,4)&amp;":"&amp;ADDRESS(73,COLUMN()+6,4)),MATCH($B28,INDIRECT($B$1&amp;"!$A$8:$A$73"),0)),CONFIG!$A$15:$B$28,2,FALSE),"")</f>
        <v/>
      </c>
      <c r="AG28" s="157">
        <f>IFERROR(VLOOKUP(INDEX(INDIRECT($B$1&amp;"!"&amp;ADDRESS(8,COLUMN()+6,4)&amp;":"&amp;ADDRESS(73,COLUMN()+6,4)),MATCH($B28,INDIRECT($B$1&amp;"!$A$8:$A$73"),0)),CONFIG!$A$15:$B$28,2,FALSE),"")</f>
        <v/>
      </c>
      <c r="AH28" s="157">
        <f>IFERROR(VLOOKUP(INDEX(INDIRECT($B$1&amp;"!"&amp;ADDRESS(8,COLUMN()+6,4)&amp;":"&amp;ADDRESS(73,COLUMN()+6,4)),MATCH($B28,INDIRECT($B$1&amp;"!$A$8:$A$73"),0)),CONFIG!$A$15:$B$28,2,FALSE),"")</f>
        <v/>
      </c>
      <c r="AI28" s="39" t="n"/>
    </row>
    <row r="29">
      <c r="A29" s="155" t="inlineStr">
        <is>
          <t>Fernando Filardi</t>
        </is>
      </c>
      <c r="B29" s="156" t="inlineStr">
        <is>
          <t>Fernando</t>
        </is>
      </c>
      <c r="C29" s="157">
        <f>IFERROR(VLOOKUP(INDEX(INDIRECT($B$1&amp;"!"&amp;ADDRESS(8,COLUMN()+6,4)&amp;":"&amp;ADDRESS(73,COLUMN()+6,4)),MATCH($B29,INDIRECT($B$1&amp;"!$A$8:$A$73"),0)),CONFIG!$A$15:$B$28,2,FALSE),"")</f>
        <v/>
      </c>
      <c r="D29" s="157">
        <f>IFERROR(VLOOKUP(INDEX(INDIRECT($B$1&amp;"!"&amp;ADDRESS(8,COLUMN()+6,4)&amp;":"&amp;ADDRESS(73,COLUMN()+6,4)),MATCH($B29,INDIRECT($B$1&amp;"!$A$8:$A$73"),0)),CONFIG!$A$15:$B$28,2,FALSE),"")</f>
        <v/>
      </c>
      <c r="E29" s="157">
        <f>IFERROR(VLOOKUP(INDEX(INDIRECT($B$1&amp;"!"&amp;ADDRESS(8,COLUMN()+6,4)&amp;":"&amp;ADDRESS(73,COLUMN()+6,4)),MATCH($B29,INDIRECT($B$1&amp;"!$A$8:$A$73"),0)),CONFIG!$A$15:$B$28,2,FALSE),"")</f>
        <v/>
      </c>
      <c r="F29" s="157">
        <f>IFERROR(VLOOKUP(INDEX(INDIRECT($B$1&amp;"!"&amp;ADDRESS(8,COLUMN()+6,4)&amp;":"&amp;ADDRESS(73,COLUMN()+6,4)),MATCH($B29,INDIRECT($B$1&amp;"!$A$8:$A$73"),0)),CONFIG!$A$15:$B$28,2,FALSE),"")</f>
        <v/>
      </c>
      <c r="G29" s="157">
        <f>IFERROR(VLOOKUP(INDEX(INDIRECT($B$1&amp;"!"&amp;ADDRESS(8,COLUMN()+6,4)&amp;":"&amp;ADDRESS(73,COLUMN()+6,4)),MATCH($B29,INDIRECT($B$1&amp;"!$A$8:$A$73"),0)),CONFIG!$A$15:$B$28,2,FALSE),"")</f>
        <v/>
      </c>
      <c r="H29" s="157">
        <f>IFERROR(VLOOKUP(INDEX(INDIRECT($B$1&amp;"!"&amp;ADDRESS(8,COLUMN()+6,4)&amp;":"&amp;ADDRESS(73,COLUMN()+6,4)),MATCH($B29,INDIRECT($B$1&amp;"!$A$8:$A$73"),0)),CONFIG!$A$15:$B$28,2,FALSE),"")</f>
        <v/>
      </c>
      <c r="I29" s="157">
        <f>IFERROR(VLOOKUP(INDEX(INDIRECT($B$1&amp;"!"&amp;ADDRESS(8,COLUMN()+6,4)&amp;":"&amp;ADDRESS(73,COLUMN()+6,4)),MATCH($B29,INDIRECT($B$1&amp;"!$A$8:$A$73"),0)),CONFIG!$A$15:$B$28,2,FALSE),"")</f>
        <v/>
      </c>
      <c r="J29" s="157">
        <f>IFERROR(VLOOKUP(INDEX(INDIRECT($B$1&amp;"!"&amp;ADDRESS(8,COLUMN()+6,4)&amp;":"&amp;ADDRESS(73,COLUMN()+6,4)),MATCH($B29,INDIRECT($B$1&amp;"!$A$8:$A$73"),0)),CONFIG!$A$15:$B$28,2,FALSE),"")</f>
        <v/>
      </c>
      <c r="K29" s="157">
        <f>IFERROR(VLOOKUP(INDEX(INDIRECT($B$1&amp;"!"&amp;ADDRESS(8,COLUMN()+6,4)&amp;":"&amp;ADDRESS(73,COLUMN()+6,4)),MATCH($B29,INDIRECT($B$1&amp;"!$A$8:$A$73"),0)),CONFIG!$A$15:$B$28,2,FALSE),"")</f>
        <v/>
      </c>
      <c r="L29" s="157">
        <f>IFERROR(VLOOKUP(INDEX(INDIRECT($B$1&amp;"!"&amp;ADDRESS(8,COLUMN()+6,4)&amp;":"&amp;ADDRESS(73,COLUMN()+6,4)),MATCH($B29,INDIRECT($B$1&amp;"!$A$8:$A$73"),0)),CONFIG!$A$15:$B$28,2,FALSE),"")</f>
        <v/>
      </c>
      <c r="M29" s="157">
        <f>IFERROR(VLOOKUP(INDEX(INDIRECT($B$1&amp;"!"&amp;ADDRESS(8,COLUMN()+6,4)&amp;":"&amp;ADDRESS(73,COLUMN()+6,4)),MATCH($B29,INDIRECT($B$1&amp;"!$A$8:$A$73"),0)),CONFIG!$A$15:$B$28,2,FALSE),"")</f>
        <v/>
      </c>
      <c r="N29" s="157">
        <f>IFERROR(VLOOKUP(INDEX(INDIRECT($B$1&amp;"!"&amp;ADDRESS(8,COLUMN()+6,4)&amp;":"&amp;ADDRESS(73,COLUMN()+6,4)),MATCH($B29,INDIRECT($B$1&amp;"!$A$8:$A$73"),0)),CONFIG!$A$15:$B$28,2,FALSE),"")</f>
        <v/>
      </c>
      <c r="O29" s="157">
        <f>IFERROR(VLOOKUP(INDEX(INDIRECT($B$1&amp;"!"&amp;ADDRESS(8,COLUMN()+6,4)&amp;":"&amp;ADDRESS(73,COLUMN()+6,4)),MATCH($B29,INDIRECT($B$1&amp;"!$A$8:$A$73"),0)),CONFIG!$A$15:$B$28,2,FALSE),"")</f>
        <v/>
      </c>
      <c r="P29" s="157">
        <f>IFERROR(VLOOKUP(INDEX(INDIRECT($B$1&amp;"!"&amp;ADDRESS(8,COLUMN()+6,4)&amp;":"&amp;ADDRESS(73,COLUMN()+6,4)),MATCH($B29,INDIRECT($B$1&amp;"!$A$8:$A$73"),0)),CONFIG!$A$15:$B$28,2,FALSE),"")</f>
        <v/>
      </c>
      <c r="Q29" s="157">
        <f>IFERROR(VLOOKUP(INDEX(INDIRECT($B$1&amp;"!"&amp;ADDRESS(8,COLUMN()+6,4)&amp;":"&amp;ADDRESS(73,COLUMN()+6,4)),MATCH($B29,INDIRECT($B$1&amp;"!$A$8:$A$73"),0)),CONFIG!$A$15:$B$28,2,FALSE),"")</f>
        <v/>
      </c>
      <c r="R29" s="157">
        <f>IFERROR(VLOOKUP(INDEX(INDIRECT($B$1&amp;"!"&amp;ADDRESS(8,COLUMN()+6,4)&amp;":"&amp;ADDRESS(73,COLUMN()+6,4)),MATCH($B29,INDIRECT($B$1&amp;"!$A$8:$A$73"),0)),CONFIG!$A$15:$B$28,2,FALSE),"")</f>
        <v/>
      </c>
      <c r="S29" s="157">
        <f>IFERROR(VLOOKUP(INDEX(INDIRECT($B$1&amp;"!"&amp;ADDRESS(8,COLUMN()+6,4)&amp;":"&amp;ADDRESS(73,COLUMN()+6,4)),MATCH($B29,INDIRECT($B$1&amp;"!$A$8:$A$73"),0)),CONFIG!$A$15:$B$28,2,FALSE),"")</f>
        <v/>
      </c>
      <c r="T29" s="157">
        <f>IFERROR(VLOOKUP(INDEX(INDIRECT($B$1&amp;"!"&amp;ADDRESS(8,COLUMN()+6,4)&amp;":"&amp;ADDRESS(73,COLUMN()+6,4)),MATCH($B29,INDIRECT($B$1&amp;"!$A$8:$A$73"),0)),CONFIG!$A$15:$B$28,2,FALSE),"")</f>
        <v/>
      </c>
      <c r="U29" s="157">
        <f>IFERROR(VLOOKUP(INDEX(INDIRECT($B$1&amp;"!"&amp;ADDRESS(8,COLUMN()+6,4)&amp;":"&amp;ADDRESS(73,COLUMN()+6,4)),MATCH($B29,INDIRECT($B$1&amp;"!$A$8:$A$73"),0)),CONFIG!$A$15:$B$28,2,FALSE),"")</f>
        <v/>
      </c>
      <c r="V29" s="157">
        <f>IFERROR(VLOOKUP(INDEX(INDIRECT($B$1&amp;"!"&amp;ADDRESS(8,COLUMN()+6,4)&amp;":"&amp;ADDRESS(73,COLUMN()+6,4)),MATCH($B29,INDIRECT($B$1&amp;"!$A$8:$A$73"),0)),CONFIG!$A$15:$B$28,2,FALSE),"")</f>
        <v/>
      </c>
      <c r="W29" s="157">
        <f>IFERROR(VLOOKUP(INDEX(INDIRECT($B$1&amp;"!"&amp;ADDRESS(8,COLUMN()+6,4)&amp;":"&amp;ADDRESS(73,COLUMN()+6,4)),MATCH($B29,INDIRECT($B$1&amp;"!$A$8:$A$73"),0)),CONFIG!$A$15:$B$28,2,FALSE),"")</f>
        <v/>
      </c>
      <c r="X29" s="157">
        <f>IFERROR(VLOOKUP(INDEX(INDIRECT($B$1&amp;"!"&amp;ADDRESS(8,COLUMN()+6,4)&amp;":"&amp;ADDRESS(73,COLUMN()+6,4)),MATCH($B29,INDIRECT($B$1&amp;"!$A$8:$A$73"),0)),CONFIG!$A$15:$B$28,2,FALSE),"")</f>
        <v/>
      </c>
      <c r="Y29" s="157">
        <f>IFERROR(VLOOKUP(INDEX(INDIRECT($B$1&amp;"!"&amp;ADDRESS(8,COLUMN()+6,4)&amp;":"&amp;ADDRESS(73,COLUMN()+6,4)),MATCH($B29,INDIRECT($B$1&amp;"!$A$8:$A$73"),0)),CONFIG!$A$15:$B$28,2,FALSE),"")</f>
        <v/>
      </c>
      <c r="Z29" s="157">
        <f>IFERROR(VLOOKUP(INDEX(INDIRECT($B$1&amp;"!"&amp;ADDRESS(8,COLUMN()+6,4)&amp;":"&amp;ADDRESS(73,COLUMN()+6,4)),MATCH($B29,INDIRECT($B$1&amp;"!$A$8:$A$73"),0)),CONFIG!$A$15:$B$28,2,FALSE),"")</f>
        <v/>
      </c>
      <c r="AA29" s="157">
        <f>IFERROR(VLOOKUP(INDEX(INDIRECT($B$1&amp;"!"&amp;ADDRESS(8,COLUMN()+6,4)&amp;":"&amp;ADDRESS(73,COLUMN()+6,4)),MATCH($B29,INDIRECT($B$1&amp;"!$A$8:$A$73"),0)),CONFIG!$A$15:$B$28,2,FALSE),"")</f>
        <v/>
      </c>
      <c r="AB29" s="157">
        <f>IFERROR(VLOOKUP(INDEX(INDIRECT($B$1&amp;"!"&amp;ADDRESS(8,COLUMN()+6,4)&amp;":"&amp;ADDRESS(73,COLUMN()+6,4)),MATCH($B29,INDIRECT($B$1&amp;"!$A$8:$A$73"),0)),CONFIG!$A$15:$B$28,2,FALSE),"")</f>
        <v/>
      </c>
      <c r="AC29" s="157">
        <f>IFERROR(VLOOKUP(INDEX(INDIRECT($B$1&amp;"!"&amp;ADDRESS(8,COLUMN()+6,4)&amp;":"&amp;ADDRESS(73,COLUMN()+6,4)),MATCH($B29,INDIRECT($B$1&amp;"!$A$8:$A$73"),0)),CONFIG!$A$15:$B$28,2,FALSE),"")</f>
        <v/>
      </c>
      <c r="AD29" s="157">
        <f>IFERROR(VLOOKUP(INDEX(INDIRECT($B$1&amp;"!"&amp;ADDRESS(8,COLUMN()+6,4)&amp;":"&amp;ADDRESS(73,COLUMN()+6,4)),MATCH($B29,INDIRECT($B$1&amp;"!$A$8:$A$73"),0)),CONFIG!$A$15:$B$28,2,FALSE),"")</f>
        <v/>
      </c>
      <c r="AE29" s="157">
        <f>IFERROR(VLOOKUP(INDEX(INDIRECT($B$1&amp;"!"&amp;ADDRESS(8,COLUMN()+6,4)&amp;":"&amp;ADDRESS(73,COLUMN()+6,4)),MATCH($B29,INDIRECT($B$1&amp;"!$A$8:$A$73"),0)),CONFIG!$A$15:$B$28,2,FALSE),"")</f>
        <v/>
      </c>
      <c r="AF29" s="157">
        <f>IFERROR(VLOOKUP(INDEX(INDIRECT($B$1&amp;"!"&amp;ADDRESS(8,COLUMN()+6,4)&amp;":"&amp;ADDRESS(73,COLUMN()+6,4)),MATCH($B29,INDIRECT($B$1&amp;"!$A$8:$A$73"),0)),CONFIG!$A$15:$B$28,2,FALSE),"")</f>
        <v/>
      </c>
      <c r="AG29" s="157">
        <f>IFERROR(VLOOKUP(INDEX(INDIRECT($B$1&amp;"!"&amp;ADDRESS(8,COLUMN()+6,4)&amp;":"&amp;ADDRESS(73,COLUMN()+6,4)),MATCH($B29,INDIRECT($B$1&amp;"!$A$8:$A$73"),0)),CONFIG!$A$15:$B$28,2,FALSE),"")</f>
        <v/>
      </c>
      <c r="AH29" s="157">
        <f>IFERROR(VLOOKUP(INDEX(INDIRECT($B$1&amp;"!"&amp;ADDRESS(8,COLUMN()+6,4)&amp;":"&amp;ADDRESS(73,COLUMN()+6,4)),MATCH($B29,INDIRECT($B$1&amp;"!$A$8:$A$73"),0)),CONFIG!$A$15:$B$28,2,FALSE),"")</f>
        <v/>
      </c>
      <c r="AI29" s="39" t="n"/>
    </row>
    <row r="30">
      <c r="A30" s="155" t="inlineStr">
        <is>
          <t>João</t>
        </is>
      </c>
      <c r="B30" s="156" t="inlineStr">
        <is>
          <t>João</t>
        </is>
      </c>
      <c r="C30" s="157">
        <f>IFERROR(VLOOKUP(INDEX(INDIRECT($B$1&amp;"!"&amp;ADDRESS(8,COLUMN()+6,4)&amp;":"&amp;ADDRESS(73,COLUMN()+6,4)),MATCH($B30,INDIRECT($B$1&amp;"!$A$8:$A$73"),0)),CONFIG!$A$15:$B$28,2,FALSE),"")</f>
        <v/>
      </c>
      <c r="D30" s="157">
        <f>IFERROR(VLOOKUP(INDEX(INDIRECT($B$1&amp;"!"&amp;ADDRESS(8,COLUMN()+6,4)&amp;":"&amp;ADDRESS(73,COLUMN()+6,4)),MATCH($B30,INDIRECT($B$1&amp;"!$A$8:$A$73"),0)),CONFIG!$A$15:$B$28,2,FALSE),"")</f>
        <v/>
      </c>
      <c r="E30" s="157">
        <f>IFERROR(VLOOKUP(INDEX(INDIRECT($B$1&amp;"!"&amp;ADDRESS(8,COLUMN()+6,4)&amp;":"&amp;ADDRESS(73,COLUMN()+6,4)),MATCH($B30,INDIRECT($B$1&amp;"!$A$8:$A$73"),0)),CONFIG!$A$15:$B$28,2,FALSE),"")</f>
        <v/>
      </c>
      <c r="F30" s="157">
        <f>IFERROR(VLOOKUP(INDEX(INDIRECT($B$1&amp;"!"&amp;ADDRESS(8,COLUMN()+6,4)&amp;":"&amp;ADDRESS(73,COLUMN()+6,4)),MATCH($B30,INDIRECT($B$1&amp;"!$A$8:$A$73"),0)),CONFIG!$A$15:$B$28,2,FALSE),"")</f>
        <v/>
      </c>
      <c r="G30" s="157">
        <f>IFERROR(VLOOKUP(INDEX(INDIRECT($B$1&amp;"!"&amp;ADDRESS(8,COLUMN()+6,4)&amp;":"&amp;ADDRESS(73,COLUMN()+6,4)),MATCH($B30,INDIRECT($B$1&amp;"!$A$8:$A$73"),0)),CONFIG!$A$15:$B$28,2,FALSE),"")</f>
        <v/>
      </c>
      <c r="H30" s="157">
        <f>IFERROR(VLOOKUP(INDEX(INDIRECT($B$1&amp;"!"&amp;ADDRESS(8,COLUMN()+6,4)&amp;":"&amp;ADDRESS(73,COLUMN()+6,4)),MATCH($B30,INDIRECT($B$1&amp;"!$A$8:$A$73"),0)),CONFIG!$A$15:$B$28,2,FALSE),"")</f>
        <v/>
      </c>
      <c r="I30" s="157">
        <f>IFERROR(VLOOKUP(INDEX(INDIRECT($B$1&amp;"!"&amp;ADDRESS(8,COLUMN()+6,4)&amp;":"&amp;ADDRESS(73,COLUMN()+6,4)),MATCH($B30,INDIRECT($B$1&amp;"!$A$8:$A$73"),0)),CONFIG!$A$15:$B$28,2,FALSE),"")</f>
        <v/>
      </c>
      <c r="J30" s="157">
        <f>IFERROR(VLOOKUP(INDEX(INDIRECT($B$1&amp;"!"&amp;ADDRESS(8,COLUMN()+6,4)&amp;":"&amp;ADDRESS(73,COLUMN()+6,4)),MATCH($B30,INDIRECT($B$1&amp;"!$A$8:$A$73"),0)),CONFIG!$A$15:$B$28,2,FALSE),"")</f>
        <v/>
      </c>
      <c r="K30" s="157">
        <f>IFERROR(VLOOKUP(INDEX(INDIRECT($B$1&amp;"!"&amp;ADDRESS(8,COLUMN()+6,4)&amp;":"&amp;ADDRESS(73,COLUMN()+6,4)),MATCH($B30,INDIRECT($B$1&amp;"!$A$8:$A$73"),0)),CONFIG!$A$15:$B$28,2,FALSE),"")</f>
        <v/>
      </c>
      <c r="L30" s="157">
        <f>IFERROR(VLOOKUP(INDEX(INDIRECT($B$1&amp;"!"&amp;ADDRESS(8,COLUMN()+6,4)&amp;":"&amp;ADDRESS(73,COLUMN()+6,4)),MATCH($B30,INDIRECT($B$1&amp;"!$A$8:$A$73"),0)),CONFIG!$A$15:$B$28,2,FALSE),"")</f>
        <v/>
      </c>
      <c r="M30" s="157">
        <f>IFERROR(VLOOKUP(INDEX(INDIRECT($B$1&amp;"!"&amp;ADDRESS(8,COLUMN()+6,4)&amp;":"&amp;ADDRESS(73,COLUMN()+6,4)),MATCH($B30,INDIRECT($B$1&amp;"!$A$8:$A$73"),0)),CONFIG!$A$15:$B$28,2,FALSE),"")</f>
        <v/>
      </c>
      <c r="N30" s="157">
        <f>IFERROR(VLOOKUP(INDEX(INDIRECT($B$1&amp;"!"&amp;ADDRESS(8,COLUMN()+6,4)&amp;":"&amp;ADDRESS(73,COLUMN()+6,4)),MATCH($B30,INDIRECT($B$1&amp;"!$A$8:$A$73"),0)),CONFIG!$A$15:$B$28,2,FALSE),"")</f>
        <v/>
      </c>
      <c r="O30" s="157">
        <f>IFERROR(VLOOKUP(INDEX(INDIRECT($B$1&amp;"!"&amp;ADDRESS(8,COLUMN()+6,4)&amp;":"&amp;ADDRESS(73,COLUMN()+6,4)),MATCH($B30,INDIRECT($B$1&amp;"!$A$8:$A$73"),0)),CONFIG!$A$15:$B$28,2,FALSE),"")</f>
        <v/>
      </c>
      <c r="P30" s="157">
        <f>IFERROR(VLOOKUP(INDEX(INDIRECT($B$1&amp;"!"&amp;ADDRESS(8,COLUMN()+6,4)&amp;":"&amp;ADDRESS(73,COLUMN()+6,4)),MATCH($B30,INDIRECT($B$1&amp;"!$A$8:$A$73"),0)),CONFIG!$A$15:$B$28,2,FALSE),"")</f>
        <v/>
      </c>
      <c r="Q30" s="157">
        <f>IFERROR(VLOOKUP(INDEX(INDIRECT($B$1&amp;"!"&amp;ADDRESS(8,COLUMN()+6,4)&amp;":"&amp;ADDRESS(73,COLUMN()+6,4)),MATCH($B30,INDIRECT($B$1&amp;"!$A$8:$A$73"),0)),CONFIG!$A$15:$B$28,2,FALSE),"")</f>
        <v/>
      </c>
      <c r="R30" s="157">
        <f>IFERROR(VLOOKUP(INDEX(INDIRECT($B$1&amp;"!"&amp;ADDRESS(8,COLUMN()+6,4)&amp;":"&amp;ADDRESS(73,COLUMN()+6,4)),MATCH($B30,INDIRECT($B$1&amp;"!$A$8:$A$73"),0)),CONFIG!$A$15:$B$28,2,FALSE),"")</f>
        <v/>
      </c>
      <c r="S30" s="157">
        <f>IFERROR(VLOOKUP(INDEX(INDIRECT($B$1&amp;"!"&amp;ADDRESS(8,COLUMN()+6,4)&amp;":"&amp;ADDRESS(73,COLUMN()+6,4)),MATCH($B30,INDIRECT($B$1&amp;"!$A$8:$A$73"),0)),CONFIG!$A$15:$B$28,2,FALSE),"")</f>
        <v/>
      </c>
      <c r="T30" s="157">
        <f>IFERROR(VLOOKUP(INDEX(INDIRECT($B$1&amp;"!"&amp;ADDRESS(8,COLUMN()+6,4)&amp;":"&amp;ADDRESS(73,COLUMN()+6,4)),MATCH($B30,INDIRECT($B$1&amp;"!$A$8:$A$73"),0)),CONFIG!$A$15:$B$28,2,FALSE),"")</f>
        <v/>
      </c>
      <c r="U30" s="157">
        <f>IFERROR(VLOOKUP(INDEX(INDIRECT($B$1&amp;"!"&amp;ADDRESS(8,COLUMN()+6,4)&amp;":"&amp;ADDRESS(73,COLUMN()+6,4)),MATCH($B30,INDIRECT($B$1&amp;"!$A$8:$A$73"),0)),CONFIG!$A$15:$B$28,2,FALSE),"")</f>
        <v/>
      </c>
      <c r="V30" s="157">
        <f>IFERROR(VLOOKUP(INDEX(INDIRECT($B$1&amp;"!"&amp;ADDRESS(8,COLUMN()+6,4)&amp;":"&amp;ADDRESS(73,COLUMN()+6,4)),MATCH($B30,INDIRECT($B$1&amp;"!$A$8:$A$73"),0)),CONFIG!$A$15:$B$28,2,FALSE),"")</f>
        <v/>
      </c>
      <c r="W30" s="157">
        <f>IFERROR(VLOOKUP(INDEX(INDIRECT($B$1&amp;"!"&amp;ADDRESS(8,COLUMN()+6,4)&amp;":"&amp;ADDRESS(73,COLUMN()+6,4)),MATCH($B30,INDIRECT($B$1&amp;"!$A$8:$A$73"),0)),CONFIG!$A$15:$B$28,2,FALSE),"")</f>
        <v/>
      </c>
      <c r="X30" s="157">
        <f>IFERROR(VLOOKUP(INDEX(INDIRECT($B$1&amp;"!"&amp;ADDRESS(8,COLUMN()+6,4)&amp;":"&amp;ADDRESS(73,COLUMN()+6,4)),MATCH($B30,INDIRECT($B$1&amp;"!$A$8:$A$73"),0)),CONFIG!$A$15:$B$28,2,FALSE),"")</f>
        <v/>
      </c>
      <c r="Y30" s="157">
        <f>IFERROR(VLOOKUP(INDEX(INDIRECT($B$1&amp;"!"&amp;ADDRESS(8,COLUMN()+6,4)&amp;":"&amp;ADDRESS(73,COLUMN()+6,4)),MATCH($B30,INDIRECT($B$1&amp;"!$A$8:$A$73"),0)),CONFIG!$A$15:$B$28,2,FALSE),"")</f>
        <v/>
      </c>
      <c r="Z30" s="157">
        <f>IFERROR(VLOOKUP(INDEX(INDIRECT($B$1&amp;"!"&amp;ADDRESS(8,COLUMN()+6,4)&amp;":"&amp;ADDRESS(73,COLUMN()+6,4)),MATCH($B30,INDIRECT($B$1&amp;"!$A$8:$A$73"),0)),CONFIG!$A$15:$B$28,2,FALSE),"")</f>
        <v/>
      </c>
      <c r="AA30" s="157">
        <f>IFERROR(VLOOKUP(INDEX(INDIRECT($B$1&amp;"!"&amp;ADDRESS(8,COLUMN()+6,4)&amp;":"&amp;ADDRESS(73,COLUMN()+6,4)),MATCH($B30,INDIRECT($B$1&amp;"!$A$8:$A$73"),0)),CONFIG!$A$15:$B$28,2,FALSE),"")</f>
        <v/>
      </c>
      <c r="AB30" s="157">
        <f>IFERROR(VLOOKUP(INDEX(INDIRECT($B$1&amp;"!"&amp;ADDRESS(8,COLUMN()+6,4)&amp;":"&amp;ADDRESS(73,COLUMN()+6,4)),MATCH($B30,INDIRECT($B$1&amp;"!$A$8:$A$73"),0)),CONFIG!$A$15:$B$28,2,FALSE),"")</f>
        <v/>
      </c>
      <c r="AC30" s="157">
        <f>IFERROR(VLOOKUP(INDEX(INDIRECT($B$1&amp;"!"&amp;ADDRESS(8,COLUMN()+6,4)&amp;":"&amp;ADDRESS(73,COLUMN()+6,4)),MATCH($B30,INDIRECT($B$1&amp;"!$A$8:$A$73"),0)),CONFIG!$A$15:$B$28,2,FALSE),"")</f>
        <v/>
      </c>
      <c r="AD30" s="157">
        <f>IFERROR(VLOOKUP(INDEX(INDIRECT($B$1&amp;"!"&amp;ADDRESS(8,COLUMN()+6,4)&amp;":"&amp;ADDRESS(73,COLUMN()+6,4)),MATCH($B30,INDIRECT($B$1&amp;"!$A$8:$A$73"),0)),CONFIG!$A$15:$B$28,2,FALSE),"")</f>
        <v/>
      </c>
      <c r="AE30" s="157">
        <f>IFERROR(VLOOKUP(INDEX(INDIRECT($B$1&amp;"!"&amp;ADDRESS(8,COLUMN()+6,4)&amp;":"&amp;ADDRESS(73,COLUMN()+6,4)),MATCH($B30,INDIRECT($B$1&amp;"!$A$8:$A$73"),0)),CONFIG!$A$15:$B$28,2,FALSE),"")</f>
        <v/>
      </c>
      <c r="AF30" s="157">
        <f>IFERROR(VLOOKUP(INDEX(INDIRECT($B$1&amp;"!"&amp;ADDRESS(8,COLUMN()+6,4)&amp;":"&amp;ADDRESS(73,COLUMN()+6,4)),MATCH($B30,INDIRECT($B$1&amp;"!$A$8:$A$73"),0)),CONFIG!$A$15:$B$28,2,FALSE),"")</f>
        <v/>
      </c>
      <c r="AG30" s="157">
        <f>IFERROR(VLOOKUP(INDEX(INDIRECT($B$1&amp;"!"&amp;ADDRESS(8,COLUMN()+6,4)&amp;":"&amp;ADDRESS(73,COLUMN()+6,4)),MATCH($B30,INDIRECT($B$1&amp;"!$A$8:$A$73"),0)),CONFIG!$A$15:$B$28,2,FALSE),"")</f>
        <v/>
      </c>
      <c r="AH30" s="157">
        <f>IFERROR(VLOOKUP(INDEX(INDIRECT($B$1&amp;"!"&amp;ADDRESS(8,COLUMN()+6,4)&amp;":"&amp;ADDRESS(73,COLUMN()+6,4)),MATCH($B30,INDIRECT($B$1&amp;"!$A$8:$A$73"),0)),CONFIG!$A$15:$B$28,2,FALSE),"")</f>
        <v/>
      </c>
      <c r="AI30" s="39" t="n"/>
    </row>
    <row r="31">
      <c r="A31" s="155" t="inlineStr">
        <is>
          <t>Juliana Coutinho</t>
        </is>
      </c>
      <c r="B31" s="156" t="inlineStr">
        <is>
          <t>JuCoutinho</t>
        </is>
      </c>
      <c r="C31" s="157">
        <f>IFERROR(VLOOKUP(INDEX(INDIRECT($B$1&amp;"!"&amp;ADDRESS(8,COLUMN()+6,4)&amp;":"&amp;ADDRESS(73,COLUMN()+6,4)),MATCH($B31,INDIRECT($B$1&amp;"!$A$8:$A$73"),0)),CONFIG!$A$15:$B$28,2,FALSE),"")</f>
        <v/>
      </c>
      <c r="D31" s="157">
        <f>IFERROR(VLOOKUP(INDEX(INDIRECT($B$1&amp;"!"&amp;ADDRESS(8,COLUMN()+6,4)&amp;":"&amp;ADDRESS(73,COLUMN()+6,4)),MATCH($B31,INDIRECT($B$1&amp;"!$A$8:$A$73"),0)),CONFIG!$A$15:$B$28,2,FALSE),"")</f>
        <v/>
      </c>
      <c r="E31" s="157">
        <f>IFERROR(VLOOKUP(INDEX(INDIRECT($B$1&amp;"!"&amp;ADDRESS(8,COLUMN()+6,4)&amp;":"&amp;ADDRESS(73,COLUMN()+6,4)),MATCH($B31,INDIRECT($B$1&amp;"!$A$8:$A$73"),0)),CONFIG!$A$15:$B$28,2,FALSE),"")</f>
        <v/>
      </c>
      <c r="F31" s="157">
        <f>IFERROR(VLOOKUP(INDEX(INDIRECT($B$1&amp;"!"&amp;ADDRESS(8,COLUMN()+6,4)&amp;":"&amp;ADDRESS(73,COLUMN()+6,4)),MATCH($B31,INDIRECT($B$1&amp;"!$A$8:$A$73"),0)),CONFIG!$A$15:$B$28,2,FALSE),"")</f>
        <v/>
      </c>
      <c r="G31" s="157">
        <f>IFERROR(VLOOKUP(INDEX(INDIRECT($B$1&amp;"!"&amp;ADDRESS(8,COLUMN()+6,4)&amp;":"&amp;ADDRESS(73,COLUMN()+6,4)),MATCH($B31,INDIRECT($B$1&amp;"!$A$8:$A$73"),0)),CONFIG!$A$15:$B$28,2,FALSE),"")</f>
        <v/>
      </c>
      <c r="H31" s="157">
        <f>IFERROR(VLOOKUP(INDEX(INDIRECT($B$1&amp;"!"&amp;ADDRESS(8,COLUMN()+6,4)&amp;":"&amp;ADDRESS(73,COLUMN()+6,4)),MATCH($B31,INDIRECT($B$1&amp;"!$A$8:$A$73"),0)),CONFIG!$A$15:$B$28,2,FALSE),"")</f>
        <v/>
      </c>
      <c r="I31" s="157">
        <f>IFERROR(VLOOKUP(INDEX(INDIRECT($B$1&amp;"!"&amp;ADDRESS(8,COLUMN()+6,4)&amp;":"&amp;ADDRESS(73,COLUMN()+6,4)),MATCH($B31,INDIRECT($B$1&amp;"!$A$8:$A$73"),0)),CONFIG!$A$15:$B$28,2,FALSE),"")</f>
        <v/>
      </c>
      <c r="J31" s="157">
        <f>IFERROR(VLOOKUP(INDEX(INDIRECT($B$1&amp;"!"&amp;ADDRESS(8,COLUMN()+6,4)&amp;":"&amp;ADDRESS(73,COLUMN()+6,4)),MATCH($B31,INDIRECT($B$1&amp;"!$A$8:$A$73"),0)),CONFIG!$A$15:$B$28,2,FALSE),"")</f>
        <v/>
      </c>
      <c r="K31" s="157">
        <f>IFERROR(VLOOKUP(INDEX(INDIRECT($B$1&amp;"!"&amp;ADDRESS(8,COLUMN()+6,4)&amp;":"&amp;ADDRESS(73,COLUMN()+6,4)),MATCH($B31,INDIRECT($B$1&amp;"!$A$8:$A$73"),0)),CONFIG!$A$15:$B$28,2,FALSE),"")</f>
        <v/>
      </c>
      <c r="L31" s="157">
        <f>IFERROR(VLOOKUP(INDEX(INDIRECT($B$1&amp;"!"&amp;ADDRESS(8,COLUMN()+6,4)&amp;":"&amp;ADDRESS(73,COLUMN()+6,4)),MATCH($B31,INDIRECT($B$1&amp;"!$A$8:$A$73"),0)),CONFIG!$A$15:$B$28,2,FALSE),"")</f>
        <v/>
      </c>
      <c r="M31" s="157">
        <f>IFERROR(VLOOKUP(INDEX(INDIRECT($B$1&amp;"!"&amp;ADDRESS(8,COLUMN()+6,4)&amp;":"&amp;ADDRESS(73,COLUMN()+6,4)),MATCH($B31,INDIRECT($B$1&amp;"!$A$8:$A$73"),0)),CONFIG!$A$15:$B$28,2,FALSE),"")</f>
        <v/>
      </c>
      <c r="N31" s="157">
        <f>IFERROR(VLOOKUP(INDEX(INDIRECT($B$1&amp;"!"&amp;ADDRESS(8,COLUMN()+6,4)&amp;":"&amp;ADDRESS(73,COLUMN()+6,4)),MATCH($B31,INDIRECT($B$1&amp;"!$A$8:$A$73"),0)),CONFIG!$A$15:$B$28,2,FALSE),"")</f>
        <v/>
      </c>
      <c r="O31" s="157">
        <f>IFERROR(VLOOKUP(INDEX(INDIRECT($B$1&amp;"!"&amp;ADDRESS(8,COLUMN()+6,4)&amp;":"&amp;ADDRESS(73,COLUMN()+6,4)),MATCH($B31,INDIRECT($B$1&amp;"!$A$8:$A$73"),0)),CONFIG!$A$15:$B$28,2,FALSE),"")</f>
        <v/>
      </c>
      <c r="P31" s="157">
        <f>IFERROR(VLOOKUP(INDEX(INDIRECT($B$1&amp;"!"&amp;ADDRESS(8,COLUMN()+6,4)&amp;":"&amp;ADDRESS(73,COLUMN()+6,4)),MATCH($B31,INDIRECT($B$1&amp;"!$A$8:$A$73"),0)),CONFIG!$A$15:$B$28,2,FALSE),"")</f>
        <v/>
      </c>
      <c r="Q31" s="157">
        <f>IFERROR(VLOOKUP(INDEX(INDIRECT($B$1&amp;"!"&amp;ADDRESS(8,COLUMN()+6,4)&amp;":"&amp;ADDRESS(73,COLUMN()+6,4)),MATCH($B31,INDIRECT($B$1&amp;"!$A$8:$A$73"),0)),CONFIG!$A$15:$B$28,2,FALSE),"")</f>
        <v/>
      </c>
      <c r="R31" s="157">
        <f>IFERROR(VLOOKUP(INDEX(INDIRECT($B$1&amp;"!"&amp;ADDRESS(8,COLUMN()+6,4)&amp;":"&amp;ADDRESS(73,COLUMN()+6,4)),MATCH($B31,INDIRECT($B$1&amp;"!$A$8:$A$73"),0)),CONFIG!$A$15:$B$28,2,FALSE),"")</f>
        <v/>
      </c>
      <c r="S31" s="157">
        <f>IFERROR(VLOOKUP(INDEX(INDIRECT($B$1&amp;"!"&amp;ADDRESS(8,COLUMN()+6,4)&amp;":"&amp;ADDRESS(73,COLUMN()+6,4)),MATCH($B31,INDIRECT($B$1&amp;"!$A$8:$A$73"),0)),CONFIG!$A$15:$B$28,2,FALSE),"")</f>
        <v/>
      </c>
      <c r="T31" s="157">
        <f>IFERROR(VLOOKUP(INDEX(INDIRECT($B$1&amp;"!"&amp;ADDRESS(8,COLUMN()+6,4)&amp;":"&amp;ADDRESS(73,COLUMN()+6,4)),MATCH($B31,INDIRECT($B$1&amp;"!$A$8:$A$73"),0)),CONFIG!$A$15:$B$28,2,FALSE),"")</f>
        <v/>
      </c>
      <c r="U31" s="157">
        <f>IFERROR(VLOOKUP(INDEX(INDIRECT($B$1&amp;"!"&amp;ADDRESS(8,COLUMN()+6,4)&amp;":"&amp;ADDRESS(73,COLUMN()+6,4)),MATCH($B31,INDIRECT($B$1&amp;"!$A$8:$A$73"),0)),CONFIG!$A$15:$B$28,2,FALSE),"")</f>
        <v/>
      </c>
      <c r="V31" s="157">
        <f>IFERROR(VLOOKUP(INDEX(INDIRECT($B$1&amp;"!"&amp;ADDRESS(8,COLUMN()+6,4)&amp;":"&amp;ADDRESS(73,COLUMN()+6,4)),MATCH($B31,INDIRECT($B$1&amp;"!$A$8:$A$73"),0)),CONFIG!$A$15:$B$28,2,FALSE),"")</f>
        <v/>
      </c>
      <c r="W31" s="157">
        <f>IFERROR(VLOOKUP(INDEX(INDIRECT($B$1&amp;"!"&amp;ADDRESS(8,COLUMN()+6,4)&amp;":"&amp;ADDRESS(73,COLUMN()+6,4)),MATCH($B31,INDIRECT($B$1&amp;"!$A$8:$A$73"),0)),CONFIG!$A$15:$B$28,2,FALSE),"")</f>
        <v/>
      </c>
      <c r="X31" s="157">
        <f>IFERROR(VLOOKUP(INDEX(INDIRECT($B$1&amp;"!"&amp;ADDRESS(8,COLUMN()+6,4)&amp;":"&amp;ADDRESS(73,COLUMN()+6,4)),MATCH($B31,INDIRECT($B$1&amp;"!$A$8:$A$73"),0)),CONFIG!$A$15:$B$28,2,FALSE),"")</f>
        <v/>
      </c>
      <c r="Y31" s="157">
        <f>IFERROR(VLOOKUP(INDEX(INDIRECT($B$1&amp;"!"&amp;ADDRESS(8,COLUMN()+6,4)&amp;":"&amp;ADDRESS(73,COLUMN()+6,4)),MATCH($B31,INDIRECT($B$1&amp;"!$A$8:$A$73"),0)),CONFIG!$A$15:$B$28,2,FALSE),"")</f>
        <v/>
      </c>
      <c r="Z31" s="157">
        <f>IFERROR(VLOOKUP(INDEX(INDIRECT($B$1&amp;"!"&amp;ADDRESS(8,COLUMN()+6,4)&amp;":"&amp;ADDRESS(73,COLUMN()+6,4)),MATCH($B31,INDIRECT($B$1&amp;"!$A$8:$A$73"),0)),CONFIG!$A$15:$B$28,2,FALSE),"")</f>
        <v/>
      </c>
      <c r="AA31" s="157">
        <f>IFERROR(VLOOKUP(INDEX(INDIRECT($B$1&amp;"!"&amp;ADDRESS(8,COLUMN()+6,4)&amp;":"&amp;ADDRESS(73,COLUMN()+6,4)),MATCH($B31,INDIRECT($B$1&amp;"!$A$8:$A$73"),0)),CONFIG!$A$15:$B$28,2,FALSE),"")</f>
        <v/>
      </c>
      <c r="AB31" s="157">
        <f>IFERROR(VLOOKUP(INDEX(INDIRECT($B$1&amp;"!"&amp;ADDRESS(8,COLUMN()+6,4)&amp;":"&amp;ADDRESS(73,COLUMN()+6,4)),MATCH($B31,INDIRECT($B$1&amp;"!$A$8:$A$73"),0)),CONFIG!$A$15:$B$28,2,FALSE),"")</f>
        <v/>
      </c>
      <c r="AC31" s="157">
        <f>IFERROR(VLOOKUP(INDEX(INDIRECT($B$1&amp;"!"&amp;ADDRESS(8,COLUMN()+6,4)&amp;":"&amp;ADDRESS(73,COLUMN()+6,4)),MATCH($B31,INDIRECT($B$1&amp;"!$A$8:$A$73"),0)),CONFIG!$A$15:$B$28,2,FALSE),"")</f>
        <v/>
      </c>
      <c r="AD31" s="157">
        <f>IFERROR(VLOOKUP(INDEX(INDIRECT($B$1&amp;"!"&amp;ADDRESS(8,COLUMN()+6,4)&amp;":"&amp;ADDRESS(73,COLUMN()+6,4)),MATCH($B31,INDIRECT($B$1&amp;"!$A$8:$A$73"),0)),CONFIG!$A$15:$B$28,2,FALSE),"")</f>
        <v/>
      </c>
      <c r="AE31" s="157">
        <f>IFERROR(VLOOKUP(INDEX(INDIRECT($B$1&amp;"!"&amp;ADDRESS(8,COLUMN()+6,4)&amp;":"&amp;ADDRESS(73,COLUMN()+6,4)),MATCH($B31,INDIRECT($B$1&amp;"!$A$8:$A$73"),0)),CONFIG!$A$15:$B$28,2,FALSE),"")</f>
        <v/>
      </c>
      <c r="AF31" s="157">
        <f>IFERROR(VLOOKUP(INDEX(INDIRECT($B$1&amp;"!"&amp;ADDRESS(8,COLUMN()+6,4)&amp;":"&amp;ADDRESS(73,COLUMN()+6,4)),MATCH($B31,INDIRECT($B$1&amp;"!$A$8:$A$73"),0)),CONFIG!$A$15:$B$28,2,FALSE),"")</f>
        <v/>
      </c>
      <c r="AG31" s="157">
        <f>IFERROR(VLOOKUP(INDEX(INDIRECT($B$1&amp;"!"&amp;ADDRESS(8,COLUMN()+6,4)&amp;":"&amp;ADDRESS(73,COLUMN()+6,4)),MATCH($B31,INDIRECT($B$1&amp;"!$A$8:$A$73"),0)),CONFIG!$A$15:$B$28,2,FALSE),"")</f>
        <v/>
      </c>
      <c r="AH31" s="157">
        <f>IFERROR(VLOOKUP(INDEX(INDIRECT($B$1&amp;"!"&amp;ADDRESS(8,COLUMN()+6,4)&amp;":"&amp;ADDRESS(73,COLUMN()+6,4)),MATCH($B31,INDIRECT($B$1&amp;"!$A$8:$A$73"),0)),CONFIG!$A$15:$B$28,2,FALSE),"")</f>
        <v/>
      </c>
      <c r="AI31" s="39" t="n"/>
    </row>
    <row r="32">
      <c r="A32" s="155" t="inlineStr">
        <is>
          <t>Leticia Lemos</t>
        </is>
      </c>
      <c r="B32" s="156" t="inlineStr">
        <is>
          <t>LeLemos</t>
        </is>
      </c>
      <c r="C32" s="157">
        <f>IFERROR(VLOOKUP(INDEX(INDIRECT($B$1&amp;"!"&amp;ADDRESS(8,COLUMN()+6,4)&amp;":"&amp;ADDRESS(73,COLUMN()+6,4)),MATCH($B32,INDIRECT($B$1&amp;"!$A$8:$A$73"),0)),CONFIG!$A$15:$B$28,2,FALSE),"")</f>
        <v/>
      </c>
      <c r="D32" s="157">
        <f>IFERROR(VLOOKUP(INDEX(INDIRECT($B$1&amp;"!"&amp;ADDRESS(8,COLUMN()+6,4)&amp;":"&amp;ADDRESS(73,COLUMN()+6,4)),MATCH($B32,INDIRECT($B$1&amp;"!$A$8:$A$73"),0)),CONFIG!$A$15:$B$28,2,FALSE),"")</f>
        <v/>
      </c>
      <c r="E32" s="157">
        <f>IFERROR(VLOOKUP(INDEX(INDIRECT($B$1&amp;"!"&amp;ADDRESS(8,COLUMN()+6,4)&amp;":"&amp;ADDRESS(73,COLUMN()+6,4)),MATCH($B32,INDIRECT($B$1&amp;"!$A$8:$A$73"),0)),CONFIG!$A$15:$B$28,2,FALSE),"")</f>
        <v/>
      </c>
      <c r="F32" s="157">
        <f>IFERROR(VLOOKUP(INDEX(INDIRECT($B$1&amp;"!"&amp;ADDRESS(8,COLUMN()+6,4)&amp;":"&amp;ADDRESS(73,COLUMN()+6,4)),MATCH($B32,INDIRECT($B$1&amp;"!$A$8:$A$73"),0)),CONFIG!$A$15:$B$28,2,FALSE),"")</f>
        <v/>
      </c>
      <c r="G32" s="157">
        <f>IFERROR(VLOOKUP(INDEX(INDIRECT($B$1&amp;"!"&amp;ADDRESS(8,COLUMN()+6,4)&amp;":"&amp;ADDRESS(73,COLUMN()+6,4)),MATCH($B32,INDIRECT($B$1&amp;"!$A$8:$A$73"),0)),CONFIG!$A$15:$B$28,2,FALSE),"")</f>
        <v/>
      </c>
      <c r="H32" s="157">
        <f>IFERROR(VLOOKUP(INDEX(INDIRECT($B$1&amp;"!"&amp;ADDRESS(8,COLUMN()+6,4)&amp;":"&amp;ADDRESS(73,COLUMN()+6,4)),MATCH($B32,INDIRECT($B$1&amp;"!$A$8:$A$73"),0)),CONFIG!$A$15:$B$28,2,FALSE),"")</f>
        <v/>
      </c>
      <c r="I32" s="157">
        <f>IFERROR(VLOOKUP(INDEX(INDIRECT($B$1&amp;"!"&amp;ADDRESS(8,COLUMN()+6,4)&amp;":"&amp;ADDRESS(73,COLUMN()+6,4)),MATCH($B32,INDIRECT($B$1&amp;"!$A$8:$A$73"),0)),CONFIG!$A$15:$B$28,2,FALSE),"")</f>
        <v/>
      </c>
      <c r="J32" s="157">
        <f>IFERROR(VLOOKUP(INDEX(INDIRECT($B$1&amp;"!"&amp;ADDRESS(8,COLUMN()+6,4)&amp;":"&amp;ADDRESS(73,COLUMN()+6,4)),MATCH($B32,INDIRECT($B$1&amp;"!$A$8:$A$73"),0)),CONFIG!$A$15:$B$28,2,FALSE),"")</f>
        <v/>
      </c>
      <c r="K32" s="157">
        <f>IFERROR(VLOOKUP(INDEX(INDIRECT($B$1&amp;"!"&amp;ADDRESS(8,COLUMN()+6,4)&amp;":"&amp;ADDRESS(73,COLUMN()+6,4)),MATCH($B32,INDIRECT($B$1&amp;"!$A$8:$A$73"),0)),CONFIG!$A$15:$B$28,2,FALSE),"")</f>
        <v/>
      </c>
      <c r="L32" s="157">
        <f>IFERROR(VLOOKUP(INDEX(INDIRECT($B$1&amp;"!"&amp;ADDRESS(8,COLUMN()+6,4)&amp;":"&amp;ADDRESS(73,COLUMN()+6,4)),MATCH($B32,INDIRECT($B$1&amp;"!$A$8:$A$73"),0)),CONFIG!$A$15:$B$28,2,FALSE),"")</f>
        <v/>
      </c>
      <c r="M32" s="157">
        <f>IFERROR(VLOOKUP(INDEX(INDIRECT($B$1&amp;"!"&amp;ADDRESS(8,COLUMN()+6,4)&amp;":"&amp;ADDRESS(73,COLUMN()+6,4)),MATCH($B32,INDIRECT($B$1&amp;"!$A$8:$A$73"),0)),CONFIG!$A$15:$B$28,2,FALSE),"")</f>
        <v/>
      </c>
      <c r="N32" s="157">
        <f>IFERROR(VLOOKUP(INDEX(INDIRECT($B$1&amp;"!"&amp;ADDRESS(8,COLUMN()+6,4)&amp;":"&amp;ADDRESS(73,COLUMN()+6,4)),MATCH($B32,INDIRECT($B$1&amp;"!$A$8:$A$73"),0)),CONFIG!$A$15:$B$28,2,FALSE),"")</f>
        <v/>
      </c>
      <c r="O32" s="157">
        <f>IFERROR(VLOOKUP(INDEX(INDIRECT($B$1&amp;"!"&amp;ADDRESS(8,COLUMN()+6,4)&amp;":"&amp;ADDRESS(73,COLUMN()+6,4)),MATCH($B32,INDIRECT($B$1&amp;"!$A$8:$A$73"),0)),CONFIG!$A$15:$B$28,2,FALSE),"")</f>
        <v/>
      </c>
      <c r="P32" s="157">
        <f>IFERROR(VLOOKUP(INDEX(INDIRECT($B$1&amp;"!"&amp;ADDRESS(8,COLUMN()+6,4)&amp;":"&amp;ADDRESS(73,COLUMN()+6,4)),MATCH($B32,INDIRECT($B$1&amp;"!$A$8:$A$73"),0)),CONFIG!$A$15:$B$28,2,FALSE),"")</f>
        <v/>
      </c>
      <c r="Q32" s="157">
        <f>IFERROR(VLOOKUP(INDEX(INDIRECT($B$1&amp;"!"&amp;ADDRESS(8,COLUMN()+6,4)&amp;":"&amp;ADDRESS(73,COLUMN()+6,4)),MATCH($B32,INDIRECT($B$1&amp;"!$A$8:$A$73"),0)),CONFIG!$A$15:$B$28,2,FALSE),"")</f>
        <v/>
      </c>
      <c r="R32" s="157">
        <f>IFERROR(VLOOKUP(INDEX(INDIRECT($B$1&amp;"!"&amp;ADDRESS(8,COLUMN()+6,4)&amp;":"&amp;ADDRESS(73,COLUMN()+6,4)),MATCH($B32,INDIRECT($B$1&amp;"!$A$8:$A$73"),0)),CONFIG!$A$15:$B$28,2,FALSE),"")</f>
        <v/>
      </c>
      <c r="S32" s="157">
        <f>IFERROR(VLOOKUP(INDEX(INDIRECT($B$1&amp;"!"&amp;ADDRESS(8,COLUMN()+6,4)&amp;":"&amp;ADDRESS(73,COLUMN()+6,4)),MATCH($B32,INDIRECT($B$1&amp;"!$A$8:$A$73"),0)),CONFIG!$A$15:$B$28,2,FALSE),"")</f>
        <v/>
      </c>
      <c r="T32" s="157">
        <f>IFERROR(VLOOKUP(INDEX(INDIRECT($B$1&amp;"!"&amp;ADDRESS(8,COLUMN()+6,4)&amp;":"&amp;ADDRESS(73,COLUMN()+6,4)),MATCH($B32,INDIRECT($B$1&amp;"!$A$8:$A$73"),0)),CONFIG!$A$15:$B$28,2,FALSE),"")</f>
        <v/>
      </c>
      <c r="U32" s="157">
        <f>IFERROR(VLOOKUP(INDEX(INDIRECT($B$1&amp;"!"&amp;ADDRESS(8,COLUMN()+6,4)&amp;":"&amp;ADDRESS(73,COLUMN()+6,4)),MATCH($B32,INDIRECT($B$1&amp;"!$A$8:$A$73"),0)),CONFIG!$A$15:$B$28,2,FALSE),"")</f>
        <v/>
      </c>
      <c r="V32" s="157">
        <f>IFERROR(VLOOKUP(INDEX(INDIRECT($B$1&amp;"!"&amp;ADDRESS(8,COLUMN()+6,4)&amp;":"&amp;ADDRESS(73,COLUMN()+6,4)),MATCH($B32,INDIRECT($B$1&amp;"!$A$8:$A$73"),0)),CONFIG!$A$15:$B$28,2,FALSE),"")</f>
        <v/>
      </c>
      <c r="W32" s="157">
        <f>IFERROR(VLOOKUP(INDEX(INDIRECT($B$1&amp;"!"&amp;ADDRESS(8,COLUMN()+6,4)&amp;":"&amp;ADDRESS(73,COLUMN()+6,4)),MATCH($B32,INDIRECT($B$1&amp;"!$A$8:$A$73"),0)),CONFIG!$A$15:$B$28,2,FALSE),"")</f>
        <v/>
      </c>
      <c r="X32" s="157">
        <f>IFERROR(VLOOKUP(INDEX(INDIRECT($B$1&amp;"!"&amp;ADDRESS(8,COLUMN()+6,4)&amp;":"&amp;ADDRESS(73,COLUMN()+6,4)),MATCH($B32,INDIRECT($B$1&amp;"!$A$8:$A$73"),0)),CONFIG!$A$15:$B$28,2,FALSE),"")</f>
        <v/>
      </c>
      <c r="Y32" s="157">
        <f>IFERROR(VLOOKUP(INDEX(INDIRECT($B$1&amp;"!"&amp;ADDRESS(8,COLUMN()+6,4)&amp;":"&amp;ADDRESS(73,COLUMN()+6,4)),MATCH($B32,INDIRECT($B$1&amp;"!$A$8:$A$73"),0)),CONFIG!$A$15:$B$28,2,FALSE),"")</f>
        <v/>
      </c>
      <c r="Z32" s="157">
        <f>IFERROR(VLOOKUP(INDEX(INDIRECT($B$1&amp;"!"&amp;ADDRESS(8,COLUMN()+6,4)&amp;":"&amp;ADDRESS(73,COLUMN()+6,4)),MATCH($B32,INDIRECT($B$1&amp;"!$A$8:$A$73"),0)),CONFIG!$A$15:$B$28,2,FALSE),"")</f>
        <v/>
      </c>
      <c r="AA32" s="157">
        <f>IFERROR(VLOOKUP(INDEX(INDIRECT($B$1&amp;"!"&amp;ADDRESS(8,COLUMN()+6,4)&amp;":"&amp;ADDRESS(73,COLUMN()+6,4)),MATCH($B32,INDIRECT($B$1&amp;"!$A$8:$A$73"),0)),CONFIG!$A$15:$B$28,2,FALSE),"")</f>
        <v/>
      </c>
      <c r="AB32" s="157">
        <f>IFERROR(VLOOKUP(INDEX(INDIRECT($B$1&amp;"!"&amp;ADDRESS(8,COLUMN()+6,4)&amp;":"&amp;ADDRESS(73,COLUMN()+6,4)),MATCH($B32,INDIRECT($B$1&amp;"!$A$8:$A$73"),0)),CONFIG!$A$15:$B$28,2,FALSE),"")</f>
        <v/>
      </c>
      <c r="AC32" s="157">
        <f>IFERROR(VLOOKUP(INDEX(INDIRECT($B$1&amp;"!"&amp;ADDRESS(8,COLUMN()+6,4)&amp;":"&amp;ADDRESS(73,COLUMN()+6,4)),MATCH($B32,INDIRECT($B$1&amp;"!$A$8:$A$73"),0)),CONFIG!$A$15:$B$28,2,FALSE),"")</f>
        <v/>
      </c>
      <c r="AD32" s="157">
        <f>IFERROR(VLOOKUP(INDEX(INDIRECT($B$1&amp;"!"&amp;ADDRESS(8,COLUMN()+6,4)&amp;":"&amp;ADDRESS(73,COLUMN()+6,4)),MATCH($B32,INDIRECT($B$1&amp;"!$A$8:$A$73"),0)),CONFIG!$A$15:$B$28,2,FALSE),"")</f>
        <v/>
      </c>
      <c r="AE32" s="157">
        <f>IFERROR(VLOOKUP(INDEX(INDIRECT($B$1&amp;"!"&amp;ADDRESS(8,COLUMN()+6,4)&amp;":"&amp;ADDRESS(73,COLUMN()+6,4)),MATCH($B32,INDIRECT($B$1&amp;"!$A$8:$A$73"),0)),CONFIG!$A$15:$B$28,2,FALSE),"")</f>
        <v/>
      </c>
      <c r="AF32" s="157">
        <f>IFERROR(VLOOKUP(INDEX(INDIRECT($B$1&amp;"!"&amp;ADDRESS(8,COLUMN()+6,4)&amp;":"&amp;ADDRESS(73,COLUMN()+6,4)),MATCH($B32,INDIRECT($B$1&amp;"!$A$8:$A$73"),0)),CONFIG!$A$15:$B$28,2,FALSE),"")</f>
        <v/>
      </c>
      <c r="AG32" s="157">
        <f>IFERROR(VLOOKUP(INDEX(INDIRECT($B$1&amp;"!"&amp;ADDRESS(8,COLUMN()+6,4)&amp;":"&amp;ADDRESS(73,COLUMN()+6,4)),MATCH($B32,INDIRECT($B$1&amp;"!$A$8:$A$73"),0)),CONFIG!$A$15:$B$28,2,FALSE),"")</f>
        <v/>
      </c>
      <c r="AH32" s="157">
        <f>IFERROR(VLOOKUP(INDEX(INDIRECT($B$1&amp;"!"&amp;ADDRESS(8,COLUMN()+6,4)&amp;":"&amp;ADDRESS(73,COLUMN()+6,4)),MATCH($B32,INDIRECT($B$1&amp;"!$A$8:$A$73"),0)),CONFIG!$A$15:$B$28,2,FALSE),"")</f>
        <v/>
      </c>
      <c r="AI32" s="39" t="n"/>
    </row>
    <row r="33">
      <c r="A33" s="155" t="inlineStr">
        <is>
          <t>Leomara</t>
        </is>
      </c>
      <c r="B33" s="156" t="inlineStr">
        <is>
          <t>Leomara</t>
        </is>
      </c>
      <c r="C33" s="157">
        <f>IFERROR(VLOOKUP(INDEX(INDIRECT($B$1&amp;"!"&amp;ADDRESS(8,COLUMN()+6,4)&amp;":"&amp;ADDRESS(73,COLUMN()+6,4)),MATCH($B33,INDIRECT($B$1&amp;"!$A$8:$A$73"),0)),CONFIG!$A$15:$B$28,2,FALSE),"")</f>
        <v/>
      </c>
      <c r="D33" s="157">
        <f>IFERROR(VLOOKUP(INDEX(INDIRECT($B$1&amp;"!"&amp;ADDRESS(8,COLUMN()+6,4)&amp;":"&amp;ADDRESS(73,COLUMN()+6,4)),MATCH($B33,INDIRECT($B$1&amp;"!$A$8:$A$73"),0)),CONFIG!$A$15:$B$28,2,FALSE),"")</f>
        <v/>
      </c>
      <c r="E33" s="157">
        <f>IFERROR(VLOOKUP(INDEX(INDIRECT($B$1&amp;"!"&amp;ADDRESS(8,COLUMN()+6,4)&amp;":"&amp;ADDRESS(73,COLUMN()+6,4)),MATCH($B33,INDIRECT($B$1&amp;"!$A$8:$A$73"),0)),CONFIG!$A$15:$B$28,2,FALSE),"")</f>
        <v/>
      </c>
      <c r="F33" s="157">
        <f>IFERROR(VLOOKUP(INDEX(INDIRECT($B$1&amp;"!"&amp;ADDRESS(8,COLUMN()+6,4)&amp;":"&amp;ADDRESS(73,COLUMN()+6,4)),MATCH($B33,INDIRECT($B$1&amp;"!$A$8:$A$73"),0)),CONFIG!$A$15:$B$28,2,FALSE),"")</f>
        <v/>
      </c>
      <c r="G33" s="157">
        <f>IFERROR(VLOOKUP(INDEX(INDIRECT($B$1&amp;"!"&amp;ADDRESS(8,COLUMN()+6,4)&amp;":"&amp;ADDRESS(73,COLUMN()+6,4)),MATCH($B33,INDIRECT($B$1&amp;"!$A$8:$A$73"),0)),CONFIG!$A$15:$B$28,2,FALSE),"")</f>
        <v/>
      </c>
      <c r="H33" s="157">
        <f>IFERROR(VLOOKUP(INDEX(INDIRECT($B$1&amp;"!"&amp;ADDRESS(8,COLUMN()+6,4)&amp;":"&amp;ADDRESS(73,COLUMN()+6,4)),MATCH($B33,INDIRECT($B$1&amp;"!$A$8:$A$73"),0)),CONFIG!$A$15:$B$28,2,FALSE),"")</f>
        <v/>
      </c>
      <c r="I33" s="157">
        <f>IFERROR(VLOOKUP(INDEX(INDIRECT($B$1&amp;"!"&amp;ADDRESS(8,COLUMN()+6,4)&amp;":"&amp;ADDRESS(73,COLUMN()+6,4)),MATCH($B33,INDIRECT($B$1&amp;"!$A$8:$A$73"),0)),CONFIG!$A$15:$B$28,2,FALSE),"")</f>
        <v/>
      </c>
      <c r="J33" s="157">
        <f>IFERROR(VLOOKUP(INDEX(INDIRECT($B$1&amp;"!"&amp;ADDRESS(8,COLUMN()+6,4)&amp;":"&amp;ADDRESS(73,COLUMN()+6,4)),MATCH($B33,INDIRECT($B$1&amp;"!$A$8:$A$73"),0)),CONFIG!$A$15:$B$28,2,FALSE),"")</f>
        <v/>
      </c>
      <c r="K33" s="157">
        <f>IFERROR(VLOOKUP(INDEX(INDIRECT($B$1&amp;"!"&amp;ADDRESS(8,COLUMN()+6,4)&amp;":"&amp;ADDRESS(73,COLUMN()+6,4)),MATCH($B33,INDIRECT($B$1&amp;"!$A$8:$A$73"),0)),CONFIG!$A$15:$B$28,2,FALSE),"")</f>
        <v/>
      </c>
      <c r="L33" s="157">
        <f>IFERROR(VLOOKUP(INDEX(INDIRECT($B$1&amp;"!"&amp;ADDRESS(8,COLUMN()+6,4)&amp;":"&amp;ADDRESS(73,COLUMN()+6,4)),MATCH($B33,INDIRECT($B$1&amp;"!$A$8:$A$73"),0)),CONFIG!$A$15:$B$28,2,FALSE),"")</f>
        <v/>
      </c>
      <c r="M33" s="157">
        <f>IFERROR(VLOOKUP(INDEX(INDIRECT($B$1&amp;"!"&amp;ADDRESS(8,COLUMN()+6,4)&amp;":"&amp;ADDRESS(73,COLUMN()+6,4)),MATCH($B33,INDIRECT($B$1&amp;"!$A$8:$A$73"),0)),CONFIG!$A$15:$B$28,2,FALSE),"")</f>
        <v/>
      </c>
      <c r="N33" s="157">
        <f>IFERROR(VLOOKUP(INDEX(INDIRECT($B$1&amp;"!"&amp;ADDRESS(8,COLUMN()+6,4)&amp;":"&amp;ADDRESS(73,COLUMN()+6,4)),MATCH($B33,INDIRECT($B$1&amp;"!$A$8:$A$73"),0)),CONFIG!$A$15:$B$28,2,FALSE),"")</f>
        <v/>
      </c>
      <c r="O33" s="157">
        <f>IFERROR(VLOOKUP(INDEX(INDIRECT($B$1&amp;"!"&amp;ADDRESS(8,COLUMN()+6,4)&amp;":"&amp;ADDRESS(73,COLUMN()+6,4)),MATCH($B33,INDIRECT($B$1&amp;"!$A$8:$A$73"),0)),CONFIG!$A$15:$B$28,2,FALSE),"")</f>
        <v/>
      </c>
      <c r="P33" s="157">
        <f>IFERROR(VLOOKUP(INDEX(INDIRECT($B$1&amp;"!"&amp;ADDRESS(8,COLUMN()+6,4)&amp;":"&amp;ADDRESS(73,COLUMN()+6,4)),MATCH($B33,INDIRECT($B$1&amp;"!$A$8:$A$73"),0)),CONFIG!$A$15:$B$28,2,FALSE),"")</f>
        <v/>
      </c>
      <c r="Q33" s="157">
        <f>IFERROR(VLOOKUP(INDEX(INDIRECT($B$1&amp;"!"&amp;ADDRESS(8,COLUMN()+6,4)&amp;":"&amp;ADDRESS(73,COLUMN()+6,4)),MATCH($B33,INDIRECT($B$1&amp;"!$A$8:$A$73"),0)),CONFIG!$A$15:$B$28,2,FALSE),"")</f>
        <v/>
      </c>
      <c r="R33" s="157">
        <f>IFERROR(VLOOKUP(INDEX(INDIRECT($B$1&amp;"!"&amp;ADDRESS(8,COLUMN()+6,4)&amp;":"&amp;ADDRESS(73,COLUMN()+6,4)),MATCH($B33,INDIRECT($B$1&amp;"!$A$8:$A$73"),0)),CONFIG!$A$15:$B$28,2,FALSE),"")</f>
        <v/>
      </c>
      <c r="S33" s="157">
        <f>IFERROR(VLOOKUP(INDEX(INDIRECT($B$1&amp;"!"&amp;ADDRESS(8,COLUMN()+6,4)&amp;":"&amp;ADDRESS(73,COLUMN()+6,4)),MATCH($B33,INDIRECT($B$1&amp;"!$A$8:$A$73"),0)),CONFIG!$A$15:$B$28,2,FALSE),"")</f>
        <v/>
      </c>
      <c r="T33" s="157">
        <f>IFERROR(VLOOKUP(INDEX(INDIRECT($B$1&amp;"!"&amp;ADDRESS(8,COLUMN()+6,4)&amp;":"&amp;ADDRESS(73,COLUMN()+6,4)),MATCH($B33,INDIRECT($B$1&amp;"!$A$8:$A$73"),0)),CONFIG!$A$15:$B$28,2,FALSE),"")</f>
        <v/>
      </c>
      <c r="U33" s="157">
        <f>IFERROR(VLOOKUP(INDEX(INDIRECT($B$1&amp;"!"&amp;ADDRESS(8,COLUMN()+6,4)&amp;":"&amp;ADDRESS(73,COLUMN()+6,4)),MATCH($B33,INDIRECT($B$1&amp;"!$A$8:$A$73"),0)),CONFIG!$A$15:$B$28,2,FALSE),"")</f>
        <v/>
      </c>
      <c r="V33" s="157">
        <f>IFERROR(VLOOKUP(INDEX(INDIRECT($B$1&amp;"!"&amp;ADDRESS(8,COLUMN()+6,4)&amp;":"&amp;ADDRESS(73,COLUMN()+6,4)),MATCH($B33,INDIRECT($B$1&amp;"!$A$8:$A$73"),0)),CONFIG!$A$15:$B$28,2,FALSE),"")</f>
        <v/>
      </c>
      <c r="W33" s="157">
        <f>IFERROR(VLOOKUP(INDEX(INDIRECT($B$1&amp;"!"&amp;ADDRESS(8,COLUMN()+6,4)&amp;":"&amp;ADDRESS(73,COLUMN()+6,4)),MATCH($B33,INDIRECT($B$1&amp;"!$A$8:$A$73"),0)),CONFIG!$A$15:$B$28,2,FALSE),"")</f>
        <v/>
      </c>
      <c r="X33" s="157">
        <f>IFERROR(VLOOKUP(INDEX(INDIRECT($B$1&amp;"!"&amp;ADDRESS(8,COLUMN()+6,4)&amp;":"&amp;ADDRESS(73,COLUMN()+6,4)),MATCH($B33,INDIRECT($B$1&amp;"!$A$8:$A$73"),0)),CONFIG!$A$15:$B$28,2,FALSE),"")</f>
        <v/>
      </c>
      <c r="Y33" s="157">
        <f>IFERROR(VLOOKUP(INDEX(INDIRECT($B$1&amp;"!"&amp;ADDRESS(8,COLUMN()+6,4)&amp;":"&amp;ADDRESS(73,COLUMN()+6,4)),MATCH($B33,INDIRECT($B$1&amp;"!$A$8:$A$73"),0)),CONFIG!$A$15:$B$28,2,FALSE),"")</f>
        <v/>
      </c>
      <c r="Z33" s="157">
        <f>IFERROR(VLOOKUP(INDEX(INDIRECT($B$1&amp;"!"&amp;ADDRESS(8,COLUMN()+6,4)&amp;":"&amp;ADDRESS(73,COLUMN()+6,4)),MATCH($B33,INDIRECT($B$1&amp;"!$A$8:$A$73"),0)),CONFIG!$A$15:$B$28,2,FALSE),"")</f>
        <v/>
      </c>
      <c r="AA33" s="157">
        <f>IFERROR(VLOOKUP(INDEX(INDIRECT($B$1&amp;"!"&amp;ADDRESS(8,COLUMN()+6,4)&amp;":"&amp;ADDRESS(73,COLUMN()+6,4)),MATCH($B33,INDIRECT($B$1&amp;"!$A$8:$A$73"),0)),CONFIG!$A$15:$B$28,2,FALSE),"")</f>
        <v/>
      </c>
      <c r="AB33" s="157">
        <f>IFERROR(VLOOKUP(INDEX(INDIRECT($B$1&amp;"!"&amp;ADDRESS(8,COLUMN()+6,4)&amp;":"&amp;ADDRESS(73,COLUMN()+6,4)),MATCH($B33,INDIRECT($B$1&amp;"!$A$8:$A$73"),0)),CONFIG!$A$15:$B$28,2,FALSE),"")</f>
        <v/>
      </c>
      <c r="AC33" s="157">
        <f>IFERROR(VLOOKUP(INDEX(INDIRECT($B$1&amp;"!"&amp;ADDRESS(8,COLUMN()+6,4)&amp;":"&amp;ADDRESS(73,COLUMN()+6,4)),MATCH($B33,INDIRECT($B$1&amp;"!$A$8:$A$73"),0)),CONFIG!$A$15:$B$28,2,FALSE),"")</f>
        <v/>
      </c>
      <c r="AD33" s="157">
        <f>IFERROR(VLOOKUP(INDEX(INDIRECT($B$1&amp;"!"&amp;ADDRESS(8,COLUMN()+6,4)&amp;":"&amp;ADDRESS(73,COLUMN()+6,4)),MATCH($B33,INDIRECT($B$1&amp;"!$A$8:$A$73"),0)),CONFIG!$A$15:$B$28,2,FALSE),"")</f>
        <v/>
      </c>
      <c r="AE33" s="157">
        <f>IFERROR(VLOOKUP(INDEX(INDIRECT($B$1&amp;"!"&amp;ADDRESS(8,COLUMN()+6,4)&amp;":"&amp;ADDRESS(73,COLUMN()+6,4)),MATCH($B33,INDIRECT($B$1&amp;"!$A$8:$A$73"),0)),CONFIG!$A$15:$B$28,2,FALSE),"")</f>
        <v/>
      </c>
      <c r="AF33" s="157">
        <f>IFERROR(VLOOKUP(INDEX(INDIRECT($B$1&amp;"!"&amp;ADDRESS(8,COLUMN()+6,4)&amp;":"&amp;ADDRESS(73,COLUMN()+6,4)),MATCH($B33,INDIRECT($B$1&amp;"!$A$8:$A$73"),0)),CONFIG!$A$15:$B$28,2,FALSE),"")</f>
        <v/>
      </c>
      <c r="AG33" s="157">
        <f>IFERROR(VLOOKUP(INDEX(INDIRECT($B$1&amp;"!"&amp;ADDRESS(8,COLUMN()+6,4)&amp;":"&amp;ADDRESS(73,COLUMN()+6,4)),MATCH($B33,INDIRECT($B$1&amp;"!$A$8:$A$73"),0)),CONFIG!$A$15:$B$28,2,FALSE),"")</f>
        <v/>
      </c>
      <c r="AH33" s="157">
        <f>IFERROR(VLOOKUP(INDEX(INDIRECT($B$1&amp;"!"&amp;ADDRESS(8,COLUMN()+6,4)&amp;":"&amp;ADDRESS(73,COLUMN()+6,4)),MATCH($B33,INDIRECT($B$1&amp;"!$A$8:$A$73"),0)),CONFIG!$A$15:$B$28,2,FALSE),"")</f>
        <v/>
      </c>
      <c r="AI33" s="39" t="n"/>
    </row>
    <row r="34">
      <c r="A34" s="155" t="inlineStr">
        <is>
          <t>Marilia</t>
        </is>
      </c>
      <c r="B34" s="156" t="inlineStr">
        <is>
          <t>Marilia</t>
        </is>
      </c>
      <c r="C34" s="157">
        <f>IFERROR(VLOOKUP(INDEX(INDIRECT($B$1&amp;"!"&amp;ADDRESS(8,COLUMN()+6,4)&amp;":"&amp;ADDRESS(73,COLUMN()+6,4)),MATCH($B34,INDIRECT($B$1&amp;"!$A$8:$A$73"),0)),CONFIG!$A$15:$B$28,2,FALSE),"")</f>
        <v/>
      </c>
      <c r="D34" s="157">
        <f>IFERROR(VLOOKUP(INDEX(INDIRECT($B$1&amp;"!"&amp;ADDRESS(8,COLUMN()+6,4)&amp;":"&amp;ADDRESS(73,COLUMN()+6,4)),MATCH($B34,INDIRECT($B$1&amp;"!$A$8:$A$73"),0)),CONFIG!$A$15:$B$28,2,FALSE),"")</f>
        <v/>
      </c>
      <c r="E34" s="157">
        <f>IFERROR(VLOOKUP(INDEX(INDIRECT($B$1&amp;"!"&amp;ADDRESS(8,COLUMN()+6,4)&amp;":"&amp;ADDRESS(73,COLUMN()+6,4)),MATCH($B34,INDIRECT($B$1&amp;"!$A$8:$A$73"),0)),CONFIG!$A$15:$B$28,2,FALSE),"")</f>
        <v/>
      </c>
      <c r="F34" s="157">
        <f>IFERROR(VLOOKUP(INDEX(INDIRECT($B$1&amp;"!"&amp;ADDRESS(8,COLUMN()+6,4)&amp;":"&amp;ADDRESS(73,COLUMN()+6,4)),MATCH($B34,INDIRECT($B$1&amp;"!$A$8:$A$73"),0)),CONFIG!$A$15:$B$28,2,FALSE),"")</f>
        <v/>
      </c>
      <c r="G34" s="157">
        <f>IFERROR(VLOOKUP(INDEX(INDIRECT($B$1&amp;"!"&amp;ADDRESS(8,COLUMN()+6,4)&amp;":"&amp;ADDRESS(73,COLUMN()+6,4)),MATCH($B34,INDIRECT($B$1&amp;"!$A$8:$A$73"),0)),CONFIG!$A$15:$B$28,2,FALSE),"")</f>
        <v/>
      </c>
      <c r="H34" s="157">
        <f>IFERROR(VLOOKUP(INDEX(INDIRECT($B$1&amp;"!"&amp;ADDRESS(8,COLUMN()+6,4)&amp;":"&amp;ADDRESS(73,COLUMN()+6,4)),MATCH($B34,INDIRECT($B$1&amp;"!$A$8:$A$73"),0)),CONFIG!$A$15:$B$28,2,FALSE),"")</f>
        <v/>
      </c>
      <c r="I34" s="157">
        <f>IFERROR(VLOOKUP(INDEX(INDIRECT($B$1&amp;"!"&amp;ADDRESS(8,COLUMN()+6,4)&amp;":"&amp;ADDRESS(73,COLUMN()+6,4)),MATCH($B34,INDIRECT($B$1&amp;"!$A$8:$A$73"),0)),CONFIG!$A$15:$B$28,2,FALSE),"")</f>
        <v/>
      </c>
      <c r="J34" s="157">
        <f>IFERROR(VLOOKUP(INDEX(INDIRECT($B$1&amp;"!"&amp;ADDRESS(8,COLUMN()+6,4)&amp;":"&amp;ADDRESS(73,COLUMN()+6,4)),MATCH($B34,INDIRECT($B$1&amp;"!$A$8:$A$73"),0)),CONFIG!$A$15:$B$28,2,FALSE),"")</f>
        <v/>
      </c>
      <c r="K34" s="157">
        <f>IFERROR(VLOOKUP(INDEX(INDIRECT($B$1&amp;"!"&amp;ADDRESS(8,COLUMN()+6,4)&amp;":"&amp;ADDRESS(73,COLUMN()+6,4)),MATCH($B34,INDIRECT($B$1&amp;"!$A$8:$A$73"),0)),CONFIG!$A$15:$B$28,2,FALSE),"")</f>
        <v/>
      </c>
      <c r="L34" s="157">
        <f>IFERROR(VLOOKUP(INDEX(INDIRECT($B$1&amp;"!"&amp;ADDRESS(8,COLUMN()+6,4)&amp;":"&amp;ADDRESS(73,COLUMN()+6,4)),MATCH($B34,INDIRECT($B$1&amp;"!$A$8:$A$73"),0)),CONFIG!$A$15:$B$28,2,FALSE),"")</f>
        <v/>
      </c>
      <c r="M34" s="157">
        <f>IFERROR(VLOOKUP(INDEX(INDIRECT($B$1&amp;"!"&amp;ADDRESS(8,COLUMN()+6,4)&amp;":"&amp;ADDRESS(73,COLUMN()+6,4)),MATCH($B34,INDIRECT($B$1&amp;"!$A$8:$A$73"),0)),CONFIG!$A$15:$B$28,2,FALSE),"")</f>
        <v/>
      </c>
      <c r="N34" s="157">
        <f>IFERROR(VLOOKUP(INDEX(INDIRECT($B$1&amp;"!"&amp;ADDRESS(8,COLUMN()+6,4)&amp;":"&amp;ADDRESS(73,COLUMN()+6,4)),MATCH($B34,INDIRECT($B$1&amp;"!$A$8:$A$73"),0)),CONFIG!$A$15:$B$28,2,FALSE),"")</f>
        <v/>
      </c>
      <c r="O34" s="157">
        <f>IFERROR(VLOOKUP(INDEX(INDIRECT($B$1&amp;"!"&amp;ADDRESS(8,COLUMN()+6,4)&amp;":"&amp;ADDRESS(73,COLUMN()+6,4)),MATCH($B34,INDIRECT($B$1&amp;"!$A$8:$A$73"),0)),CONFIG!$A$15:$B$28,2,FALSE),"")</f>
        <v/>
      </c>
      <c r="P34" s="157">
        <f>IFERROR(VLOOKUP(INDEX(INDIRECT($B$1&amp;"!"&amp;ADDRESS(8,COLUMN()+6,4)&amp;":"&amp;ADDRESS(73,COLUMN()+6,4)),MATCH($B34,INDIRECT($B$1&amp;"!$A$8:$A$73"),0)),CONFIG!$A$15:$B$28,2,FALSE),"")</f>
        <v/>
      </c>
      <c r="Q34" s="157">
        <f>IFERROR(VLOOKUP(INDEX(INDIRECT($B$1&amp;"!"&amp;ADDRESS(8,COLUMN()+6,4)&amp;":"&amp;ADDRESS(73,COLUMN()+6,4)),MATCH($B34,INDIRECT($B$1&amp;"!$A$8:$A$73"),0)),CONFIG!$A$15:$B$28,2,FALSE),"")</f>
        <v/>
      </c>
      <c r="R34" s="157">
        <f>IFERROR(VLOOKUP(INDEX(INDIRECT($B$1&amp;"!"&amp;ADDRESS(8,COLUMN()+6,4)&amp;":"&amp;ADDRESS(73,COLUMN()+6,4)),MATCH($B34,INDIRECT($B$1&amp;"!$A$8:$A$73"),0)),CONFIG!$A$15:$B$28,2,FALSE),"")</f>
        <v/>
      </c>
      <c r="S34" s="157">
        <f>IFERROR(VLOOKUP(INDEX(INDIRECT($B$1&amp;"!"&amp;ADDRESS(8,COLUMN()+6,4)&amp;":"&amp;ADDRESS(73,COLUMN()+6,4)),MATCH($B34,INDIRECT($B$1&amp;"!$A$8:$A$73"),0)),CONFIG!$A$15:$B$28,2,FALSE),"")</f>
        <v/>
      </c>
      <c r="T34" s="157">
        <f>IFERROR(VLOOKUP(INDEX(INDIRECT($B$1&amp;"!"&amp;ADDRESS(8,COLUMN()+6,4)&amp;":"&amp;ADDRESS(73,COLUMN()+6,4)),MATCH($B34,INDIRECT($B$1&amp;"!$A$8:$A$73"),0)),CONFIG!$A$15:$B$28,2,FALSE),"")</f>
        <v/>
      </c>
      <c r="U34" s="157">
        <f>IFERROR(VLOOKUP(INDEX(INDIRECT($B$1&amp;"!"&amp;ADDRESS(8,COLUMN()+6,4)&amp;":"&amp;ADDRESS(73,COLUMN()+6,4)),MATCH($B34,INDIRECT($B$1&amp;"!$A$8:$A$73"),0)),CONFIG!$A$15:$B$28,2,FALSE),"")</f>
        <v/>
      </c>
      <c r="V34" s="157">
        <f>IFERROR(VLOOKUP(INDEX(INDIRECT($B$1&amp;"!"&amp;ADDRESS(8,COLUMN()+6,4)&amp;":"&amp;ADDRESS(73,COLUMN()+6,4)),MATCH($B34,INDIRECT($B$1&amp;"!$A$8:$A$73"),0)),CONFIG!$A$15:$B$28,2,FALSE),"")</f>
        <v/>
      </c>
      <c r="W34" s="157">
        <f>IFERROR(VLOOKUP(INDEX(INDIRECT($B$1&amp;"!"&amp;ADDRESS(8,COLUMN()+6,4)&amp;":"&amp;ADDRESS(73,COLUMN()+6,4)),MATCH($B34,INDIRECT($B$1&amp;"!$A$8:$A$73"),0)),CONFIG!$A$15:$B$28,2,FALSE),"")</f>
        <v/>
      </c>
      <c r="X34" s="157">
        <f>IFERROR(VLOOKUP(INDEX(INDIRECT($B$1&amp;"!"&amp;ADDRESS(8,COLUMN()+6,4)&amp;":"&amp;ADDRESS(73,COLUMN()+6,4)),MATCH($B34,INDIRECT($B$1&amp;"!$A$8:$A$73"),0)),CONFIG!$A$15:$B$28,2,FALSE),"")</f>
        <v/>
      </c>
      <c r="Y34" s="157">
        <f>IFERROR(VLOOKUP(INDEX(INDIRECT($B$1&amp;"!"&amp;ADDRESS(8,COLUMN()+6,4)&amp;":"&amp;ADDRESS(73,COLUMN()+6,4)),MATCH($B34,INDIRECT($B$1&amp;"!$A$8:$A$73"),0)),CONFIG!$A$15:$B$28,2,FALSE),"")</f>
        <v/>
      </c>
      <c r="Z34" s="157">
        <f>IFERROR(VLOOKUP(INDEX(INDIRECT($B$1&amp;"!"&amp;ADDRESS(8,COLUMN()+6,4)&amp;":"&amp;ADDRESS(73,COLUMN()+6,4)),MATCH($B34,INDIRECT($B$1&amp;"!$A$8:$A$73"),0)),CONFIG!$A$15:$B$28,2,FALSE),"")</f>
        <v/>
      </c>
      <c r="AA34" s="157">
        <f>IFERROR(VLOOKUP(INDEX(INDIRECT($B$1&amp;"!"&amp;ADDRESS(8,COLUMN()+6,4)&amp;":"&amp;ADDRESS(73,COLUMN()+6,4)),MATCH($B34,INDIRECT($B$1&amp;"!$A$8:$A$73"),0)),CONFIG!$A$15:$B$28,2,FALSE),"")</f>
        <v/>
      </c>
      <c r="AB34" s="157">
        <f>IFERROR(VLOOKUP(INDEX(INDIRECT($B$1&amp;"!"&amp;ADDRESS(8,COLUMN()+6,4)&amp;":"&amp;ADDRESS(73,COLUMN()+6,4)),MATCH($B34,INDIRECT($B$1&amp;"!$A$8:$A$73"),0)),CONFIG!$A$15:$B$28,2,FALSE),"")</f>
        <v/>
      </c>
      <c r="AC34" s="157">
        <f>IFERROR(VLOOKUP(INDEX(INDIRECT($B$1&amp;"!"&amp;ADDRESS(8,COLUMN()+6,4)&amp;":"&amp;ADDRESS(73,COLUMN()+6,4)),MATCH($B34,INDIRECT($B$1&amp;"!$A$8:$A$73"),0)),CONFIG!$A$15:$B$28,2,FALSE),"")</f>
        <v/>
      </c>
      <c r="AD34" s="157">
        <f>IFERROR(VLOOKUP(INDEX(INDIRECT($B$1&amp;"!"&amp;ADDRESS(8,COLUMN()+6,4)&amp;":"&amp;ADDRESS(73,COLUMN()+6,4)),MATCH($B34,INDIRECT($B$1&amp;"!$A$8:$A$73"),0)),CONFIG!$A$15:$B$28,2,FALSE),"")</f>
        <v/>
      </c>
      <c r="AE34" s="157">
        <f>IFERROR(VLOOKUP(INDEX(INDIRECT($B$1&amp;"!"&amp;ADDRESS(8,COLUMN()+6,4)&amp;":"&amp;ADDRESS(73,COLUMN()+6,4)),MATCH($B34,INDIRECT($B$1&amp;"!$A$8:$A$73"),0)),CONFIG!$A$15:$B$28,2,FALSE),"")</f>
        <v/>
      </c>
      <c r="AF34" s="157">
        <f>IFERROR(VLOOKUP(INDEX(INDIRECT($B$1&amp;"!"&amp;ADDRESS(8,COLUMN()+6,4)&amp;":"&amp;ADDRESS(73,COLUMN()+6,4)),MATCH($B34,INDIRECT($B$1&amp;"!$A$8:$A$73"),0)),CONFIG!$A$15:$B$28,2,FALSE),"")</f>
        <v/>
      </c>
      <c r="AG34" s="157">
        <f>IFERROR(VLOOKUP(INDEX(INDIRECT($B$1&amp;"!"&amp;ADDRESS(8,COLUMN()+6,4)&amp;":"&amp;ADDRESS(73,COLUMN()+6,4)),MATCH($B34,INDIRECT($B$1&amp;"!$A$8:$A$73"),0)),CONFIG!$A$15:$B$28,2,FALSE),"")</f>
        <v/>
      </c>
      <c r="AH34" s="157">
        <f>IFERROR(VLOOKUP(INDEX(INDIRECT($B$1&amp;"!"&amp;ADDRESS(8,COLUMN()+6,4)&amp;":"&amp;ADDRESS(73,COLUMN()+6,4)),MATCH($B34,INDIRECT($B$1&amp;"!$A$8:$A$73"),0)),CONFIG!$A$15:$B$28,2,FALSE),"")</f>
        <v/>
      </c>
      <c r="AI34" s="39" t="n"/>
    </row>
    <row r="35">
      <c r="A35" s="155" t="inlineStr">
        <is>
          <t>Daniel Raylander</t>
        </is>
      </c>
      <c r="B35" s="156" t="inlineStr">
        <is>
          <t>Raylander</t>
        </is>
      </c>
      <c r="C35" s="157">
        <f>IFERROR(VLOOKUP(INDEX(INDIRECT($B$1&amp;"!"&amp;ADDRESS(8,COLUMN()+6,4)&amp;":"&amp;ADDRESS(73,COLUMN()+6,4)),MATCH($B35,INDIRECT($B$1&amp;"!$A$8:$A$73"),0)),CONFIG!$A$15:$B$28,2,FALSE),"")</f>
        <v/>
      </c>
      <c r="D35" s="157">
        <f>IFERROR(VLOOKUP(INDEX(INDIRECT($B$1&amp;"!"&amp;ADDRESS(8,COLUMN()+6,4)&amp;":"&amp;ADDRESS(73,COLUMN()+6,4)),MATCH($B35,INDIRECT($B$1&amp;"!$A$8:$A$73"),0)),CONFIG!$A$15:$B$28,2,FALSE),"")</f>
        <v/>
      </c>
      <c r="E35" s="157">
        <f>IFERROR(VLOOKUP(INDEX(INDIRECT($B$1&amp;"!"&amp;ADDRESS(8,COLUMN()+6,4)&amp;":"&amp;ADDRESS(73,COLUMN()+6,4)),MATCH($B35,INDIRECT($B$1&amp;"!$A$8:$A$73"),0)),CONFIG!$A$15:$B$28,2,FALSE),"")</f>
        <v/>
      </c>
      <c r="F35" s="157">
        <f>IFERROR(VLOOKUP(INDEX(INDIRECT($B$1&amp;"!"&amp;ADDRESS(8,COLUMN()+6,4)&amp;":"&amp;ADDRESS(73,COLUMN()+6,4)),MATCH($B35,INDIRECT($B$1&amp;"!$A$8:$A$73"),0)),CONFIG!$A$15:$B$28,2,FALSE),"")</f>
        <v/>
      </c>
      <c r="G35" s="157">
        <f>IFERROR(VLOOKUP(INDEX(INDIRECT($B$1&amp;"!"&amp;ADDRESS(8,COLUMN()+6,4)&amp;":"&amp;ADDRESS(73,COLUMN()+6,4)),MATCH($B35,INDIRECT($B$1&amp;"!$A$8:$A$73"),0)),CONFIG!$A$15:$B$28,2,FALSE),"")</f>
        <v/>
      </c>
      <c r="H35" s="157">
        <f>IFERROR(VLOOKUP(INDEX(INDIRECT($B$1&amp;"!"&amp;ADDRESS(8,COLUMN()+6,4)&amp;":"&amp;ADDRESS(73,COLUMN()+6,4)),MATCH($B35,INDIRECT($B$1&amp;"!$A$8:$A$73"),0)),CONFIG!$A$15:$B$28,2,FALSE),"")</f>
        <v/>
      </c>
      <c r="I35" s="157">
        <f>IFERROR(VLOOKUP(INDEX(INDIRECT($B$1&amp;"!"&amp;ADDRESS(8,COLUMN()+6,4)&amp;":"&amp;ADDRESS(73,COLUMN()+6,4)),MATCH($B35,INDIRECT($B$1&amp;"!$A$8:$A$73"),0)),CONFIG!$A$15:$B$28,2,FALSE),"")</f>
        <v/>
      </c>
      <c r="J35" s="157">
        <f>IFERROR(VLOOKUP(INDEX(INDIRECT($B$1&amp;"!"&amp;ADDRESS(8,COLUMN()+6,4)&amp;":"&amp;ADDRESS(73,COLUMN()+6,4)),MATCH($B35,INDIRECT($B$1&amp;"!$A$8:$A$73"),0)),CONFIG!$A$15:$B$28,2,FALSE),"")</f>
        <v/>
      </c>
      <c r="K35" s="157">
        <f>IFERROR(VLOOKUP(INDEX(INDIRECT($B$1&amp;"!"&amp;ADDRESS(8,COLUMN()+6,4)&amp;":"&amp;ADDRESS(73,COLUMN()+6,4)),MATCH($B35,INDIRECT($B$1&amp;"!$A$8:$A$73"),0)),CONFIG!$A$15:$B$28,2,FALSE),"")</f>
        <v/>
      </c>
      <c r="L35" s="157">
        <f>IFERROR(VLOOKUP(INDEX(INDIRECT($B$1&amp;"!"&amp;ADDRESS(8,COLUMN()+6,4)&amp;":"&amp;ADDRESS(73,COLUMN()+6,4)),MATCH($B35,INDIRECT($B$1&amp;"!$A$8:$A$73"),0)),CONFIG!$A$15:$B$28,2,FALSE),"")</f>
        <v/>
      </c>
      <c r="M35" s="157">
        <f>IFERROR(VLOOKUP(INDEX(INDIRECT($B$1&amp;"!"&amp;ADDRESS(8,COLUMN()+6,4)&amp;":"&amp;ADDRESS(73,COLUMN()+6,4)),MATCH($B35,INDIRECT($B$1&amp;"!$A$8:$A$73"),0)),CONFIG!$A$15:$B$28,2,FALSE),"")</f>
        <v/>
      </c>
      <c r="N35" s="157">
        <f>IFERROR(VLOOKUP(INDEX(INDIRECT($B$1&amp;"!"&amp;ADDRESS(8,COLUMN()+6,4)&amp;":"&amp;ADDRESS(73,COLUMN()+6,4)),MATCH($B35,INDIRECT($B$1&amp;"!$A$8:$A$73"),0)),CONFIG!$A$15:$B$28,2,FALSE),"")</f>
        <v/>
      </c>
      <c r="O35" s="157">
        <f>IFERROR(VLOOKUP(INDEX(INDIRECT($B$1&amp;"!"&amp;ADDRESS(8,COLUMN()+6,4)&amp;":"&amp;ADDRESS(73,COLUMN()+6,4)),MATCH($B35,INDIRECT($B$1&amp;"!$A$8:$A$73"),0)),CONFIG!$A$15:$B$28,2,FALSE),"")</f>
        <v/>
      </c>
      <c r="P35" s="157">
        <f>IFERROR(VLOOKUP(INDEX(INDIRECT($B$1&amp;"!"&amp;ADDRESS(8,COLUMN()+6,4)&amp;":"&amp;ADDRESS(73,COLUMN()+6,4)),MATCH($B35,INDIRECT($B$1&amp;"!$A$8:$A$73"),0)),CONFIG!$A$15:$B$28,2,FALSE),"")</f>
        <v/>
      </c>
      <c r="Q35" s="157">
        <f>IFERROR(VLOOKUP(INDEX(INDIRECT($B$1&amp;"!"&amp;ADDRESS(8,COLUMN()+6,4)&amp;":"&amp;ADDRESS(73,COLUMN()+6,4)),MATCH($B35,INDIRECT($B$1&amp;"!$A$8:$A$73"),0)),CONFIG!$A$15:$B$28,2,FALSE),"")</f>
        <v/>
      </c>
      <c r="R35" s="157">
        <f>IFERROR(VLOOKUP(INDEX(INDIRECT($B$1&amp;"!"&amp;ADDRESS(8,COLUMN()+6,4)&amp;":"&amp;ADDRESS(73,COLUMN()+6,4)),MATCH($B35,INDIRECT($B$1&amp;"!$A$8:$A$73"),0)),CONFIG!$A$15:$B$28,2,FALSE),"")</f>
        <v/>
      </c>
      <c r="S35" s="157">
        <f>IFERROR(VLOOKUP(INDEX(INDIRECT($B$1&amp;"!"&amp;ADDRESS(8,COLUMN()+6,4)&amp;":"&amp;ADDRESS(73,COLUMN()+6,4)),MATCH($B35,INDIRECT($B$1&amp;"!$A$8:$A$73"),0)),CONFIG!$A$15:$B$28,2,FALSE),"")</f>
        <v/>
      </c>
      <c r="T35" s="157">
        <f>IFERROR(VLOOKUP(INDEX(INDIRECT($B$1&amp;"!"&amp;ADDRESS(8,COLUMN()+6,4)&amp;":"&amp;ADDRESS(73,COLUMN()+6,4)),MATCH($B35,INDIRECT($B$1&amp;"!$A$8:$A$73"),0)),CONFIG!$A$15:$B$28,2,FALSE),"")</f>
        <v/>
      </c>
      <c r="U35" s="157">
        <f>IFERROR(VLOOKUP(INDEX(INDIRECT($B$1&amp;"!"&amp;ADDRESS(8,COLUMN()+6,4)&amp;":"&amp;ADDRESS(73,COLUMN()+6,4)),MATCH($B35,INDIRECT($B$1&amp;"!$A$8:$A$73"),0)),CONFIG!$A$15:$B$28,2,FALSE),"")</f>
        <v/>
      </c>
      <c r="V35" s="157">
        <f>IFERROR(VLOOKUP(INDEX(INDIRECT($B$1&amp;"!"&amp;ADDRESS(8,COLUMN()+6,4)&amp;":"&amp;ADDRESS(73,COLUMN()+6,4)),MATCH($B35,INDIRECT($B$1&amp;"!$A$8:$A$73"),0)),CONFIG!$A$15:$B$28,2,FALSE),"")</f>
        <v/>
      </c>
      <c r="W35" s="157">
        <f>IFERROR(VLOOKUP(INDEX(INDIRECT($B$1&amp;"!"&amp;ADDRESS(8,COLUMN()+6,4)&amp;":"&amp;ADDRESS(73,COLUMN()+6,4)),MATCH($B35,INDIRECT($B$1&amp;"!$A$8:$A$73"),0)),CONFIG!$A$15:$B$28,2,FALSE),"")</f>
        <v/>
      </c>
      <c r="X35" s="157">
        <f>IFERROR(VLOOKUP(INDEX(INDIRECT($B$1&amp;"!"&amp;ADDRESS(8,COLUMN()+6,4)&amp;":"&amp;ADDRESS(73,COLUMN()+6,4)),MATCH($B35,INDIRECT($B$1&amp;"!$A$8:$A$73"),0)),CONFIG!$A$15:$B$28,2,FALSE),"")</f>
        <v/>
      </c>
      <c r="Y35" s="157">
        <f>IFERROR(VLOOKUP(INDEX(INDIRECT($B$1&amp;"!"&amp;ADDRESS(8,COLUMN()+6,4)&amp;":"&amp;ADDRESS(73,COLUMN()+6,4)),MATCH($B35,INDIRECT($B$1&amp;"!$A$8:$A$73"),0)),CONFIG!$A$15:$B$28,2,FALSE),"")</f>
        <v/>
      </c>
      <c r="Z35" s="157">
        <f>IFERROR(VLOOKUP(INDEX(INDIRECT($B$1&amp;"!"&amp;ADDRESS(8,COLUMN()+6,4)&amp;":"&amp;ADDRESS(73,COLUMN()+6,4)),MATCH($B35,INDIRECT($B$1&amp;"!$A$8:$A$73"),0)),CONFIG!$A$15:$B$28,2,FALSE),"")</f>
        <v/>
      </c>
      <c r="AA35" s="157">
        <f>IFERROR(VLOOKUP(INDEX(INDIRECT($B$1&amp;"!"&amp;ADDRESS(8,COLUMN()+6,4)&amp;":"&amp;ADDRESS(73,COLUMN()+6,4)),MATCH($B35,INDIRECT($B$1&amp;"!$A$8:$A$73"),0)),CONFIG!$A$15:$B$28,2,FALSE),"")</f>
        <v/>
      </c>
      <c r="AB35" s="157">
        <f>IFERROR(VLOOKUP(INDEX(INDIRECT($B$1&amp;"!"&amp;ADDRESS(8,COLUMN()+6,4)&amp;":"&amp;ADDRESS(73,COLUMN()+6,4)),MATCH($B35,INDIRECT($B$1&amp;"!$A$8:$A$73"),0)),CONFIG!$A$15:$B$28,2,FALSE),"")</f>
        <v/>
      </c>
      <c r="AC35" s="157">
        <f>IFERROR(VLOOKUP(INDEX(INDIRECT($B$1&amp;"!"&amp;ADDRESS(8,COLUMN()+6,4)&amp;":"&amp;ADDRESS(73,COLUMN()+6,4)),MATCH($B35,INDIRECT($B$1&amp;"!$A$8:$A$73"),0)),CONFIG!$A$15:$B$28,2,FALSE),"")</f>
        <v/>
      </c>
      <c r="AD35" s="157">
        <f>IFERROR(VLOOKUP(INDEX(INDIRECT($B$1&amp;"!"&amp;ADDRESS(8,COLUMN()+6,4)&amp;":"&amp;ADDRESS(73,COLUMN()+6,4)),MATCH($B35,INDIRECT($B$1&amp;"!$A$8:$A$73"),0)),CONFIG!$A$15:$B$28,2,FALSE),"")</f>
        <v/>
      </c>
      <c r="AE35" s="157">
        <f>IFERROR(VLOOKUP(INDEX(INDIRECT($B$1&amp;"!"&amp;ADDRESS(8,COLUMN()+6,4)&amp;":"&amp;ADDRESS(73,COLUMN()+6,4)),MATCH($B35,INDIRECT($B$1&amp;"!$A$8:$A$73"),0)),CONFIG!$A$15:$B$28,2,FALSE),"")</f>
        <v/>
      </c>
      <c r="AF35" s="157">
        <f>IFERROR(VLOOKUP(INDEX(INDIRECT($B$1&amp;"!"&amp;ADDRESS(8,COLUMN()+6,4)&amp;":"&amp;ADDRESS(73,COLUMN()+6,4)),MATCH($B35,INDIRECT($B$1&amp;"!$A$8:$A$73"),0)),CONFIG!$A$15:$B$28,2,FALSE),"")</f>
        <v/>
      </c>
      <c r="AG35" s="157">
        <f>IFERROR(VLOOKUP(INDEX(INDIRECT($B$1&amp;"!"&amp;ADDRESS(8,COLUMN()+6,4)&amp;":"&amp;ADDRESS(73,COLUMN()+6,4)),MATCH($B35,INDIRECT($B$1&amp;"!$A$8:$A$73"),0)),CONFIG!$A$15:$B$28,2,FALSE),"")</f>
        <v/>
      </c>
      <c r="AH35" s="157">
        <f>IFERROR(VLOOKUP(INDEX(INDIRECT($B$1&amp;"!"&amp;ADDRESS(8,COLUMN()+6,4)&amp;":"&amp;ADDRESS(73,COLUMN()+6,4)),MATCH($B35,INDIRECT($B$1&amp;"!$A$8:$A$73"),0)),CONFIG!$A$15:$B$28,2,FALSE),"")</f>
        <v/>
      </c>
      <c r="AI35" s="39" t="n"/>
    </row>
    <row r="36">
      <c r="A36" s="155" t="inlineStr">
        <is>
          <t>Ricardo</t>
        </is>
      </c>
      <c r="B36" s="156" t="inlineStr">
        <is>
          <t>Ricardo</t>
        </is>
      </c>
      <c r="C36" s="157">
        <f>IFERROR(VLOOKUP(INDEX(INDIRECT($B$1&amp;"!"&amp;ADDRESS(8,COLUMN()+6,4)&amp;":"&amp;ADDRESS(73,COLUMN()+6,4)),MATCH($B36,INDIRECT($B$1&amp;"!$A$8:$A$73"),0)),CONFIG!$A$15:$B$28,2,FALSE),"")</f>
        <v/>
      </c>
      <c r="D36" s="157">
        <f>IFERROR(VLOOKUP(INDEX(INDIRECT($B$1&amp;"!"&amp;ADDRESS(8,COLUMN()+6,4)&amp;":"&amp;ADDRESS(73,COLUMN()+6,4)),MATCH($B36,INDIRECT($B$1&amp;"!$A$8:$A$73"),0)),CONFIG!$A$15:$B$28,2,FALSE),"")</f>
        <v/>
      </c>
      <c r="E36" s="157">
        <f>IFERROR(VLOOKUP(INDEX(INDIRECT($B$1&amp;"!"&amp;ADDRESS(8,COLUMN()+6,4)&amp;":"&amp;ADDRESS(73,COLUMN()+6,4)),MATCH($B36,INDIRECT($B$1&amp;"!$A$8:$A$73"),0)),CONFIG!$A$15:$B$28,2,FALSE),"")</f>
        <v/>
      </c>
      <c r="F36" s="157">
        <f>IFERROR(VLOOKUP(INDEX(INDIRECT($B$1&amp;"!"&amp;ADDRESS(8,COLUMN()+6,4)&amp;":"&amp;ADDRESS(73,COLUMN()+6,4)),MATCH($B36,INDIRECT($B$1&amp;"!$A$8:$A$73"),0)),CONFIG!$A$15:$B$28,2,FALSE),"")</f>
        <v/>
      </c>
      <c r="G36" s="157">
        <f>IFERROR(VLOOKUP(INDEX(INDIRECT($B$1&amp;"!"&amp;ADDRESS(8,COLUMN()+6,4)&amp;":"&amp;ADDRESS(73,COLUMN()+6,4)),MATCH($B36,INDIRECT($B$1&amp;"!$A$8:$A$73"),0)),CONFIG!$A$15:$B$28,2,FALSE),"")</f>
        <v/>
      </c>
      <c r="H36" s="157">
        <f>IFERROR(VLOOKUP(INDEX(INDIRECT($B$1&amp;"!"&amp;ADDRESS(8,COLUMN()+6,4)&amp;":"&amp;ADDRESS(73,COLUMN()+6,4)),MATCH($B36,INDIRECT($B$1&amp;"!$A$8:$A$73"),0)),CONFIG!$A$15:$B$28,2,FALSE),"")</f>
        <v/>
      </c>
      <c r="I36" s="157">
        <f>IFERROR(VLOOKUP(INDEX(INDIRECT($B$1&amp;"!"&amp;ADDRESS(8,COLUMN()+6,4)&amp;":"&amp;ADDRESS(73,COLUMN()+6,4)),MATCH($B36,INDIRECT($B$1&amp;"!$A$8:$A$73"),0)),CONFIG!$A$15:$B$28,2,FALSE),"")</f>
        <v/>
      </c>
      <c r="J36" s="157">
        <f>IFERROR(VLOOKUP(INDEX(INDIRECT($B$1&amp;"!"&amp;ADDRESS(8,COLUMN()+6,4)&amp;":"&amp;ADDRESS(73,COLUMN()+6,4)),MATCH($B36,INDIRECT($B$1&amp;"!$A$8:$A$73"),0)),CONFIG!$A$15:$B$28,2,FALSE),"")</f>
        <v/>
      </c>
      <c r="K36" s="157">
        <f>IFERROR(VLOOKUP(INDEX(INDIRECT($B$1&amp;"!"&amp;ADDRESS(8,COLUMN()+6,4)&amp;":"&amp;ADDRESS(73,COLUMN()+6,4)),MATCH($B36,INDIRECT($B$1&amp;"!$A$8:$A$73"),0)),CONFIG!$A$15:$B$28,2,FALSE),"")</f>
        <v/>
      </c>
      <c r="L36" s="157">
        <f>IFERROR(VLOOKUP(INDEX(INDIRECT($B$1&amp;"!"&amp;ADDRESS(8,COLUMN()+6,4)&amp;":"&amp;ADDRESS(73,COLUMN()+6,4)),MATCH($B36,INDIRECT($B$1&amp;"!$A$8:$A$73"),0)),CONFIG!$A$15:$B$28,2,FALSE),"")</f>
        <v/>
      </c>
      <c r="M36" s="157">
        <f>IFERROR(VLOOKUP(INDEX(INDIRECT($B$1&amp;"!"&amp;ADDRESS(8,COLUMN()+6,4)&amp;":"&amp;ADDRESS(73,COLUMN()+6,4)),MATCH($B36,INDIRECT($B$1&amp;"!$A$8:$A$73"),0)),CONFIG!$A$15:$B$28,2,FALSE),"")</f>
        <v/>
      </c>
      <c r="N36" s="157">
        <f>IFERROR(VLOOKUP(INDEX(INDIRECT($B$1&amp;"!"&amp;ADDRESS(8,COLUMN()+6,4)&amp;":"&amp;ADDRESS(73,COLUMN()+6,4)),MATCH($B36,INDIRECT($B$1&amp;"!$A$8:$A$73"),0)),CONFIG!$A$15:$B$28,2,FALSE),"")</f>
        <v/>
      </c>
      <c r="O36" s="157">
        <f>IFERROR(VLOOKUP(INDEX(INDIRECT($B$1&amp;"!"&amp;ADDRESS(8,COLUMN()+6,4)&amp;":"&amp;ADDRESS(73,COLUMN()+6,4)),MATCH($B36,INDIRECT($B$1&amp;"!$A$8:$A$73"),0)),CONFIG!$A$15:$B$28,2,FALSE),"")</f>
        <v/>
      </c>
      <c r="P36" s="157">
        <f>IFERROR(VLOOKUP(INDEX(INDIRECT($B$1&amp;"!"&amp;ADDRESS(8,COLUMN()+6,4)&amp;":"&amp;ADDRESS(73,COLUMN()+6,4)),MATCH($B36,INDIRECT($B$1&amp;"!$A$8:$A$73"),0)),CONFIG!$A$15:$B$28,2,FALSE),"")</f>
        <v/>
      </c>
      <c r="Q36" s="157">
        <f>IFERROR(VLOOKUP(INDEX(INDIRECT($B$1&amp;"!"&amp;ADDRESS(8,COLUMN()+6,4)&amp;":"&amp;ADDRESS(73,COLUMN()+6,4)),MATCH($B36,INDIRECT($B$1&amp;"!$A$8:$A$73"),0)),CONFIG!$A$15:$B$28,2,FALSE),"")</f>
        <v/>
      </c>
      <c r="R36" s="157">
        <f>IFERROR(VLOOKUP(INDEX(INDIRECT($B$1&amp;"!"&amp;ADDRESS(8,COLUMN()+6,4)&amp;":"&amp;ADDRESS(73,COLUMN()+6,4)),MATCH($B36,INDIRECT($B$1&amp;"!$A$8:$A$73"),0)),CONFIG!$A$15:$B$28,2,FALSE),"")</f>
        <v/>
      </c>
      <c r="S36" s="157">
        <f>IFERROR(VLOOKUP(INDEX(INDIRECT($B$1&amp;"!"&amp;ADDRESS(8,COLUMN()+6,4)&amp;":"&amp;ADDRESS(73,COLUMN()+6,4)),MATCH($B36,INDIRECT($B$1&amp;"!$A$8:$A$73"),0)),CONFIG!$A$15:$B$28,2,FALSE),"")</f>
        <v/>
      </c>
      <c r="T36" s="157">
        <f>IFERROR(VLOOKUP(INDEX(INDIRECT($B$1&amp;"!"&amp;ADDRESS(8,COLUMN()+6,4)&amp;":"&amp;ADDRESS(73,COLUMN()+6,4)),MATCH($B36,INDIRECT($B$1&amp;"!$A$8:$A$73"),0)),CONFIG!$A$15:$B$28,2,FALSE),"")</f>
        <v/>
      </c>
      <c r="U36" s="157">
        <f>IFERROR(VLOOKUP(INDEX(INDIRECT($B$1&amp;"!"&amp;ADDRESS(8,COLUMN()+6,4)&amp;":"&amp;ADDRESS(73,COLUMN()+6,4)),MATCH($B36,INDIRECT($B$1&amp;"!$A$8:$A$73"),0)),CONFIG!$A$15:$B$28,2,FALSE),"")</f>
        <v/>
      </c>
      <c r="V36" s="157">
        <f>IFERROR(VLOOKUP(INDEX(INDIRECT($B$1&amp;"!"&amp;ADDRESS(8,COLUMN()+6,4)&amp;":"&amp;ADDRESS(73,COLUMN()+6,4)),MATCH($B36,INDIRECT($B$1&amp;"!$A$8:$A$73"),0)),CONFIG!$A$15:$B$28,2,FALSE),"")</f>
        <v/>
      </c>
      <c r="W36" s="157">
        <f>IFERROR(VLOOKUP(INDEX(INDIRECT($B$1&amp;"!"&amp;ADDRESS(8,COLUMN()+6,4)&amp;":"&amp;ADDRESS(73,COLUMN()+6,4)),MATCH($B36,INDIRECT($B$1&amp;"!$A$8:$A$73"),0)),CONFIG!$A$15:$B$28,2,FALSE),"")</f>
        <v/>
      </c>
      <c r="X36" s="157">
        <f>IFERROR(VLOOKUP(INDEX(INDIRECT($B$1&amp;"!"&amp;ADDRESS(8,COLUMN()+6,4)&amp;":"&amp;ADDRESS(73,COLUMN()+6,4)),MATCH($B36,INDIRECT($B$1&amp;"!$A$8:$A$73"),0)),CONFIG!$A$15:$B$28,2,FALSE),"")</f>
        <v/>
      </c>
      <c r="Y36" s="157">
        <f>IFERROR(VLOOKUP(INDEX(INDIRECT($B$1&amp;"!"&amp;ADDRESS(8,COLUMN()+6,4)&amp;":"&amp;ADDRESS(73,COLUMN()+6,4)),MATCH($B36,INDIRECT($B$1&amp;"!$A$8:$A$73"),0)),CONFIG!$A$15:$B$28,2,FALSE),"")</f>
        <v/>
      </c>
      <c r="Z36" s="157">
        <f>IFERROR(VLOOKUP(INDEX(INDIRECT($B$1&amp;"!"&amp;ADDRESS(8,COLUMN()+6,4)&amp;":"&amp;ADDRESS(73,COLUMN()+6,4)),MATCH($B36,INDIRECT($B$1&amp;"!$A$8:$A$73"),0)),CONFIG!$A$15:$B$28,2,FALSE),"")</f>
        <v/>
      </c>
      <c r="AA36" s="157">
        <f>IFERROR(VLOOKUP(INDEX(INDIRECT($B$1&amp;"!"&amp;ADDRESS(8,COLUMN()+6,4)&amp;":"&amp;ADDRESS(73,COLUMN()+6,4)),MATCH($B36,INDIRECT($B$1&amp;"!$A$8:$A$73"),0)),CONFIG!$A$15:$B$28,2,FALSE),"")</f>
        <v/>
      </c>
      <c r="AB36" s="157">
        <f>IFERROR(VLOOKUP(INDEX(INDIRECT($B$1&amp;"!"&amp;ADDRESS(8,COLUMN()+6,4)&amp;":"&amp;ADDRESS(73,COLUMN()+6,4)),MATCH($B36,INDIRECT($B$1&amp;"!$A$8:$A$73"),0)),CONFIG!$A$15:$B$28,2,FALSE),"")</f>
        <v/>
      </c>
      <c r="AC36" s="157">
        <f>IFERROR(VLOOKUP(INDEX(INDIRECT($B$1&amp;"!"&amp;ADDRESS(8,COLUMN()+6,4)&amp;":"&amp;ADDRESS(73,COLUMN()+6,4)),MATCH($B36,INDIRECT($B$1&amp;"!$A$8:$A$73"),0)),CONFIG!$A$15:$B$28,2,FALSE),"")</f>
        <v/>
      </c>
      <c r="AD36" s="157">
        <f>IFERROR(VLOOKUP(INDEX(INDIRECT($B$1&amp;"!"&amp;ADDRESS(8,COLUMN()+6,4)&amp;":"&amp;ADDRESS(73,COLUMN()+6,4)),MATCH($B36,INDIRECT($B$1&amp;"!$A$8:$A$73"),0)),CONFIG!$A$15:$B$28,2,FALSE),"")</f>
        <v/>
      </c>
      <c r="AE36" s="157">
        <f>IFERROR(VLOOKUP(INDEX(INDIRECT($B$1&amp;"!"&amp;ADDRESS(8,COLUMN()+6,4)&amp;":"&amp;ADDRESS(73,COLUMN()+6,4)),MATCH($B36,INDIRECT($B$1&amp;"!$A$8:$A$73"),0)),CONFIG!$A$15:$B$28,2,FALSE),"")</f>
        <v/>
      </c>
      <c r="AF36" s="157">
        <f>IFERROR(VLOOKUP(INDEX(INDIRECT($B$1&amp;"!"&amp;ADDRESS(8,COLUMN()+6,4)&amp;":"&amp;ADDRESS(73,COLUMN()+6,4)),MATCH($B36,INDIRECT($B$1&amp;"!$A$8:$A$73"),0)),CONFIG!$A$15:$B$28,2,FALSE),"")</f>
        <v/>
      </c>
      <c r="AG36" s="157">
        <f>IFERROR(VLOOKUP(INDEX(INDIRECT($B$1&amp;"!"&amp;ADDRESS(8,COLUMN()+6,4)&amp;":"&amp;ADDRESS(73,COLUMN()+6,4)),MATCH($B36,INDIRECT($B$1&amp;"!$A$8:$A$73"),0)),CONFIG!$A$15:$B$28,2,FALSE),"")</f>
        <v/>
      </c>
      <c r="AH36" s="157">
        <f>IFERROR(VLOOKUP(INDEX(INDIRECT($B$1&amp;"!"&amp;ADDRESS(8,COLUMN()+6,4)&amp;":"&amp;ADDRESS(73,COLUMN()+6,4)),MATCH($B36,INDIRECT($B$1&amp;"!$A$8:$A$73"),0)),CONFIG!$A$15:$B$28,2,FALSE),"")</f>
        <v/>
      </c>
      <c r="AI36" s="39" t="n"/>
    </row>
    <row r="37">
      <c r="A37" s="155" t="inlineStr">
        <is>
          <t>Rosana</t>
        </is>
      </c>
      <c r="B37" s="156" t="inlineStr">
        <is>
          <t>Rosana</t>
        </is>
      </c>
      <c r="C37" s="157">
        <f>IFERROR(VLOOKUP(INDEX(INDIRECT($B$1&amp;"!"&amp;ADDRESS(8,COLUMN()+6,4)&amp;":"&amp;ADDRESS(73,COLUMN()+6,4)),MATCH($B37,INDIRECT($B$1&amp;"!$A$8:$A$73"),0)),CONFIG!$A$15:$B$28,2,FALSE),"")</f>
        <v/>
      </c>
      <c r="D37" s="157">
        <f>IFERROR(VLOOKUP(INDEX(INDIRECT($B$1&amp;"!"&amp;ADDRESS(8,COLUMN()+6,4)&amp;":"&amp;ADDRESS(73,COLUMN()+6,4)),MATCH($B37,INDIRECT($B$1&amp;"!$A$8:$A$73"),0)),CONFIG!$A$15:$B$28,2,FALSE),"")</f>
        <v/>
      </c>
      <c r="E37" s="157">
        <f>IFERROR(VLOOKUP(INDEX(INDIRECT($B$1&amp;"!"&amp;ADDRESS(8,COLUMN()+6,4)&amp;":"&amp;ADDRESS(73,COLUMN()+6,4)),MATCH($B37,INDIRECT($B$1&amp;"!$A$8:$A$73"),0)),CONFIG!$A$15:$B$28,2,FALSE),"")</f>
        <v/>
      </c>
      <c r="F37" s="157">
        <f>IFERROR(VLOOKUP(INDEX(INDIRECT($B$1&amp;"!"&amp;ADDRESS(8,COLUMN()+6,4)&amp;":"&amp;ADDRESS(73,COLUMN()+6,4)),MATCH($B37,INDIRECT($B$1&amp;"!$A$8:$A$73"),0)),CONFIG!$A$15:$B$28,2,FALSE),"")</f>
        <v/>
      </c>
      <c r="G37" s="157">
        <f>IFERROR(VLOOKUP(INDEX(INDIRECT($B$1&amp;"!"&amp;ADDRESS(8,COLUMN()+6,4)&amp;":"&amp;ADDRESS(73,COLUMN()+6,4)),MATCH($B37,INDIRECT($B$1&amp;"!$A$8:$A$73"),0)),CONFIG!$A$15:$B$28,2,FALSE),"")</f>
        <v/>
      </c>
      <c r="H37" s="157">
        <f>IFERROR(VLOOKUP(INDEX(INDIRECT($B$1&amp;"!"&amp;ADDRESS(8,COLUMN()+6,4)&amp;":"&amp;ADDRESS(73,COLUMN()+6,4)),MATCH($B37,INDIRECT($B$1&amp;"!$A$8:$A$73"),0)),CONFIG!$A$15:$B$28,2,FALSE),"")</f>
        <v/>
      </c>
      <c r="I37" s="157">
        <f>IFERROR(VLOOKUP(INDEX(INDIRECT($B$1&amp;"!"&amp;ADDRESS(8,COLUMN()+6,4)&amp;":"&amp;ADDRESS(73,COLUMN()+6,4)),MATCH($B37,INDIRECT($B$1&amp;"!$A$8:$A$73"),0)),CONFIG!$A$15:$B$28,2,FALSE),"")</f>
        <v/>
      </c>
      <c r="J37" s="157">
        <f>IFERROR(VLOOKUP(INDEX(INDIRECT($B$1&amp;"!"&amp;ADDRESS(8,COLUMN()+6,4)&amp;":"&amp;ADDRESS(73,COLUMN()+6,4)),MATCH($B37,INDIRECT($B$1&amp;"!$A$8:$A$73"),0)),CONFIG!$A$15:$B$28,2,FALSE),"")</f>
        <v/>
      </c>
      <c r="K37" s="157">
        <f>IFERROR(VLOOKUP(INDEX(INDIRECT($B$1&amp;"!"&amp;ADDRESS(8,COLUMN()+6,4)&amp;":"&amp;ADDRESS(73,COLUMN()+6,4)),MATCH($B37,INDIRECT($B$1&amp;"!$A$8:$A$73"),0)),CONFIG!$A$15:$B$28,2,FALSE),"")</f>
        <v/>
      </c>
      <c r="L37" s="157">
        <f>IFERROR(VLOOKUP(INDEX(INDIRECT($B$1&amp;"!"&amp;ADDRESS(8,COLUMN()+6,4)&amp;":"&amp;ADDRESS(73,COLUMN()+6,4)),MATCH($B37,INDIRECT($B$1&amp;"!$A$8:$A$73"),0)),CONFIG!$A$15:$B$28,2,FALSE),"")</f>
        <v/>
      </c>
      <c r="M37" s="157">
        <f>IFERROR(VLOOKUP(INDEX(INDIRECT($B$1&amp;"!"&amp;ADDRESS(8,COLUMN()+6,4)&amp;":"&amp;ADDRESS(73,COLUMN()+6,4)),MATCH($B37,INDIRECT($B$1&amp;"!$A$8:$A$73"),0)),CONFIG!$A$15:$B$28,2,FALSE),"")</f>
        <v/>
      </c>
      <c r="N37" s="157">
        <f>IFERROR(VLOOKUP(INDEX(INDIRECT($B$1&amp;"!"&amp;ADDRESS(8,COLUMN()+6,4)&amp;":"&amp;ADDRESS(73,COLUMN()+6,4)),MATCH($B37,INDIRECT($B$1&amp;"!$A$8:$A$73"),0)),CONFIG!$A$15:$B$28,2,FALSE),"")</f>
        <v/>
      </c>
      <c r="O37" s="157">
        <f>IFERROR(VLOOKUP(INDEX(INDIRECT($B$1&amp;"!"&amp;ADDRESS(8,COLUMN()+6,4)&amp;":"&amp;ADDRESS(73,COLUMN()+6,4)),MATCH($B37,INDIRECT($B$1&amp;"!$A$8:$A$73"),0)),CONFIG!$A$15:$B$28,2,FALSE),"")</f>
        <v/>
      </c>
      <c r="P37" s="157">
        <f>IFERROR(VLOOKUP(INDEX(INDIRECT($B$1&amp;"!"&amp;ADDRESS(8,COLUMN()+6,4)&amp;":"&amp;ADDRESS(73,COLUMN()+6,4)),MATCH($B37,INDIRECT($B$1&amp;"!$A$8:$A$73"),0)),CONFIG!$A$15:$B$28,2,FALSE),"")</f>
        <v/>
      </c>
      <c r="Q37" s="157">
        <f>IFERROR(VLOOKUP(INDEX(INDIRECT($B$1&amp;"!"&amp;ADDRESS(8,COLUMN()+6,4)&amp;":"&amp;ADDRESS(73,COLUMN()+6,4)),MATCH($B37,INDIRECT($B$1&amp;"!$A$8:$A$73"),0)),CONFIG!$A$15:$B$28,2,FALSE),"")</f>
        <v/>
      </c>
      <c r="R37" s="157">
        <f>IFERROR(VLOOKUP(INDEX(INDIRECT($B$1&amp;"!"&amp;ADDRESS(8,COLUMN()+6,4)&amp;":"&amp;ADDRESS(73,COLUMN()+6,4)),MATCH($B37,INDIRECT($B$1&amp;"!$A$8:$A$73"),0)),CONFIG!$A$15:$B$28,2,FALSE),"")</f>
        <v/>
      </c>
      <c r="S37" s="157">
        <f>IFERROR(VLOOKUP(INDEX(INDIRECT($B$1&amp;"!"&amp;ADDRESS(8,COLUMN()+6,4)&amp;":"&amp;ADDRESS(73,COLUMN()+6,4)),MATCH($B37,INDIRECT($B$1&amp;"!$A$8:$A$73"),0)),CONFIG!$A$15:$B$28,2,FALSE),"")</f>
        <v/>
      </c>
      <c r="T37" s="157">
        <f>IFERROR(VLOOKUP(INDEX(INDIRECT($B$1&amp;"!"&amp;ADDRESS(8,COLUMN()+6,4)&amp;":"&amp;ADDRESS(73,COLUMN()+6,4)),MATCH($B37,INDIRECT($B$1&amp;"!$A$8:$A$73"),0)),CONFIG!$A$15:$B$28,2,FALSE),"")</f>
        <v/>
      </c>
      <c r="U37" s="157">
        <f>IFERROR(VLOOKUP(INDEX(INDIRECT($B$1&amp;"!"&amp;ADDRESS(8,COLUMN()+6,4)&amp;":"&amp;ADDRESS(73,COLUMN()+6,4)),MATCH($B37,INDIRECT($B$1&amp;"!$A$8:$A$73"),0)),CONFIG!$A$15:$B$28,2,FALSE),"")</f>
        <v/>
      </c>
      <c r="V37" s="157">
        <f>IFERROR(VLOOKUP(INDEX(INDIRECT($B$1&amp;"!"&amp;ADDRESS(8,COLUMN()+6,4)&amp;":"&amp;ADDRESS(73,COLUMN()+6,4)),MATCH($B37,INDIRECT($B$1&amp;"!$A$8:$A$73"),0)),CONFIG!$A$15:$B$28,2,FALSE),"")</f>
        <v/>
      </c>
      <c r="W37" s="157">
        <f>IFERROR(VLOOKUP(INDEX(INDIRECT($B$1&amp;"!"&amp;ADDRESS(8,COLUMN()+6,4)&amp;":"&amp;ADDRESS(73,COLUMN()+6,4)),MATCH($B37,INDIRECT($B$1&amp;"!$A$8:$A$73"),0)),CONFIG!$A$15:$B$28,2,FALSE),"")</f>
        <v/>
      </c>
      <c r="X37" s="157">
        <f>IFERROR(VLOOKUP(INDEX(INDIRECT($B$1&amp;"!"&amp;ADDRESS(8,COLUMN()+6,4)&amp;":"&amp;ADDRESS(73,COLUMN()+6,4)),MATCH($B37,INDIRECT($B$1&amp;"!$A$8:$A$73"),0)),CONFIG!$A$15:$B$28,2,FALSE),"")</f>
        <v/>
      </c>
      <c r="Y37" s="157">
        <f>IFERROR(VLOOKUP(INDEX(INDIRECT($B$1&amp;"!"&amp;ADDRESS(8,COLUMN()+6,4)&amp;":"&amp;ADDRESS(73,COLUMN()+6,4)),MATCH($B37,INDIRECT($B$1&amp;"!$A$8:$A$73"),0)),CONFIG!$A$15:$B$28,2,FALSE),"")</f>
        <v/>
      </c>
      <c r="Z37" s="157">
        <f>IFERROR(VLOOKUP(INDEX(INDIRECT($B$1&amp;"!"&amp;ADDRESS(8,COLUMN()+6,4)&amp;":"&amp;ADDRESS(73,COLUMN()+6,4)),MATCH($B37,INDIRECT($B$1&amp;"!$A$8:$A$73"),0)),CONFIG!$A$15:$B$28,2,FALSE),"")</f>
        <v/>
      </c>
      <c r="AA37" s="157">
        <f>IFERROR(VLOOKUP(INDEX(INDIRECT($B$1&amp;"!"&amp;ADDRESS(8,COLUMN()+6,4)&amp;":"&amp;ADDRESS(73,COLUMN()+6,4)),MATCH($B37,INDIRECT($B$1&amp;"!$A$8:$A$73"),0)),CONFIG!$A$15:$B$28,2,FALSE),"")</f>
        <v/>
      </c>
      <c r="AB37" s="157">
        <f>IFERROR(VLOOKUP(INDEX(INDIRECT($B$1&amp;"!"&amp;ADDRESS(8,COLUMN()+6,4)&amp;":"&amp;ADDRESS(73,COLUMN()+6,4)),MATCH($B37,INDIRECT($B$1&amp;"!$A$8:$A$73"),0)),CONFIG!$A$15:$B$28,2,FALSE),"")</f>
        <v/>
      </c>
      <c r="AC37" s="157">
        <f>IFERROR(VLOOKUP(INDEX(INDIRECT($B$1&amp;"!"&amp;ADDRESS(8,COLUMN()+6,4)&amp;":"&amp;ADDRESS(73,COLUMN()+6,4)),MATCH($B37,INDIRECT($B$1&amp;"!$A$8:$A$73"),0)),CONFIG!$A$15:$B$28,2,FALSE),"")</f>
        <v/>
      </c>
      <c r="AD37" s="157">
        <f>IFERROR(VLOOKUP(INDEX(INDIRECT($B$1&amp;"!"&amp;ADDRESS(8,COLUMN()+6,4)&amp;":"&amp;ADDRESS(73,COLUMN()+6,4)),MATCH($B37,INDIRECT($B$1&amp;"!$A$8:$A$73"),0)),CONFIG!$A$15:$B$28,2,FALSE),"")</f>
        <v/>
      </c>
      <c r="AE37" s="157">
        <f>IFERROR(VLOOKUP(INDEX(INDIRECT($B$1&amp;"!"&amp;ADDRESS(8,COLUMN()+6,4)&amp;":"&amp;ADDRESS(73,COLUMN()+6,4)),MATCH($B37,INDIRECT($B$1&amp;"!$A$8:$A$73"),0)),CONFIG!$A$15:$B$28,2,FALSE),"")</f>
        <v/>
      </c>
      <c r="AF37" s="157">
        <f>IFERROR(VLOOKUP(INDEX(INDIRECT($B$1&amp;"!"&amp;ADDRESS(8,COLUMN()+6,4)&amp;":"&amp;ADDRESS(73,COLUMN()+6,4)),MATCH($B37,INDIRECT($B$1&amp;"!$A$8:$A$73"),0)),CONFIG!$A$15:$B$28,2,FALSE),"")</f>
        <v/>
      </c>
      <c r="AG37" s="157">
        <f>IFERROR(VLOOKUP(INDEX(INDIRECT($B$1&amp;"!"&amp;ADDRESS(8,COLUMN()+6,4)&amp;":"&amp;ADDRESS(73,COLUMN()+6,4)),MATCH($B37,INDIRECT($B$1&amp;"!$A$8:$A$73"),0)),CONFIG!$A$15:$B$28,2,FALSE),"")</f>
        <v/>
      </c>
      <c r="AH37" s="157">
        <f>IFERROR(VLOOKUP(INDEX(INDIRECT($B$1&amp;"!"&amp;ADDRESS(8,COLUMN()+6,4)&amp;":"&amp;ADDRESS(73,COLUMN()+6,4)),MATCH($B37,INDIRECT($B$1&amp;"!$A$8:$A$73"),0)),CONFIG!$A$15:$B$28,2,FALSE),"")</f>
        <v/>
      </c>
      <c r="AI37" s="39" t="n"/>
    </row>
    <row r="38">
      <c r="A38" s="155" t="inlineStr">
        <is>
          <t>Ana Severino</t>
        </is>
      </c>
      <c r="B38" s="156" t="inlineStr">
        <is>
          <t>AnaSeverino</t>
        </is>
      </c>
      <c r="C38" s="157">
        <f>IFERROR(VLOOKUP(INDEX(INDIRECT($B$1&amp;"!"&amp;ADDRESS(8,COLUMN()+6,4)&amp;":"&amp;ADDRESS(73,COLUMN()+6,4)),MATCH($B38,INDIRECT($B$1&amp;"!$A$8:$A$73"),0)),CONFIG!$A$15:$B$28,2,FALSE),"")</f>
        <v/>
      </c>
      <c r="D38" s="157">
        <f>IFERROR(VLOOKUP(INDEX(INDIRECT($B$1&amp;"!"&amp;ADDRESS(8,COLUMN()+6,4)&amp;":"&amp;ADDRESS(73,COLUMN()+6,4)),MATCH($B38,INDIRECT($B$1&amp;"!$A$8:$A$73"),0)),CONFIG!$A$15:$B$28,2,FALSE),"")</f>
        <v/>
      </c>
      <c r="E38" s="157">
        <f>IFERROR(VLOOKUP(INDEX(INDIRECT($B$1&amp;"!"&amp;ADDRESS(8,COLUMN()+6,4)&amp;":"&amp;ADDRESS(73,COLUMN()+6,4)),MATCH($B38,INDIRECT($B$1&amp;"!$A$8:$A$73"),0)),CONFIG!$A$15:$B$28,2,FALSE),"")</f>
        <v/>
      </c>
      <c r="F38" s="157">
        <f>IFERROR(VLOOKUP(INDEX(INDIRECT($B$1&amp;"!"&amp;ADDRESS(8,COLUMN()+6,4)&amp;":"&amp;ADDRESS(73,COLUMN()+6,4)),MATCH($B38,INDIRECT($B$1&amp;"!$A$8:$A$73"),0)),CONFIG!$A$15:$B$28,2,FALSE),"")</f>
        <v/>
      </c>
      <c r="G38" s="157">
        <f>IFERROR(VLOOKUP(INDEX(INDIRECT($B$1&amp;"!"&amp;ADDRESS(8,COLUMN()+6,4)&amp;":"&amp;ADDRESS(73,COLUMN()+6,4)),MATCH($B38,INDIRECT($B$1&amp;"!$A$8:$A$73"),0)),CONFIG!$A$15:$B$28,2,FALSE),"")</f>
        <v/>
      </c>
      <c r="H38" s="157">
        <f>IFERROR(VLOOKUP(INDEX(INDIRECT($B$1&amp;"!"&amp;ADDRESS(8,COLUMN()+6,4)&amp;":"&amp;ADDRESS(73,COLUMN()+6,4)),MATCH($B38,INDIRECT($B$1&amp;"!$A$8:$A$73"),0)),CONFIG!$A$15:$B$28,2,FALSE),"")</f>
        <v/>
      </c>
      <c r="I38" s="157">
        <f>IFERROR(VLOOKUP(INDEX(INDIRECT($B$1&amp;"!"&amp;ADDRESS(8,COLUMN()+6,4)&amp;":"&amp;ADDRESS(73,COLUMN()+6,4)),MATCH($B38,INDIRECT($B$1&amp;"!$A$8:$A$73"),0)),CONFIG!$A$15:$B$28,2,FALSE),"")</f>
        <v/>
      </c>
      <c r="J38" s="157">
        <f>IFERROR(VLOOKUP(INDEX(INDIRECT($B$1&amp;"!"&amp;ADDRESS(8,COLUMN()+6,4)&amp;":"&amp;ADDRESS(73,COLUMN()+6,4)),MATCH($B38,INDIRECT($B$1&amp;"!$A$8:$A$73"),0)),CONFIG!$A$15:$B$28,2,FALSE),"")</f>
        <v/>
      </c>
      <c r="K38" s="157">
        <f>IFERROR(VLOOKUP(INDEX(INDIRECT($B$1&amp;"!"&amp;ADDRESS(8,COLUMN()+6,4)&amp;":"&amp;ADDRESS(73,COLUMN()+6,4)),MATCH($B38,INDIRECT($B$1&amp;"!$A$8:$A$73"),0)),CONFIG!$A$15:$B$28,2,FALSE),"")</f>
        <v/>
      </c>
      <c r="L38" s="157">
        <f>IFERROR(VLOOKUP(INDEX(INDIRECT($B$1&amp;"!"&amp;ADDRESS(8,COLUMN()+6,4)&amp;":"&amp;ADDRESS(73,COLUMN()+6,4)),MATCH($B38,INDIRECT($B$1&amp;"!$A$8:$A$73"),0)),CONFIG!$A$15:$B$28,2,FALSE),"")</f>
        <v/>
      </c>
      <c r="M38" s="157">
        <f>IFERROR(VLOOKUP(INDEX(INDIRECT($B$1&amp;"!"&amp;ADDRESS(8,COLUMN()+6,4)&amp;":"&amp;ADDRESS(73,COLUMN()+6,4)),MATCH($B38,INDIRECT($B$1&amp;"!$A$8:$A$73"),0)),CONFIG!$A$15:$B$28,2,FALSE),"")</f>
        <v/>
      </c>
      <c r="N38" s="157">
        <f>IFERROR(VLOOKUP(INDEX(INDIRECT($B$1&amp;"!"&amp;ADDRESS(8,COLUMN()+6,4)&amp;":"&amp;ADDRESS(73,COLUMN()+6,4)),MATCH($B38,INDIRECT($B$1&amp;"!$A$8:$A$73"),0)),CONFIG!$A$15:$B$28,2,FALSE),"")</f>
        <v/>
      </c>
      <c r="O38" s="157">
        <f>IFERROR(VLOOKUP(INDEX(INDIRECT($B$1&amp;"!"&amp;ADDRESS(8,COLUMN()+6,4)&amp;":"&amp;ADDRESS(73,COLUMN()+6,4)),MATCH($B38,INDIRECT($B$1&amp;"!$A$8:$A$73"),0)),CONFIG!$A$15:$B$28,2,FALSE),"")</f>
        <v/>
      </c>
      <c r="P38" s="157">
        <f>IFERROR(VLOOKUP(INDEX(INDIRECT($B$1&amp;"!"&amp;ADDRESS(8,COLUMN()+6,4)&amp;":"&amp;ADDRESS(73,COLUMN()+6,4)),MATCH($B38,INDIRECT($B$1&amp;"!$A$8:$A$73"),0)),CONFIG!$A$15:$B$28,2,FALSE),"")</f>
        <v/>
      </c>
      <c r="Q38" s="157">
        <f>IFERROR(VLOOKUP(INDEX(INDIRECT($B$1&amp;"!"&amp;ADDRESS(8,COLUMN()+6,4)&amp;":"&amp;ADDRESS(73,COLUMN()+6,4)),MATCH($B38,INDIRECT($B$1&amp;"!$A$8:$A$73"),0)),CONFIG!$A$15:$B$28,2,FALSE),"")</f>
        <v/>
      </c>
      <c r="R38" s="157">
        <f>IFERROR(VLOOKUP(INDEX(INDIRECT($B$1&amp;"!"&amp;ADDRESS(8,COLUMN()+6,4)&amp;":"&amp;ADDRESS(73,COLUMN()+6,4)),MATCH($B38,INDIRECT($B$1&amp;"!$A$8:$A$73"),0)),CONFIG!$A$15:$B$28,2,FALSE),"")</f>
        <v/>
      </c>
      <c r="S38" s="157">
        <f>IFERROR(VLOOKUP(INDEX(INDIRECT($B$1&amp;"!"&amp;ADDRESS(8,COLUMN()+6,4)&amp;":"&amp;ADDRESS(73,COLUMN()+6,4)),MATCH($B38,INDIRECT($B$1&amp;"!$A$8:$A$73"),0)),CONFIG!$A$15:$B$28,2,FALSE),"")</f>
        <v/>
      </c>
      <c r="T38" s="157">
        <f>IFERROR(VLOOKUP(INDEX(INDIRECT($B$1&amp;"!"&amp;ADDRESS(8,COLUMN()+6,4)&amp;":"&amp;ADDRESS(73,COLUMN()+6,4)),MATCH($B38,INDIRECT($B$1&amp;"!$A$8:$A$73"),0)),CONFIG!$A$15:$B$28,2,FALSE),"")</f>
        <v/>
      </c>
      <c r="U38" s="157">
        <f>IFERROR(VLOOKUP(INDEX(INDIRECT($B$1&amp;"!"&amp;ADDRESS(8,COLUMN()+6,4)&amp;":"&amp;ADDRESS(73,COLUMN()+6,4)),MATCH($B38,INDIRECT($B$1&amp;"!$A$8:$A$73"),0)),CONFIG!$A$15:$B$28,2,FALSE),"")</f>
        <v/>
      </c>
      <c r="V38" s="157">
        <f>IFERROR(VLOOKUP(INDEX(INDIRECT($B$1&amp;"!"&amp;ADDRESS(8,COLUMN()+6,4)&amp;":"&amp;ADDRESS(73,COLUMN()+6,4)),MATCH($B38,INDIRECT($B$1&amp;"!$A$8:$A$73"),0)),CONFIG!$A$15:$B$28,2,FALSE),"")</f>
        <v/>
      </c>
      <c r="W38" s="157">
        <f>IFERROR(VLOOKUP(INDEX(INDIRECT($B$1&amp;"!"&amp;ADDRESS(8,COLUMN()+6,4)&amp;":"&amp;ADDRESS(73,COLUMN()+6,4)),MATCH($B38,INDIRECT($B$1&amp;"!$A$8:$A$73"),0)),CONFIG!$A$15:$B$28,2,FALSE),"")</f>
        <v/>
      </c>
      <c r="X38" s="157">
        <f>IFERROR(VLOOKUP(INDEX(INDIRECT($B$1&amp;"!"&amp;ADDRESS(8,COLUMN()+6,4)&amp;":"&amp;ADDRESS(73,COLUMN()+6,4)),MATCH($B38,INDIRECT($B$1&amp;"!$A$8:$A$73"),0)),CONFIG!$A$15:$B$28,2,FALSE),"")</f>
        <v/>
      </c>
      <c r="Y38" s="157">
        <f>IFERROR(VLOOKUP(INDEX(INDIRECT($B$1&amp;"!"&amp;ADDRESS(8,COLUMN()+6,4)&amp;":"&amp;ADDRESS(73,COLUMN()+6,4)),MATCH($B38,INDIRECT($B$1&amp;"!$A$8:$A$73"),0)),CONFIG!$A$15:$B$28,2,FALSE),"")</f>
        <v/>
      </c>
      <c r="Z38" s="157">
        <f>IFERROR(VLOOKUP(INDEX(INDIRECT($B$1&amp;"!"&amp;ADDRESS(8,COLUMN()+6,4)&amp;":"&amp;ADDRESS(73,COLUMN()+6,4)),MATCH($B38,INDIRECT($B$1&amp;"!$A$8:$A$73"),0)),CONFIG!$A$15:$B$28,2,FALSE),"")</f>
        <v/>
      </c>
      <c r="AA38" s="157">
        <f>IFERROR(VLOOKUP(INDEX(INDIRECT($B$1&amp;"!"&amp;ADDRESS(8,COLUMN()+6,4)&amp;":"&amp;ADDRESS(73,COLUMN()+6,4)),MATCH($B38,INDIRECT($B$1&amp;"!$A$8:$A$73"),0)),CONFIG!$A$15:$B$28,2,FALSE),"")</f>
        <v/>
      </c>
      <c r="AB38" s="157">
        <f>IFERROR(VLOOKUP(INDEX(INDIRECT($B$1&amp;"!"&amp;ADDRESS(8,COLUMN()+6,4)&amp;":"&amp;ADDRESS(73,COLUMN()+6,4)),MATCH($B38,INDIRECT($B$1&amp;"!$A$8:$A$73"),0)),CONFIG!$A$15:$B$28,2,FALSE),"")</f>
        <v/>
      </c>
      <c r="AC38" s="157">
        <f>IFERROR(VLOOKUP(INDEX(INDIRECT($B$1&amp;"!"&amp;ADDRESS(8,COLUMN()+6,4)&amp;":"&amp;ADDRESS(73,COLUMN()+6,4)),MATCH($B38,INDIRECT($B$1&amp;"!$A$8:$A$73"),0)),CONFIG!$A$15:$B$28,2,FALSE),"")</f>
        <v/>
      </c>
      <c r="AD38" s="157">
        <f>IFERROR(VLOOKUP(INDEX(INDIRECT($B$1&amp;"!"&amp;ADDRESS(8,COLUMN()+6,4)&amp;":"&amp;ADDRESS(73,COLUMN()+6,4)),MATCH($B38,INDIRECT($B$1&amp;"!$A$8:$A$73"),0)),CONFIG!$A$15:$B$28,2,FALSE),"")</f>
        <v/>
      </c>
      <c r="AE38" s="157">
        <f>IFERROR(VLOOKUP(INDEX(INDIRECT($B$1&amp;"!"&amp;ADDRESS(8,COLUMN()+6,4)&amp;":"&amp;ADDRESS(73,COLUMN()+6,4)),MATCH($B38,INDIRECT($B$1&amp;"!$A$8:$A$73"),0)),CONFIG!$A$15:$B$28,2,FALSE),"")</f>
        <v/>
      </c>
      <c r="AF38" s="157">
        <f>IFERROR(VLOOKUP(INDEX(INDIRECT($B$1&amp;"!"&amp;ADDRESS(8,COLUMN()+6,4)&amp;":"&amp;ADDRESS(73,COLUMN()+6,4)),MATCH($B38,INDIRECT($B$1&amp;"!$A$8:$A$73"),0)),CONFIG!$A$15:$B$28,2,FALSE),"")</f>
        <v/>
      </c>
      <c r="AG38" s="157">
        <f>IFERROR(VLOOKUP(INDEX(INDIRECT($B$1&amp;"!"&amp;ADDRESS(8,COLUMN()+6,4)&amp;":"&amp;ADDRESS(73,COLUMN()+6,4)),MATCH($B38,INDIRECT($B$1&amp;"!$A$8:$A$73"),0)),CONFIG!$A$15:$B$28,2,FALSE),"")</f>
        <v/>
      </c>
      <c r="AH38" s="157">
        <f>IFERROR(VLOOKUP(INDEX(INDIRECT($B$1&amp;"!"&amp;ADDRESS(8,COLUMN()+6,4)&amp;":"&amp;ADDRESS(73,COLUMN()+6,4)),MATCH($B38,INDIRECT($B$1&amp;"!$A$8:$A$73"),0)),CONFIG!$A$15:$B$28,2,FALSE),"")</f>
        <v/>
      </c>
      <c r="AI38" s="39" t="n"/>
    </row>
    <row r="39">
      <c r="A39" s="155" t="inlineStr">
        <is>
          <t>Anna Jorge</t>
        </is>
      </c>
      <c r="B39" s="156" t="inlineStr">
        <is>
          <t>Anna</t>
        </is>
      </c>
      <c r="C39" s="157">
        <f>IFERROR(VLOOKUP(INDEX(INDIRECT($B$1&amp;"!"&amp;ADDRESS(8,COLUMN()+6,4)&amp;":"&amp;ADDRESS(73,COLUMN()+6,4)),MATCH($B39,INDIRECT($B$1&amp;"!$A$8:$A$73"),0)),CONFIG!$A$15:$B$28,2,FALSE),"")</f>
        <v/>
      </c>
      <c r="D39" s="157">
        <f>IFERROR(VLOOKUP(INDEX(INDIRECT($B$1&amp;"!"&amp;ADDRESS(8,COLUMN()+6,4)&amp;":"&amp;ADDRESS(73,COLUMN()+6,4)),MATCH($B39,INDIRECT($B$1&amp;"!$A$8:$A$73"),0)),CONFIG!$A$15:$B$28,2,FALSE),"")</f>
        <v/>
      </c>
      <c r="E39" s="157">
        <f>IFERROR(VLOOKUP(INDEX(INDIRECT($B$1&amp;"!"&amp;ADDRESS(8,COLUMN()+6,4)&amp;":"&amp;ADDRESS(73,COLUMN()+6,4)),MATCH($B39,INDIRECT($B$1&amp;"!$A$8:$A$73"),0)),CONFIG!$A$15:$B$28,2,FALSE),"")</f>
        <v/>
      </c>
      <c r="F39" s="157">
        <f>IFERROR(VLOOKUP(INDEX(INDIRECT($B$1&amp;"!"&amp;ADDRESS(8,COLUMN()+6,4)&amp;":"&amp;ADDRESS(73,COLUMN()+6,4)),MATCH($B39,INDIRECT($B$1&amp;"!$A$8:$A$73"),0)),CONFIG!$A$15:$B$28,2,FALSE),"")</f>
        <v/>
      </c>
      <c r="G39" s="157">
        <f>IFERROR(VLOOKUP(INDEX(INDIRECT($B$1&amp;"!"&amp;ADDRESS(8,COLUMN()+6,4)&amp;":"&amp;ADDRESS(73,COLUMN()+6,4)),MATCH($B39,INDIRECT($B$1&amp;"!$A$8:$A$73"),0)),CONFIG!$A$15:$B$28,2,FALSE),"")</f>
        <v/>
      </c>
      <c r="H39" s="157">
        <f>IFERROR(VLOOKUP(INDEX(INDIRECT($B$1&amp;"!"&amp;ADDRESS(8,COLUMN()+6,4)&amp;":"&amp;ADDRESS(73,COLUMN()+6,4)),MATCH($B39,INDIRECT($B$1&amp;"!$A$8:$A$73"),0)),CONFIG!$A$15:$B$28,2,FALSE),"")</f>
        <v/>
      </c>
      <c r="I39" s="157">
        <f>IFERROR(VLOOKUP(INDEX(INDIRECT($B$1&amp;"!"&amp;ADDRESS(8,COLUMN()+6,4)&amp;":"&amp;ADDRESS(73,COLUMN()+6,4)),MATCH($B39,INDIRECT($B$1&amp;"!$A$8:$A$73"),0)),CONFIG!$A$15:$B$28,2,FALSE),"")</f>
        <v/>
      </c>
      <c r="J39" s="157">
        <f>IFERROR(VLOOKUP(INDEX(INDIRECT($B$1&amp;"!"&amp;ADDRESS(8,COLUMN()+6,4)&amp;":"&amp;ADDRESS(73,COLUMN()+6,4)),MATCH($B39,INDIRECT($B$1&amp;"!$A$8:$A$73"),0)),CONFIG!$A$15:$B$28,2,FALSE),"")</f>
        <v/>
      </c>
      <c r="K39" s="157">
        <f>IFERROR(VLOOKUP(INDEX(INDIRECT($B$1&amp;"!"&amp;ADDRESS(8,COLUMN()+6,4)&amp;":"&amp;ADDRESS(73,COLUMN()+6,4)),MATCH($B39,INDIRECT($B$1&amp;"!$A$8:$A$73"),0)),CONFIG!$A$15:$B$28,2,FALSE),"")</f>
        <v/>
      </c>
      <c r="L39" s="157">
        <f>IFERROR(VLOOKUP(INDEX(INDIRECT($B$1&amp;"!"&amp;ADDRESS(8,COLUMN()+6,4)&amp;":"&amp;ADDRESS(73,COLUMN()+6,4)),MATCH($B39,INDIRECT($B$1&amp;"!$A$8:$A$73"),0)),CONFIG!$A$15:$B$28,2,FALSE),"")</f>
        <v/>
      </c>
      <c r="M39" s="157">
        <f>IFERROR(VLOOKUP(INDEX(INDIRECT($B$1&amp;"!"&amp;ADDRESS(8,COLUMN()+6,4)&amp;":"&amp;ADDRESS(73,COLUMN()+6,4)),MATCH($B39,INDIRECT($B$1&amp;"!$A$8:$A$73"),0)),CONFIG!$A$15:$B$28,2,FALSE),"")</f>
        <v/>
      </c>
      <c r="N39" s="157">
        <f>IFERROR(VLOOKUP(INDEX(INDIRECT($B$1&amp;"!"&amp;ADDRESS(8,COLUMN()+6,4)&amp;":"&amp;ADDRESS(73,COLUMN()+6,4)),MATCH($B39,INDIRECT($B$1&amp;"!$A$8:$A$73"),0)),CONFIG!$A$15:$B$28,2,FALSE),"")</f>
        <v/>
      </c>
      <c r="O39" s="157">
        <f>IFERROR(VLOOKUP(INDEX(INDIRECT($B$1&amp;"!"&amp;ADDRESS(8,COLUMN()+6,4)&amp;":"&amp;ADDRESS(73,COLUMN()+6,4)),MATCH($B39,INDIRECT($B$1&amp;"!$A$8:$A$73"),0)),CONFIG!$A$15:$B$28,2,FALSE),"")</f>
        <v/>
      </c>
      <c r="P39" s="157">
        <f>IFERROR(VLOOKUP(INDEX(INDIRECT($B$1&amp;"!"&amp;ADDRESS(8,COLUMN()+6,4)&amp;":"&amp;ADDRESS(73,COLUMN()+6,4)),MATCH($B39,INDIRECT($B$1&amp;"!$A$8:$A$73"),0)),CONFIG!$A$15:$B$28,2,FALSE),"")</f>
        <v/>
      </c>
      <c r="Q39" s="157">
        <f>IFERROR(VLOOKUP(INDEX(INDIRECT($B$1&amp;"!"&amp;ADDRESS(8,COLUMN()+6,4)&amp;":"&amp;ADDRESS(73,COLUMN()+6,4)),MATCH($B39,INDIRECT($B$1&amp;"!$A$8:$A$73"),0)),CONFIG!$A$15:$B$28,2,FALSE),"")</f>
        <v/>
      </c>
      <c r="R39" s="157">
        <f>IFERROR(VLOOKUP(INDEX(INDIRECT($B$1&amp;"!"&amp;ADDRESS(8,COLUMN()+6,4)&amp;":"&amp;ADDRESS(73,COLUMN()+6,4)),MATCH($B39,INDIRECT($B$1&amp;"!$A$8:$A$73"),0)),CONFIG!$A$15:$B$28,2,FALSE),"")</f>
        <v/>
      </c>
      <c r="S39" s="157">
        <f>IFERROR(VLOOKUP(INDEX(INDIRECT($B$1&amp;"!"&amp;ADDRESS(8,COLUMN()+6,4)&amp;":"&amp;ADDRESS(73,COLUMN()+6,4)),MATCH($B39,INDIRECT($B$1&amp;"!$A$8:$A$73"),0)),CONFIG!$A$15:$B$28,2,FALSE),"")</f>
        <v/>
      </c>
      <c r="T39" s="157">
        <f>IFERROR(VLOOKUP(INDEX(INDIRECT($B$1&amp;"!"&amp;ADDRESS(8,COLUMN()+6,4)&amp;":"&amp;ADDRESS(73,COLUMN()+6,4)),MATCH($B39,INDIRECT($B$1&amp;"!$A$8:$A$73"),0)),CONFIG!$A$15:$B$28,2,FALSE),"")</f>
        <v/>
      </c>
      <c r="U39" s="157">
        <f>IFERROR(VLOOKUP(INDEX(INDIRECT($B$1&amp;"!"&amp;ADDRESS(8,COLUMN()+6,4)&amp;":"&amp;ADDRESS(73,COLUMN()+6,4)),MATCH($B39,INDIRECT($B$1&amp;"!$A$8:$A$73"),0)),CONFIG!$A$15:$B$28,2,FALSE),"")</f>
        <v/>
      </c>
      <c r="V39" s="157">
        <f>IFERROR(VLOOKUP(INDEX(INDIRECT($B$1&amp;"!"&amp;ADDRESS(8,COLUMN()+6,4)&amp;":"&amp;ADDRESS(73,COLUMN()+6,4)),MATCH($B39,INDIRECT($B$1&amp;"!$A$8:$A$73"),0)),CONFIG!$A$15:$B$28,2,FALSE),"")</f>
        <v/>
      </c>
      <c r="W39" s="157">
        <f>IFERROR(VLOOKUP(INDEX(INDIRECT($B$1&amp;"!"&amp;ADDRESS(8,COLUMN()+6,4)&amp;":"&amp;ADDRESS(73,COLUMN()+6,4)),MATCH($B39,INDIRECT($B$1&amp;"!$A$8:$A$73"),0)),CONFIG!$A$15:$B$28,2,FALSE),"")</f>
        <v/>
      </c>
      <c r="X39" s="157">
        <f>IFERROR(VLOOKUP(INDEX(INDIRECT($B$1&amp;"!"&amp;ADDRESS(8,COLUMN()+6,4)&amp;":"&amp;ADDRESS(73,COLUMN()+6,4)),MATCH($B39,INDIRECT($B$1&amp;"!$A$8:$A$73"),0)),CONFIG!$A$15:$B$28,2,FALSE),"")</f>
        <v/>
      </c>
      <c r="Y39" s="157">
        <f>IFERROR(VLOOKUP(INDEX(INDIRECT($B$1&amp;"!"&amp;ADDRESS(8,COLUMN()+6,4)&amp;":"&amp;ADDRESS(73,COLUMN()+6,4)),MATCH($B39,INDIRECT($B$1&amp;"!$A$8:$A$73"),0)),CONFIG!$A$15:$B$28,2,FALSE),"")</f>
        <v/>
      </c>
      <c r="Z39" s="157">
        <f>IFERROR(VLOOKUP(INDEX(INDIRECT($B$1&amp;"!"&amp;ADDRESS(8,COLUMN()+6,4)&amp;":"&amp;ADDRESS(73,COLUMN()+6,4)),MATCH($B39,INDIRECT($B$1&amp;"!$A$8:$A$73"),0)),CONFIG!$A$15:$B$28,2,FALSE),"")</f>
        <v/>
      </c>
      <c r="AA39" s="157">
        <f>IFERROR(VLOOKUP(INDEX(INDIRECT($B$1&amp;"!"&amp;ADDRESS(8,COLUMN()+6,4)&amp;":"&amp;ADDRESS(73,COLUMN()+6,4)),MATCH($B39,INDIRECT($B$1&amp;"!$A$8:$A$73"),0)),CONFIG!$A$15:$B$28,2,FALSE),"")</f>
        <v/>
      </c>
      <c r="AB39" s="157">
        <f>IFERROR(VLOOKUP(INDEX(INDIRECT($B$1&amp;"!"&amp;ADDRESS(8,COLUMN()+6,4)&amp;":"&amp;ADDRESS(73,COLUMN()+6,4)),MATCH($B39,INDIRECT($B$1&amp;"!$A$8:$A$73"),0)),CONFIG!$A$15:$B$28,2,FALSE),"")</f>
        <v/>
      </c>
      <c r="AC39" s="157">
        <f>IFERROR(VLOOKUP(INDEX(INDIRECT($B$1&amp;"!"&amp;ADDRESS(8,COLUMN()+6,4)&amp;":"&amp;ADDRESS(73,COLUMN()+6,4)),MATCH($B39,INDIRECT($B$1&amp;"!$A$8:$A$73"),0)),CONFIG!$A$15:$B$28,2,FALSE),"")</f>
        <v/>
      </c>
      <c r="AD39" s="157">
        <f>IFERROR(VLOOKUP(INDEX(INDIRECT($B$1&amp;"!"&amp;ADDRESS(8,COLUMN()+6,4)&amp;":"&amp;ADDRESS(73,COLUMN()+6,4)),MATCH($B39,INDIRECT($B$1&amp;"!$A$8:$A$73"),0)),CONFIG!$A$15:$B$28,2,FALSE),"")</f>
        <v/>
      </c>
      <c r="AE39" s="157">
        <f>IFERROR(VLOOKUP(INDEX(INDIRECT($B$1&amp;"!"&amp;ADDRESS(8,COLUMN()+6,4)&amp;":"&amp;ADDRESS(73,COLUMN()+6,4)),MATCH($B39,INDIRECT($B$1&amp;"!$A$8:$A$73"),0)),CONFIG!$A$15:$B$28,2,FALSE),"")</f>
        <v/>
      </c>
      <c r="AF39" s="157">
        <f>IFERROR(VLOOKUP(INDEX(INDIRECT($B$1&amp;"!"&amp;ADDRESS(8,COLUMN()+6,4)&amp;":"&amp;ADDRESS(73,COLUMN()+6,4)),MATCH($B39,INDIRECT($B$1&amp;"!$A$8:$A$73"),0)),CONFIG!$A$15:$B$28,2,FALSE),"")</f>
        <v/>
      </c>
      <c r="AG39" s="157">
        <f>IFERROR(VLOOKUP(INDEX(INDIRECT($B$1&amp;"!"&amp;ADDRESS(8,COLUMN()+6,4)&amp;":"&amp;ADDRESS(73,COLUMN()+6,4)),MATCH($B39,INDIRECT($B$1&amp;"!$A$8:$A$73"),0)),CONFIG!$A$15:$B$28,2,FALSE),"")</f>
        <v/>
      </c>
      <c r="AH39" s="157">
        <f>IFERROR(VLOOKUP(INDEX(INDIRECT($B$1&amp;"!"&amp;ADDRESS(8,COLUMN()+6,4)&amp;":"&amp;ADDRESS(73,COLUMN()+6,4)),MATCH($B39,INDIRECT($B$1&amp;"!$A$8:$A$73"),0)),CONFIG!$A$15:$B$28,2,FALSE),"")</f>
        <v/>
      </c>
      <c r="AI39" s="39" t="n"/>
    </row>
    <row r="40">
      <c r="A40" s="155" t="inlineStr">
        <is>
          <t>Ariadne</t>
        </is>
      </c>
      <c r="B40" s="156" t="inlineStr">
        <is>
          <t>Ariadne</t>
        </is>
      </c>
      <c r="C40" s="157">
        <f>IFERROR(VLOOKUP(INDEX(INDIRECT($B$1&amp;"!"&amp;ADDRESS(8,COLUMN()+6,4)&amp;":"&amp;ADDRESS(73,COLUMN()+6,4)),MATCH($B40,INDIRECT($B$1&amp;"!$A$8:$A$73"),0)),CONFIG!$A$15:$B$28,2,FALSE),"")</f>
        <v/>
      </c>
      <c r="D40" s="157">
        <f>IFERROR(VLOOKUP(INDEX(INDIRECT($B$1&amp;"!"&amp;ADDRESS(8,COLUMN()+6,4)&amp;":"&amp;ADDRESS(73,COLUMN()+6,4)),MATCH($B40,INDIRECT($B$1&amp;"!$A$8:$A$73"),0)),CONFIG!$A$15:$B$28,2,FALSE),"")</f>
        <v/>
      </c>
      <c r="E40" s="157">
        <f>IFERROR(VLOOKUP(INDEX(INDIRECT($B$1&amp;"!"&amp;ADDRESS(8,COLUMN()+6,4)&amp;":"&amp;ADDRESS(73,COLUMN()+6,4)),MATCH($B40,INDIRECT($B$1&amp;"!$A$8:$A$73"),0)),CONFIG!$A$15:$B$28,2,FALSE),"")</f>
        <v/>
      </c>
      <c r="F40" s="157">
        <f>IFERROR(VLOOKUP(INDEX(INDIRECT($B$1&amp;"!"&amp;ADDRESS(8,COLUMN()+6,4)&amp;":"&amp;ADDRESS(73,COLUMN()+6,4)),MATCH($B40,INDIRECT($B$1&amp;"!$A$8:$A$73"),0)),CONFIG!$A$15:$B$28,2,FALSE),"")</f>
        <v/>
      </c>
      <c r="G40" s="157">
        <f>IFERROR(VLOOKUP(INDEX(INDIRECT($B$1&amp;"!"&amp;ADDRESS(8,COLUMN()+6,4)&amp;":"&amp;ADDRESS(73,COLUMN()+6,4)),MATCH($B40,INDIRECT($B$1&amp;"!$A$8:$A$73"),0)),CONFIG!$A$15:$B$28,2,FALSE),"")</f>
        <v/>
      </c>
      <c r="H40" s="157">
        <f>IFERROR(VLOOKUP(INDEX(INDIRECT($B$1&amp;"!"&amp;ADDRESS(8,COLUMN()+6,4)&amp;":"&amp;ADDRESS(73,COLUMN()+6,4)),MATCH($B40,INDIRECT($B$1&amp;"!$A$8:$A$73"),0)),CONFIG!$A$15:$B$28,2,FALSE),"")</f>
        <v/>
      </c>
      <c r="I40" s="157">
        <f>IFERROR(VLOOKUP(INDEX(INDIRECT($B$1&amp;"!"&amp;ADDRESS(8,COLUMN()+6,4)&amp;":"&amp;ADDRESS(73,COLUMN()+6,4)),MATCH($B40,INDIRECT($B$1&amp;"!$A$8:$A$73"),0)),CONFIG!$A$15:$B$28,2,FALSE),"")</f>
        <v/>
      </c>
      <c r="J40" s="157">
        <f>IFERROR(VLOOKUP(INDEX(INDIRECT($B$1&amp;"!"&amp;ADDRESS(8,COLUMN()+6,4)&amp;":"&amp;ADDRESS(73,COLUMN()+6,4)),MATCH($B40,INDIRECT($B$1&amp;"!$A$8:$A$73"),0)),CONFIG!$A$15:$B$28,2,FALSE),"")</f>
        <v/>
      </c>
      <c r="K40" s="157">
        <f>IFERROR(VLOOKUP(INDEX(INDIRECT($B$1&amp;"!"&amp;ADDRESS(8,COLUMN()+6,4)&amp;":"&amp;ADDRESS(73,COLUMN()+6,4)),MATCH($B40,INDIRECT($B$1&amp;"!$A$8:$A$73"),0)),CONFIG!$A$15:$B$28,2,FALSE),"")</f>
        <v/>
      </c>
      <c r="L40" s="157">
        <f>IFERROR(VLOOKUP(INDEX(INDIRECT($B$1&amp;"!"&amp;ADDRESS(8,COLUMN()+6,4)&amp;":"&amp;ADDRESS(73,COLUMN()+6,4)),MATCH($B40,INDIRECT($B$1&amp;"!$A$8:$A$73"),0)),CONFIG!$A$15:$B$28,2,FALSE),"")</f>
        <v/>
      </c>
      <c r="M40" s="157">
        <f>IFERROR(VLOOKUP(INDEX(INDIRECT($B$1&amp;"!"&amp;ADDRESS(8,COLUMN()+6,4)&amp;":"&amp;ADDRESS(73,COLUMN()+6,4)),MATCH($B40,INDIRECT($B$1&amp;"!$A$8:$A$73"),0)),CONFIG!$A$15:$B$28,2,FALSE),"")</f>
        <v/>
      </c>
      <c r="N40" s="157">
        <f>IFERROR(VLOOKUP(INDEX(INDIRECT($B$1&amp;"!"&amp;ADDRESS(8,COLUMN()+6,4)&amp;":"&amp;ADDRESS(73,COLUMN()+6,4)),MATCH($B40,INDIRECT($B$1&amp;"!$A$8:$A$73"),0)),CONFIG!$A$15:$B$28,2,FALSE),"")</f>
        <v/>
      </c>
      <c r="O40" s="157">
        <f>IFERROR(VLOOKUP(INDEX(INDIRECT($B$1&amp;"!"&amp;ADDRESS(8,COLUMN()+6,4)&amp;":"&amp;ADDRESS(73,COLUMN()+6,4)),MATCH($B40,INDIRECT($B$1&amp;"!$A$8:$A$73"),0)),CONFIG!$A$15:$B$28,2,FALSE),"")</f>
        <v/>
      </c>
      <c r="P40" s="157">
        <f>IFERROR(VLOOKUP(INDEX(INDIRECT($B$1&amp;"!"&amp;ADDRESS(8,COLUMN()+6,4)&amp;":"&amp;ADDRESS(73,COLUMN()+6,4)),MATCH($B40,INDIRECT($B$1&amp;"!$A$8:$A$73"),0)),CONFIG!$A$15:$B$28,2,FALSE),"")</f>
        <v/>
      </c>
      <c r="Q40" s="157">
        <f>IFERROR(VLOOKUP(INDEX(INDIRECT($B$1&amp;"!"&amp;ADDRESS(8,COLUMN()+6,4)&amp;":"&amp;ADDRESS(73,COLUMN()+6,4)),MATCH($B40,INDIRECT($B$1&amp;"!$A$8:$A$73"),0)),CONFIG!$A$15:$B$28,2,FALSE),"")</f>
        <v/>
      </c>
      <c r="R40" s="157">
        <f>IFERROR(VLOOKUP(INDEX(INDIRECT($B$1&amp;"!"&amp;ADDRESS(8,COLUMN()+6,4)&amp;":"&amp;ADDRESS(73,COLUMN()+6,4)),MATCH($B40,INDIRECT($B$1&amp;"!$A$8:$A$73"),0)),CONFIG!$A$15:$B$28,2,FALSE),"")</f>
        <v/>
      </c>
      <c r="S40" s="157">
        <f>IFERROR(VLOOKUP(INDEX(INDIRECT($B$1&amp;"!"&amp;ADDRESS(8,COLUMN()+6,4)&amp;":"&amp;ADDRESS(73,COLUMN()+6,4)),MATCH($B40,INDIRECT($B$1&amp;"!$A$8:$A$73"),0)),CONFIG!$A$15:$B$28,2,FALSE),"")</f>
        <v/>
      </c>
      <c r="T40" s="157">
        <f>IFERROR(VLOOKUP(INDEX(INDIRECT($B$1&amp;"!"&amp;ADDRESS(8,COLUMN()+6,4)&amp;":"&amp;ADDRESS(73,COLUMN()+6,4)),MATCH($B40,INDIRECT($B$1&amp;"!$A$8:$A$73"),0)),CONFIG!$A$15:$B$28,2,FALSE),"")</f>
        <v/>
      </c>
      <c r="U40" s="157">
        <f>IFERROR(VLOOKUP(INDEX(INDIRECT($B$1&amp;"!"&amp;ADDRESS(8,COLUMN()+6,4)&amp;":"&amp;ADDRESS(73,COLUMN()+6,4)),MATCH($B40,INDIRECT($B$1&amp;"!$A$8:$A$73"),0)),CONFIG!$A$15:$B$28,2,FALSE),"")</f>
        <v/>
      </c>
      <c r="V40" s="157">
        <f>IFERROR(VLOOKUP(INDEX(INDIRECT($B$1&amp;"!"&amp;ADDRESS(8,COLUMN()+6,4)&amp;":"&amp;ADDRESS(73,COLUMN()+6,4)),MATCH($B40,INDIRECT($B$1&amp;"!$A$8:$A$73"),0)),CONFIG!$A$15:$B$28,2,FALSE),"")</f>
        <v/>
      </c>
      <c r="W40" s="157">
        <f>IFERROR(VLOOKUP(INDEX(INDIRECT($B$1&amp;"!"&amp;ADDRESS(8,COLUMN()+6,4)&amp;":"&amp;ADDRESS(73,COLUMN()+6,4)),MATCH($B40,INDIRECT($B$1&amp;"!$A$8:$A$73"),0)),CONFIG!$A$15:$B$28,2,FALSE),"")</f>
        <v/>
      </c>
      <c r="X40" s="157">
        <f>IFERROR(VLOOKUP(INDEX(INDIRECT($B$1&amp;"!"&amp;ADDRESS(8,COLUMN()+6,4)&amp;":"&amp;ADDRESS(73,COLUMN()+6,4)),MATCH($B40,INDIRECT($B$1&amp;"!$A$8:$A$73"),0)),CONFIG!$A$15:$B$28,2,FALSE),"")</f>
        <v/>
      </c>
      <c r="Y40" s="157">
        <f>IFERROR(VLOOKUP(INDEX(INDIRECT($B$1&amp;"!"&amp;ADDRESS(8,COLUMN()+6,4)&amp;":"&amp;ADDRESS(73,COLUMN()+6,4)),MATCH($B40,INDIRECT($B$1&amp;"!$A$8:$A$73"),0)),CONFIG!$A$15:$B$28,2,FALSE),"")</f>
        <v/>
      </c>
      <c r="Z40" s="157">
        <f>IFERROR(VLOOKUP(INDEX(INDIRECT($B$1&amp;"!"&amp;ADDRESS(8,COLUMN()+6,4)&amp;":"&amp;ADDRESS(73,COLUMN()+6,4)),MATCH($B40,INDIRECT($B$1&amp;"!$A$8:$A$73"),0)),CONFIG!$A$15:$B$28,2,FALSE),"")</f>
        <v/>
      </c>
      <c r="AA40" s="157">
        <f>IFERROR(VLOOKUP(INDEX(INDIRECT($B$1&amp;"!"&amp;ADDRESS(8,COLUMN()+6,4)&amp;":"&amp;ADDRESS(73,COLUMN()+6,4)),MATCH($B40,INDIRECT($B$1&amp;"!$A$8:$A$73"),0)),CONFIG!$A$15:$B$28,2,FALSE),"")</f>
        <v/>
      </c>
      <c r="AB40" s="157">
        <f>IFERROR(VLOOKUP(INDEX(INDIRECT($B$1&amp;"!"&amp;ADDRESS(8,COLUMN()+6,4)&amp;":"&amp;ADDRESS(73,COLUMN()+6,4)),MATCH($B40,INDIRECT($B$1&amp;"!$A$8:$A$73"),0)),CONFIG!$A$15:$B$28,2,FALSE),"")</f>
        <v/>
      </c>
      <c r="AC40" s="157">
        <f>IFERROR(VLOOKUP(INDEX(INDIRECT($B$1&amp;"!"&amp;ADDRESS(8,COLUMN()+6,4)&amp;":"&amp;ADDRESS(73,COLUMN()+6,4)),MATCH($B40,INDIRECT($B$1&amp;"!$A$8:$A$73"),0)),CONFIG!$A$15:$B$28,2,FALSE),"")</f>
        <v/>
      </c>
      <c r="AD40" s="157">
        <f>IFERROR(VLOOKUP(INDEX(INDIRECT($B$1&amp;"!"&amp;ADDRESS(8,COLUMN()+6,4)&amp;":"&amp;ADDRESS(73,COLUMN()+6,4)),MATCH($B40,INDIRECT($B$1&amp;"!$A$8:$A$73"),0)),CONFIG!$A$15:$B$28,2,FALSE),"")</f>
        <v/>
      </c>
      <c r="AE40" s="157">
        <f>IFERROR(VLOOKUP(INDEX(INDIRECT($B$1&amp;"!"&amp;ADDRESS(8,COLUMN()+6,4)&amp;":"&amp;ADDRESS(73,COLUMN()+6,4)),MATCH($B40,INDIRECT($B$1&amp;"!$A$8:$A$73"),0)),CONFIG!$A$15:$B$28,2,FALSE),"")</f>
        <v/>
      </c>
      <c r="AF40" s="157">
        <f>IFERROR(VLOOKUP(INDEX(INDIRECT($B$1&amp;"!"&amp;ADDRESS(8,COLUMN()+6,4)&amp;":"&amp;ADDRESS(73,COLUMN()+6,4)),MATCH($B40,INDIRECT($B$1&amp;"!$A$8:$A$73"),0)),CONFIG!$A$15:$B$28,2,FALSE),"")</f>
        <v/>
      </c>
      <c r="AG40" s="157">
        <f>IFERROR(VLOOKUP(INDEX(INDIRECT($B$1&amp;"!"&amp;ADDRESS(8,COLUMN()+6,4)&amp;":"&amp;ADDRESS(73,COLUMN()+6,4)),MATCH($B40,INDIRECT($B$1&amp;"!$A$8:$A$73"),0)),CONFIG!$A$15:$B$28,2,FALSE),"")</f>
        <v/>
      </c>
      <c r="AH40" s="157">
        <f>IFERROR(VLOOKUP(INDEX(INDIRECT($B$1&amp;"!"&amp;ADDRESS(8,COLUMN()+6,4)&amp;":"&amp;ADDRESS(73,COLUMN()+6,4)),MATCH($B40,INDIRECT($B$1&amp;"!$A$8:$A$73"),0)),CONFIG!$A$15:$B$28,2,FALSE),"")</f>
        <v/>
      </c>
      <c r="AI40" s="39" t="n"/>
    </row>
    <row r="41">
      <c r="A41" s="155" t="inlineStr">
        <is>
          <t>Beatriz</t>
        </is>
      </c>
      <c r="B41" s="156" t="inlineStr">
        <is>
          <t>Beatriz</t>
        </is>
      </c>
      <c r="C41" s="157">
        <f>IFERROR(VLOOKUP(INDEX(INDIRECT($B$1&amp;"!"&amp;ADDRESS(8,COLUMN()+6,4)&amp;":"&amp;ADDRESS(73,COLUMN()+6,4)),MATCH($B41,INDIRECT($B$1&amp;"!$A$8:$A$73"),0)),CONFIG!$A$15:$B$28,2,FALSE),"")</f>
        <v/>
      </c>
      <c r="D41" s="157">
        <f>IFERROR(VLOOKUP(INDEX(INDIRECT($B$1&amp;"!"&amp;ADDRESS(8,COLUMN()+6,4)&amp;":"&amp;ADDRESS(73,COLUMN()+6,4)),MATCH($B41,INDIRECT($B$1&amp;"!$A$8:$A$73"),0)),CONFIG!$A$15:$B$28,2,FALSE),"")</f>
        <v/>
      </c>
      <c r="E41" s="157">
        <f>IFERROR(VLOOKUP(INDEX(INDIRECT($B$1&amp;"!"&amp;ADDRESS(8,COLUMN()+6,4)&amp;":"&amp;ADDRESS(73,COLUMN()+6,4)),MATCH($B41,INDIRECT($B$1&amp;"!$A$8:$A$73"),0)),CONFIG!$A$15:$B$28,2,FALSE),"")</f>
        <v/>
      </c>
      <c r="F41" s="157">
        <f>IFERROR(VLOOKUP(INDEX(INDIRECT($B$1&amp;"!"&amp;ADDRESS(8,COLUMN()+6,4)&amp;":"&amp;ADDRESS(73,COLUMN()+6,4)),MATCH($B41,INDIRECT($B$1&amp;"!$A$8:$A$73"),0)),CONFIG!$A$15:$B$28,2,FALSE),"")</f>
        <v/>
      </c>
      <c r="G41" s="157">
        <f>IFERROR(VLOOKUP(INDEX(INDIRECT($B$1&amp;"!"&amp;ADDRESS(8,COLUMN()+6,4)&amp;":"&amp;ADDRESS(73,COLUMN()+6,4)),MATCH($B41,INDIRECT($B$1&amp;"!$A$8:$A$73"),0)),CONFIG!$A$15:$B$28,2,FALSE),"")</f>
        <v/>
      </c>
      <c r="H41" s="157">
        <f>IFERROR(VLOOKUP(INDEX(INDIRECT($B$1&amp;"!"&amp;ADDRESS(8,COLUMN()+6,4)&amp;":"&amp;ADDRESS(73,COLUMN()+6,4)),MATCH($B41,INDIRECT($B$1&amp;"!$A$8:$A$73"),0)),CONFIG!$A$15:$B$28,2,FALSE),"")</f>
        <v/>
      </c>
      <c r="I41" s="157">
        <f>IFERROR(VLOOKUP(INDEX(INDIRECT($B$1&amp;"!"&amp;ADDRESS(8,COLUMN()+6,4)&amp;":"&amp;ADDRESS(73,COLUMN()+6,4)),MATCH($B41,INDIRECT($B$1&amp;"!$A$8:$A$73"),0)),CONFIG!$A$15:$B$28,2,FALSE),"")</f>
        <v/>
      </c>
      <c r="J41" s="157">
        <f>IFERROR(VLOOKUP(INDEX(INDIRECT($B$1&amp;"!"&amp;ADDRESS(8,COLUMN()+6,4)&amp;":"&amp;ADDRESS(73,COLUMN()+6,4)),MATCH($B41,INDIRECT($B$1&amp;"!$A$8:$A$73"),0)),CONFIG!$A$15:$B$28,2,FALSE),"")</f>
        <v/>
      </c>
      <c r="K41" s="157">
        <f>IFERROR(VLOOKUP(INDEX(INDIRECT($B$1&amp;"!"&amp;ADDRESS(8,COLUMN()+6,4)&amp;":"&amp;ADDRESS(73,COLUMN()+6,4)),MATCH($B41,INDIRECT($B$1&amp;"!$A$8:$A$73"),0)),CONFIG!$A$15:$B$28,2,FALSE),"")</f>
        <v/>
      </c>
      <c r="L41" s="157">
        <f>IFERROR(VLOOKUP(INDEX(INDIRECT($B$1&amp;"!"&amp;ADDRESS(8,COLUMN()+6,4)&amp;":"&amp;ADDRESS(73,COLUMN()+6,4)),MATCH($B41,INDIRECT($B$1&amp;"!$A$8:$A$73"),0)),CONFIG!$A$15:$B$28,2,FALSE),"")</f>
        <v/>
      </c>
      <c r="M41" s="157">
        <f>IFERROR(VLOOKUP(INDEX(INDIRECT($B$1&amp;"!"&amp;ADDRESS(8,COLUMN()+6,4)&amp;":"&amp;ADDRESS(73,COLUMN()+6,4)),MATCH($B41,INDIRECT($B$1&amp;"!$A$8:$A$73"),0)),CONFIG!$A$15:$B$28,2,FALSE),"")</f>
        <v/>
      </c>
      <c r="N41" s="157">
        <f>IFERROR(VLOOKUP(INDEX(INDIRECT($B$1&amp;"!"&amp;ADDRESS(8,COLUMN()+6,4)&amp;":"&amp;ADDRESS(73,COLUMN()+6,4)),MATCH($B41,INDIRECT($B$1&amp;"!$A$8:$A$73"),0)),CONFIG!$A$15:$B$28,2,FALSE),"")</f>
        <v/>
      </c>
      <c r="O41" s="157">
        <f>IFERROR(VLOOKUP(INDEX(INDIRECT($B$1&amp;"!"&amp;ADDRESS(8,COLUMN()+6,4)&amp;":"&amp;ADDRESS(73,COLUMN()+6,4)),MATCH($B41,INDIRECT($B$1&amp;"!$A$8:$A$73"),0)),CONFIG!$A$15:$B$28,2,FALSE),"")</f>
        <v/>
      </c>
      <c r="P41" s="157">
        <f>IFERROR(VLOOKUP(INDEX(INDIRECT($B$1&amp;"!"&amp;ADDRESS(8,COLUMN()+6,4)&amp;":"&amp;ADDRESS(73,COLUMN()+6,4)),MATCH($B41,INDIRECT($B$1&amp;"!$A$8:$A$73"),0)),CONFIG!$A$15:$B$28,2,FALSE),"")</f>
        <v/>
      </c>
      <c r="Q41" s="157">
        <f>IFERROR(VLOOKUP(INDEX(INDIRECT($B$1&amp;"!"&amp;ADDRESS(8,COLUMN()+6,4)&amp;":"&amp;ADDRESS(73,COLUMN()+6,4)),MATCH($B41,INDIRECT($B$1&amp;"!$A$8:$A$73"),0)),CONFIG!$A$15:$B$28,2,FALSE),"")</f>
        <v/>
      </c>
      <c r="R41" s="157">
        <f>IFERROR(VLOOKUP(INDEX(INDIRECT($B$1&amp;"!"&amp;ADDRESS(8,COLUMN()+6,4)&amp;":"&amp;ADDRESS(73,COLUMN()+6,4)),MATCH($B41,INDIRECT($B$1&amp;"!$A$8:$A$73"),0)),CONFIG!$A$15:$B$28,2,FALSE),"")</f>
        <v/>
      </c>
      <c r="S41" s="157">
        <f>IFERROR(VLOOKUP(INDEX(INDIRECT($B$1&amp;"!"&amp;ADDRESS(8,COLUMN()+6,4)&amp;":"&amp;ADDRESS(73,COLUMN()+6,4)),MATCH($B41,INDIRECT($B$1&amp;"!$A$8:$A$73"),0)),CONFIG!$A$15:$B$28,2,FALSE),"")</f>
        <v/>
      </c>
      <c r="T41" s="157">
        <f>IFERROR(VLOOKUP(INDEX(INDIRECT($B$1&amp;"!"&amp;ADDRESS(8,COLUMN()+6,4)&amp;":"&amp;ADDRESS(73,COLUMN()+6,4)),MATCH($B41,INDIRECT($B$1&amp;"!$A$8:$A$73"),0)),CONFIG!$A$15:$B$28,2,FALSE),"")</f>
        <v/>
      </c>
      <c r="U41" s="157">
        <f>IFERROR(VLOOKUP(INDEX(INDIRECT($B$1&amp;"!"&amp;ADDRESS(8,COLUMN()+6,4)&amp;":"&amp;ADDRESS(73,COLUMN()+6,4)),MATCH($B41,INDIRECT($B$1&amp;"!$A$8:$A$73"),0)),CONFIG!$A$15:$B$28,2,FALSE),"")</f>
        <v/>
      </c>
      <c r="V41" s="157">
        <f>IFERROR(VLOOKUP(INDEX(INDIRECT($B$1&amp;"!"&amp;ADDRESS(8,COLUMN()+6,4)&amp;":"&amp;ADDRESS(73,COLUMN()+6,4)),MATCH($B41,INDIRECT($B$1&amp;"!$A$8:$A$73"),0)),CONFIG!$A$15:$B$28,2,FALSE),"")</f>
        <v/>
      </c>
      <c r="W41" s="157">
        <f>IFERROR(VLOOKUP(INDEX(INDIRECT($B$1&amp;"!"&amp;ADDRESS(8,COLUMN()+6,4)&amp;":"&amp;ADDRESS(73,COLUMN()+6,4)),MATCH($B41,INDIRECT($B$1&amp;"!$A$8:$A$73"),0)),CONFIG!$A$15:$B$28,2,FALSE),"")</f>
        <v/>
      </c>
      <c r="X41" s="157">
        <f>IFERROR(VLOOKUP(INDEX(INDIRECT($B$1&amp;"!"&amp;ADDRESS(8,COLUMN()+6,4)&amp;":"&amp;ADDRESS(73,COLUMN()+6,4)),MATCH($B41,INDIRECT($B$1&amp;"!$A$8:$A$73"),0)),CONFIG!$A$15:$B$28,2,FALSE),"")</f>
        <v/>
      </c>
      <c r="Y41" s="157">
        <f>IFERROR(VLOOKUP(INDEX(INDIRECT($B$1&amp;"!"&amp;ADDRESS(8,COLUMN()+6,4)&amp;":"&amp;ADDRESS(73,COLUMN()+6,4)),MATCH($B41,INDIRECT($B$1&amp;"!$A$8:$A$73"),0)),CONFIG!$A$15:$B$28,2,FALSE),"")</f>
        <v/>
      </c>
      <c r="Z41" s="157">
        <f>IFERROR(VLOOKUP(INDEX(INDIRECT($B$1&amp;"!"&amp;ADDRESS(8,COLUMN()+6,4)&amp;":"&amp;ADDRESS(73,COLUMN()+6,4)),MATCH($B41,INDIRECT($B$1&amp;"!$A$8:$A$73"),0)),CONFIG!$A$15:$B$28,2,FALSE),"")</f>
        <v/>
      </c>
      <c r="AA41" s="157">
        <f>IFERROR(VLOOKUP(INDEX(INDIRECT($B$1&amp;"!"&amp;ADDRESS(8,COLUMN()+6,4)&amp;":"&amp;ADDRESS(73,COLUMN()+6,4)),MATCH($B41,INDIRECT($B$1&amp;"!$A$8:$A$73"),0)),CONFIG!$A$15:$B$28,2,FALSE),"")</f>
        <v/>
      </c>
      <c r="AB41" s="157">
        <f>IFERROR(VLOOKUP(INDEX(INDIRECT($B$1&amp;"!"&amp;ADDRESS(8,COLUMN()+6,4)&amp;":"&amp;ADDRESS(73,COLUMN()+6,4)),MATCH($B41,INDIRECT($B$1&amp;"!$A$8:$A$73"),0)),CONFIG!$A$15:$B$28,2,FALSE),"")</f>
        <v/>
      </c>
      <c r="AC41" s="157">
        <f>IFERROR(VLOOKUP(INDEX(INDIRECT($B$1&amp;"!"&amp;ADDRESS(8,COLUMN()+6,4)&amp;":"&amp;ADDRESS(73,COLUMN()+6,4)),MATCH($B41,INDIRECT($B$1&amp;"!$A$8:$A$73"),0)),CONFIG!$A$15:$B$28,2,FALSE),"")</f>
        <v/>
      </c>
      <c r="AD41" s="157">
        <f>IFERROR(VLOOKUP(INDEX(INDIRECT($B$1&amp;"!"&amp;ADDRESS(8,COLUMN()+6,4)&amp;":"&amp;ADDRESS(73,COLUMN()+6,4)),MATCH($B41,INDIRECT($B$1&amp;"!$A$8:$A$73"),0)),CONFIG!$A$15:$B$28,2,FALSE),"")</f>
        <v/>
      </c>
      <c r="AE41" s="157">
        <f>IFERROR(VLOOKUP(INDEX(INDIRECT($B$1&amp;"!"&amp;ADDRESS(8,COLUMN()+6,4)&amp;":"&amp;ADDRESS(73,COLUMN()+6,4)),MATCH($B41,INDIRECT($B$1&amp;"!$A$8:$A$73"),0)),CONFIG!$A$15:$B$28,2,FALSE),"")</f>
        <v/>
      </c>
      <c r="AF41" s="157">
        <f>IFERROR(VLOOKUP(INDEX(INDIRECT($B$1&amp;"!"&amp;ADDRESS(8,COLUMN()+6,4)&amp;":"&amp;ADDRESS(73,COLUMN()+6,4)),MATCH($B41,INDIRECT($B$1&amp;"!$A$8:$A$73"),0)),CONFIG!$A$15:$B$28,2,FALSE),"")</f>
        <v/>
      </c>
      <c r="AG41" s="157">
        <f>IFERROR(VLOOKUP(INDEX(INDIRECT($B$1&amp;"!"&amp;ADDRESS(8,COLUMN()+6,4)&amp;":"&amp;ADDRESS(73,COLUMN()+6,4)),MATCH($B41,INDIRECT($B$1&amp;"!$A$8:$A$73"),0)),CONFIG!$A$15:$B$28,2,FALSE),"")</f>
        <v/>
      </c>
      <c r="AH41" s="157">
        <f>IFERROR(VLOOKUP(INDEX(INDIRECT($B$1&amp;"!"&amp;ADDRESS(8,COLUMN()+6,4)&amp;":"&amp;ADDRESS(73,COLUMN()+6,4)),MATCH($B41,INDIRECT($B$1&amp;"!$A$8:$A$73"),0)),CONFIG!$A$15:$B$28,2,FALSE),"")</f>
        <v/>
      </c>
      <c r="AI41" s="39" t="n"/>
    </row>
    <row r="42">
      <c r="A42" s="155" t="inlineStr">
        <is>
          <t>Bruna</t>
        </is>
      </c>
      <c r="B42" s="156" t="inlineStr">
        <is>
          <t>Bruna</t>
        </is>
      </c>
      <c r="C42" s="157">
        <f>IFERROR(VLOOKUP(INDEX(INDIRECT($B$1&amp;"!"&amp;ADDRESS(8,COLUMN()+6,4)&amp;":"&amp;ADDRESS(73,COLUMN()+6,4)),MATCH($B42,INDIRECT($B$1&amp;"!$A$8:$A$73"),0)),CONFIG!$A$15:$B$28,2,FALSE),"")</f>
        <v/>
      </c>
      <c r="D42" s="157">
        <f>IFERROR(VLOOKUP(INDEX(INDIRECT($B$1&amp;"!"&amp;ADDRESS(8,COLUMN()+6,4)&amp;":"&amp;ADDRESS(73,COLUMN()+6,4)),MATCH($B42,INDIRECT($B$1&amp;"!$A$8:$A$73"),0)),CONFIG!$A$15:$B$28,2,FALSE),"")</f>
        <v/>
      </c>
      <c r="E42" s="157">
        <f>IFERROR(VLOOKUP(INDEX(INDIRECT($B$1&amp;"!"&amp;ADDRESS(8,COLUMN()+6,4)&amp;":"&amp;ADDRESS(73,COLUMN()+6,4)),MATCH($B42,INDIRECT($B$1&amp;"!$A$8:$A$73"),0)),CONFIG!$A$15:$B$28,2,FALSE),"")</f>
        <v/>
      </c>
      <c r="F42" s="157">
        <f>IFERROR(VLOOKUP(INDEX(INDIRECT($B$1&amp;"!"&amp;ADDRESS(8,COLUMN()+6,4)&amp;":"&amp;ADDRESS(73,COLUMN()+6,4)),MATCH($B42,INDIRECT($B$1&amp;"!$A$8:$A$73"),0)),CONFIG!$A$15:$B$28,2,FALSE),"")</f>
        <v/>
      </c>
      <c r="G42" s="157">
        <f>IFERROR(VLOOKUP(INDEX(INDIRECT($B$1&amp;"!"&amp;ADDRESS(8,COLUMN()+6,4)&amp;":"&amp;ADDRESS(73,COLUMN()+6,4)),MATCH($B42,INDIRECT($B$1&amp;"!$A$8:$A$73"),0)),CONFIG!$A$15:$B$28,2,FALSE),"")</f>
        <v/>
      </c>
      <c r="H42" s="157">
        <f>IFERROR(VLOOKUP(INDEX(INDIRECT($B$1&amp;"!"&amp;ADDRESS(8,COLUMN()+6,4)&amp;":"&amp;ADDRESS(73,COLUMN()+6,4)),MATCH($B42,INDIRECT($B$1&amp;"!$A$8:$A$73"),0)),CONFIG!$A$15:$B$28,2,FALSE),"")</f>
        <v/>
      </c>
      <c r="I42" s="157">
        <f>IFERROR(VLOOKUP(INDEX(INDIRECT($B$1&amp;"!"&amp;ADDRESS(8,COLUMN()+6,4)&amp;":"&amp;ADDRESS(73,COLUMN()+6,4)),MATCH($B42,INDIRECT($B$1&amp;"!$A$8:$A$73"),0)),CONFIG!$A$15:$B$28,2,FALSE),"")</f>
        <v/>
      </c>
      <c r="J42" s="157">
        <f>IFERROR(VLOOKUP(INDEX(INDIRECT($B$1&amp;"!"&amp;ADDRESS(8,COLUMN()+6,4)&amp;":"&amp;ADDRESS(73,COLUMN()+6,4)),MATCH($B42,INDIRECT($B$1&amp;"!$A$8:$A$73"),0)),CONFIG!$A$15:$B$28,2,FALSE),"")</f>
        <v/>
      </c>
      <c r="K42" s="157">
        <f>IFERROR(VLOOKUP(INDEX(INDIRECT($B$1&amp;"!"&amp;ADDRESS(8,COLUMN()+6,4)&amp;":"&amp;ADDRESS(73,COLUMN()+6,4)),MATCH($B42,INDIRECT($B$1&amp;"!$A$8:$A$73"),0)),CONFIG!$A$15:$B$28,2,FALSE),"")</f>
        <v/>
      </c>
      <c r="L42" s="157">
        <f>IFERROR(VLOOKUP(INDEX(INDIRECT($B$1&amp;"!"&amp;ADDRESS(8,COLUMN()+6,4)&amp;":"&amp;ADDRESS(73,COLUMN()+6,4)),MATCH($B42,INDIRECT($B$1&amp;"!$A$8:$A$73"),0)),CONFIG!$A$15:$B$28,2,FALSE),"")</f>
        <v/>
      </c>
      <c r="M42" s="157">
        <f>IFERROR(VLOOKUP(INDEX(INDIRECT($B$1&amp;"!"&amp;ADDRESS(8,COLUMN()+6,4)&amp;":"&amp;ADDRESS(73,COLUMN()+6,4)),MATCH($B42,INDIRECT($B$1&amp;"!$A$8:$A$73"),0)),CONFIG!$A$15:$B$28,2,FALSE),"")</f>
        <v/>
      </c>
      <c r="N42" s="157">
        <f>IFERROR(VLOOKUP(INDEX(INDIRECT($B$1&amp;"!"&amp;ADDRESS(8,COLUMN()+6,4)&amp;":"&amp;ADDRESS(73,COLUMN()+6,4)),MATCH($B42,INDIRECT($B$1&amp;"!$A$8:$A$73"),0)),CONFIG!$A$15:$B$28,2,FALSE),"")</f>
        <v/>
      </c>
      <c r="O42" s="157">
        <f>IFERROR(VLOOKUP(INDEX(INDIRECT($B$1&amp;"!"&amp;ADDRESS(8,COLUMN()+6,4)&amp;":"&amp;ADDRESS(73,COLUMN()+6,4)),MATCH($B42,INDIRECT($B$1&amp;"!$A$8:$A$73"),0)),CONFIG!$A$15:$B$28,2,FALSE),"")</f>
        <v/>
      </c>
      <c r="P42" s="157">
        <f>IFERROR(VLOOKUP(INDEX(INDIRECT($B$1&amp;"!"&amp;ADDRESS(8,COLUMN()+6,4)&amp;":"&amp;ADDRESS(73,COLUMN()+6,4)),MATCH($B42,INDIRECT($B$1&amp;"!$A$8:$A$73"),0)),CONFIG!$A$15:$B$28,2,FALSE),"")</f>
        <v/>
      </c>
      <c r="Q42" s="157">
        <f>IFERROR(VLOOKUP(INDEX(INDIRECT($B$1&amp;"!"&amp;ADDRESS(8,COLUMN()+6,4)&amp;":"&amp;ADDRESS(73,COLUMN()+6,4)),MATCH($B42,INDIRECT($B$1&amp;"!$A$8:$A$73"),0)),CONFIG!$A$15:$B$28,2,FALSE),"")</f>
        <v/>
      </c>
      <c r="R42" s="157">
        <f>IFERROR(VLOOKUP(INDEX(INDIRECT($B$1&amp;"!"&amp;ADDRESS(8,COLUMN()+6,4)&amp;":"&amp;ADDRESS(73,COLUMN()+6,4)),MATCH($B42,INDIRECT($B$1&amp;"!$A$8:$A$73"),0)),CONFIG!$A$15:$B$28,2,FALSE),"")</f>
        <v/>
      </c>
      <c r="S42" s="157">
        <f>IFERROR(VLOOKUP(INDEX(INDIRECT($B$1&amp;"!"&amp;ADDRESS(8,COLUMN()+6,4)&amp;":"&amp;ADDRESS(73,COLUMN()+6,4)),MATCH($B42,INDIRECT($B$1&amp;"!$A$8:$A$73"),0)),CONFIG!$A$15:$B$28,2,FALSE),"")</f>
        <v/>
      </c>
      <c r="T42" s="157">
        <f>IFERROR(VLOOKUP(INDEX(INDIRECT($B$1&amp;"!"&amp;ADDRESS(8,COLUMN()+6,4)&amp;":"&amp;ADDRESS(73,COLUMN()+6,4)),MATCH($B42,INDIRECT($B$1&amp;"!$A$8:$A$73"),0)),CONFIG!$A$15:$B$28,2,FALSE),"")</f>
        <v/>
      </c>
      <c r="U42" s="157">
        <f>IFERROR(VLOOKUP(INDEX(INDIRECT($B$1&amp;"!"&amp;ADDRESS(8,COLUMN()+6,4)&amp;":"&amp;ADDRESS(73,COLUMN()+6,4)),MATCH($B42,INDIRECT($B$1&amp;"!$A$8:$A$73"),0)),CONFIG!$A$15:$B$28,2,FALSE),"")</f>
        <v/>
      </c>
      <c r="V42" s="157">
        <f>IFERROR(VLOOKUP(INDEX(INDIRECT($B$1&amp;"!"&amp;ADDRESS(8,COLUMN()+6,4)&amp;":"&amp;ADDRESS(73,COLUMN()+6,4)),MATCH($B42,INDIRECT($B$1&amp;"!$A$8:$A$73"),0)),CONFIG!$A$15:$B$28,2,FALSE),"")</f>
        <v/>
      </c>
      <c r="W42" s="157">
        <f>IFERROR(VLOOKUP(INDEX(INDIRECT($B$1&amp;"!"&amp;ADDRESS(8,COLUMN()+6,4)&amp;":"&amp;ADDRESS(73,COLUMN()+6,4)),MATCH($B42,INDIRECT($B$1&amp;"!$A$8:$A$73"),0)),CONFIG!$A$15:$B$28,2,FALSE),"")</f>
        <v/>
      </c>
      <c r="X42" s="157">
        <f>IFERROR(VLOOKUP(INDEX(INDIRECT($B$1&amp;"!"&amp;ADDRESS(8,COLUMN()+6,4)&amp;":"&amp;ADDRESS(73,COLUMN()+6,4)),MATCH($B42,INDIRECT($B$1&amp;"!$A$8:$A$73"),0)),CONFIG!$A$15:$B$28,2,FALSE),"")</f>
        <v/>
      </c>
      <c r="Y42" s="157">
        <f>IFERROR(VLOOKUP(INDEX(INDIRECT($B$1&amp;"!"&amp;ADDRESS(8,COLUMN()+6,4)&amp;":"&amp;ADDRESS(73,COLUMN()+6,4)),MATCH($B42,INDIRECT($B$1&amp;"!$A$8:$A$73"),0)),CONFIG!$A$15:$B$28,2,FALSE),"")</f>
        <v/>
      </c>
      <c r="Z42" s="157">
        <f>IFERROR(VLOOKUP(INDEX(INDIRECT($B$1&amp;"!"&amp;ADDRESS(8,COLUMN()+6,4)&amp;":"&amp;ADDRESS(73,COLUMN()+6,4)),MATCH($B42,INDIRECT($B$1&amp;"!$A$8:$A$73"),0)),CONFIG!$A$15:$B$28,2,FALSE),"")</f>
        <v/>
      </c>
      <c r="AA42" s="157">
        <f>IFERROR(VLOOKUP(INDEX(INDIRECT($B$1&amp;"!"&amp;ADDRESS(8,COLUMN()+6,4)&amp;":"&amp;ADDRESS(73,COLUMN()+6,4)),MATCH($B42,INDIRECT($B$1&amp;"!$A$8:$A$73"),0)),CONFIG!$A$15:$B$28,2,FALSE),"")</f>
        <v/>
      </c>
      <c r="AB42" s="157">
        <f>IFERROR(VLOOKUP(INDEX(INDIRECT($B$1&amp;"!"&amp;ADDRESS(8,COLUMN()+6,4)&amp;":"&amp;ADDRESS(73,COLUMN()+6,4)),MATCH($B42,INDIRECT($B$1&amp;"!$A$8:$A$73"),0)),CONFIG!$A$15:$B$28,2,FALSE),"")</f>
        <v/>
      </c>
      <c r="AC42" s="157">
        <f>IFERROR(VLOOKUP(INDEX(INDIRECT($B$1&amp;"!"&amp;ADDRESS(8,COLUMN()+6,4)&amp;":"&amp;ADDRESS(73,COLUMN()+6,4)),MATCH($B42,INDIRECT($B$1&amp;"!$A$8:$A$73"),0)),CONFIG!$A$15:$B$28,2,FALSE),"")</f>
        <v/>
      </c>
      <c r="AD42" s="157">
        <f>IFERROR(VLOOKUP(INDEX(INDIRECT($B$1&amp;"!"&amp;ADDRESS(8,COLUMN()+6,4)&amp;":"&amp;ADDRESS(73,COLUMN()+6,4)),MATCH($B42,INDIRECT($B$1&amp;"!$A$8:$A$73"),0)),CONFIG!$A$15:$B$28,2,FALSE),"")</f>
        <v/>
      </c>
      <c r="AE42" s="157">
        <f>IFERROR(VLOOKUP(INDEX(INDIRECT($B$1&amp;"!"&amp;ADDRESS(8,COLUMN()+6,4)&amp;":"&amp;ADDRESS(73,COLUMN()+6,4)),MATCH($B42,INDIRECT($B$1&amp;"!$A$8:$A$73"),0)),CONFIG!$A$15:$B$28,2,FALSE),"")</f>
        <v/>
      </c>
      <c r="AF42" s="157">
        <f>IFERROR(VLOOKUP(INDEX(INDIRECT($B$1&amp;"!"&amp;ADDRESS(8,COLUMN()+6,4)&amp;":"&amp;ADDRESS(73,COLUMN()+6,4)),MATCH($B42,INDIRECT($B$1&amp;"!$A$8:$A$73"),0)),CONFIG!$A$15:$B$28,2,FALSE),"")</f>
        <v/>
      </c>
      <c r="AG42" s="157">
        <f>IFERROR(VLOOKUP(INDEX(INDIRECT($B$1&amp;"!"&amp;ADDRESS(8,COLUMN()+6,4)&amp;":"&amp;ADDRESS(73,COLUMN()+6,4)),MATCH($B42,INDIRECT($B$1&amp;"!$A$8:$A$73"),0)),CONFIG!$A$15:$B$28,2,FALSE),"")</f>
        <v/>
      </c>
      <c r="AH42" s="157">
        <f>IFERROR(VLOOKUP(INDEX(INDIRECT($B$1&amp;"!"&amp;ADDRESS(8,COLUMN()+6,4)&amp;":"&amp;ADDRESS(73,COLUMN()+6,4)),MATCH($B42,INDIRECT($B$1&amp;"!$A$8:$A$73"),0)),CONFIG!$A$15:$B$28,2,FALSE),"")</f>
        <v/>
      </c>
      <c r="AI42" s="39" t="n"/>
    </row>
    <row r="43">
      <c r="A43" s="155" t="inlineStr">
        <is>
          <t>Fernanda Constantino</t>
        </is>
      </c>
      <c r="B43" s="156" t="inlineStr">
        <is>
          <t>Constantino</t>
        </is>
      </c>
      <c r="C43" s="157">
        <f>IFERROR(VLOOKUP(INDEX(INDIRECT($B$1&amp;"!"&amp;ADDRESS(8,COLUMN()+6,4)&amp;":"&amp;ADDRESS(73,COLUMN()+6,4)),MATCH($B43,INDIRECT($B$1&amp;"!$A$8:$A$73"),0)),CONFIG!$A$15:$B$28,2,FALSE),"")</f>
        <v/>
      </c>
      <c r="D43" s="157">
        <f>IFERROR(VLOOKUP(INDEX(INDIRECT($B$1&amp;"!"&amp;ADDRESS(8,COLUMN()+6,4)&amp;":"&amp;ADDRESS(73,COLUMN()+6,4)),MATCH($B43,INDIRECT($B$1&amp;"!$A$8:$A$73"),0)),CONFIG!$A$15:$B$28,2,FALSE),"")</f>
        <v/>
      </c>
      <c r="E43" s="157">
        <f>IFERROR(VLOOKUP(INDEX(INDIRECT($B$1&amp;"!"&amp;ADDRESS(8,COLUMN()+6,4)&amp;":"&amp;ADDRESS(73,COLUMN()+6,4)),MATCH($B43,INDIRECT($B$1&amp;"!$A$8:$A$73"),0)),CONFIG!$A$15:$B$28,2,FALSE),"")</f>
        <v/>
      </c>
      <c r="F43" s="157">
        <f>IFERROR(VLOOKUP(INDEX(INDIRECT($B$1&amp;"!"&amp;ADDRESS(8,COLUMN()+6,4)&amp;":"&amp;ADDRESS(73,COLUMN()+6,4)),MATCH($B43,INDIRECT($B$1&amp;"!$A$8:$A$73"),0)),CONFIG!$A$15:$B$28,2,FALSE),"")</f>
        <v/>
      </c>
      <c r="G43" s="157">
        <f>IFERROR(VLOOKUP(INDEX(INDIRECT($B$1&amp;"!"&amp;ADDRESS(8,COLUMN()+6,4)&amp;":"&amp;ADDRESS(73,COLUMN()+6,4)),MATCH($B43,INDIRECT($B$1&amp;"!$A$8:$A$73"),0)),CONFIG!$A$15:$B$28,2,FALSE),"")</f>
        <v/>
      </c>
      <c r="H43" s="157">
        <f>IFERROR(VLOOKUP(INDEX(INDIRECT($B$1&amp;"!"&amp;ADDRESS(8,COLUMN()+6,4)&amp;":"&amp;ADDRESS(73,COLUMN()+6,4)),MATCH($B43,INDIRECT($B$1&amp;"!$A$8:$A$73"),0)),CONFIG!$A$15:$B$28,2,FALSE),"")</f>
        <v/>
      </c>
      <c r="I43" s="157">
        <f>IFERROR(VLOOKUP(INDEX(INDIRECT($B$1&amp;"!"&amp;ADDRESS(8,COLUMN()+6,4)&amp;":"&amp;ADDRESS(73,COLUMN()+6,4)),MATCH($B43,INDIRECT($B$1&amp;"!$A$8:$A$73"),0)),CONFIG!$A$15:$B$28,2,FALSE),"")</f>
        <v/>
      </c>
      <c r="J43" s="157">
        <f>IFERROR(VLOOKUP(INDEX(INDIRECT($B$1&amp;"!"&amp;ADDRESS(8,COLUMN()+6,4)&amp;":"&amp;ADDRESS(73,COLUMN()+6,4)),MATCH($B43,INDIRECT($B$1&amp;"!$A$8:$A$73"),0)),CONFIG!$A$15:$B$28,2,FALSE),"")</f>
        <v/>
      </c>
      <c r="K43" s="157">
        <f>IFERROR(VLOOKUP(INDEX(INDIRECT($B$1&amp;"!"&amp;ADDRESS(8,COLUMN()+6,4)&amp;":"&amp;ADDRESS(73,COLUMN()+6,4)),MATCH($B43,INDIRECT($B$1&amp;"!$A$8:$A$73"),0)),CONFIG!$A$15:$B$28,2,FALSE),"")</f>
        <v/>
      </c>
      <c r="L43" s="157">
        <f>IFERROR(VLOOKUP(INDEX(INDIRECT($B$1&amp;"!"&amp;ADDRESS(8,COLUMN()+6,4)&amp;":"&amp;ADDRESS(73,COLUMN()+6,4)),MATCH($B43,INDIRECT($B$1&amp;"!$A$8:$A$73"),0)),CONFIG!$A$15:$B$28,2,FALSE),"")</f>
        <v/>
      </c>
      <c r="M43" s="157">
        <f>IFERROR(VLOOKUP(INDEX(INDIRECT($B$1&amp;"!"&amp;ADDRESS(8,COLUMN()+6,4)&amp;":"&amp;ADDRESS(73,COLUMN()+6,4)),MATCH($B43,INDIRECT($B$1&amp;"!$A$8:$A$73"),0)),CONFIG!$A$15:$B$28,2,FALSE),"")</f>
        <v/>
      </c>
      <c r="N43" s="157">
        <f>IFERROR(VLOOKUP(INDEX(INDIRECT($B$1&amp;"!"&amp;ADDRESS(8,COLUMN()+6,4)&amp;":"&amp;ADDRESS(73,COLUMN()+6,4)),MATCH($B43,INDIRECT($B$1&amp;"!$A$8:$A$73"),0)),CONFIG!$A$15:$B$28,2,FALSE),"")</f>
        <v/>
      </c>
      <c r="O43" s="157">
        <f>IFERROR(VLOOKUP(INDEX(INDIRECT($B$1&amp;"!"&amp;ADDRESS(8,COLUMN()+6,4)&amp;":"&amp;ADDRESS(73,COLUMN()+6,4)),MATCH($B43,INDIRECT($B$1&amp;"!$A$8:$A$73"),0)),CONFIG!$A$15:$B$28,2,FALSE),"")</f>
        <v/>
      </c>
      <c r="P43" s="157">
        <f>IFERROR(VLOOKUP(INDEX(INDIRECT($B$1&amp;"!"&amp;ADDRESS(8,COLUMN()+6,4)&amp;":"&amp;ADDRESS(73,COLUMN()+6,4)),MATCH($B43,INDIRECT($B$1&amp;"!$A$8:$A$73"),0)),CONFIG!$A$15:$B$28,2,FALSE),"")</f>
        <v/>
      </c>
      <c r="Q43" s="157">
        <f>IFERROR(VLOOKUP(INDEX(INDIRECT($B$1&amp;"!"&amp;ADDRESS(8,COLUMN()+6,4)&amp;":"&amp;ADDRESS(73,COLUMN()+6,4)),MATCH($B43,INDIRECT($B$1&amp;"!$A$8:$A$73"),0)),CONFIG!$A$15:$B$28,2,FALSE),"")</f>
        <v/>
      </c>
      <c r="R43" s="157">
        <f>IFERROR(VLOOKUP(INDEX(INDIRECT($B$1&amp;"!"&amp;ADDRESS(8,COLUMN()+6,4)&amp;":"&amp;ADDRESS(73,COLUMN()+6,4)),MATCH($B43,INDIRECT($B$1&amp;"!$A$8:$A$73"),0)),CONFIG!$A$15:$B$28,2,FALSE),"")</f>
        <v/>
      </c>
      <c r="S43" s="157">
        <f>IFERROR(VLOOKUP(INDEX(INDIRECT($B$1&amp;"!"&amp;ADDRESS(8,COLUMN()+6,4)&amp;":"&amp;ADDRESS(73,COLUMN()+6,4)),MATCH($B43,INDIRECT($B$1&amp;"!$A$8:$A$73"),0)),CONFIG!$A$15:$B$28,2,FALSE),"")</f>
        <v/>
      </c>
      <c r="T43" s="157">
        <f>IFERROR(VLOOKUP(INDEX(INDIRECT($B$1&amp;"!"&amp;ADDRESS(8,COLUMN()+6,4)&amp;":"&amp;ADDRESS(73,COLUMN()+6,4)),MATCH($B43,INDIRECT($B$1&amp;"!$A$8:$A$73"),0)),CONFIG!$A$15:$B$28,2,FALSE),"")</f>
        <v/>
      </c>
      <c r="U43" s="157">
        <f>IFERROR(VLOOKUP(INDEX(INDIRECT($B$1&amp;"!"&amp;ADDRESS(8,COLUMN()+6,4)&amp;":"&amp;ADDRESS(73,COLUMN()+6,4)),MATCH($B43,INDIRECT($B$1&amp;"!$A$8:$A$73"),0)),CONFIG!$A$15:$B$28,2,FALSE),"")</f>
        <v/>
      </c>
      <c r="V43" s="157">
        <f>IFERROR(VLOOKUP(INDEX(INDIRECT($B$1&amp;"!"&amp;ADDRESS(8,COLUMN()+6,4)&amp;":"&amp;ADDRESS(73,COLUMN()+6,4)),MATCH($B43,INDIRECT($B$1&amp;"!$A$8:$A$73"),0)),CONFIG!$A$15:$B$28,2,FALSE),"")</f>
        <v/>
      </c>
      <c r="W43" s="157">
        <f>IFERROR(VLOOKUP(INDEX(INDIRECT($B$1&amp;"!"&amp;ADDRESS(8,COLUMN()+6,4)&amp;":"&amp;ADDRESS(73,COLUMN()+6,4)),MATCH($B43,INDIRECT($B$1&amp;"!$A$8:$A$73"),0)),CONFIG!$A$15:$B$28,2,FALSE),"")</f>
        <v/>
      </c>
      <c r="X43" s="157">
        <f>IFERROR(VLOOKUP(INDEX(INDIRECT($B$1&amp;"!"&amp;ADDRESS(8,COLUMN()+6,4)&amp;":"&amp;ADDRESS(73,COLUMN()+6,4)),MATCH($B43,INDIRECT($B$1&amp;"!$A$8:$A$73"),0)),CONFIG!$A$15:$B$28,2,FALSE),"")</f>
        <v/>
      </c>
      <c r="Y43" s="157">
        <f>IFERROR(VLOOKUP(INDEX(INDIRECT($B$1&amp;"!"&amp;ADDRESS(8,COLUMN()+6,4)&amp;":"&amp;ADDRESS(73,COLUMN()+6,4)),MATCH($B43,INDIRECT($B$1&amp;"!$A$8:$A$73"),0)),CONFIG!$A$15:$B$28,2,FALSE),"")</f>
        <v/>
      </c>
      <c r="Z43" s="157">
        <f>IFERROR(VLOOKUP(INDEX(INDIRECT($B$1&amp;"!"&amp;ADDRESS(8,COLUMN()+6,4)&amp;":"&amp;ADDRESS(73,COLUMN()+6,4)),MATCH($B43,INDIRECT($B$1&amp;"!$A$8:$A$73"),0)),CONFIG!$A$15:$B$28,2,FALSE),"")</f>
        <v/>
      </c>
      <c r="AA43" s="157">
        <f>IFERROR(VLOOKUP(INDEX(INDIRECT($B$1&amp;"!"&amp;ADDRESS(8,COLUMN()+6,4)&amp;":"&amp;ADDRESS(73,COLUMN()+6,4)),MATCH($B43,INDIRECT($B$1&amp;"!$A$8:$A$73"),0)),CONFIG!$A$15:$B$28,2,FALSE),"")</f>
        <v/>
      </c>
      <c r="AB43" s="157">
        <f>IFERROR(VLOOKUP(INDEX(INDIRECT($B$1&amp;"!"&amp;ADDRESS(8,COLUMN()+6,4)&amp;":"&amp;ADDRESS(73,COLUMN()+6,4)),MATCH($B43,INDIRECT($B$1&amp;"!$A$8:$A$73"),0)),CONFIG!$A$15:$B$28,2,FALSE),"")</f>
        <v/>
      </c>
      <c r="AC43" s="157">
        <f>IFERROR(VLOOKUP(INDEX(INDIRECT($B$1&amp;"!"&amp;ADDRESS(8,COLUMN()+6,4)&amp;":"&amp;ADDRESS(73,COLUMN()+6,4)),MATCH($B43,INDIRECT($B$1&amp;"!$A$8:$A$73"),0)),CONFIG!$A$15:$B$28,2,FALSE),"")</f>
        <v/>
      </c>
      <c r="AD43" s="157">
        <f>IFERROR(VLOOKUP(INDEX(INDIRECT($B$1&amp;"!"&amp;ADDRESS(8,COLUMN()+6,4)&amp;":"&amp;ADDRESS(73,COLUMN()+6,4)),MATCH($B43,INDIRECT($B$1&amp;"!$A$8:$A$73"),0)),CONFIG!$A$15:$B$28,2,FALSE),"")</f>
        <v/>
      </c>
      <c r="AE43" s="157">
        <f>IFERROR(VLOOKUP(INDEX(INDIRECT($B$1&amp;"!"&amp;ADDRESS(8,COLUMN()+6,4)&amp;":"&amp;ADDRESS(73,COLUMN()+6,4)),MATCH($B43,INDIRECT($B$1&amp;"!$A$8:$A$73"),0)),CONFIG!$A$15:$B$28,2,FALSE),"")</f>
        <v/>
      </c>
      <c r="AF43" s="157">
        <f>IFERROR(VLOOKUP(INDEX(INDIRECT($B$1&amp;"!"&amp;ADDRESS(8,COLUMN()+6,4)&amp;":"&amp;ADDRESS(73,COLUMN()+6,4)),MATCH($B43,INDIRECT($B$1&amp;"!$A$8:$A$73"),0)),CONFIG!$A$15:$B$28,2,FALSE),"")</f>
        <v/>
      </c>
      <c r="AG43" s="157">
        <f>IFERROR(VLOOKUP(INDEX(INDIRECT($B$1&amp;"!"&amp;ADDRESS(8,COLUMN()+6,4)&amp;":"&amp;ADDRESS(73,COLUMN()+6,4)),MATCH($B43,INDIRECT($B$1&amp;"!$A$8:$A$73"),0)),CONFIG!$A$15:$B$28,2,FALSE),"")</f>
        <v/>
      </c>
      <c r="AH43" s="157">
        <f>IFERROR(VLOOKUP(INDEX(INDIRECT($B$1&amp;"!"&amp;ADDRESS(8,COLUMN()+6,4)&amp;":"&amp;ADDRESS(73,COLUMN()+6,4)),MATCH($B43,INDIRECT($B$1&amp;"!$A$8:$A$73"),0)),CONFIG!$A$15:$B$28,2,FALSE),"")</f>
        <v/>
      </c>
      <c r="AI43" s="39" t="n"/>
    </row>
    <row r="44">
      <c r="A44" s="155" t="inlineStr">
        <is>
          <t>Debora Matias</t>
        </is>
      </c>
      <c r="B44" s="156" t="inlineStr">
        <is>
          <t>DebMatias</t>
        </is>
      </c>
      <c r="C44" s="157">
        <f>IFERROR(VLOOKUP(INDEX(INDIRECT($B$1&amp;"!"&amp;ADDRESS(8,COLUMN()+6,4)&amp;":"&amp;ADDRESS(73,COLUMN()+6,4)),MATCH($B44,INDIRECT($B$1&amp;"!$A$8:$A$73"),0)),CONFIG!$A$15:$B$28,2,FALSE),"")</f>
        <v/>
      </c>
      <c r="D44" s="157">
        <f>IFERROR(VLOOKUP(INDEX(INDIRECT($B$1&amp;"!"&amp;ADDRESS(8,COLUMN()+6,4)&amp;":"&amp;ADDRESS(73,COLUMN()+6,4)),MATCH($B44,INDIRECT($B$1&amp;"!$A$8:$A$73"),0)),CONFIG!$A$15:$B$28,2,FALSE),"")</f>
        <v/>
      </c>
      <c r="E44" s="157">
        <f>IFERROR(VLOOKUP(INDEX(INDIRECT($B$1&amp;"!"&amp;ADDRESS(8,COLUMN()+6,4)&amp;":"&amp;ADDRESS(73,COLUMN()+6,4)),MATCH($B44,INDIRECT($B$1&amp;"!$A$8:$A$73"),0)),CONFIG!$A$15:$B$28,2,FALSE),"")</f>
        <v/>
      </c>
      <c r="F44" s="157">
        <f>IFERROR(VLOOKUP(INDEX(INDIRECT($B$1&amp;"!"&amp;ADDRESS(8,COLUMN()+6,4)&amp;":"&amp;ADDRESS(73,COLUMN()+6,4)),MATCH($B44,INDIRECT($B$1&amp;"!$A$8:$A$73"),0)),CONFIG!$A$15:$B$28,2,FALSE),"")</f>
        <v/>
      </c>
      <c r="G44" s="157">
        <f>IFERROR(VLOOKUP(INDEX(INDIRECT($B$1&amp;"!"&amp;ADDRESS(8,COLUMN()+6,4)&amp;":"&amp;ADDRESS(73,COLUMN()+6,4)),MATCH($B44,INDIRECT($B$1&amp;"!$A$8:$A$73"),0)),CONFIG!$A$15:$B$28,2,FALSE),"")</f>
        <v/>
      </c>
      <c r="H44" s="157">
        <f>IFERROR(VLOOKUP(INDEX(INDIRECT($B$1&amp;"!"&amp;ADDRESS(8,COLUMN()+6,4)&amp;":"&amp;ADDRESS(73,COLUMN()+6,4)),MATCH($B44,INDIRECT($B$1&amp;"!$A$8:$A$73"),0)),CONFIG!$A$15:$B$28,2,FALSE),"")</f>
        <v/>
      </c>
      <c r="I44" s="157">
        <f>IFERROR(VLOOKUP(INDEX(INDIRECT($B$1&amp;"!"&amp;ADDRESS(8,COLUMN()+6,4)&amp;":"&amp;ADDRESS(73,COLUMN()+6,4)),MATCH($B44,INDIRECT($B$1&amp;"!$A$8:$A$73"),0)),CONFIG!$A$15:$B$28,2,FALSE),"")</f>
        <v/>
      </c>
      <c r="J44" s="157">
        <f>IFERROR(VLOOKUP(INDEX(INDIRECT($B$1&amp;"!"&amp;ADDRESS(8,COLUMN()+6,4)&amp;":"&amp;ADDRESS(73,COLUMN()+6,4)),MATCH($B44,INDIRECT($B$1&amp;"!$A$8:$A$73"),0)),CONFIG!$A$15:$B$28,2,FALSE),"")</f>
        <v/>
      </c>
      <c r="K44" s="157">
        <f>IFERROR(VLOOKUP(INDEX(INDIRECT($B$1&amp;"!"&amp;ADDRESS(8,COLUMN()+6,4)&amp;":"&amp;ADDRESS(73,COLUMN()+6,4)),MATCH($B44,INDIRECT($B$1&amp;"!$A$8:$A$73"),0)),CONFIG!$A$15:$B$28,2,FALSE),"")</f>
        <v/>
      </c>
      <c r="L44" s="157">
        <f>IFERROR(VLOOKUP(INDEX(INDIRECT($B$1&amp;"!"&amp;ADDRESS(8,COLUMN()+6,4)&amp;":"&amp;ADDRESS(73,COLUMN()+6,4)),MATCH($B44,INDIRECT($B$1&amp;"!$A$8:$A$73"),0)),CONFIG!$A$15:$B$28,2,FALSE),"")</f>
        <v/>
      </c>
      <c r="M44" s="157">
        <f>IFERROR(VLOOKUP(INDEX(INDIRECT($B$1&amp;"!"&amp;ADDRESS(8,COLUMN()+6,4)&amp;":"&amp;ADDRESS(73,COLUMN()+6,4)),MATCH($B44,INDIRECT($B$1&amp;"!$A$8:$A$73"),0)),CONFIG!$A$15:$B$28,2,FALSE),"")</f>
        <v/>
      </c>
      <c r="N44" s="157">
        <f>IFERROR(VLOOKUP(INDEX(INDIRECT($B$1&amp;"!"&amp;ADDRESS(8,COLUMN()+6,4)&amp;":"&amp;ADDRESS(73,COLUMN()+6,4)),MATCH($B44,INDIRECT($B$1&amp;"!$A$8:$A$73"),0)),CONFIG!$A$15:$B$28,2,FALSE),"")</f>
        <v/>
      </c>
      <c r="O44" s="157">
        <f>IFERROR(VLOOKUP(INDEX(INDIRECT($B$1&amp;"!"&amp;ADDRESS(8,COLUMN()+6,4)&amp;":"&amp;ADDRESS(73,COLUMN()+6,4)),MATCH($B44,INDIRECT($B$1&amp;"!$A$8:$A$73"),0)),CONFIG!$A$15:$B$28,2,FALSE),"")</f>
        <v/>
      </c>
      <c r="P44" s="157">
        <f>IFERROR(VLOOKUP(INDEX(INDIRECT($B$1&amp;"!"&amp;ADDRESS(8,COLUMN()+6,4)&amp;":"&amp;ADDRESS(73,COLUMN()+6,4)),MATCH($B44,INDIRECT($B$1&amp;"!$A$8:$A$73"),0)),CONFIG!$A$15:$B$28,2,FALSE),"")</f>
        <v/>
      </c>
      <c r="Q44" s="157">
        <f>IFERROR(VLOOKUP(INDEX(INDIRECT($B$1&amp;"!"&amp;ADDRESS(8,COLUMN()+6,4)&amp;":"&amp;ADDRESS(73,COLUMN()+6,4)),MATCH($B44,INDIRECT($B$1&amp;"!$A$8:$A$73"),0)),CONFIG!$A$15:$B$28,2,FALSE),"")</f>
        <v/>
      </c>
      <c r="R44" s="157">
        <f>IFERROR(VLOOKUP(INDEX(INDIRECT($B$1&amp;"!"&amp;ADDRESS(8,COLUMN()+6,4)&amp;":"&amp;ADDRESS(73,COLUMN()+6,4)),MATCH($B44,INDIRECT($B$1&amp;"!$A$8:$A$73"),0)),CONFIG!$A$15:$B$28,2,FALSE),"")</f>
        <v/>
      </c>
      <c r="S44" s="157">
        <f>IFERROR(VLOOKUP(INDEX(INDIRECT($B$1&amp;"!"&amp;ADDRESS(8,COLUMN()+6,4)&amp;":"&amp;ADDRESS(73,COLUMN()+6,4)),MATCH($B44,INDIRECT($B$1&amp;"!$A$8:$A$73"),0)),CONFIG!$A$15:$B$28,2,FALSE),"")</f>
        <v/>
      </c>
      <c r="T44" s="157">
        <f>IFERROR(VLOOKUP(INDEX(INDIRECT($B$1&amp;"!"&amp;ADDRESS(8,COLUMN()+6,4)&amp;":"&amp;ADDRESS(73,COLUMN()+6,4)),MATCH($B44,INDIRECT($B$1&amp;"!$A$8:$A$73"),0)),CONFIG!$A$15:$B$28,2,FALSE),"")</f>
        <v/>
      </c>
      <c r="U44" s="157">
        <f>IFERROR(VLOOKUP(INDEX(INDIRECT($B$1&amp;"!"&amp;ADDRESS(8,COLUMN()+6,4)&amp;":"&amp;ADDRESS(73,COLUMN()+6,4)),MATCH($B44,INDIRECT($B$1&amp;"!$A$8:$A$73"),0)),CONFIG!$A$15:$B$28,2,FALSE),"")</f>
        <v/>
      </c>
      <c r="V44" s="157">
        <f>IFERROR(VLOOKUP(INDEX(INDIRECT($B$1&amp;"!"&amp;ADDRESS(8,COLUMN()+6,4)&amp;":"&amp;ADDRESS(73,COLUMN()+6,4)),MATCH($B44,INDIRECT($B$1&amp;"!$A$8:$A$73"),0)),CONFIG!$A$15:$B$28,2,FALSE),"")</f>
        <v/>
      </c>
      <c r="W44" s="157">
        <f>IFERROR(VLOOKUP(INDEX(INDIRECT($B$1&amp;"!"&amp;ADDRESS(8,COLUMN()+6,4)&amp;":"&amp;ADDRESS(73,COLUMN()+6,4)),MATCH($B44,INDIRECT($B$1&amp;"!$A$8:$A$73"),0)),CONFIG!$A$15:$B$28,2,FALSE),"")</f>
        <v/>
      </c>
      <c r="X44" s="157">
        <f>IFERROR(VLOOKUP(INDEX(INDIRECT($B$1&amp;"!"&amp;ADDRESS(8,COLUMN()+6,4)&amp;":"&amp;ADDRESS(73,COLUMN()+6,4)),MATCH($B44,INDIRECT($B$1&amp;"!$A$8:$A$73"),0)),CONFIG!$A$15:$B$28,2,FALSE),"")</f>
        <v/>
      </c>
      <c r="Y44" s="157">
        <f>IFERROR(VLOOKUP(INDEX(INDIRECT($B$1&amp;"!"&amp;ADDRESS(8,COLUMN()+6,4)&amp;":"&amp;ADDRESS(73,COLUMN()+6,4)),MATCH($B44,INDIRECT($B$1&amp;"!$A$8:$A$73"),0)),CONFIG!$A$15:$B$28,2,FALSE),"")</f>
        <v/>
      </c>
      <c r="Z44" s="157">
        <f>IFERROR(VLOOKUP(INDEX(INDIRECT($B$1&amp;"!"&amp;ADDRESS(8,COLUMN()+6,4)&amp;":"&amp;ADDRESS(73,COLUMN()+6,4)),MATCH($B44,INDIRECT($B$1&amp;"!$A$8:$A$73"),0)),CONFIG!$A$15:$B$28,2,FALSE),"")</f>
        <v/>
      </c>
      <c r="AA44" s="157">
        <f>IFERROR(VLOOKUP(INDEX(INDIRECT($B$1&amp;"!"&amp;ADDRESS(8,COLUMN()+6,4)&amp;":"&amp;ADDRESS(73,COLUMN()+6,4)),MATCH($B44,INDIRECT($B$1&amp;"!$A$8:$A$73"),0)),CONFIG!$A$15:$B$28,2,FALSE),"")</f>
        <v/>
      </c>
      <c r="AB44" s="157">
        <f>IFERROR(VLOOKUP(INDEX(INDIRECT($B$1&amp;"!"&amp;ADDRESS(8,COLUMN()+6,4)&amp;":"&amp;ADDRESS(73,COLUMN()+6,4)),MATCH($B44,INDIRECT($B$1&amp;"!$A$8:$A$73"),0)),CONFIG!$A$15:$B$28,2,FALSE),"")</f>
        <v/>
      </c>
      <c r="AC44" s="157">
        <f>IFERROR(VLOOKUP(INDEX(INDIRECT($B$1&amp;"!"&amp;ADDRESS(8,COLUMN()+6,4)&amp;":"&amp;ADDRESS(73,COLUMN()+6,4)),MATCH($B44,INDIRECT($B$1&amp;"!$A$8:$A$73"),0)),CONFIG!$A$15:$B$28,2,FALSE),"")</f>
        <v/>
      </c>
      <c r="AD44" s="157">
        <f>IFERROR(VLOOKUP(INDEX(INDIRECT($B$1&amp;"!"&amp;ADDRESS(8,COLUMN()+6,4)&amp;":"&amp;ADDRESS(73,COLUMN()+6,4)),MATCH($B44,INDIRECT($B$1&amp;"!$A$8:$A$73"),0)),CONFIG!$A$15:$B$28,2,FALSE),"")</f>
        <v/>
      </c>
      <c r="AE44" s="157">
        <f>IFERROR(VLOOKUP(INDEX(INDIRECT($B$1&amp;"!"&amp;ADDRESS(8,COLUMN()+6,4)&amp;":"&amp;ADDRESS(73,COLUMN()+6,4)),MATCH($B44,INDIRECT($B$1&amp;"!$A$8:$A$73"),0)),CONFIG!$A$15:$B$28,2,FALSE),"")</f>
        <v/>
      </c>
      <c r="AF44" s="157">
        <f>IFERROR(VLOOKUP(INDEX(INDIRECT($B$1&amp;"!"&amp;ADDRESS(8,COLUMN()+6,4)&amp;":"&amp;ADDRESS(73,COLUMN()+6,4)),MATCH($B44,INDIRECT($B$1&amp;"!$A$8:$A$73"),0)),CONFIG!$A$15:$B$28,2,FALSE),"")</f>
        <v/>
      </c>
      <c r="AG44" s="157">
        <f>IFERROR(VLOOKUP(INDEX(INDIRECT($B$1&amp;"!"&amp;ADDRESS(8,COLUMN()+6,4)&amp;":"&amp;ADDRESS(73,COLUMN()+6,4)),MATCH($B44,INDIRECT($B$1&amp;"!$A$8:$A$73"),0)),CONFIG!$A$15:$B$28,2,FALSE),"")</f>
        <v/>
      </c>
      <c r="AH44" s="157">
        <f>IFERROR(VLOOKUP(INDEX(INDIRECT($B$1&amp;"!"&amp;ADDRESS(8,COLUMN()+6,4)&amp;":"&amp;ADDRESS(73,COLUMN()+6,4)),MATCH($B44,INDIRECT($B$1&amp;"!$A$8:$A$73"),0)),CONFIG!$A$15:$B$28,2,FALSE),"")</f>
        <v/>
      </c>
      <c r="AI44" s="39" t="n"/>
    </row>
    <row r="45">
      <c r="A45" s="155" t="inlineStr">
        <is>
          <t>Denise</t>
        </is>
      </c>
      <c r="B45" s="156" t="inlineStr">
        <is>
          <t>Denise</t>
        </is>
      </c>
      <c r="C45" s="157">
        <f>IFERROR(VLOOKUP(INDEX(INDIRECT($B$1&amp;"!"&amp;ADDRESS(8,COLUMN()+6,4)&amp;":"&amp;ADDRESS(73,COLUMN()+6,4)),MATCH($B45,INDIRECT($B$1&amp;"!$A$8:$A$73"),0)),CONFIG!$A$15:$B$28,2,FALSE),"")</f>
        <v/>
      </c>
      <c r="D45" s="157">
        <f>IFERROR(VLOOKUP(INDEX(INDIRECT($B$1&amp;"!"&amp;ADDRESS(8,COLUMN()+6,4)&amp;":"&amp;ADDRESS(73,COLUMN()+6,4)),MATCH($B45,INDIRECT($B$1&amp;"!$A$8:$A$73"),0)),CONFIG!$A$15:$B$28,2,FALSE),"")</f>
        <v/>
      </c>
      <c r="E45" s="157">
        <f>IFERROR(VLOOKUP(INDEX(INDIRECT($B$1&amp;"!"&amp;ADDRESS(8,COLUMN()+6,4)&amp;":"&amp;ADDRESS(73,COLUMN()+6,4)),MATCH($B45,INDIRECT($B$1&amp;"!$A$8:$A$73"),0)),CONFIG!$A$15:$B$28,2,FALSE),"")</f>
        <v/>
      </c>
      <c r="F45" s="157">
        <f>IFERROR(VLOOKUP(INDEX(INDIRECT($B$1&amp;"!"&amp;ADDRESS(8,COLUMN()+6,4)&amp;":"&amp;ADDRESS(73,COLUMN()+6,4)),MATCH($B45,INDIRECT($B$1&amp;"!$A$8:$A$73"),0)),CONFIG!$A$15:$B$28,2,FALSE),"")</f>
        <v/>
      </c>
      <c r="G45" s="157">
        <f>IFERROR(VLOOKUP(INDEX(INDIRECT($B$1&amp;"!"&amp;ADDRESS(8,COLUMN()+6,4)&amp;":"&amp;ADDRESS(73,COLUMN()+6,4)),MATCH($B45,INDIRECT($B$1&amp;"!$A$8:$A$73"),0)),CONFIG!$A$15:$B$28,2,FALSE),"")</f>
        <v/>
      </c>
      <c r="H45" s="157">
        <f>IFERROR(VLOOKUP(INDEX(INDIRECT($B$1&amp;"!"&amp;ADDRESS(8,COLUMN()+6,4)&amp;":"&amp;ADDRESS(73,COLUMN()+6,4)),MATCH($B45,INDIRECT($B$1&amp;"!$A$8:$A$73"),0)),CONFIG!$A$15:$B$28,2,FALSE),"")</f>
        <v/>
      </c>
      <c r="I45" s="157">
        <f>IFERROR(VLOOKUP(INDEX(INDIRECT($B$1&amp;"!"&amp;ADDRESS(8,COLUMN()+6,4)&amp;":"&amp;ADDRESS(73,COLUMN()+6,4)),MATCH($B45,INDIRECT($B$1&amp;"!$A$8:$A$73"),0)),CONFIG!$A$15:$B$28,2,FALSE),"")</f>
        <v/>
      </c>
      <c r="J45" s="157">
        <f>IFERROR(VLOOKUP(INDEX(INDIRECT($B$1&amp;"!"&amp;ADDRESS(8,COLUMN()+6,4)&amp;":"&amp;ADDRESS(73,COLUMN()+6,4)),MATCH($B45,INDIRECT($B$1&amp;"!$A$8:$A$73"),0)),CONFIG!$A$15:$B$28,2,FALSE),"")</f>
        <v/>
      </c>
      <c r="K45" s="157">
        <f>IFERROR(VLOOKUP(INDEX(INDIRECT($B$1&amp;"!"&amp;ADDRESS(8,COLUMN()+6,4)&amp;":"&amp;ADDRESS(73,COLUMN()+6,4)),MATCH($B45,INDIRECT($B$1&amp;"!$A$8:$A$73"),0)),CONFIG!$A$15:$B$28,2,FALSE),"")</f>
        <v/>
      </c>
      <c r="L45" s="157">
        <f>IFERROR(VLOOKUP(INDEX(INDIRECT($B$1&amp;"!"&amp;ADDRESS(8,COLUMN()+6,4)&amp;":"&amp;ADDRESS(73,COLUMN()+6,4)),MATCH($B45,INDIRECT($B$1&amp;"!$A$8:$A$73"),0)),CONFIG!$A$15:$B$28,2,FALSE),"")</f>
        <v/>
      </c>
      <c r="M45" s="157">
        <f>IFERROR(VLOOKUP(INDEX(INDIRECT($B$1&amp;"!"&amp;ADDRESS(8,COLUMN()+6,4)&amp;":"&amp;ADDRESS(73,COLUMN()+6,4)),MATCH($B45,INDIRECT($B$1&amp;"!$A$8:$A$73"),0)),CONFIG!$A$15:$B$28,2,FALSE),"")</f>
        <v/>
      </c>
      <c r="N45" s="157">
        <f>IFERROR(VLOOKUP(INDEX(INDIRECT($B$1&amp;"!"&amp;ADDRESS(8,COLUMN()+6,4)&amp;":"&amp;ADDRESS(73,COLUMN()+6,4)),MATCH($B45,INDIRECT($B$1&amp;"!$A$8:$A$73"),0)),CONFIG!$A$15:$B$28,2,FALSE),"")</f>
        <v/>
      </c>
      <c r="O45" s="157">
        <f>IFERROR(VLOOKUP(INDEX(INDIRECT($B$1&amp;"!"&amp;ADDRESS(8,COLUMN()+6,4)&amp;":"&amp;ADDRESS(73,COLUMN()+6,4)),MATCH($B45,INDIRECT($B$1&amp;"!$A$8:$A$73"),0)),CONFIG!$A$15:$B$28,2,FALSE),"")</f>
        <v/>
      </c>
      <c r="P45" s="157">
        <f>IFERROR(VLOOKUP(INDEX(INDIRECT($B$1&amp;"!"&amp;ADDRESS(8,COLUMN()+6,4)&amp;":"&amp;ADDRESS(73,COLUMN()+6,4)),MATCH($B45,INDIRECT($B$1&amp;"!$A$8:$A$73"),0)),CONFIG!$A$15:$B$28,2,FALSE),"")</f>
        <v/>
      </c>
      <c r="Q45" s="157">
        <f>IFERROR(VLOOKUP(INDEX(INDIRECT($B$1&amp;"!"&amp;ADDRESS(8,COLUMN()+6,4)&amp;":"&amp;ADDRESS(73,COLUMN()+6,4)),MATCH($B45,INDIRECT($B$1&amp;"!$A$8:$A$73"),0)),CONFIG!$A$15:$B$28,2,FALSE),"")</f>
        <v/>
      </c>
      <c r="R45" s="157">
        <f>IFERROR(VLOOKUP(INDEX(INDIRECT($B$1&amp;"!"&amp;ADDRESS(8,COLUMN()+6,4)&amp;":"&amp;ADDRESS(73,COLUMN()+6,4)),MATCH($B45,INDIRECT($B$1&amp;"!$A$8:$A$73"),0)),CONFIG!$A$15:$B$28,2,FALSE),"")</f>
        <v/>
      </c>
      <c r="S45" s="157">
        <f>IFERROR(VLOOKUP(INDEX(INDIRECT($B$1&amp;"!"&amp;ADDRESS(8,COLUMN()+6,4)&amp;":"&amp;ADDRESS(73,COLUMN()+6,4)),MATCH($B45,INDIRECT($B$1&amp;"!$A$8:$A$73"),0)),CONFIG!$A$15:$B$28,2,FALSE),"")</f>
        <v/>
      </c>
      <c r="T45" s="157">
        <f>IFERROR(VLOOKUP(INDEX(INDIRECT($B$1&amp;"!"&amp;ADDRESS(8,COLUMN()+6,4)&amp;":"&amp;ADDRESS(73,COLUMN()+6,4)),MATCH($B45,INDIRECT($B$1&amp;"!$A$8:$A$73"),0)),CONFIG!$A$15:$B$28,2,FALSE),"")</f>
        <v/>
      </c>
      <c r="U45" s="157">
        <f>IFERROR(VLOOKUP(INDEX(INDIRECT($B$1&amp;"!"&amp;ADDRESS(8,COLUMN()+6,4)&amp;":"&amp;ADDRESS(73,COLUMN()+6,4)),MATCH($B45,INDIRECT($B$1&amp;"!$A$8:$A$73"),0)),CONFIG!$A$15:$B$28,2,FALSE),"")</f>
        <v/>
      </c>
      <c r="V45" s="157">
        <f>IFERROR(VLOOKUP(INDEX(INDIRECT($B$1&amp;"!"&amp;ADDRESS(8,COLUMN()+6,4)&amp;":"&amp;ADDRESS(73,COLUMN()+6,4)),MATCH($B45,INDIRECT($B$1&amp;"!$A$8:$A$73"),0)),CONFIG!$A$15:$B$28,2,FALSE),"")</f>
        <v/>
      </c>
      <c r="W45" s="157">
        <f>IFERROR(VLOOKUP(INDEX(INDIRECT($B$1&amp;"!"&amp;ADDRESS(8,COLUMN()+6,4)&amp;":"&amp;ADDRESS(73,COLUMN()+6,4)),MATCH($B45,INDIRECT($B$1&amp;"!$A$8:$A$73"),0)),CONFIG!$A$15:$B$28,2,FALSE),"")</f>
        <v/>
      </c>
      <c r="X45" s="157">
        <f>IFERROR(VLOOKUP(INDEX(INDIRECT($B$1&amp;"!"&amp;ADDRESS(8,COLUMN()+6,4)&amp;":"&amp;ADDRESS(73,COLUMN()+6,4)),MATCH($B45,INDIRECT($B$1&amp;"!$A$8:$A$73"),0)),CONFIG!$A$15:$B$28,2,FALSE),"")</f>
        <v/>
      </c>
      <c r="Y45" s="157">
        <f>IFERROR(VLOOKUP(INDEX(INDIRECT($B$1&amp;"!"&amp;ADDRESS(8,COLUMN()+6,4)&amp;":"&amp;ADDRESS(73,COLUMN()+6,4)),MATCH($B45,INDIRECT($B$1&amp;"!$A$8:$A$73"),0)),CONFIG!$A$15:$B$28,2,FALSE),"")</f>
        <v/>
      </c>
      <c r="Z45" s="157">
        <f>IFERROR(VLOOKUP(INDEX(INDIRECT($B$1&amp;"!"&amp;ADDRESS(8,COLUMN()+6,4)&amp;":"&amp;ADDRESS(73,COLUMN()+6,4)),MATCH($B45,INDIRECT($B$1&amp;"!$A$8:$A$73"),0)),CONFIG!$A$15:$B$28,2,FALSE),"")</f>
        <v/>
      </c>
      <c r="AA45" s="157">
        <f>IFERROR(VLOOKUP(INDEX(INDIRECT($B$1&amp;"!"&amp;ADDRESS(8,COLUMN()+6,4)&amp;":"&amp;ADDRESS(73,COLUMN()+6,4)),MATCH($B45,INDIRECT($B$1&amp;"!$A$8:$A$73"),0)),CONFIG!$A$15:$B$28,2,FALSE),"")</f>
        <v/>
      </c>
      <c r="AB45" s="157">
        <f>IFERROR(VLOOKUP(INDEX(INDIRECT($B$1&amp;"!"&amp;ADDRESS(8,COLUMN()+6,4)&amp;":"&amp;ADDRESS(73,COLUMN()+6,4)),MATCH($B45,INDIRECT($B$1&amp;"!$A$8:$A$73"),0)),CONFIG!$A$15:$B$28,2,FALSE),"")</f>
        <v/>
      </c>
      <c r="AC45" s="157">
        <f>IFERROR(VLOOKUP(INDEX(INDIRECT($B$1&amp;"!"&amp;ADDRESS(8,COLUMN()+6,4)&amp;":"&amp;ADDRESS(73,COLUMN()+6,4)),MATCH($B45,INDIRECT($B$1&amp;"!$A$8:$A$73"),0)),CONFIG!$A$15:$B$28,2,FALSE),"")</f>
        <v/>
      </c>
      <c r="AD45" s="157">
        <f>IFERROR(VLOOKUP(INDEX(INDIRECT($B$1&amp;"!"&amp;ADDRESS(8,COLUMN()+6,4)&amp;":"&amp;ADDRESS(73,COLUMN()+6,4)),MATCH($B45,INDIRECT($B$1&amp;"!$A$8:$A$73"),0)),CONFIG!$A$15:$B$28,2,FALSE),"")</f>
        <v/>
      </c>
      <c r="AE45" s="157">
        <f>IFERROR(VLOOKUP(INDEX(INDIRECT($B$1&amp;"!"&amp;ADDRESS(8,COLUMN()+6,4)&amp;":"&amp;ADDRESS(73,COLUMN()+6,4)),MATCH($B45,INDIRECT($B$1&amp;"!$A$8:$A$73"),0)),CONFIG!$A$15:$B$28,2,FALSE),"")</f>
        <v/>
      </c>
      <c r="AF45" s="157">
        <f>IFERROR(VLOOKUP(INDEX(INDIRECT($B$1&amp;"!"&amp;ADDRESS(8,COLUMN()+6,4)&amp;":"&amp;ADDRESS(73,COLUMN()+6,4)),MATCH($B45,INDIRECT($B$1&amp;"!$A$8:$A$73"),0)),CONFIG!$A$15:$B$28,2,FALSE),"")</f>
        <v/>
      </c>
      <c r="AG45" s="157">
        <f>IFERROR(VLOOKUP(INDEX(INDIRECT($B$1&amp;"!"&amp;ADDRESS(8,COLUMN()+6,4)&amp;":"&amp;ADDRESS(73,COLUMN()+6,4)),MATCH($B45,INDIRECT($B$1&amp;"!$A$8:$A$73"),0)),CONFIG!$A$15:$B$28,2,FALSE),"")</f>
        <v/>
      </c>
      <c r="AH45" s="157">
        <f>IFERROR(VLOOKUP(INDEX(INDIRECT($B$1&amp;"!"&amp;ADDRESS(8,COLUMN()+6,4)&amp;":"&amp;ADDRESS(73,COLUMN()+6,4)),MATCH($B45,INDIRECT($B$1&amp;"!$A$8:$A$73"),0)),CONFIG!$A$15:$B$28,2,FALSE),"")</f>
        <v/>
      </c>
      <c r="AI45" s="39" t="n"/>
    </row>
    <row r="46">
      <c r="A46" s="155" t="inlineStr">
        <is>
          <t>Carlos Ernesto</t>
        </is>
      </c>
      <c r="B46" s="156" t="inlineStr">
        <is>
          <t>Ernesto</t>
        </is>
      </c>
      <c r="C46" s="157">
        <f>IFERROR(VLOOKUP(INDEX(INDIRECT($B$1&amp;"!"&amp;ADDRESS(8,COLUMN()+6,4)&amp;":"&amp;ADDRESS(73,COLUMN()+6,4)),MATCH($B46,INDIRECT($B$1&amp;"!$A$8:$A$73"),0)),CONFIG!$A$15:$B$28,2,FALSE),"")</f>
        <v/>
      </c>
      <c r="D46" s="157">
        <f>IFERROR(VLOOKUP(INDEX(INDIRECT($B$1&amp;"!"&amp;ADDRESS(8,COLUMN()+6,4)&amp;":"&amp;ADDRESS(73,COLUMN()+6,4)),MATCH($B46,INDIRECT($B$1&amp;"!$A$8:$A$73"),0)),CONFIG!$A$15:$B$28,2,FALSE),"")</f>
        <v/>
      </c>
      <c r="E46" s="157">
        <f>IFERROR(VLOOKUP(INDEX(INDIRECT($B$1&amp;"!"&amp;ADDRESS(8,COLUMN()+6,4)&amp;":"&amp;ADDRESS(73,COLUMN()+6,4)),MATCH($B46,INDIRECT($B$1&amp;"!$A$8:$A$73"),0)),CONFIG!$A$15:$B$28,2,FALSE),"")</f>
        <v/>
      </c>
      <c r="F46" s="157">
        <f>IFERROR(VLOOKUP(INDEX(INDIRECT($B$1&amp;"!"&amp;ADDRESS(8,COLUMN()+6,4)&amp;":"&amp;ADDRESS(73,COLUMN()+6,4)),MATCH($B46,INDIRECT($B$1&amp;"!$A$8:$A$73"),0)),CONFIG!$A$15:$B$28,2,FALSE),"")</f>
        <v/>
      </c>
      <c r="G46" s="157">
        <f>IFERROR(VLOOKUP(INDEX(INDIRECT($B$1&amp;"!"&amp;ADDRESS(8,COLUMN()+6,4)&amp;":"&amp;ADDRESS(73,COLUMN()+6,4)),MATCH($B46,INDIRECT($B$1&amp;"!$A$8:$A$73"),0)),CONFIG!$A$15:$B$28,2,FALSE),"")</f>
        <v/>
      </c>
      <c r="H46" s="157">
        <f>IFERROR(VLOOKUP(INDEX(INDIRECT($B$1&amp;"!"&amp;ADDRESS(8,COLUMN()+6,4)&amp;":"&amp;ADDRESS(73,COLUMN()+6,4)),MATCH($B46,INDIRECT($B$1&amp;"!$A$8:$A$73"),0)),CONFIG!$A$15:$B$28,2,FALSE),"")</f>
        <v/>
      </c>
      <c r="I46" s="157">
        <f>IFERROR(VLOOKUP(INDEX(INDIRECT($B$1&amp;"!"&amp;ADDRESS(8,COLUMN()+6,4)&amp;":"&amp;ADDRESS(73,COLUMN()+6,4)),MATCH($B46,INDIRECT($B$1&amp;"!$A$8:$A$73"),0)),CONFIG!$A$15:$B$28,2,FALSE),"")</f>
        <v/>
      </c>
      <c r="J46" s="157">
        <f>IFERROR(VLOOKUP(INDEX(INDIRECT($B$1&amp;"!"&amp;ADDRESS(8,COLUMN()+6,4)&amp;":"&amp;ADDRESS(73,COLUMN()+6,4)),MATCH($B46,INDIRECT($B$1&amp;"!$A$8:$A$73"),0)),CONFIG!$A$15:$B$28,2,FALSE),"")</f>
        <v/>
      </c>
      <c r="K46" s="157">
        <f>IFERROR(VLOOKUP(INDEX(INDIRECT($B$1&amp;"!"&amp;ADDRESS(8,COLUMN()+6,4)&amp;":"&amp;ADDRESS(73,COLUMN()+6,4)),MATCH($B46,INDIRECT($B$1&amp;"!$A$8:$A$73"),0)),CONFIG!$A$15:$B$28,2,FALSE),"")</f>
        <v/>
      </c>
      <c r="L46" s="157">
        <f>IFERROR(VLOOKUP(INDEX(INDIRECT($B$1&amp;"!"&amp;ADDRESS(8,COLUMN()+6,4)&amp;":"&amp;ADDRESS(73,COLUMN()+6,4)),MATCH($B46,INDIRECT($B$1&amp;"!$A$8:$A$73"),0)),CONFIG!$A$15:$B$28,2,FALSE),"")</f>
        <v/>
      </c>
      <c r="M46" s="157">
        <f>IFERROR(VLOOKUP(INDEX(INDIRECT($B$1&amp;"!"&amp;ADDRESS(8,COLUMN()+6,4)&amp;":"&amp;ADDRESS(73,COLUMN()+6,4)),MATCH($B46,INDIRECT($B$1&amp;"!$A$8:$A$73"),0)),CONFIG!$A$15:$B$28,2,FALSE),"")</f>
        <v/>
      </c>
      <c r="N46" s="157">
        <f>IFERROR(VLOOKUP(INDEX(INDIRECT($B$1&amp;"!"&amp;ADDRESS(8,COLUMN()+6,4)&amp;":"&amp;ADDRESS(73,COLUMN()+6,4)),MATCH($B46,INDIRECT($B$1&amp;"!$A$8:$A$73"),0)),CONFIG!$A$15:$B$28,2,FALSE),"")</f>
        <v/>
      </c>
      <c r="O46" s="157">
        <f>IFERROR(VLOOKUP(INDEX(INDIRECT($B$1&amp;"!"&amp;ADDRESS(8,COLUMN()+6,4)&amp;":"&amp;ADDRESS(73,COLUMN()+6,4)),MATCH($B46,INDIRECT($B$1&amp;"!$A$8:$A$73"),0)),CONFIG!$A$15:$B$28,2,FALSE),"")</f>
        <v/>
      </c>
      <c r="P46" s="157">
        <f>IFERROR(VLOOKUP(INDEX(INDIRECT($B$1&amp;"!"&amp;ADDRESS(8,COLUMN()+6,4)&amp;":"&amp;ADDRESS(73,COLUMN()+6,4)),MATCH($B46,INDIRECT($B$1&amp;"!$A$8:$A$73"),0)),CONFIG!$A$15:$B$28,2,FALSE),"")</f>
        <v/>
      </c>
      <c r="Q46" s="157">
        <f>IFERROR(VLOOKUP(INDEX(INDIRECT($B$1&amp;"!"&amp;ADDRESS(8,COLUMN()+6,4)&amp;":"&amp;ADDRESS(73,COLUMN()+6,4)),MATCH($B46,INDIRECT($B$1&amp;"!$A$8:$A$73"),0)),CONFIG!$A$15:$B$28,2,FALSE),"")</f>
        <v/>
      </c>
      <c r="R46" s="157">
        <f>IFERROR(VLOOKUP(INDEX(INDIRECT($B$1&amp;"!"&amp;ADDRESS(8,COLUMN()+6,4)&amp;":"&amp;ADDRESS(73,COLUMN()+6,4)),MATCH($B46,INDIRECT($B$1&amp;"!$A$8:$A$73"),0)),CONFIG!$A$15:$B$28,2,FALSE),"")</f>
        <v/>
      </c>
      <c r="S46" s="157">
        <f>IFERROR(VLOOKUP(INDEX(INDIRECT($B$1&amp;"!"&amp;ADDRESS(8,COLUMN()+6,4)&amp;":"&amp;ADDRESS(73,COLUMN()+6,4)),MATCH($B46,INDIRECT($B$1&amp;"!$A$8:$A$73"),0)),CONFIG!$A$15:$B$28,2,FALSE),"")</f>
        <v/>
      </c>
      <c r="T46" s="157">
        <f>IFERROR(VLOOKUP(INDEX(INDIRECT($B$1&amp;"!"&amp;ADDRESS(8,COLUMN()+6,4)&amp;":"&amp;ADDRESS(73,COLUMN()+6,4)),MATCH($B46,INDIRECT($B$1&amp;"!$A$8:$A$73"),0)),CONFIG!$A$15:$B$28,2,FALSE),"")</f>
        <v/>
      </c>
      <c r="U46" s="157">
        <f>IFERROR(VLOOKUP(INDEX(INDIRECT($B$1&amp;"!"&amp;ADDRESS(8,COLUMN()+6,4)&amp;":"&amp;ADDRESS(73,COLUMN()+6,4)),MATCH($B46,INDIRECT($B$1&amp;"!$A$8:$A$73"),0)),CONFIG!$A$15:$B$28,2,FALSE),"")</f>
        <v/>
      </c>
      <c r="V46" s="157">
        <f>IFERROR(VLOOKUP(INDEX(INDIRECT($B$1&amp;"!"&amp;ADDRESS(8,COLUMN()+6,4)&amp;":"&amp;ADDRESS(73,COLUMN()+6,4)),MATCH($B46,INDIRECT($B$1&amp;"!$A$8:$A$73"),0)),CONFIG!$A$15:$B$28,2,FALSE),"")</f>
        <v/>
      </c>
      <c r="W46" s="157">
        <f>IFERROR(VLOOKUP(INDEX(INDIRECT($B$1&amp;"!"&amp;ADDRESS(8,COLUMN()+6,4)&amp;":"&amp;ADDRESS(73,COLUMN()+6,4)),MATCH($B46,INDIRECT($B$1&amp;"!$A$8:$A$73"),0)),CONFIG!$A$15:$B$28,2,FALSE),"")</f>
        <v/>
      </c>
      <c r="X46" s="157">
        <f>IFERROR(VLOOKUP(INDEX(INDIRECT($B$1&amp;"!"&amp;ADDRESS(8,COLUMN()+6,4)&amp;":"&amp;ADDRESS(73,COLUMN()+6,4)),MATCH($B46,INDIRECT($B$1&amp;"!$A$8:$A$73"),0)),CONFIG!$A$15:$B$28,2,FALSE),"")</f>
        <v/>
      </c>
      <c r="Y46" s="157">
        <f>IFERROR(VLOOKUP(INDEX(INDIRECT($B$1&amp;"!"&amp;ADDRESS(8,COLUMN()+6,4)&amp;":"&amp;ADDRESS(73,COLUMN()+6,4)),MATCH($B46,INDIRECT($B$1&amp;"!$A$8:$A$73"),0)),CONFIG!$A$15:$B$28,2,FALSE),"")</f>
        <v/>
      </c>
      <c r="Z46" s="157">
        <f>IFERROR(VLOOKUP(INDEX(INDIRECT($B$1&amp;"!"&amp;ADDRESS(8,COLUMN()+6,4)&amp;":"&amp;ADDRESS(73,COLUMN()+6,4)),MATCH($B46,INDIRECT($B$1&amp;"!$A$8:$A$73"),0)),CONFIG!$A$15:$B$28,2,FALSE),"")</f>
        <v/>
      </c>
      <c r="AA46" s="157">
        <f>IFERROR(VLOOKUP(INDEX(INDIRECT($B$1&amp;"!"&amp;ADDRESS(8,COLUMN()+6,4)&amp;":"&amp;ADDRESS(73,COLUMN()+6,4)),MATCH($B46,INDIRECT($B$1&amp;"!$A$8:$A$73"),0)),CONFIG!$A$15:$B$28,2,FALSE),"")</f>
        <v/>
      </c>
      <c r="AB46" s="157">
        <f>IFERROR(VLOOKUP(INDEX(INDIRECT($B$1&amp;"!"&amp;ADDRESS(8,COLUMN()+6,4)&amp;":"&amp;ADDRESS(73,COLUMN()+6,4)),MATCH($B46,INDIRECT($B$1&amp;"!$A$8:$A$73"),0)),CONFIG!$A$15:$B$28,2,FALSE),"")</f>
        <v/>
      </c>
      <c r="AC46" s="157">
        <f>IFERROR(VLOOKUP(INDEX(INDIRECT($B$1&amp;"!"&amp;ADDRESS(8,COLUMN()+6,4)&amp;":"&amp;ADDRESS(73,COLUMN()+6,4)),MATCH($B46,INDIRECT($B$1&amp;"!$A$8:$A$73"),0)),CONFIG!$A$15:$B$28,2,FALSE),"")</f>
        <v/>
      </c>
      <c r="AD46" s="157">
        <f>IFERROR(VLOOKUP(INDEX(INDIRECT($B$1&amp;"!"&amp;ADDRESS(8,COLUMN()+6,4)&amp;":"&amp;ADDRESS(73,COLUMN()+6,4)),MATCH($B46,INDIRECT($B$1&amp;"!$A$8:$A$73"),0)),CONFIG!$A$15:$B$28,2,FALSE),"")</f>
        <v/>
      </c>
      <c r="AE46" s="157">
        <f>IFERROR(VLOOKUP(INDEX(INDIRECT($B$1&amp;"!"&amp;ADDRESS(8,COLUMN()+6,4)&amp;":"&amp;ADDRESS(73,COLUMN()+6,4)),MATCH($B46,INDIRECT($B$1&amp;"!$A$8:$A$73"),0)),CONFIG!$A$15:$B$28,2,FALSE),"")</f>
        <v/>
      </c>
      <c r="AF46" s="157">
        <f>IFERROR(VLOOKUP(INDEX(INDIRECT($B$1&amp;"!"&amp;ADDRESS(8,COLUMN()+6,4)&amp;":"&amp;ADDRESS(73,COLUMN()+6,4)),MATCH($B46,INDIRECT($B$1&amp;"!$A$8:$A$73"),0)),CONFIG!$A$15:$B$28,2,FALSE),"")</f>
        <v/>
      </c>
      <c r="AG46" s="157">
        <f>IFERROR(VLOOKUP(INDEX(INDIRECT($B$1&amp;"!"&amp;ADDRESS(8,COLUMN()+6,4)&amp;":"&amp;ADDRESS(73,COLUMN()+6,4)),MATCH($B46,INDIRECT($B$1&amp;"!$A$8:$A$73"),0)),CONFIG!$A$15:$B$28,2,FALSE),"")</f>
        <v/>
      </c>
      <c r="AH46" s="157">
        <f>IFERROR(VLOOKUP(INDEX(INDIRECT($B$1&amp;"!"&amp;ADDRESS(8,COLUMN()+6,4)&amp;":"&amp;ADDRESS(73,COLUMN()+6,4)),MATCH($B46,INDIRECT($B$1&amp;"!$A$8:$A$73"),0)),CONFIG!$A$15:$B$28,2,FALSE),"")</f>
        <v/>
      </c>
      <c r="AI46" s="39" t="n"/>
    </row>
    <row r="47">
      <c r="A47" s="155" t="inlineStr">
        <is>
          <t>Grayce Maya</t>
        </is>
      </c>
      <c r="B47" s="156" t="inlineStr">
        <is>
          <t>Grayce</t>
        </is>
      </c>
      <c r="C47" s="157">
        <f>IFERROR(VLOOKUP(INDEX(INDIRECT($B$1&amp;"!"&amp;ADDRESS(8,COLUMN()+6,4)&amp;":"&amp;ADDRESS(73,COLUMN()+6,4)),MATCH($B47,INDIRECT($B$1&amp;"!$A$8:$A$73"),0)),CONFIG!$A$15:$B$28,2,FALSE),"")</f>
        <v/>
      </c>
      <c r="D47" s="157">
        <f>IFERROR(VLOOKUP(INDEX(INDIRECT($B$1&amp;"!"&amp;ADDRESS(8,COLUMN()+6,4)&amp;":"&amp;ADDRESS(73,COLUMN()+6,4)),MATCH($B47,INDIRECT($B$1&amp;"!$A$8:$A$73"),0)),CONFIG!$A$15:$B$28,2,FALSE),"")</f>
        <v/>
      </c>
      <c r="E47" s="157">
        <f>IFERROR(VLOOKUP(INDEX(INDIRECT($B$1&amp;"!"&amp;ADDRESS(8,COLUMN()+6,4)&amp;":"&amp;ADDRESS(73,COLUMN()+6,4)),MATCH($B47,INDIRECT($B$1&amp;"!$A$8:$A$73"),0)),CONFIG!$A$15:$B$28,2,FALSE),"")</f>
        <v/>
      </c>
      <c r="F47" s="157">
        <f>IFERROR(VLOOKUP(INDEX(INDIRECT($B$1&amp;"!"&amp;ADDRESS(8,COLUMN()+6,4)&amp;":"&amp;ADDRESS(73,COLUMN()+6,4)),MATCH($B47,INDIRECT($B$1&amp;"!$A$8:$A$73"),0)),CONFIG!$A$15:$B$28,2,FALSE),"")</f>
        <v/>
      </c>
      <c r="G47" s="157">
        <f>IFERROR(VLOOKUP(INDEX(INDIRECT($B$1&amp;"!"&amp;ADDRESS(8,COLUMN()+6,4)&amp;":"&amp;ADDRESS(73,COLUMN()+6,4)),MATCH($B47,INDIRECT($B$1&amp;"!$A$8:$A$73"),0)),CONFIG!$A$15:$B$28,2,FALSE),"")</f>
        <v/>
      </c>
      <c r="H47" s="157">
        <f>IFERROR(VLOOKUP(INDEX(INDIRECT($B$1&amp;"!"&amp;ADDRESS(8,COLUMN()+6,4)&amp;":"&amp;ADDRESS(73,COLUMN()+6,4)),MATCH($B47,INDIRECT($B$1&amp;"!$A$8:$A$73"),0)),CONFIG!$A$15:$B$28,2,FALSE),"")</f>
        <v/>
      </c>
      <c r="I47" s="157">
        <f>IFERROR(VLOOKUP(INDEX(INDIRECT($B$1&amp;"!"&amp;ADDRESS(8,COLUMN()+6,4)&amp;":"&amp;ADDRESS(73,COLUMN()+6,4)),MATCH($B47,INDIRECT($B$1&amp;"!$A$8:$A$73"),0)),CONFIG!$A$15:$B$28,2,FALSE),"")</f>
        <v/>
      </c>
      <c r="J47" s="157">
        <f>IFERROR(VLOOKUP(INDEX(INDIRECT($B$1&amp;"!"&amp;ADDRESS(8,COLUMN()+6,4)&amp;":"&amp;ADDRESS(73,COLUMN()+6,4)),MATCH($B47,INDIRECT($B$1&amp;"!$A$8:$A$73"),0)),CONFIG!$A$15:$B$28,2,FALSE),"")</f>
        <v/>
      </c>
      <c r="K47" s="157">
        <f>IFERROR(VLOOKUP(INDEX(INDIRECT($B$1&amp;"!"&amp;ADDRESS(8,COLUMN()+6,4)&amp;":"&amp;ADDRESS(73,COLUMN()+6,4)),MATCH($B47,INDIRECT($B$1&amp;"!$A$8:$A$73"),0)),CONFIG!$A$15:$B$28,2,FALSE),"")</f>
        <v/>
      </c>
      <c r="L47" s="157">
        <f>IFERROR(VLOOKUP(INDEX(INDIRECT($B$1&amp;"!"&amp;ADDRESS(8,COLUMN()+6,4)&amp;":"&amp;ADDRESS(73,COLUMN()+6,4)),MATCH($B47,INDIRECT($B$1&amp;"!$A$8:$A$73"),0)),CONFIG!$A$15:$B$28,2,FALSE),"")</f>
        <v/>
      </c>
      <c r="M47" s="157">
        <f>IFERROR(VLOOKUP(INDEX(INDIRECT($B$1&amp;"!"&amp;ADDRESS(8,COLUMN()+6,4)&amp;":"&amp;ADDRESS(73,COLUMN()+6,4)),MATCH($B47,INDIRECT($B$1&amp;"!$A$8:$A$73"),0)),CONFIG!$A$15:$B$28,2,FALSE),"")</f>
        <v/>
      </c>
      <c r="N47" s="157">
        <f>IFERROR(VLOOKUP(INDEX(INDIRECT($B$1&amp;"!"&amp;ADDRESS(8,COLUMN()+6,4)&amp;":"&amp;ADDRESS(73,COLUMN()+6,4)),MATCH($B47,INDIRECT($B$1&amp;"!$A$8:$A$73"),0)),CONFIG!$A$15:$B$28,2,FALSE),"")</f>
        <v/>
      </c>
      <c r="O47" s="157">
        <f>IFERROR(VLOOKUP(INDEX(INDIRECT($B$1&amp;"!"&amp;ADDRESS(8,COLUMN()+6,4)&amp;":"&amp;ADDRESS(73,COLUMN()+6,4)),MATCH($B47,INDIRECT($B$1&amp;"!$A$8:$A$73"),0)),CONFIG!$A$15:$B$28,2,FALSE),"")</f>
        <v/>
      </c>
      <c r="P47" s="157">
        <f>IFERROR(VLOOKUP(INDEX(INDIRECT($B$1&amp;"!"&amp;ADDRESS(8,COLUMN()+6,4)&amp;":"&amp;ADDRESS(73,COLUMN()+6,4)),MATCH($B47,INDIRECT($B$1&amp;"!$A$8:$A$73"),0)),CONFIG!$A$15:$B$28,2,FALSE),"")</f>
        <v/>
      </c>
      <c r="Q47" s="157">
        <f>IFERROR(VLOOKUP(INDEX(INDIRECT($B$1&amp;"!"&amp;ADDRESS(8,COLUMN()+6,4)&amp;":"&amp;ADDRESS(73,COLUMN()+6,4)),MATCH($B47,INDIRECT($B$1&amp;"!$A$8:$A$73"),0)),CONFIG!$A$15:$B$28,2,FALSE),"")</f>
        <v/>
      </c>
      <c r="R47" s="157">
        <f>IFERROR(VLOOKUP(INDEX(INDIRECT($B$1&amp;"!"&amp;ADDRESS(8,COLUMN()+6,4)&amp;":"&amp;ADDRESS(73,COLUMN()+6,4)),MATCH($B47,INDIRECT($B$1&amp;"!$A$8:$A$73"),0)),CONFIG!$A$15:$B$28,2,FALSE),"")</f>
        <v/>
      </c>
      <c r="S47" s="157">
        <f>IFERROR(VLOOKUP(INDEX(INDIRECT($B$1&amp;"!"&amp;ADDRESS(8,COLUMN()+6,4)&amp;":"&amp;ADDRESS(73,COLUMN()+6,4)),MATCH($B47,INDIRECT($B$1&amp;"!$A$8:$A$73"),0)),CONFIG!$A$15:$B$28,2,FALSE),"")</f>
        <v/>
      </c>
      <c r="T47" s="157">
        <f>IFERROR(VLOOKUP(INDEX(INDIRECT($B$1&amp;"!"&amp;ADDRESS(8,COLUMN()+6,4)&amp;":"&amp;ADDRESS(73,COLUMN()+6,4)),MATCH($B47,INDIRECT($B$1&amp;"!$A$8:$A$73"),0)),CONFIG!$A$15:$B$28,2,FALSE),"")</f>
        <v/>
      </c>
      <c r="U47" s="157">
        <f>IFERROR(VLOOKUP(INDEX(INDIRECT($B$1&amp;"!"&amp;ADDRESS(8,COLUMN()+6,4)&amp;":"&amp;ADDRESS(73,COLUMN()+6,4)),MATCH($B47,INDIRECT($B$1&amp;"!$A$8:$A$73"),0)),CONFIG!$A$15:$B$28,2,FALSE),"")</f>
        <v/>
      </c>
      <c r="V47" s="157">
        <f>IFERROR(VLOOKUP(INDEX(INDIRECT($B$1&amp;"!"&amp;ADDRESS(8,COLUMN()+6,4)&amp;":"&amp;ADDRESS(73,COLUMN()+6,4)),MATCH($B47,INDIRECT($B$1&amp;"!$A$8:$A$73"),0)),CONFIG!$A$15:$B$28,2,FALSE),"")</f>
        <v/>
      </c>
      <c r="W47" s="157">
        <f>IFERROR(VLOOKUP(INDEX(INDIRECT($B$1&amp;"!"&amp;ADDRESS(8,COLUMN()+6,4)&amp;":"&amp;ADDRESS(73,COLUMN()+6,4)),MATCH($B47,INDIRECT($B$1&amp;"!$A$8:$A$73"),0)),CONFIG!$A$15:$B$28,2,FALSE),"")</f>
        <v/>
      </c>
      <c r="X47" s="157">
        <f>IFERROR(VLOOKUP(INDEX(INDIRECT($B$1&amp;"!"&amp;ADDRESS(8,COLUMN()+6,4)&amp;":"&amp;ADDRESS(73,COLUMN()+6,4)),MATCH($B47,INDIRECT($B$1&amp;"!$A$8:$A$73"),0)),CONFIG!$A$15:$B$28,2,FALSE),"")</f>
        <v/>
      </c>
      <c r="Y47" s="157">
        <f>IFERROR(VLOOKUP(INDEX(INDIRECT($B$1&amp;"!"&amp;ADDRESS(8,COLUMN()+6,4)&amp;":"&amp;ADDRESS(73,COLUMN()+6,4)),MATCH($B47,INDIRECT($B$1&amp;"!$A$8:$A$73"),0)),CONFIG!$A$15:$B$28,2,FALSE),"")</f>
        <v/>
      </c>
      <c r="Z47" s="157">
        <f>IFERROR(VLOOKUP(INDEX(INDIRECT($B$1&amp;"!"&amp;ADDRESS(8,COLUMN()+6,4)&amp;":"&amp;ADDRESS(73,COLUMN()+6,4)),MATCH($B47,INDIRECT($B$1&amp;"!$A$8:$A$73"),0)),CONFIG!$A$15:$B$28,2,FALSE),"")</f>
        <v/>
      </c>
      <c r="AA47" s="157">
        <f>IFERROR(VLOOKUP(INDEX(INDIRECT($B$1&amp;"!"&amp;ADDRESS(8,COLUMN()+6,4)&amp;":"&amp;ADDRESS(73,COLUMN()+6,4)),MATCH($B47,INDIRECT($B$1&amp;"!$A$8:$A$73"),0)),CONFIG!$A$15:$B$28,2,FALSE),"")</f>
        <v/>
      </c>
      <c r="AB47" s="157">
        <f>IFERROR(VLOOKUP(INDEX(INDIRECT($B$1&amp;"!"&amp;ADDRESS(8,COLUMN()+6,4)&amp;":"&amp;ADDRESS(73,COLUMN()+6,4)),MATCH($B47,INDIRECT($B$1&amp;"!$A$8:$A$73"),0)),CONFIG!$A$15:$B$28,2,FALSE),"")</f>
        <v/>
      </c>
      <c r="AC47" s="157">
        <f>IFERROR(VLOOKUP(INDEX(INDIRECT($B$1&amp;"!"&amp;ADDRESS(8,COLUMN()+6,4)&amp;":"&amp;ADDRESS(73,COLUMN()+6,4)),MATCH($B47,INDIRECT($B$1&amp;"!$A$8:$A$73"),0)),CONFIG!$A$15:$B$28,2,FALSE),"")</f>
        <v/>
      </c>
      <c r="AD47" s="157">
        <f>IFERROR(VLOOKUP(INDEX(INDIRECT($B$1&amp;"!"&amp;ADDRESS(8,COLUMN()+6,4)&amp;":"&amp;ADDRESS(73,COLUMN()+6,4)),MATCH($B47,INDIRECT($B$1&amp;"!$A$8:$A$73"),0)),CONFIG!$A$15:$B$28,2,FALSE),"")</f>
        <v/>
      </c>
      <c r="AE47" s="157">
        <f>IFERROR(VLOOKUP(INDEX(INDIRECT($B$1&amp;"!"&amp;ADDRESS(8,COLUMN()+6,4)&amp;":"&amp;ADDRESS(73,COLUMN()+6,4)),MATCH($B47,INDIRECT($B$1&amp;"!$A$8:$A$73"),0)),CONFIG!$A$15:$B$28,2,FALSE),"")</f>
        <v/>
      </c>
      <c r="AF47" s="157">
        <f>IFERROR(VLOOKUP(INDEX(INDIRECT($B$1&amp;"!"&amp;ADDRESS(8,COLUMN()+6,4)&amp;":"&amp;ADDRESS(73,COLUMN()+6,4)),MATCH($B47,INDIRECT($B$1&amp;"!$A$8:$A$73"),0)),CONFIG!$A$15:$B$28,2,FALSE),"")</f>
        <v/>
      </c>
      <c r="AG47" s="157">
        <f>IFERROR(VLOOKUP(INDEX(INDIRECT($B$1&amp;"!"&amp;ADDRESS(8,COLUMN()+6,4)&amp;":"&amp;ADDRESS(73,COLUMN()+6,4)),MATCH($B47,INDIRECT($B$1&amp;"!$A$8:$A$73"),0)),CONFIG!$A$15:$B$28,2,FALSE),"")</f>
        <v/>
      </c>
      <c r="AH47" s="157">
        <f>IFERROR(VLOOKUP(INDEX(INDIRECT($B$1&amp;"!"&amp;ADDRESS(8,COLUMN()+6,4)&amp;":"&amp;ADDRESS(73,COLUMN()+6,4)),MATCH($B47,INDIRECT($B$1&amp;"!$A$8:$A$73"),0)),CONFIG!$A$15:$B$28,2,FALSE),"")</f>
        <v/>
      </c>
      <c r="AI47" s="39" t="n"/>
    </row>
    <row r="48">
      <c r="A48" s="155" t="inlineStr">
        <is>
          <t>Heloa</t>
        </is>
      </c>
      <c r="B48" s="156" t="inlineStr">
        <is>
          <t>Heloa</t>
        </is>
      </c>
      <c r="C48" s="157">
        <f>IFERROR(VLOOKUP(INDEX(INDIRECT($B$1&amp;"!"&amp;ADDRESS(8,COLUMN()+6,4)&amp;":"&amp;ADDRESS(73,COLUMN()+6,4)),MATCH($B48,INDIRECT($B$1&amp;"!$A$8:$A$73"),0)),CONFIG!$A$15:$B$28,2,FALSE),"")</f>
        <v/>
      </c>
      <c r="D48" s="157">
        <f>IFERROR(VLOOKUP(INDEX(INDIRECT($B$1&amp;"!"&amp;ADDRESS(8,COLUMN()+6,4)&amp;":"&amp;ADDRESS(73,COLUMN()+6,4)),MATCH($B48,INDIRECT($B$1&amp;"!$A$8:$A$73"),0)),CONFIG!$A$15:$B$28,2,FALSE),"")</f>
        <v/>
      </c>
      <c r="E48" s="157">
        <f>IFERROR(VLOOKUP(INDEX(INDIRECT($B$1&amp;"!"&amp;ADDRESS(8,COLUMN()+6,4)&amp;":"&amp;ADDRESS(73,COLUMN()+6,4)),MATCH($B48,INDIRECT($B$1&amp;"!$A$8:$A$73"),0)),CONFIG!$A$15:$B$28,2,FALSE),"")</f>
        <v/>
      </c>
      <c r="F48" s="157">
        <f>IFERROR(VLOOKUP(INDEX(INDIRECT($B$1&amp;"!"&amp;ADDRESS(8,COLUMN()+6,4)&amp;":"&amp;ADDRESS(73,COLUMN()+6,4)),MATCH($B48,INDIRECT($B$1&amp;"!$A$8:$A$73"),0)),CONFIG!$A$15:$B$28,2,FALSE),"")</f>
        <v/>
      </c>
      <c r="G48" s="157">
        <f>IFERROR(VLOOKUP(INDEX(INDIRECT($B$1&amp;"!"&amp;ADDRESS(8,COLUMN()+6,4)&amp;":"&amp;ADDRESS(73,COLUMN()+6,4)),MATCH($B48,INDIRECT($B$1&amp;"!$A$8:$A$73"),0)),CONFIG!$A$15:$B$28,2,FALSE),"")</f>
        <v/>
      </c>
      <c r="H48" s="157">
        <f>IFERROR(VLOOKUP(INDEX(INDIRECT($B$1&amp;"!"&amp;ADDRESS(8,COLUMN()+6,4)&amp;":"&amp;ADDRESS(73,COLUMN()+6,4)),MATCH($B48,INDIRECT($B$1&amp;"!$A$8:$A$73"),0)),CONFIG!$A$15:$B$28,2,FALSE),"")</f>
        <v/>
      </c>
      <c r="I48" s="157">
        <f>IFERROR(VLOOKUP(INDEX(INDIRECT($B$1&amp;"!"&amp;ADDRESS(8,COLUMN()+6,4)&amp;":"&amp;ADDRESS(73,COLUMN()+6,4)),MATCH($B48,INDIRECT($B$1&amp;"!$A$8:$A$73"),0)),CONFIG!$A$15:$B$28,2,FALSE),"")</f>
        <v/>
      </c>
      <c r="J48" s="157">
        <f>IFERROR(VLOOKUP(INDEX(INDIRECT($B$1&amp;"!"&amp;ADDRESS(8,COLUMN()+6,4)&amp;":"&amp;ADDRESS(73,COLUMN()+6,4)),MATCH($B48,INDIRECT($B$1&amp;"!$A$8:$A$73"),0)),CONFIG!$A$15:$B$28,2,FALSE),"")</f>
        <v/>
      </c>
      <c r="K48" s="157">
        <f>IFERROR(VLOOKUP(INDEX(INDIRECT($B$1&amp;"!"&amp;ADDRESS(8,COLUMN()+6,4)&amp;":"&amp;ADDRESS(73,COLUMN()+6,4)),MATCH($B48,INDIRECT($B$1&amp;"!$A$8:$A$73"),0)),CONFIG!$A$15:$B$28,2,FALSE),"")</f>
        <v/>
      </c>
      <c r="L48" s="157">
        <f>IFERROR(VLOOKUP(INDEX(INDIRECT($B$1&amp;"!"&amp;ADDRESS(8,COLUMN()+6,4)&amp;":"&amp;ADDRESS(73,COLUMN()+6,4)),MATCH($B48,INDIRECT($B$1&amp;"!$A$8:$A$73"),0)),CONFIG!$A$15:$B$28,2,FALSE),"")</f>
        <v/>
      </c>
      <c r="M48" s="157">
        <f>IFERROR(VLOOKUP(INDEX(INDIRECT($B$1&amp;"!"&amp;ADDRESS(8,COLUMN()+6,4)&amp;":"&amp;ADDRESS(73,COLUMN()+6,4)),MATCH($B48,INDIRECT($B$1&amp;"!$A$8:$A$73"),0)),CONFIG!$A$15:$B$28,2,FALSE),"")</f>
        <v/>
      </c>
      <c r="N48" s="157">
        <f>IFERROR(VLOOKUP(INDEX(INDIRECT($B$1&amp;"!"&amp;ADDRESS(8,COLUMN()+6,4)&amp;":"&amp;ADDRESS(73,COLUMN()+6,4)),MATCH($B48,INDIRECT($B$1&amp;"!$A$8:$A$73"),0)),CONFIG!$A$15:$B$28,2,FALSE),"")</f>
        <v/>
      </c>
      <c r="O48" s="157">
        <f>IFERROR(VLOOKUP(INDEX(INDIRECT($B$1&amp;"!"&amp;ADDRESS(8,COLUMN()+6,4)&amp;":"&amp;ADDRESS(73,COLUMN()+6,4)),MATCH($B48,INDIRECT($B$1&amp;"!$A$8:$A$73"),0)),CONFIG!$A$15:$B$28,2,FALSE),"")</f>
        <v/>
      </c>
      <c r="P48" s="157">
        <f>IFERROR(VLOOKUP(INDEX(INDIRECT($B$1&amp;"!"&amp;ADDRESS(8,COLUMN()+6,4)&amp;":"&amp;ADDRESS(73,COLUMN()+6,4)),MATCH($B48,INDIRECT($B$1&amp;"!$A$8:$A$73"),0)),CONFIG!$A$15:$B$28,2,FALSE),"")</f>
        <v/>
      </c>
      <c r="Q48" s="157">
        <f>IFERROR(VLOOKUP(INDEX(INDIRECT($B$1&amp;"!"&amp;ADDRESS(8,COLUMN()+6,4)&amp;":"&amp;ADDRESS(73,COLUMN()+6,4)),MATCH($B48,INDIRECT($B$1&amp;"!$A$8:$A$73"),0)),CONFIG!$A$15:$B$28,2,FALSE),"")</f>
        <v/>
      </c>
      <c r="R48" s="157">
        <f>IFERROR(VLOOKUP(INDEX(INDIRECT($B$1&amp;"!"&amp;ADDRESS(8,COLUMN()+6,4)&amp;":"&amp;ADDRESS(73,COLUMN()+6,4)),MATCH($B48,INDIRECT($B$1&amp;"!$A$8:$A$73"),0)),CONFIG!$A$15:$B$28,2,FALSE),"")</f>
        <v/>
      </c>
      <c r="S48" s="157">
        <f>IFERROR(VLOOKUP(INDEX(INDIRECT($B$1&amp;"!"&amp;ADDRESS(8,COLUMN()+6,4)&amp;":"&amp;ADDRESS(73,COLUMN()+6,4)),MATCH($B48,INDIRECT($B$1&amp;"!$A$8:$A$73"),0)),CONFIG!$A$15:$B$28,2,FALSE),"")</f>
        <v/>
      </c>
      <c r="T48" s="157">
        <f>IFERROR(VLOOKUP(INDEX(INDIRECT($B$1&amp;"!"&amp;ADDRESS(8,COLUMN()+6,4)&amp;":"&amp;ADDRESS(73,COLUMN()+6,4)),MATCH($B48,INDIRECT($B$1&amp;"!$A$8:$A$73"),0)),CONFIG!$A$15:$B$28,2,FALSE),"")</f>
        <v/>
      </c>
      <c r="U48" s="157">
        <f>IFERROR(VLOOKUP(INDEX(INDIRECT($B$1&amp;"!"&amp;ADDRESS(8,COLUMN()+6,4)&amp;":"&amp;ADDRESS(73,COLUMN()+6,4)),MATCH($B48,INDIRECT($B$1&amp;"!$A$8:$A$73"),0)),CONFIG!$A$15:$B$28,2,FALSE),"")</f>
        <v/>
      </c>
      <c r="V48" s="157">
        <f>IFERROR(VLOOKUP(INDEX(INDIRECT($B$1&amp;"!"&amp;ADDRESS(8,COLUMN()+6,4)&amp;":"&amp;ADDRESS(73,COLUMN()+6,4)),MATCH($B48,INDIRECT($B$1&amp;"!$A$8:$A$73"),0)),CONFIG!$A$15:$B$28,2,FALSE),"")</f>
        <v/>
      </c>
      <c r="W48" s="157">
        <f>IFERROR(VLOOKUP(INDEX(INDIRECT($B$1&amp;"!"&amp;ADDRESS(8,COLUMN()+6,4)&amp;":"&amp;ADDRESS(73,COLUMN()+6,4)),MATCH($B48,INDIRECT($B$1&amp;"!$A$8:$A$73"),0)),CONFIG!$A$15:$B$28,2,FALSE),"")</f>
        <v/>
      </c>
      <c r="X48" s="157">
        <f>IFERROR(VLOOKUP(INDEX(INDIRECT($B$1&amp;"!"&amp;ADDRESS(8,COLUMN()+6,4)&amp;":"&amp;ADDRESS(73,COLUMN()+6,4)),MATCH($B48,INDIRECT($B$1&amp;"!$A$8:$A$73"),0)),CONFIG!$A$15:$B$28,2,FALSE),"")</f>
        <v/>
      </c>
      <c r="Y48" s="157">
        <f>IFERROR(VLOOKUP(INDEX(INDIRECT($B$1&amp;"!"&amp;ADDRESS(8,COLUMN()+6,4)&amp;":"&amp;ADDRESS(73,COLUMN()+6,4)),MATCH($B48,INDIRECT($B$1&amp;"!$A$8:$A$73"),0)),CONFIG!$A$15:$B$28,2,FALSE),"")</f>
        <v/>
      </c>
      <c r="Z48" s="157">
        <f>IFERROR(VLOOKUP(INDEX(INDIRECT($B$1&amp;"!"&amp;ADDRESS(8,COLUMN()+6,4)&amp;":"&amp;ADDRESS(73,COLUMN()+6,4)),MATCH($B48,INDIRECT($B$1&amp;"!$A$8:$A$73"),0)),CONFIG!$A$15:$B$28,2,FALSE),"")</f>
        <v/>
      </c>
      <c r="AA48" s="157">
        <f>IFERROR(VLOOKUP(INDEX(INDIRECT($B$1&amp;"!"&amp;ADDRESS(8,COLUMN()+6,4)&amp;":"&amp;ADDRESS(73,COLUMN()+6,4)),MATCH($B48,INDIRECT($B$1&amp;"!$A$8:$A$73"),0)),CONFIG!$A$15:$B$28,2,FALSE),"")</f>
        <v/>
      </c>
      <c r="AB48" s="157">
        <f>IFERROR(VLOOKUP(INDEX(INDIRECT($B$1&amp;"!"&amp;ADDRESS(8,COLUMN()+6,4)&amp;":"&amp;ADDRESS(73,COLUMN()+6,4)),MATCH($B48,INDIRECT($B$1&amp;"!$A$8:$A$73"),0)),CONFIG!$A$15:$B$28,2,FALSE),"")</f>
        <v/>
      </c>
      <c r="AC48" s="157">
        <f>IFERROR(VLOOKUP(INDEX(INDIRECT($B$1&amp;"!"&amp;ADDRESS(8,COLUMN()+6,4)&amp;":"&amp;ADDRESS(73,COLUMN()+6,4)),MATCH($B48,INDIRECT($B$1&amp;"!$A$8:$A$73"),0)),CONFIG!$A$15:$B$28,2,FALSE),"")</f>
        <v/>
      </c>
      <c r="AD48" s="157">
        <f>IFERROR(VLOOKUP(INDEX(INDIRECT($B$1&amp;"!"&amp;ADDRESS(8,COLUMN()+6,4)&amp;":"&amp;ADDRESS(73,COLUMN()+6,4)),MATCH($B48,INDIRECT($B$1&amp;"!$A$8:$A$73"),0)),CONFIG!$A$15:$B$28,2,FALSE),"")</f>
        <v/>
      </c>
      <c r="AE48" s="157">
        <f>IFERROR(VLOOKUP(INDEX(INDIRECT($B$1&amp;"!"&amp;ADDRESS(8,COLUMN()+6,4)&amp;":"&amp;ADDRESS(73,COLUMN()+6,4)),MATCH($B48,INDIRECT($B$1&amp;"!$A$8:$A$73"),0)),CONFIG!$A$15:$B$28,2,FALSE),"")</f>
        <v/>
      </c>
      <c r="AF48" s="157">
        <f>IFERROR(VLOOKUP(INDEX(INDIRECT($B$1&amp;"!"&amp;ADDRESS(8,COLUMN()+6,4)&amp;":"&amp;ADDRESS(73,COLUMN()+6,4)),MATCH($B48,INDIRECT($B$1&amp;"!$A$8:$A$73"),0)),CONFIG!$A$15:$B$28,2,FALSE),"")</f>
        <v/>
      </c>
      <c r="AG48" s="157">
        <f>IFERROR(VLOOKUP(INDEX(INDIRECT($B$1&amp;"!"&amp;ADDRESS(8,COLUMN()+6,4)&amp;":"&amp;ADDRESS(73,COLUMN()+6,4)),MATCH($B48,INDIRECT($B$1&amp;"!$A$8:$A$73"),0)),CONFIG!$A$15:$B$28,2,FALSE),"")</f>
        <v/>
      </c>
      <c r="AH48" s="157">
        <f>IFERROR(VLOOKUP(INDEX(INDIRECT($B$1&amp;"!"&amp;ADDRESS(8,COLUMN()+6,4)&amp;":"&amp;ADDRESS(73,COLUMN()+6,4)),MATCH($B48,INDIRECT($B$1&amp;"!$A$8:$A$73"),0)),CONFIG!$A$15:$B$28,2,FALSE),"")</f>
        <v/>
      </c>
      <c r="AI48" s="39" t="n"/>
    </row>
    <row r="49">
      <c r="A49" s="155" t="inlineStr">
        <is>
          <t>Iggor Almeida</t>
        </is>
      </c>
      <c r="B49" s="156" t="inlineStr">
        <is>
          <t>Iggor</t>
        </is>
      </c>
      <c r="C49" s="157">
        <f>IFERROR(VLOOKUP(INDEX(INDIRECT($B$1&amp;"!"&amp;ADDRESS(8,COLUMN()+6,4)&amp;":"&amp;ADDRESS(73,COLUMN()+6,4)),MATCH($B49,INDIRECT($B$1&amp;"!$A$8:$A$73"),0)),CONFIG!$A$15:$B$28,2,FALSE),"")</f>
        <v/>
      </c>
      <c r="D49" s="157">
        <f>IFERROR(VLOOKUP(INDEX(INDIRECT($B$1&amp;"!"&amp;ADDRESS(8,COLUMN()+6,4)&amp;":"&amp;ADDRESS(73,COLUMN()+6,4)),MATCH($B49,INDIRECT($B$1&amp;"!$A$8:$A$73"),0)),CONFIG!$A$15:$B$28,2,FALSE),"")</f>
        <v/>
      </c>
      <c r="E49" s="157">
        <f>IFERROR(VLOOKUP(INDEX(INDIRECT($B$1&amp;"!"&amp;ADDRESS(8,COLUMN()+6,4)&amp;":"&amp;ADDRESS(73,COLUMN()+6,4)),MATCH($B49,INDIRECT($B$1&amp;"!$A$8:$A$73"),0)),CONFIG!$A$15:$B$28,2,FALSE),"")</f>
        <v/>
      </c>
      <c r="F49" s="157">
        <f>IFERROR(VLOOKUP(INDEX(INDIRECT($B$1&amp;"!"&amp;ADDRESS(8,COLUMN()+6,4)&amp;":"&amp;ADDRESS(73,COLUMN()+6,4)),MATCH($B49,INDIRECT($B$1&amp;"!$A$8:$A$73"),0)),CONFIG!$A$15:$B$28,2,FALSE),"")</f>
        <v/>
      </c>
      <c r="G49" s="157">
        <f>IFERROR(VLOOKUP(INDEX(INDIRECT($B$1&amp;"!"&amp;ADDRESS(8,COLUMN()+6,4)&amp;":"&amp;ADDRESS(73,COLUMN()+6,4)),MATCH($B49,INDIRECT($B$1&amp;"!$A$8:$A$73"),0)),CONFIG!$A$15:$B$28,2,FALSE),"")</f>
        <v/>
      </c>
      <c r="H49" s="157">
        <f>IFERROR(VLOOKUP(INDEX(INDIRECT($B$1&amp;"!"&amp;ADDRESS(8,COLUMN()+6,4)&amp;":"&amp;ADDRESS(73,COLUMN()+6,4)),MATCH($B49,INDIRECT($B$1&amp;"!$A$8:$A$73"),0)),CONFIG!$A$15:$B$28,2,FALSE),"")</f>
        <v/>
      </c>
      <c r="I49" s="157">
        <f>IFERROR(VLOOKUP(INDEX(INDIRECT($B$1&amp;"!"&amp;ADDRESS(8,COLUMN()+6,4)&amp;":"&amp;ADDRESS(73,COLUMN()+6,4)),MATCH($B49,INDIRECT($B$1&amp;"!$A$8:$A$73"),0)),CONFIG!$A$15:$B$28,2,FALSE),"")</f>
        <v/>
      </c>
      <c r="J49" s="157">
        <f>IFERROR(VLOOKUP(INDEX(INDIRECT($B$1&amp;"!"&amp;ADDRESS(8,COLUMN()+6,4)&amp;":"&amp;ADDRESS(73,COLUMN()+6,4)),MATCH($B49,INDIRECT($B$1&amp;"!$A$8:$A$73"),0)),CONFIG!$A$15:$B$28,2,FALSE),"")</f>
        <v/>
      </c>
      <c r="K49" s="157">
        <f>IFERROR(VLOOKUP(INDEX(INDIRECT($B$1&amp;"!"&amp;ADDRESS(8,COLUMN()+6,4)&amp;":"&amp;ADDRESS(73,COLUMN()+6,4)),MATCH($B49,INDIRECT($B$1&amp;"!$A$8:$A$73"),0)),CONFIG!$A$15:$B$28,2,FALSE),"")</f>
        <v/>
      </c>
      <c r="L49" s="157">
        <f>IFERROR(VLOOKUP(INDEX(INDIRECT($B$1&amp;"!"&amp;ADDRESS(8,COLUMN()+6,4)&amp;":"&amp;ADDRESS(73,COLUMN()+6,4)),MATCH($B49,INDIRECT($B$1&amp;"!$A$8:$A$73"),0)),CONFIG!$A$15:$B$28,2,FALSE),"")</f>
        <v/>
      </c>
      <c r="M49" s="157">
        <f>IFERROR(VLOOKUP(INDEX(INDIRECT($B$1&amp;"!"&amp;ADDRESS(8,COLUMN()+6,4)&amp;":"&amp;ADDRESS(73,COLUMN()+6,4)),MATCH($B49,INDIRECT($B$1&amp;"!$A$8:$A$73"),0)),CONFIG!$A$15:$B$28,2,FALSE),"")</f>
        <v/>
      </c>
      <c r="N49" s="157">
        <f>IFERROR(VLOOKUP(INDEX(INDIRECT($B$1&amp;"!"&amp;ADDRESS(8,COLUMN()+6,4)&amp;":"&amp;ADDRESS(73,COLUMN()+6,4)),MATCH($B49,INDIRECT($B$1&amp;"!$A$8:$A$73"),0)),CONFIG!$A$15:$B$28,2,FALSE),"")</f>
        <v/>
      </c>
      <c r="O49" s="157">
        <f>IFERROR(VLOOKUP(INDEX(INDIRECT($B$1&amp;"!"&amp;ADDRESS(8,COLUMN()+6,4)&amp;":"&amp;ADDRESS(73,COLUMN()+6,4)),MATCH($B49,INDIRECT($B$1&amp;"!$A$8:$A$73"),0)),CONFIG!$A$15:$B$28,2,FALSE),"")</f>
        <v/>
      </c>
      <c r="P49" s="157">
        <f>IFERROR(VLOOKUP(INDEX(INDIRECT($B$1&amp;"!"&amp;ADDRESS(8,COLUMN()+6,4)&amp;":"&amp;ADDRESS(73,COLUMN()+6,4)),MATCH($B49,INDIRECT($B$1&amp;"!$A$8:$A$73"),0)),CONFIG!$A$15:$B$28,2,FALSE),"")</f>
        <v/>
      </c>
      <c r="Q49" s="157">
        <f>IFERROR(VLOOKUP(INDEX(INDIRECT($B$1&amp;"!"&amp;ADDRESS(8,COLUMN()+6,4)&amp;":"&amp;ADDRESS(73,COLUMN()+6,4)),MATCH($B49,INDIRECT($B$1&amp;"!$A$8:$A$73"),0)),CONFIG!$A$15:$B$28,2,FALSE),"")</f>
        <v/>
      </c>
      <c r="R49" s="157">
        <f>IFERROR(VLOOKUP(INDEX(INDIRECT($B$1&amp;"!"&amp;ADDRESS(8,COLUMN()+6,4)&amp;":"&amp;ADDRESS(73,COLUMN()+6,4)),MATCH($B49,INDIRECT($B$1&amp;"!$A$8:$A$73"),0)),CONFIG!$A$15:$B$28,2,FALSE),"")</f>
        <v/>
      </c>
      <c r="S49" s="157">
        <f>IFERROR(VLOOKUP(INDEX(INDIRECT($B$1&amp;"!"&amp;ADDRESS(8,COLUMN()+6,4)&amp;":"&amp;ADDRESS(73,COLUMN()+6,4)),MATCH($B49,INDIRECT($B$1&amp;"!$A$8:$A$73"),0)),CONFIG!$A$15:$B$28,2,FALSE),"")</f>
        <v/>
      </c>
      <c r="T49" s="157">
        <f>IFERROR(VLOOKUP(INDEX(INDIRECT($B$1&amp;"!"&amp;ADDRESS(8,COLUMN()+6,4)&amp;":"&amp;ADDRESS(73,COLUMN()+6,4)),MATCH($B49,INDIRECT($B$1&amp;"!$A$8:$A$73"),0)),CONFIG!$A$15:$B$28,2,FALSE),"")</f>
        <v/>
      </c>
      <c r="U49" s="157">
        <f>IFERROR(VLOOKUP(INDEX(INDIRECT($B$1&amp;"!"&amp;ADDRESS(8,COLUMN()+6,4)&amp;":"&amp;ADDRESS(73,COLUMN()+6,4)),MATCH($B49,INDIRECT($B$1&amp;"!$A$8:$A$73"),0)),CONFIG!$A$15:$B$28,2,FALSE),"")</f>
        <v/>
      </c>
      <c r="V49" s="157">
        <f>IFERROR(VLOOKUP(INDEX(INDIRECT($B$1&amp;"!"&amp;ADDRESS(8,COLUMN()+6,4)&amp;":"&amp;ADDRESS(73,COLUMN()+6,4)),MATCH($B49,INDIRECT($B$1&amp;"!$A$8:$A$73"),0)),CONFIG!$A$15:$B$28,2,FALSE),"")</f>
        <v/>
      </c>
      <c r="W49" s="157">
        <f>IFERROR(VLOOKUP(INDEX(INDIRECT($B$1&amp;"!"&amp;ADDRESS(8,COLUMN()+6,4)&amp;":"&amp;ADDRESS(73,COLUMN()+6,4)),MATCH($B49,INDIRECT($B$1&amp;"!$A$8:$A$73"),0)),CONFIG!$A$15:$B$28,2,FALSE),"")</f>
        <v/>
      </c>
      <c r="X49" s="157">
        <f>IFERROR(VLOOKUP(INDEX(INDIRECT($B$1&amp;"!"&amp;ADDRESS(8,COLUMN()+6,4)&amp;":"&amp;ADDRESS(73,COLUMN()+6,4)),MATCH($B49,INDIRECT($B$1&amp;"!$A$8:$A$73"),0)),CONFIG!$A$15:$B$28,2,FALSE),"")</f>
        <v/>
      </c>
      <c r="Y49" s="157">
        <f>IFERROR(VLOOKUP(INDEX(INDIRECT($B$1&amp;"!"&amp;ADDRESS(8,COLUMN()+6,4)&amp;":"&amp;ADDRESS(73,COLUMN()+6,4)),MATCH($B49,INDIRECT($B$1&amp;"!$A$8:$A$73"),0)),CONFIG!$A$15:$B$28,2,FALSE),"")</f>
        <v/>
      </c>
      <c r="Z49" s="157">
        <f>IFERROR(VLOOKUP(INDEX(INDIRECT($B$1&amp;"!"&amp;ADDRESS(8,COLUMN()+6,4)&amp;":"&amp;ADDRESS(73,COLUMN()+6,4)),MATCH($B49,INDIRECT($B$1&amp;"!$A$8:$A$73"),0)),CONFIG!$A$15:$B$28,2,FALSE),"")</f>
        <v/>
      </c>
      <c r="AA49" s="157">
        <f>IFERROR(VLOOKUP(INDEX(INDIRECT($B$1&amp;"!"&amp;ADDRESS(8,COLUMN()+6,4)&amp;":"&amp;ADDRESS(73,COLUMN()+6,4)),MATCH($B49,INDIRECT($B$1&amp;"!$A$8:$A$73"),0)),CONFIG!$A$15:$B$28,2,FALSE),"")</f>
        <v/>
      </c>
      <c r="AB49" s="157">
        <f>IFERROR(VLOOKUP(INDEX(INDIRECT($B$1&amp;"!"&amp;ADDRESS(8,COLUMN()+6,4)&amp;":"&amp;ADDRESS(73,COLUMN()+6,4)),MATCH($B49,INDIRECT($B$1&amp;"!$A$8:$A$73"),0)),CONFIG!$A$15:$B$28,2,FALSE),"")</f>
        <v/>
      </c>
      <c r="AC49" s="157">
        <f>IFERROR(VLOOKUP(INDEX(INDIRECT($B$1&amp;"!"&amp;ADDRESS(8,COLUMN()+6,4)&amp;":"&amp;ADDRESS(73,COLUMN()+6,4)),MATCH($B49,INDIRECT($B$1&amp;"!$A$8:$A$73"),0)),CONFIG!$A$15:$B$28,2,FALSE),"")</f>
        <v/>
      </c>
      <c r="AD49" s="157">
        <f>IFERROR(VLOOKUP(INDEX(INDIRECT($B$1&amp;"!"&amp;ADDRESS(8,COLUMN()+6,4)&amp;":"&amp;ADDRESS(73,COLUMN()+6,4)),MATCH($B49,INDIRECT($B$1&amp;"!$A$8:$A$73"),0)),CONFIG!$A$15:$B$28,2,FALSE),"")</f>
        <v/>
      </c>
      <c r="AE49" s="157">
        <f>IFERROR(VLOOKUP(INDEX(INDIRECT($B$1&amp;"!"&amp;ADDRESS(8,COLUMN()+6,4)&amp;":"&amp;ADDRESS(73,COLUMN()+6,4)),MATCH($B49,INDIRECT($B$1&amp;"!$A$8:$A$73"),0)),CONFIG!$A$15:$B$28,2,FALSE),"")</f>
        <v/>
      </c>
      <c r="AF49" s="157">
        <f>IFERROR(VLOOKUP(INDEX(INDIRECT($B$1&amp;"!"&amp;ADDRESS(8,COLUMN()+6,4)&amp;":"&amp;ADDRESS(73,COLUMN()+6,4)),MATCH($B49,INDIRECT($B$1&amp;"!$A$8:$A$73"),0)),CONFIG!$A$15:$B$28,2,FALSE),"")</f>
        <v/>
      </c>
      <c r="AG49" s="157">
        <f>IFERROR(VLOOKUP(INDEX(INDIRECT($B$1&amp;"!"&amp;ADDRESS(8,COLUMN()+6,4)&amp;":"&amp;ADDRESS(73,COLUMN()+6,4)),MATCH($B49,INDIRECT($B$1&amp;"!$A$8:$A$73"),0)),CONFIG!$A$15:$B$28,2,FALSE),"")</f>
        <v/>
      </c>
      <c r="AH49" s="157">
        <f>IFERROR(VLOOKUP(INDEX(INDIRECT($B$1&amp;"!"&amp;ADDRESS(8,COLUMN()+6,4)&amp;":"&amp;ADDRESS(73,COLUMN()+6,4)),MATCH($B49,INDIRECT($B$1&amp;"!$A$8:$A$73"),0)),CONFIG!$A$15:$B$28,2,FALSE),"")</f>
        <v/>
      </c>
      <c r="AI49" s="39" t="n"/>
    </row>
    <row r="50">
      <c r="A50" s="155" t="inlineStr">
        <is>
          <t>Isabela Ribeiro</t>
        </is>
      </c>
      <c r="B50" s="156" t="inlineStr">
        <is>
          <t>IsaRibeiro</t>
        </is>
      </c>
      <c r="C50" s="157">
        <f>IFERROR(VLOOKUP(INDEX(INDIRECT($B$1&amp;"!"&amp;ADDRESS(8,COLUMN()+6,4)&amp;":"&amp;ADDRESS(73,COLUMN()+6,4)),MATCH($B50,INDIRECT($B$1&amp;"!$A$8:$A$73"),0)),CONFIG!$A$15:$B$28,2,FALSE),"")</f>
        <v/>
      </c>
      <c r="D50" s="157">
        <f>IFERROR(VLOOKUP(INDEX(INDIRECT($B$1&amp;"!"&amp;ADDRESS(8,COLUMN()+6,4)&amp;":"&amp;ADDRESS(73,COLUMN()+6,4)),MATCH($B50,INDIRECT($B$1&amp;"!$A$8:$A$73"),0)),CONFIG!$A$15:$B$28,2,FALSE),"")</f>
        <v/>
      </c>
      <c r="E50" s="157">
        <f>IFERROR(VLOOKUP(INDEX(INDIRECT($B$1&amp;"!"&amp;ADDRESS(8,COLUMN()+6,4)&amp;":"&amp;ADDRESS(73,COLUMN()+6,4)),MATCH($B50,INDIRECT($B$1&amp;"!$A$8:$A$73"),0)),CONFIG!$A$15:$B$28,2,FALSE),"")</f>
        <v/>
      </c>
      <c r="F50" s="157">
        <f>IFERROR(VLOOKUP(INDEX(INDIRECT($B$1&amp;"!"&amp;ADDRESS(8,COLUMN()+6,4)&amp;":"&amp;ADDRESS(73,COLUMN()+6,4)),MATCH($B50,INDIRECT($B$1&amp;"!$A$8:$A$73"),0)),CONFIG!$A$15:$B$28,2,FALSE),"")</f>
        <v/>
      </c>
      <c r="G50" s="157">
        <f>IFERROR(VLOOKUP(INDEX(INDIRECT($B$1&amp;"!"&amp;ADDRESS(8,COLUMN()+6,4)&amp;":"&amp;ADDRESS(73,COLUMN()+6,4)),MATCH($B50,INDIRECT($B$1&amp;"!$A$8:$A$73"),0)),CONFIG!$A$15:$B$28,2,FALSE),"")</f>
        <v/>
      </c>
      <c r="H50" s="157">
        <f>IFERROR(VLOOKUP(INDEX(INDIRECT($B$1&amp;"!"&amp;ADDRESS(8,COLUMN()+6,4)&amp;":"&amp;ADDRESS(73,COLUMN()+6,4)),MATCH($B50,INDIRECT($B$1&amp;"!$A$8:$A$73"),0)),CONFIG!$A$15:$B$28,2,FALSE),"")</f>
        <v/>
      </c>
      <c r="I50" s="157">
        <f>IFERROR(VLOOKUP(INDEX(INDIRECT($B$1&amp;"!"&amp;ADDRESS(8,COLUMN()+6,4)&amp;":"&amp;ADDRESS(73,COLUMN()+6,4)),MATCH($B50,INDIRECT($B$1&amp;"!$A$8:$A$73"),0)),CONFIG!$A$15:$B$28,2,FALSE),"")</f>
        <v/>
      </c>
      <c r="J50" s="157">
        <f>IFERROR(VLOOKUP(INDEX(INDIRECT($B$1&amp;"!"&amp;ADDRESS(8,COLUMN()+6,4)&amp;":"&amp;ADDRESS(73,COLUMN()+6,4)),MATCH($B50,INDIRECT($B$1&amp;"!$A$8:$A$73"),0)),CONFIG!$A$15:$B$28,2,FALSE),"")</f>
        <v/>
      </c>
      <c r="K50" s="157">
        <f>IFERROR(VLOOKUP(INDEX(INDIRECT($B$1&amp;"!"&amp;ADDRESS(8,COLUMN()+6,4)&amp;":"&amp;ADDRESS(73,COLUMN()+6,4)),MATCH($B50,INDIRECT($B$1&amp;"!$A$8:$A$73"),0)),CONFIG!$A$15:$B$28,2,FALSE),"")</f>
        <v/>
      </c>
      <c r="L50" s="157">
        <f>IFERROR(VLOOKUP(INDEX(INDIRECT($B$1&amp;"!"&amp;ADDRESS(8,COLUMN()+6,4)&amp;":"&amp;ADDRESS(73,COLUMN()+6,4)),MATCH($B50,INDIRECT($B$1&amp;"!$A$8:$A$73"),0)),CONFIG!$A$15:$B$28,2,FALSE),"")</f>
        <v/>
      </c>
      <c r="M50" s="157">
        <f>IFERROR(VLOOKUP(INDEX(INDIRECT($B$1&amp;"!"&amp;ADDRESS(8,COLUMN()+6,4)&amp;":"&amp;ADDRESS(73,COLUMN()+6,4)),MATCH($B50,INDIRECT($B$1&amp;"!$A$8:$A$73"),0)),CONFIG!$A$15:$B$28,2,FALSE),"")</f>
        <v/>
      </c>
      <c r="N50" s="157">
        <f>IFERROR(VLOOKUP(INDEX(INDIRECT($B$1&amp;"!"&amp;ADDRESS(8,COLUMN()+6,4)&amp;":"&amp;ADDRESS(73,COLUMN()+6,4)),MATCH($B50,INDIRECT($B$1&amp;"!$A$8:$A$73"),0)),CONFIG!$A$15:$B$28,2,FALSE),"")</f>
        <v/>
      </c>
      <c r="O50" s="157">
        <f>IFERROR(VLOOKUP(INDEX(INDIRECT($B$1&amp;"!"&amp;ADDRESS(8,COLUMN()+6,4)&amp;":"&amp;ADDRESS(73,COLUMN()+6,4)),MATCH($B50,INDIRECT($B$1&amp;"!$A$8:$A$73"),0)),CONFIG!$A$15:$B$28,2,FALSE),"")</f>
        <v/>
      </c>
      <c r="P50" s="157">
        <f>IFERROR(VLOOKUP(INDEX(INDIRECT($B$1&amp;"!"&amp;ADDRESS(8,COLUMN()+6,4)&amp;":"&amp;ADDRESS(73,COLUMN()+6,4)),MATCH($B50,INDIRECT($B$1&amp;"!$A$8:$A$73"),0)),CONFIG!$A$15:$B$28,2,FALSE),"")</f>
        <v/>
      </c>
      <c r="Q50" s="157">
        <f>IFERROR(VLOOKUP(INDEX(INDIRECT($B$1&amp;"!"&amp;ADDRESS(8,COLUMN()+6,4)&amp;":"&amp;ADDRESS(73,COLUMN()+6,4)),MATCH($B50,INDIRECT($B$1&amp;"!$A$8:$A$73"),0)),CONFIG!$A$15:$B$28,2,FALSE),"")</f>
        <v/>
      </c>
      <c r="R50" s="157">
        <f>IFERROR(VLOOKUP(INDEX(INDIRECT($B$1&amp;"!"&amp;ADDRESS(8,COLUMN()+6,4)&amp;":"&amp;ADDRESS(73,COLUMN()+6,4)),MATCH($B50,INDIRECT($B$1&amp;"!$A$8:$A$73"),0)),CONFIG!$A$15:$B$28,2,FALSE),"")</f>
        <v/>
      </c>
      <c r="S50" s="157">
        <f>IFERROR(VLOOKUP(INDEX(INDIRECT($B$1&amp;"!"&amp;ADDRESS(8,COLUMN()+6,4)&amp;":"&amp;ADDRESS(73,COLUMN()+6,4)),MATCH($B50,INDIRECT($B$1&amp;"!$A$8:$A$73"),0)),CONFIG!$A$15:$B$28,2,FALSE),"")</f>
        <v/>
      </c>
      <c r="T50" s="157">
        <f>IFERROR(VLOOKUP(INDEX(INDIRECT($B$1&amp;"!"&amp;ADDRESS(8,COLUMN()+6,4)&amp;":"&amp;ADDRESS(73,COLUMN()+6,4)),MATCH($B50,INDIRECT($B$1&amp;"!$A$8:$A$73"),0)),CONFIG!$A$15:$B$28,2,FALSE),"")</f>
        <v/>
      </c>
      <c r="U50" s="157">
        <f>IFERROR(VLOOKUP(INDEX(INDIRECT($B$1&amp;"!"&amp;ADDRESS(8,COLUMN()+6,4)&amp;":"&amp;ADDRESS(73,COLUMN()+6,4)),MATCH($B50,INDIRECT($B$1&amp;"!$A$8:$A$73"),0)),CONFIG!$A$15:$B$28,2,FALSE),"")</f>
        <v/>
      </c>
      <c r="V50" s="157">
        <f>IFERROR(VLOOKUP(INDEX(INDIRECT($B$1&amp;"!"&amp;ADDRESS(8,COLUMN()+6,4)&amp;":"&amp;ADDRESS(73,COLUMN()+6,4)),MATCH($B50,INDIRECT($B$1&amp;"!$A$8:$A$73"),0)),CONFIG!$A$15:$B$28,2,FALSE),"")</f>
        <v/>
      </c>
      <c r="W50" s="157">
        <f>IFERROR(VLOOKUP(INDEX(INDIRECT($B$1&amp;"!"&amp;ADDRESS(8,COLUMN()+6,4)&amp;":"&amp;ADDRESS(73,COLUMN()+6,4)),MATCH($B50,INDIRECT($B$1&amp;"!$A$8:$A$73"),0)),CONFIG!$A$15:$B$28,2,FALSE),"")</f>
        <v/>
      </c>
      <c r="X50" s="157">
        <f>IFERROR(VLOOKUP(INDEX(INDIRECT($B$1&amp;"!"&amp;ADDRESS(8,COLUMN()+6,4)&amp;":"&amp;ADDRESS(73,COLUMN()+6,4)),MATCH($B50,INDIRECT($B$1&amp;"!$A$8:$A$73"),0)),CONFIG!$A$15:$B$28,2,FALSE),"")</f>
        <v/>
      </c>
      <c r="Y50" s="157">
        <f>IFERROR(VLOOKUP(INDEX(INDIRECT($B$1&amp;"!"&amp;ADDRESS(8,COLUMN()+6,4)&amp;":"&amp;ADDRESS(73,COLUMN()+6,4)),MATCH($B50,INDIRECT($B$1&amp;"!$A$8:$A$73"),0)),CONFIG!$A$15:$B$28,2,FALSE),"")</f>
        <v/>
      </c>
      <c r="Z50" s="157">
        <f>IFERROR(VLOOKUP(INDEX(INDIRECT($B$1&amp;"!"&amp;ADDRESS(8,COLUMN()+6,4)&amp;":"&amp;ADDRESS(73,COLUMN()+6,4)),MATCH($B50,INDIRECT($B$1&amp;"!$A$8:$A$73"),0)),CONFIG!$A$15:$B$28,2,FALSE),"")</f>
        <v/>
      </c>
      <c r="AA50" s="157">
        <f>IFERROR(VLOOKUP(INDEX(INDIRECT($B$1&amp;"!"&amp;ADDRESS(8,COLUMN()+6,4)&amp;":"&amp;ADDRESS(73,COLUMN()+6,4)),MATCH($B50,INDIRECT($B$1&amp;"!$A$8:$A$73"),0)),CONFIG!$A$15:$B$28,2,FALSE),"")</f>
        <v/>
      </c>
      <c r="AB50" s="157">
        <f>IFERROR(VLOOKUP(INDEX(INDIRECT($B$1&amp;"!"&amp;ADDRESS(8,COLUMN()+6,4)&amp;":"&amp;ADDRESS(73,COLUMN()+6,4)),MATCH($B50,INDIRECT($B$1&amp;"!$A$8:$A$73"),0)),CONFIG!$A$15:$B$28,2,FALSE),"")</f>
        <v/>
      </c>
      <c r="AC50" s="157">
        <f>IFERROR(VLOOKUP(INDEX(INDIRECT($B$1&amp;"!"&amp;ADDRESS(8,COLUMN()+6,4)&amp;":"&amp;ADDRESS(73,COLUMN()+6,4)),MATCH($B50,INDIRECT($B$1&amp;"!$A$8:$A$73"),0)),CONFIG!$A$15:$B$28,2,FALSE),"")</f>
        <v/>
      </c>
      <c r="AD50" s="157">
        <f>IFERROR(VLOOKUP(INDEX(INDIRECT($B$1&amp;"!"&amp;ADDRESS(8,COLUMN()+6,4)&amp;":"&amp;ADDRESS(73,COLUMN()+6,4)),MATCH($B50,INDIRECT($B$1&amp;"!$A$8:$A$73"),0)),CONFIG!$A$15:$B$28,2,FALSE),"")</f>
        <v/>
      </c>
      <c r="AE50" s="157">
        <f>IFERROR(VLOOKUP(INDEX(INDIRECT($B$1&amp;"!"&amp;ADDRESS(8,COLUMN()+6,4)&amp;":"&amp;ADDRESS(73,COLUMN()+6,4)),MATCH($B50,INDIRECT($B$1&amp;"!$A$8:$A$73"),0)),CONFIG!$A$15:$B$28,2,FALSE),"")</f>
        <v/>
      </c>
      <c r="AF50" s="157">
        <f>IFERROR(VLOOKUP(INDEX(INDIRECT($B$1&amp;"!"&amp;ADDRESS(8,COLUMN()+6,4)&amp;":"&amp;ADDRESS(73,COLUMN()+6,4)),MATCH($B50,INDIRECT($B$1&amp;"!$A$8:$A$73"),0)),CONFIG!$A$15:$B$28,2,FALSE),"")</f>
        <v/>
      </c>
      <c r="AG50" s="157">
        <f>IFERROR(VLOOKUP(INDEX(INDIRECT($B$1&amp;"!"&amp;ADDRESS(8,COLUMN()+6,4)&amp;":"&amp;ADDRESS(73,COLUMN()+6,4)),MATCH($B50,INDIRECT($B$1&amp;"!$A$8:$A$73"),0)),CONFIG!$A$15:$B$28,2,FALSE),"")</f>
        <v/>
      </c>
      <c r="AH50" s="157">
        <f>IFERROR(VLOOKUP(INDEX(INDIRECT($B$1&amp;"!"&amp;ADDRESS(8,COLUMN()+6,4)&amp;":"&amp;ADDRESS(73,COLUMN()+6,4)),MATCH($B50,INDIRECT($B$1&amp;"!$A$8:$A$73"),0)),CONFIG!$A$15:$B$28,2,FALSE),"")</f>
        <v/>
      </c>
      <c r="AI50" s="39" t="n"/>
    </row>
    <row r="51">
      <c r="A51" s="155" t="inlineStr">
        <is>
          <t>Jaqueline</t>
        </is>
      </c>
      <c r="B51" s="156" t="inlineStr">
        <is>
          <t>Jaqueline</t>
        </is>
      </c>
      <c r="C51" s="157">
        <f>IFERROR(VLOOKUP(INDEX(INDIRECT($B$1&amp;"!"&amp;ADDRESS(8,COLUMN()+6,4)&amp;":"&amp;ADDRESS(73,COLUMN()+6,4)),MATCH($B51,INDIRECT($B$1&amp;"!$A$8:$A$73"),0)),CONFIG!$A$15:$B$28,2,FALSE),"")</f>
        <v/>
      </c>
      <c r="D51" s="157">
        <f>IFERROR(VLOOKUP(INDEX(INDIRECT($B$1&amp;"!"&amp;ADDRESS(8,COLUMN()+6,4)&amp;":"&amp;ADDRESS(73,COLUMN()+6,4)),MATCH($B51,INDIRECT($B$1&amp;"!$A$8:$A$73"),0)),CONFIG!$A$15:$B$28,2,FALSE),"")</f>
        <v/>
      </c>
      <c r="E51" s="157">
        <f>IFERROR(VLOOKUP(INDEX(INDIRECT($B$1&amp;"!"&amp;ADDRESS(8,COLUMN()+6,4)&amp;":"&amp;ADDRESS(73,COLUMN()+6,4)),MATCH($B51,INDIRECT($B$1&amp;"!$A$8:$A$73"),0)),CONFIG!$A$15:$B$28,2,FALSE),"")</f>
        <v/>
      </c>
      <c r="F51" s="157">
        <f>IFERROR(VLOOKUP(INDEX(INDIRECT($B$1&amp;"!"&amp;ADDRESS(8,COLUMN()+6,4)&amp;":"&amp;ADDRESS(73,COLUMN()+6,4)),MATCH($B51,INDIRECT($B$1&amp;"!$A$8:$A$73"),0)),CONFIG!$A$15:$B$28,2,FALSE),"")</f>
        <v/>
      </c>
      <c r="G51" s="157">
        <f>IFERROR(VLOOKUP(INDEX(INDIRECT($B$1&amp;"!"&amp;ADDRESS(8,COLUMN()+6,4)&amp;":"&amp;ADDRESS(73,COLUMN()+6,4)),MATCH($B51,INDIRECT($B$1&amp;"!$A$8:$A$73"),0)),CONFIG!$A$15:$B$28,2,FALSE),"")</f>
        <v/>
      </c>
      <c r="H51" s="157">
        <f>IFERROR(VLOOKUP(INDEX(INDIRECT($B$1&amp;"!"&amp;ADDRESS(8,COLUMN()+6,4)&amp;":"&amp;ADDRESS(73,COLUMN()+6,4)),MATCH($B51,INDIRECT($B$1&amp;"!$A$8:$A$73"),0)),CONFIG!$A$15:$B$28,2,FALSE),"")</f>
        <v/>
      </c>
      <c r="I51" s="157">
        <f>IFERROR(VLOOKUP(INDEX(INDIRECT($B$1&amp;"!"&amp;ADDRESS(8,COLUMN()+6,4)&amp;":"&amp;ADDRESS(73,COLUMN()+6,4)),MATCH($B51,INDIRECT($B$1&amp;"!$A$8:$A$73"),0)),CONFIG!$A$15:$B$28,2,FALSE),"")</f>
        <v/>
      </c>
      <c r="J51" s="157">
        <f>IFERROR(VLOOKUP(INDEX(INDIRECT($B$1&amp;"!"&amp;ADDRESS(8,COLUMN()+6,4)&amp;":"&amp;ADDRESS(73,COLUMN()+6,4)),MATCH($B51,INDIRECT($B$1&amp;"!$A$8:$A$73"),0)),CONFIG!$A$15:$B$28,2,FALSE),"")</f>
        <v/>
      </c>
      <c r="K51" s="157">
        <f>IFERROR(VLOOKUP(INDEX(INDIRECT($B$1&amp;"!"&amp;ADDRESS(8,COLUMN()+6,4)&amp;":"&amp;ADDRESS(73,COLUMN()+6,4)),MATCH($B51,INDIRECT($B$1&amp;"!$A$8:$A$73"),0)),CONFIG!$A$15:$B$28,2,FALSE),"")</f>
        <v/>
      </c>
      <c r="L51" s="157">
        <f>IFERROR(VLOOKUP(INDEX(INDIRECT($B$1&amp;"!"&amp;ADDRESS(8,COLUMN()+6,4)&amp;":"&amp;ADDRESS(73,COLUMN()+6,4)),MATCH($B51,INDIRECT($B$1&amp;"!$A$8:$A$73"),0)),CONFIG!$A$15:$B$28,2,FALSE),"")</f>
        <v/>
      </c>
      <c r="M51" s="157">
        <f>IFERROR(VLOOKUP(INDEX(INDIRECT($B$1&amp;"!"&amp;ADDRESS(8,COLUMN()+6,4)&amp;":"&amp;ADDRESS(73,COLUMN()+6,4)),MATCH($B51,INDIRECT($B$1&amp;"!$A$8:$A$73"),0)),CONFIG!$A$15:$B$28,2,FALSE),"")</f>
        <v/>
      </c>
      <c r="N51" s="157">
        <f>IFERROR(VLOOKUP(INDEX(INDIRECT($B$1&amp;"!"&amp;ADDRESS(8,COLUMN()+6,4)&amp;":"&amp;ADDRESS(73,COLUMN()+6,4)),MATCH($B51,INDIRECT($B$1&amp;"!$A$8:$A$73"),0)),CONFIG!$A$15:$B$28,2,FALSE),"")</f>
        <v/>
      </c>
      <c r="O51" s="157">
        <f>IFERROR(VLOOKUP(INDEX(INDIRECT($B$1&amp;"!"&amp;ADDRESS(8,COLUMN()+6,4)&amp;":"&amp;ADDRESS(73,COLUMN()+6,4)),MATCH($B51,INDIRECT($B$1&amp;"!$A$8:$A$73"),0)),CONFIG!$A$15:$B$28,2,FALSE),"")</f>
        <v/>
      </c>
      <c r="P51" s="157">
        <f>IFERROR(VLOOKUP(INDEX(INDIRECT($B$1&amp;"!"&amp;ADDRESS(8,COLUMN()+6,4)&amp;":"&amp;ADDRESS(73,COLUMN()+6,4)),MATCH($B51,INDIRECT($B$1&amp;"!$A$8:$A$73"),0)),CONFIG!$A$15:$B$28,2,FALSE),"")</f>
        <v/>
      </c>
      <c r="Q51" s="157">
        <f>IFERROR(VLOOKUP(INDEX(INDIRECT($B$1&amp;"!"&amp;ADDRESS(8,COLUMN()+6,4)&amp;":"&amp;ADDRESS(73,COLUMN()+6,4)),MATCH($B51,INDIRECT($B$1&amp;"!$A$8:$A$73"),0)),CONFIG!$A$15:$B$28,2,FALSE),"")</f>
        <v/>
      </c>
      <c r="R51" s="157">
        <f>IFERROR(VLOOKUP(INDEX(INDIRECT($B$1&amp;"!"&amp;ADDRESS(8,COLUMN()+6,4)&amp;":"&amp;ADDRESS(73,COLUMN()+6,4)),MATCH($B51,INDIRECT($B$1&amp;"!$A$8:$A$73"),0)),CONFIG!$A$15:$B$28,2,FALSE),"")</f>
        <v/>
      </c>
      <c r="S51" s="157">
        <f>IFERROR(VLOOKUP(INDEX(INDIRECT($B$1&amp;"!"&amp;ADDRESS(8,COLUMN()+6,4)&amp;":"&amp;ADDRESS(73,COLUMN()+6,4)),MATCH($B51,INDIRECT($B$1&amp;"!$A$8:$A$73"),0)),CONFIG!$A$15:$B$28,2,FALSE),"")</f>
        <v/>
      </c>
      <c r="T51" s="157">
        <f>IFERROR(VLOOKUP(INDEX(INDIRECT($B$1&amp;"!"&amp;ADDRESS(8,COLUMN()+6,4)&amp;":"&amp;ADDRESS(73,COLUMN()+6,4)),MATCH($B51,INDIRECT($B$1&amp;"!$A$8:$A$73"),0)),CONFIG!$A$15:$B$28,2,FALSE),"")</f>
        <v/>
      </c>
      <c r="U51" s="157">
        <f>IFERROR(VLOOKUP(INDEX(INDIRECT($B$1&amp;"!"&amp;ADDRESS(8,COLUMN()+6,4)&amp;":"&amp;ADDRESS(73,COLUMN()+6,4)),MATCH($B51,INDIRECT($B$1&amp;"!$A$8:$A$73"),0)),CONFIG!$A$15:$B$28,2,FALSE),"")</f>
        <v/>
      </c>
      <c r="V51" s="157">
        <f>IFERROR(VLOOKUP(INDEX(INDIRECT($B$1&amp;"!"&amp;ADDRESS(8,COLUMN()+6,4)&amp;":"&amp;ADDRESS(73,COLUMN()+6,4)),MATCH($B51,INDIRECT($B$1&amp;"!$A$8:$A$73"),0)),CONFIG!$A$15:$B$28,2,FALSE),"")</f>
        <v/>
      </c>
      <c r="W51" s="157">
        <f>IFERROR(VLOOKUP(INDEX(INDIRECT($B$1&amp;"!"&amp;ADDRESS(8,COLUMN()+6,4)&amp;":"&amp;ADDRESS(73,COLUMN()+6,4)),MATCH($B51,INDIRECT($B$1&amp;"!$A$8:$A$73"),0)),CONFIG!$A$15:$B$28,2,FALSE),"")</f>
        <v/>
      </c>
      <c r="X51" s="157">
        <f>IFERROR(VLOOKUP(INDEX(INDIRECT($B$1&amp;"!"&amp;ADDRESS(8,COLUMN()+6,4)&amp;":"&amp;ADDRESS(73,COLUMN()+6,4)),MATCH($B51,INDIRECT($B$1&amp;"!$A$8:$A$73"),0)),CONFIG!$A$15:$B$28,2,FALSE),"")</f>
        <v/>
      </c>
      <c r="Y51" s="157">
        <f>IFERROR(VLOOKUP(INDEX(INDIRECT($B$1&amp;"!"&amp;ADDRESS(8,COLUMN()+6,4)&amp;":"&amp;ADDRESS(73,COLUMN()+6,4)),MATCH($B51,INDIRECT($B$1&amp;"!$A$8:$A$73"),0)),CONFIG!$A$15:$B$28,2,FALSE),"")</f>
        <v/>
      </c>
      <c r="Z51" s="157">
        <f>IFERROR(VLOOKUP(INDEX(INDIRECT($B$1&amp;"!"&amp;ADDRESS(8,COLUMN()+6,4)&amp;":"&amp;ADDRESS(73,COLUMN()+6,4)),MATCH($B51,INDIRECT($B$1&amp;"!$A$8:$A$73"),0)),CONFIG!$A$15:$B$28,2,FALSE),"")</f>
        <v/>
      </c>
      <c r="AA51" s="157">
        <f>IFERROR(VLOOKUP(INDEX(INDIRECT($B$1&amp;"!"&amp;ADDRESS(8,COLUMN()+6,4)&amp;":"&amp;ADDRESS(73,COLUMN()+6,4)),MATCH($B51,INDIRECT($B$1&amp;"!$A$8:$A$73"),0)),CONFIG!$A$15:$B$28,2,FALSE),"")</f>
        <v/>
      </c>
      <c r="AB51" s="157">
        <f>IFERROR(VLOOKUP(INDEX(INDIRECT($B$1&amp;"!"&amp;ADDRESS(8,COLUMN()+6,4)&amp;":"&amp;ADDRESS(73,COLUMN()+6,4)),MATCH($B51,INDIRECT($B$1&amp;"!$A$8:$A$73"),0)),CONFIG!$A$15:$B$28,2,FALSE),"")</f>
        <v/>
      </c>
      <c r="AC51" s="157">
        <f>IFERROR(VLOOKUP(INDEX(INDIRECT($B$1&amp;"!"&amp;ADDRESS(8,COLUMN()+6,4)&amp;":"&amp;ADDRESS(73,COLUMN()+6,4)),MATCH($B51,INDIRECT($B$1&amp;"!$A$8:$A$73"),0)),CONFIG!$A$15:$B$28,2,FALSE),"")</f>
        <v/>
      </c>
      <c r="AD51" s="157">
        <f>IFERROR(VLOOKUP(INDEX(INDIRECT($B$1&amp;"!"&amp;ADDRESS(8,COLUMN()+6,4)&amp;":"&amp;ADDRESS(73,COLUMN()+6,4)),MATCH($B51,INDIRECT($B$1&amp;"!$A$8:$A$73"),0)),CONFIG!$A$15:$B$28,2,FALSE),"")</f>
        <v/>
      </c>
      <c r="AE51" s="157">
        <f>IFERROR(VLOOKUP(INDEX(INDIRECT($B$1&amp;"!"&amp;ADDRESS(8,COLUMN()+6,4)&amp;":"&amp;ADDRESS(73,COLUMN()+6,4)),MATCH($B51,INDIRECT($B$1&amp;"!$A$8:$A$73"),0)),CONFIG!$A$15:$B$28,2,FALSE),"")</f>
        <v/>
      </c>
      <c r="AF51" s="157">
        <f>IFERROR(VLOOKUP(INDEX(INDIRECT($B$1&amp;"!"&amp;ADDRESS(8,COLUMN()+6,4)&amp;":"&amp;ADDRESS(73,COLUMN()+6,4)),MATCH($B51,INDIRECT($B$1&amp;"!$A$8:$A$73"),0)),CONFIG!$A$15:$B$28,2,FALSE),"")</f>
        <v/>
      </c>
      <c r="AG51" s="157">
        <f>IFERROR(VLOOKUP(INDEX(INDIRECT($B$1&amp;"!"&amp;ADDRESS(8,COLUMN()+6,4)&amp;":"&amp;ADDRESS(73,COLUMN()+6,4)),MATCH($B51,INDIRECT($B$1&amp;"!$A$8:$A$73"),0)),CONFIG!$A$15:$B$28,2,FALSE),"")</f>
        <v/>
      </c>
      <c r="AH51" s="157">
        <f>IFERROR(VLOOKUP(INDEX(INDIRECT($B$1&amp;"!"&amp;ADDRESS(8,COLUMN()+6,4)&amp;":"&amp;ADDRESS(73,COLUMN()+6,4)),MATCH($B51,INDIRECT($B$1&amp;"!$A$8:$A$73"),0)),CONFIG!$A$15:$B$28,2,FALSE),"")</f>
        <v/>
      </c>
      <c r="AI51" s="39" t="n"/>
    </row>
    <row r="52">
      <c r="A52" s="155" t="inlineStr">
        <is>
          <t>Joaquim</t>
        </is>
      </c>
      <c r="B52" s="156" t="inlineStr">
        <is>
          <t>Joaquim</t>
        </is>
      </c>
      <c r="C52" s="157">
        <f>IFERROR(VLOOKUP(INDEX(INDIRECT($B$1&amp;"!"&amp;ADDRESS(8,COLUMN()+6,4)&amp;":"&amp;ADDRESS(73,COLUMN()+6,4)),MATCH($B52,INDIRECT($B$1&amp;"!$A$8:$A$73"),0)),CONFIG!$A$15:$B$28,2,FALSE),"")</f>
        <v/>
      </c>
      <c r="D52" s="157">
        <f>IFERROR(VLOOKUP(INDEX(INDIRECT($B$1&amp;"!"&amp;ADDRESS(8,COLUMN()+6,4)&amp;":"&amp;ADDRESS(73,COLUMN()+6,4)),MATCH($B52,INDIRECT($B$1&amp;"!$A$8:$A$73"),0)),CONFIG!$A$15:$B$28,2,FALSE),"")</f>
        <v/>
      </c>
      <c r="E52" s="157">
        <f>IFERROR(VLOOKUP(INDEX(INDIRECT($B$1&amp;"!"&amp;ADDRESS(8,COLUMN()+6,4)&amp;":"&amp;ADDRESS(73,COLUMN()+6,4)),MATCH($B52,INDIRECT($B$1&amp;"!$A$8:$A$73"),0)),CONFIG!$A$15:$B$28,2,FALSE),"")</f>
        <v/>
      </c>
      <c r="F52" s="157">
        <f>IFERROR(VLOOKUP(INDEX(INDIRECT($B$1&amp;"!"&amp;ADDRESS(8,COLUMN()+6,4)&amp;":"&amp;ADDRESS(73,COLUMN()+6,4)),MATCH($B52,INDIRECT($B$1&amp;"!$A$8:$A$73"),0)),CONFIG!$A$15:$B$28,2,FALSE),"")</f>
        <v/>
      </c>
      <c r="G52" s="157">
        <f>IFERROR(VLOOKUP(INDEX(INDIRECT($B$1&amp;"!"&amp;ADDRESS(8,COLUMN()+6,4)&amp;":"&amp;ADDRESS(73,COLUMN()+6,4)),MATCH($B52,INDIRECT($B$1&amp;"!$A$8:$A$73"),0)),CONFIG!$A$15:$B$28,2,FALSE),"")</f>
        <v/>
      </c>
      <c r="H52" s="157">
        <f>IFERROR(VLOOKUP(INDEX(INDIRECT($B$1&amp;"!"&amp;ADDRESS(8,COLUMN()+6,4)&amp;":"&amp;ADDRESS(73,COLUMN()+6,4)),MATCH($B52,INDIRECT($B$1&amp;"!$A$8:$A$73"),0)),CONFIG!$A$15:$B$28,2,FALSE),"")</f>
        <v/>
      </c>
      <c r="I52" s="157">
        <f>IFERROR(VLOOKUP(INDEX(INDIRECT($B$1&amp;"!"&amp;ADDRESS(8,COLUMN()+6,4)&amp;":"&amp;ADDRESS(73,COLUMN()+6,4)),MATCH($B52,INDIRECT($B$1&amp;"!$A$8:$A$73"),0)),CONFIG!$A$15:$B$28,2,FALSE),"")</f>
        <v/>
      </c>
      <c r="J52" s="157">
        <f>IFERROR(VLOOKUP(INDEX(INDIRECT($B$1&amp;"!"&amp;ADDRESS(8,COLUMN()+6,4)&amp;":"&amp;ADDRESS(73,COLUMN()+6,4)),MATCH($B52,INDIRECT($B$1&amp;"!$A$8:$A$73"),0)),CONFIG!$A$15:$B$28,2,FALSE),"")</f>
        <v/>
      </c>
      <c r="K52" s="157">
        <f>IFERROR(VLOOKUP(INDEX(INDIRECT($B$1&amp;"!"&amp;ADDRESS(8,COLUMN()+6,4)&amp;":"&amp;ADDRESS(73,COLUMN()+6,4)),MATCH($B52,INDIRECT($B$1&amp;"!$A$8:$A$73"),0)),CONFIG!$A$15:$B$28,2,FALSE),"")</f>
        <v/>
      </c>
      <c r="L52" s="157">
        <f>IFERROR(VLOOKUP(INDEX(INDIRECT($B$1&amp;"!"&amp;ADDRESS(8,COLUMN()+6,4)&amp;":"&amp;ADDRESS(73,COLUMN()+6,4)),MATCH($B52,INDIRECT($B$1&amp;"!$A$8:$A$73"),0)),CONFIG!$A$15:$B$28,2,FALSE),"")</f>
        <v/>
      </c>
      <c r="M52" s="157">
        <f>IFERROR(VLOOKUP(INDEX(INDIRECT($B$1&amp;"!"&amp;ADDRESS(8,COLUMN()+6,4)&amp;":"&amp;ADDRESS(73,COLUMN()+6,4)),MATCH($B52,INDIRECT($B$1&amp;"!$A$8:$A$73"),0)),CONFIG!$A$15:$B$28,2,FALSE),"")</f>
        <v/>
      </c>
      <c r="N52" s="157">
        <f>IFERROR(VLOOKUP(INDEX(INDIRECT($B$1&amp;"!"&amp;ADDRESS(8,COLUMN()+6,4)&amp;":"&amp;ADDRESS(73,COLUMN()+6,4)),MATCH($B52,INDIRECT($B$1&amp;"!$A$8:$A$73"),0)),CONFIG!$A$15:$B$28,2,FALSE),"")</f>
        <v/>
      </c>
      <c r="O52" s="157">
        <f>IFERROR(VLOOKUP(INDEX(INDIRECT($B$1&amp;"!"&amp;ADDRESS(8,COLUMN()+6,4)&amp;":"&amp;ADDRESS(73,COLUMN()+6,4)),MATCH($B52,INDIRECT($B$1&amp;"!$A$8:$A$73"),0)),CONFIG!$A$15:$B$28,2,FALSE),"")</f>
        <v/>
      </c>
      <c r="P52" s="157">
        <f>IFERROR(VLOOKUP(INDEX(INDIRECT($B$1&amp;"!"&amp;ADDRESS(8,COLUMN()+6,4)&amp;":"&amp;ADDRESS(73,COLUMN()+6,4)),MATCH($B52,INDIRECT($B$1&amp;"!$A$8:$A$73"),0)),CONFIG!$A$15:$B$28,2,FALSE),"")</f>
        <v/>
      </c>
      <c r="Q52" s="157">
        <f>IFERROR(VLOOKUP(INDEX(INDIRECT($B$1&amp;"!"&amp;ADDRESS(8,COLUMN()+6,4)&amp;":"&amp;ADDRESS(73,COLUMN()+6,4)),MATCH($B52,INDIRECT($B$1&amp;"!$A$8:$A$73"),0)),CONFIG!$A$15:$B$28,2,FALSE),"")</f>
        <v/>
      </c>
      <c r="R52" s="157">
        <f>IFERROR(VLOOKUP(INDEX(INDIRECT($B$1&amp;"!"&amp;ADDRESS(8,COLUMN()+6,4)&amp;":"&amp;ADDRESS(73,COLUMN()+6,4)),MATCH($B52,INDIRECT($B$1&amp;"!$A$8:$A$73"),0)),CONFIG!$A$15:$B$28,2,FALSE),"")</f>
        <v/>
      </c>
      <c r="S52" s="157">
        <f>IFERROR(VLOOKUP(INDEX(INDIRECT($B$1&amp;"!"&amp;ADDRESS(8,COLUMN()+6,4)&amp;":"&amp;ADDRESS(73,COLUMN()+6,4)),MATCH($B52,INDIRECT($B$1&amp;"!$A$8:$A$73"),0)),CONFIG!$A$15:$B$28,2,FALSE),"")</f>
        <v/>
      </c>
      <c r="T52" s="157">
        <f>IFERROR(VLOOKUP(INDEX(INDIRECT($B$1&amp;"!"&amp;ADDRESS(8,COLUMN()+6,4)&amp;":"&amp;ADDRESS(73,COLUMN()+6,4)),MATCH($B52,INDIRECT($B$1&amp;"!$A$8:$A$73"),0)),CONFIG!$A$15:$B$28,2,FALSE),"")</f>
        <v/>
      </c>
      <c r="U52" s="157">
        <f>IFERROR(VLOOKUP(INDEX(INDIRECT($B$1&amp;"!"&amp;ADDRESS(8,COLUMN()+6,4)&amp;":"&amp;ADDRESS(73,COLUMN()+6,4)),MATCH($B52,INDIRECT($B$1&amp;"!$A$8:$A$73"),0)),CONFIG!$A$15:$B$28,2,FALSE),"")</f>
        <v/>
      </c>
      <c r="V52" s="157">
        <f>IFERROR(VLOOKUP(INDEX(INDIRECT($B$1&amp;"!"&amp;ADDRESS(8,COLUMN()+6,4)&amp;":"&amp;ADDRESS(73,COLUMN()+6,4)),MATCH($B52,INDIRECT($B$1&amp;"!$A$8:$A$73"),0)),CONFIG!$A$15:$B$28,2,FALSE),"")</f>
        <v/>
      </c>
      <c r="W52" s="157">
        <f>IFERROR(VLOOKUP(INDEX(INDIRECT($B$1&amp;"!"&amp;ADDRESS(8,COLUMN()+6,4)&amp;":"&amp;ADDRESS(73,COLUMN()+6,4)),MATCH($B52,INDIRECT($B$1&amp;"!$A$8:$A$73"),0)),CONFIG!$A$15:$B$28,2,FALSE),"")</f>
        <v/>
      </c>
      <c r="X52" s="157">
        <f>IFERROR(VLOOKUP(INDEX(INDIRECT($B$1&amp;"!"&amp;ADDRESS(8,COLUMN()+6,4)&amp;":"&amp;ADDRESS(73,COLUMN()+6,4)),MATCH($B52,INDIRECT($B$1&amp;"!$A$8:$A$73"),0)),CONFIG!$A$15:$B$28,2,FALSE),"")</f>
        <v/>
      </c>
      <c r="Y52" s="157">
        <f>IFERROR(VLOOKUP(INDEX(INDIRECT($B$1&amp;"!"&amp;ADDRESS(8,COLUMN()+6,4)&amp;":"&amp;ADDRESS(73,COLUMN()+6,4)),MATCH($B52,INDIRECT($B$1&amp;"!$A$8:$A$73"),0)),CONFIG!$A$15:$B$28,2,FALSE),"")</f>
        <v/>
      </c>
      <c r="Z52" s="157">
        <f>IFERROR(VLOOKUP(INDEX(INDIRECT($B$1&amp;"!"&amp;ADDRESS(8,COLUMN()+6,4)&amp;":"&amp;ADDRESS(73,COLUMN()+6,4)),MATCH($B52,INDIRECT($B$1&amp;"!$A$8:$A$73"),0)),CONFIG!$A$15:$B$28,2,FALSE),"")</f>
        <v/>
      </c>
      <c r="AA52" s="157">
        <f>IFERROR(VLOOKUP(INDEX(INDIRECT($B$1&amp;"!"&amp;ADDRESS(8,COLUMN()+6,4)&amp;":"&amp;ADDRESS(73,COLUMN()+6,4)),MATCH($B52,INDIRECT($B$1&amp;"!$A$8:$A$73"),0)),CONFIG!$A$15:$B$28,2,FALSE),"")</f>
        <v/>
      </c>
      <c r="AB52" s="157">
        <f>IFERROR(VLOOKUP(INDEX(INDIRECT($B$1&amp;"!"&amp;ADDRESS(8,COLUMN()+6,4)&amp;":"&amp;ADDRESS(73,COLUMN()+6,4)),MATCH($B52,INDIRECT($B$1&amp;"!$A$8:$A$73"),0)),CONFIG!$A$15:$B$28,2,FALSE),"")</f>
        <v/>
      </c>
      <c r="AC52" s="157">
        <f>IFERROR(VLOOKUP(INDEX(INDIRECT($B$1&amp;"!"&amp;ADDRESS(8,COLUMN()+6,4)&amp;":"&amp;ADDRESS(73,COLUMN()+6,4)),MATCH($B52,INDIRECT($B$1&amp;"!$A$8:$A$73"),0)),CONFIG!$A$15:$B$28,2,FALSE),"")</f>
        <v/>
      </c>
      <c r="AD52" s="157">
        <f>IFERROR(VLOOKUP(INDEX(INDIRECT($B$1&amp;"!"&amp;ADDRESS(8,COLUMN()+6,4)&amp;":"&amp;ADDRESS(73,COLUMN()+6,4)),MATCH($B52,INDIRECT($B$1&amp;"!$A$8:$A$73"),0)),CONFIG!$A$15:$B$28,2,FALSE),"")</f>
        <v/>
      </c>
      <c r="AE52" s="157">
        <f>IFERROR(VLOOKUP(INDEX(INDIRECT($B$1&amp;"!"&amp;ADDRESS(8,COLUMN()+6,4)&amp;":"&amp;ADDRESS(73,COLUMN()+6,4)),MATCH($B52,INDIRECT($B$1&amp;"!$A$8:$A$73"),0)),CONFIG!$A$15:$B$28,2,FALSE),"")</f>
        <v/>
      </c>
      <c r="AF52" s="157">
        <f>IFERROR(VLOOKUP(INDEX(INDIRECT($B$1&amp;"!"&amp;ADDRESS(8,COLUMN()+6,4)&amp;":"&amp;ADDRESS(73,COLUMN()+6,4)),MATCH($B52,INDIRECT($B$1&amp;"!$A$8:$A$73"),0)),CONFIG!$A$15:$B$28,2,FALSE),"")</f>
        <v/>
      </c>
      <c r="AG52" s="157">
        <f>IFERROR(VLOOKUP(INDEX(INDIRECT($B$1&amp;"!"&amp;ADDRESS(8,COLUMN()+6,4)&amp;":"&amp;ADDRESS(73,COLUMN()+6,4)),MATCH($B52,INDIRECT($B$1&amp;"!$A$8:$A$73"),0)),CONFIG!$A$15:$B$28,2,FALSE),"")</f>
        <v/>
      </c>
      <c r="AH52" s="157">
        <f>IFERROR(VLOOKUP(INDEX(INDIRECT($B$1&amp;"!"&amp;ADDRESS(8,COLUMN()+6,4)&amp;":"&amp;ADDRESS(73,COLUMN()+6,4)),MATCH($B52,INDIRECT($B$1&amp;"!$A$8:$A$73"),0)),CONFIG!$A$15:$B$28,2,FALSE),"")</f>
        <v/>
      </c>
      <c r="AI52" s="39" t="n"/>
    </row>
    <row r="53">
      <c r="A53" s="155" t="inlineStr">
        <is>
          <t>Julia Figueiredo</t>
        </is>
      </c>
      <c r="B53" s="156" t="inlineStr">
        <is>
          <t>JuliaFig</t>
        </is>
      </c>
      <c r="C53" s="157">
        <f>IFERROR(VLOOKUP(INDEX(INDIRECT($B$1&amp;"!"&amp;ADDRESS(8,COLUMN()+6,4)&amp;":"&amp;ADDRESS(73,COLUMN()+6,4)),MATCH($B53,INDIRECT($B$1&amp;"!$A$8:$A$73"),0)),CONFIG!$A$15:$B$28,2,FALSE),"")</f>
        <v/>
      </c>
      <c r="D53" s="157">
        <f>IFERROR(VLOOKUP(INDEX(INDIRECT($B$1&amp;"!"&amp;ADDRESS(8,COLUMN()+6,4)&amp;":"&amp;ADDRESS(73,COLUMN()+6,4)),MATCH($B53,INDIRECT($B$1&amp;"!$A$8:$A$73"),0)),CONFIG!$A$15:$B$28,2,FALSE),"")</f>
        <v/>
      </c>
      <c r="E53" s="157">
        <f>IFERROR(VLOOKUP(INDEX(INDIRECT($B$1&amp;"!"&amp;ADDRESS(8,COLUMN()+6,4)&amp;":"&amp;ADDRESS(73,COLUMN()+6,4)),MATCH($B53,INDIRECT($B$1&amp;"!$A$8:$A$73"),0)),CONFIG!$A$15:$B$28,2,FALSE),"")</f>
        <v/>
      </c>
      <c r="F53" s="157">
        <f>IFERROR(VLOOKUP(INDEX(INDIRECT($B$1&amp;"!"&amp;ADDRESS(8,COLUMN()+6,4)&amp;":"&amp;ADDRESS(73,COLUMN()+6,4)),MATCH($B53,INDIRECT($B$1&amp;"!$A$8:$A$73"),0)),CONFIG!$A$15:$B$28,2,FALSE),"")</f>
        <v/>
      </c>
      <c r="G53" s="157">
        <f>IFERROR(VLOOKUP(INDEX(INDIRECT($B$1&amp;"!"&amp;ADDRESS(8,COLUMN()+6,4)&amp;":"&amp;ADDRESS(73,COLUMN()+6,4)),MATCH($B53,INDIRECT($B$1&amp;"!$A$8:$A$73"),0)),CONFIG!$A$15:$B$28,2,FALSE),"")</f>
        <v/>
      </c>
      <c r="H53" s="157">
        <f>IFERROR(VLOOKUP(INDEX(INDIRECT($B$1&amp;"!"&amp;ADDRESS(8,COLUMN()+6,4)&amp;":"&amp;ADDRESS(73,COLUMN()+6,4)),MATCH($B53,INDIRECT($B$1&amp;"!$A$8:$A$73"),0)),CONFIG!$A$15:$B$28,2,FALSE),"")</f>
        <v/>
      </c>
      <c r="I53" s="157">
        <f>IFERROR(VLOOKUP(INDEX(INDIRECT($B$1&amp;"!"&amp;ADDRESS(8,COLUMN()+6,4)&amp;":"&amp;ADDRESS(73,COLUMN()+6,4)),MATCH($B53,INDIRECT($B$1&amp;"!$A$8:$A$73"),0)),CONFIG!$A$15:$B$28,2,FALSE),"")</f>
        <v/>
      </c>
      <c r="J53" s="157">
        <f>IFERROR(VLOOKUP(INDEX(INDIRECT($B$1&amp;"!"&amp;ADDRESS(8,COLUMN()+6,4)&amp;":"&amp;ADDRESS(73,COLUMN()+6,4)),MATCH($B53,INDIRECT($B$1&amp;"!$A$8:$A$73"),0)),CONFIG!$A$15:$B$28,2,FALSE),"")</f>
        <v/>
      </c>
      <c r="K53" s="157">
        <f>IFERROR(VLOOKUP(INDEX(INDIRECT($B$1&amp;"!"&amp;ADDRESS(8,COLUMN()+6,4)&amp;":"&amp;ADDRESS(73,COLUMN()+6,4)),MATCH($B53,INDIRECT($B$1&amp;"!$A$8:$A$73"),0)),CONFIG!$A$15:$B$28,2,FALSE),"")</f>
        <v/>
      </c>
      <c r="L53" s="157">
        <f>IFERROR(VLOOKUP(INDEX(INDIRECT($B$1&amp;"!"&amp;ADDRESS(8,COLUMN()+6,4)&amp;":"&amp;ADDRESS(73,COLUMN()+6,4)),MATCH($B53,INDIRECT($B$1&amp;"!$A$8:$A$73"),0)),CONFIG!$A$15:$B$28,2,FALSE),"")</f>
        <v/>
      </c>
      <c r="M53" s="157">
        <f>IFERROR(VLOOKUP(INDEX(INDIRECT($B$1&amp;"!"&amp;ADDRESS(8,COLUMN()+6,4)&amp;":"&amp;ADDRESS(73,COLUMN()+6,4)),MATCH($B53,INDIRECT($B$1&amp;"!$A$8:$A$73"),0)),CONFIG!$A$15:$B$28,2,FALSE),"")</f>
        <v/>
      </c>
      <c r="N53" s="157">
        <f>IFERROR(VLOOKUP(INDEX(INDIRECT($B$1&amp;"!"&amp;ADDRESS(8,COLUMN()+6,4)&amp;":"&amp;ADDRESS(73,COLUMN()+6,4)),MATCH($B53,INDIRECT($B$1&amp;"!$A$8:$A$73"),0)),CONFIG!$A$15:$B$28,2,FALSE),"")</f>
        <v/>
      </c>
      <c r="O53" s="157">
        <f>IFERROR(VLOOKUP(INDEX(INDIRECT($B$1&amp;"!"&amp;ADDRESS(8,COLUMN()+6,4)&amp;":"&amp;ADDRESS(73,COLUMN()+6,4)),MATCH($B53,INDIRECT($B$1&amp;"!$A$8:$A$73"),0)),CONFIG!$A$15:$B$28,2,FALSE),"")</f>
        <v/>
      </c>
      <c r="P53" s="157">
        <f>IFERROR(VLOOKUP(INDEX(INDIRECT($B$1&amp;"!"&amp;ADDRESS(8,COLUMN()+6,4)&amp;":"&amp;ADDRESS(73,COLUMN()+6,4)),MATCH($B53,INDIRECT($B$1&amp;"!$A$8:$A$73"),0)),CONFIG!$A$15:$B$28,2,FALSE),"")</f>
        <v/>
      </c>
      <c r="Q53" s="157">
        <f>IFERROR(VLOOKUP(INDEX(INDIRECT($B$1&amp;"!"&amp;ADDRESS(8,COLUMN()+6,4)&amp;":"&amp;ADDRESS(73,COLUMN()+6,4)),MATCH($B53,INDIRECT($B$1&amp;"!$A$8:$A$73"),0)),CONFIG!$A$15:$B$28,2,FALSE),"")</f>
        <v/>
      </c>
      <c r="R53" s="157">
        <f>IFERROR(VLOOKUP(INDEX(INDIRECT($B$1&amp;"!"&amp;ADDRESS(8,COLUMN()+6,4)&amp;":"&amp;ADDRESS(73,COLUMN()+6,4)),MATCH($B53,INDIRECT($B$1&amp;"!$A$8:$A$73"),0)),CONFIG!$A$15:$B$28,2,FALSE),"")</f>
        <v/>
      </c>
      <c r="S53" s="157">
        <f>IFERROR(VLOOKUP(INDEX(INDIRECT($B$1&amp;"!"&amp;ADDRESS(8,COLUMN()+6,4)&amp;":"&amp;ADDRESS(73,COLUMN()+6,4)),MATCH($B53,INDIRECT($B$1&amp;"!$A$8:$A$73"),0)),CONFIG!$A$15:$B$28,2,FALSE),"")</f>
        <v/>
      </c>
      <c r="T53" s="157">
        <f>IFERROR(VLOOKUP(INDEX(INDIRECT($B$1&amp;"!"&amp;ADDRESS(8,COLUMN()+6,4)&amp;":"&amp;ADDRESS(73,COLUMN()+6,4)),MATCH($B53,INDIRECT($B$1&amp;"!$A$8:$A$73"),0)),CONFIG!$A$15:$B$28,2,FALSE),"")</f>
        <v/>
      </c>
      <c r="U53" s="157">
        <f>IFERROR(VLOOKUP(INDEX(INDIRECT($B$1&amp;"!"&amp;ADDRESS(8,COLUMN()+6,4)&amp;":"&amp;ADDRESS(73,COLUMN()+6,4)),MATCH($B53,INDIRECT($B$1&amp;"!$A$8:$A$73"),0)),CONFIG!$A$15:$B$28,2,FALSE),"")</f>
        <v/>
      </c>
      <c r="V53" s="157">
        <f>IFERROR(VLOOKUP(INDEX(INDIRECT($B$1&amp;"!"&amp;ADDRESS(8,COLUMN()+6,4)&amp;":"&amp;ADDRESS(73,COLUMN()+6,4)),MATCH($B53,INDIRECT($B$1&amp;"!$A$8:$A$73"),0)),CONFIG!$A$15:$B$28,2,FALSE),"")</f>
        <v/>
      </c>
      <c r="W53" s="157">
        <f>IFERROR(VLOOKUP(INDEX(INDIRECT($B$1&amp;"!"&amp;ADDRESS(8,COLUMN()+6,4)&amp;":"&amp;ADDRESS(73,COLUMN()+6,4)),MATCH($B53,INDIRECT($B$1&amp;"!$A$8:$A$73"),0)),CONFIG!$A$15:$B$28,2,FALSE),"")</f>
        <v/>
      </c>
      <c r="X53" s="157">
        <f>IFERROR(VLOOKUP(INDEX(INDIRECT($B$1&amp;"!"&amp;ADDRESS(8,COLUMN()+6,4)&amp;":"&amp;ADDRESS(73,COLUMN()+6,4)),MATCH($B53,INDIRECT($B$1&amp;"!$A$8:$A$73"),0)),CONFIG!$A$15:$B$28,2,FALSE),"")</f>
        <v/>
      </c>
      <c r="Y53" s="157">
        <f>IFERROR(VLOOKUP(INDEX(INDIRECT($B$1&amp;"!"&amp;ADDRESS(8,COLUMN()+6,4)&amp;":"&amp;ADDRESS(73,COLUMN()+6,4)),MATCH($B53,INDIRECT($B$1&amp;"!$A$8:$A$73"),0)),CONFIG!$A$15:$B$28,2,FALSE),"")</f>
        <v/>
      </c>
      <c r="Z53" s="157">
        <f>IFERROR(VLOOKUP(INDEX(INDIRECT($B$1&amp;"!"&amp;ADDRESS(8,COLUMN()+6,4)&amp;":"&amp;ADDRESS(73,COLUMN()+6,4)),MATCH($B53,INDIRECT($B$1&amp;"!$A$8:$A$73"),0)),CONFIG!$A$15:$B$28,2,FALSE),"")</f>
        <v/>
      </c>
      <c r="AA53" s="157">
        <f>IFERROR(VLOOKUP(INDEX(INDIRECT($B$1&amp;"!"&amp;ADDRESS(8,COLUMN()+6,4)&amp;":"&amp;ADDRESS(73,COLUMN()+6,4)),MATCH($B53,INDIRECT($B$1&amp;"!$A$8:$A$73"),0)),CONFIG!$A$15:$B$28,2,FALSE),"")</f>
        <v/>
      </c>
      <c r="AB53" s="157">
        <f>IFERROR(VLOOKUP(INDEX(INDIRECT($B$1&amp;"!"&amp;ADDRESS(8,COLUMN()+6,4)&amp;":"&amp;ADDRESS(73,COLUMN()+6,4)),MATCH($B53,INDIRECT($B$1&amp;"!$A$8:$A$73"),0)),CONFIG!$A$15:$B$28,2,FALSE),"")</f>
        <v/>
      </c>
      <c r="AC53" s="157">
        <f>IFERROR(VLOOKUP(INDEX(INDIRECT($B$1&amp;"!"&amp;ADDRESS(8,COLUMN()+6,4)&amp;":"&amp;ADDRESS(73,COLUMN()+6,4)),MATCH($B53,INDIRECT($B$1&amp;"!$A$8:$A$73"),0)),CONFIG!$A$15:$B$28,2,FALSE),"")</f>
        <v/>
      </c>
      <c r="AD53" s="157">
        <f>IFERROR(VLOOKUP(INDEX(INDIRECT($B$1&amp;"!"&amp;ADDRESS(8,COLUMN()+6,4)&amp;":"&amp;ADDRESS(73,COLUMN()+6,4)),MATCH($B53,INDIRECT($B$1&amp;"!$A$8:$A$73"),0)),CONFIG!$A$15:$B$28,2,FALSE),"")</f>
        <v/>
      </c>
      <c r="AE53" s="157">
        <f>IFERROR(VLOOKUP(INDEX(INDIRECT($B$1&amp;"!"&amp;ADDRESS(8,COLUMN()+6,4)&amp;":"&amp;ADDRESS(73,COLUMN()+6,4)),MATCH($B53,INDIRECT($B$1&amp;"!$A$8:$A$73"),0)),CONFIG!$A$15:$B$28,2,FALSE),"")</f>
        <v/>
      </c>
      <c r="AF53" s="157">
        <f>IFERROR(VLOOKUP(INDEX(INDIRECT($B$1&amp;"!"&amp;ADDRESS(8,COLUMN()+6,4)&amp;":"&amp;ADDRESS(73,COLUMN()+6,4)),MATCH($B53,INDIRECT($B$1&amp;"!$A$8:$A$73"),0)),CONFIG!$A$15:$B$28,2,FALSE),"")</f>
        <v/>
      </c>
      <c r="AG53" s="157">
        <f>IFERROR(VLOOKUP(INDEX(INDIRECT($B$1&amp;"!"&amp;ADDRESS(8,COLUMN()+6,4)&amp;":"&amp;ADDRESS(73,COLUMN()+6,4)),MATCH($B53,INDIRECT($B$1&amp;"!$A$8:$A$73"),0)),CONFIG!$A$15:$B$28,2,FALSE),"")</f>
        <v/>
      </c>
      <c r="AH53" s="157">
        <f>IFERROR(VLOOKUP(INDEX(INDIRECT($B$1&amp;"!"&amp;ADDRESS(8,COLUMN()+6,4)&amp;":"&amp;ADDRESS(73,COLUMN()+6,4)),MATCH($B53,INDIRECT($B$1&amp;"!$A$8:$A$73"),0)),CONFIG!$A$15:$B$28,2,FALSE),"")</f>
        <v/>
      </c>
      <c r="AI53" s="39" t="n"/>
    </row>
    <row r="54">
      <c r="A54" s="155" t="inlineStr">
        <is>
          <t>Ana Kozak</t>
        </is>
      </c>
      <c r="B54" s="156" t="inlineStr">
        <is>
          <t>Kozak</t>
        </is>
      </c>
      <c r="C54" s="157">
        <f>IFERROR(VLOOKUP(INDEX(INDIRECT($B$1&amp;"!"&amp;ADDRESS(8,COLUMN()+6,4)&amp;":"&amp;ADDRESS(73,COLUMN()+6,4)),MATCH($B54,INDIRECT($B$1&amp;"!$A$8:$A$73"),0)),CONFIG!$A$15:$B$28,2,FALSE),"")</f>
        <v/>
      </c>
      <c r="D54" s="157">
        <f>IFERROR(VLOOKUP(INDEX(INDIRECT($B$1&amp;"!"&amp;ADDRESS(8,COLUMN()+6,4)&amp;":"&amp;ADDRESS(73,COLUMN()+6,4)),MATCH($B54,INDIRECT($B$1&amp;"!$A$8:$A$73"),0)),CONFIG!$A$15:$B$28,2,FALSE),"")</f>
        <v/>
      </c>
      <c r="E54" s="157">
        <f>IFERROR(VLOOKUP(INDEX(INDIRECT($B$1&amp;"!"&amp;ADDRESS(8,COLUMN()+6,4)&amp;":"&amp;ADDRESS(73,COLUMN()+6,4)),MATCH($B54,INDIRECT($B$1&amp;"!$A$8:$A$73"),0)),CONFIG!$A$15:$B$28,2,FALSE),"")</f>
        <v/>
      </c>
      <c r="F54" s="157">
        <f>IFERROR(VLOOKUP(INDEX(INDIRECT($B$1&amp;"!"&amp;ADDRESS(8,COLUMN()+6,4)&amp;":"&amp;ADDRESS(73,COLUMN()+6,4)),MATCH($B54,INDIRECT($B$1&amp;"!$A$8:$A$73"),0)),CONFIG!$A$15:$B$28,2,FALSE),"")</f>
        <v/>
      </c>
      <c r="G54" s="157">
        <f>IFERROR(VLOOKUP(INDEX(INDIRECT($B$1&amp;"!"&amp;ADDRESS(8,COLUMN()+6,4)&amp;":"&amp;ADDRESS(73,COLUMN()+6,4)),MATCH($B54,INDIRECT($B$1&amp;"!$A$8:$A$73"),0)),CONFIG!$A$15:$B$28,2,FALSE),"")</f>
        <v/>
      </c>
      <c r="H54" s="157">
        <f>IFERROR(VLOOKUP(INDEX(INDIRECT($B$1&amp;"!"&amp;ADDRESS(8,COLUMN()+6,4)&amp;":"&amp;ADDRESS(73,COLUMN()+6,4)),MATCH($B54,INDIRECT($B$1&amp;"!$A$8:$A$73"),0)),CONFIG!$A$15:$B$28,2,FALSE),"")</f>
        <v/>
      </c>
      <c r="I54" s="157">
        <f>IFERROR(VLOOKUP(INDEX(INDIRECT($B$1&amp;"!"&amp;ADDRESS(8,COLUMN()+6,4)&amp;":"&amp;ADDRESS(73,COLUMN()+6,4)),MATCH($B54,INDIRECT($B$1&amp;"!$A$8:$A$73"),0)),CONFIG!$A$15:$B$28,2,FALSE),"")</f>
        <v/>
      </c>
      <c r="J54" s="157">
        <f>IFERROR(VLOOKUP(INDEX(INDIRECT($B$1&amp;"!"&amp;ADDRESS(8,COLUMN()+6,4)&amp;":"&amp;ADDRESS(73,COLUMN()+6,4)),MATCH($B54,INDIRECT($B$1&amp;"!$A$8:$A$73"),0)),CONFIG!$A$15:$B$28,2,FALSE),"")</f>
        <v/>
      </c>
      <c r="K54" s="157">
        <f>IFERROR(VLOOKUP(INDEX(INDIRECT($B$1&amp;"!"&amp;ADDRESS(8,COLUMN()+6,4)&amp;":"&amp;ADDRESS(73,COLUMN()+6,4)),MATCH($B54,INDIRECT($B$1&amp;"!$A$8:$A$73"),0)),CONFIG!$A$15:$B$28,2,FALSE),"")</f>
        <v/>
      </c>
      <c r="L54" s="157">
        <f>IFERROR(VLOOKUP(INDEX(INDIRECT($B$1&amp;"!"&amp;ADDRESS(8,COLUMN()+6,4)&amp;":"&amp;ADDRESS(73,COLUMN()+6,4)),MATCH($B54,INDIRECT($B$1&amp;"!$A$8:$A$73"),0)),CONFIG!$A$15:$B$28,2,FALSE),"")</f>
        <v/>
      </c>
      <c r="M54" s="157">
        <f>IFERROR(VLOOKUP(INDEX(INDIRECT($B$1&amp;"!"&amp;ADDRESS(8,COLUMN()+6,4)&amp;":"&amp;ADDRESS(73,COLUMN()+6,4)),MATCH($B54,INDIRECT($B$1&amp;"!$A$8:$A$73"),0)),CONFIG!$A$15:$B$28,2,FALSE),"")</f>
        <v/>
      </c>
      <c r="N54" s="157">
        <f>IFERROR(VLOOKUP(INDEX(INDIRECT($B$1&amp;"!"&amp;ADDRESS(8,COLUMN()+6,4)&amp;":"&amp;ADDRESS(73,COLUMN()+6,4)),MATCH($B54,INDIRECT($B$1&amp;"!$A$8:$A$73"),0)),CONFIG!$A$15:$B$28,2,FALSE),"")</f>
        <v/>
      </c>
      <c r="O54" s="157">
        <f>IFERROR(VLOOKUP(INDEX(INDIRECT($B$1&amp;"!"&amp;ADDRESS(8,COLUMN()+6,4)&amp;":"&amp;ADDRESS(73,COLUMN()+6,4)),MATCH($B54,INDIRECT($B$1&amp;"!$A$8:$A$73"),0)),CONFIG!$A$15:$B$28,2,FALSE),"")</f>
        <v/>
      </c>
      <c r="P54" s="157">
        <f>IFERROR(VLOOKUP(INDEX(INDIRECT($B$1&amp;"!"&amp;ADDRESS(8,COLUMN()+6,4)&amp;":"&amp;ADDRESS(73,COLUMN()+6,4)),MATCH($B54,INDIRECT($B$1&amp;"!$A$8:$A$73"),0)),CONFIG!$A$15:$B$28,2,FALSE),"")</f>
        <v/>
      </c>
      <c r="Q54" s="157">
        <f>IFERROR(VLOOKUP(INDEX(INDIRECT($B$1&amp;"!"&amp;ADDRESS(8,COLUMN()+6,4)&amp;":"&amp;ADDRESS(73,COLUMN()+6,4)),MATCH($B54,INDIRECT($B$1&amp;"!$A$8:$A$73"),0)),CONFIG!$A$15:$B$28,2,FALSE),"")</f>
        <v/>
      </c>
      <c r="R54" s="157">
        <f>IFERROR(VLOOKUP(INDEX(INDIRECT($B$1&amp;"!"&amp;ADDRESS(8,COLUMN()+6,4)&amp;":"&amp;ADDRESS(73,COLUMN()+6,4)),MATCH($B54,INDIRECT($B$1&amp;"!$A$8:$A$73"),0)),CONFIG!$A$15:$B$28,2,FALSE),"")</f>
        <v/>
      </c>
      <c r="S54" s="157">
        <f>IFERROR(VLOOKUP(INDEX(INDIRECT($B$1&amp;"!"&amp;ADDRESS(8,COLUMN()+6,4)&amp;":"&amp;ADDRESS(73,COLUMN()+6,4)),MATCH($B54,INDIRECT($B$1&amp;"!$A$8:$A$73"),0)),CONFIG!$A$15:$B$28,2,FALSE),"")</f>
        <v/>
      </c>
      <c r="T54" s="157">
        <f>IFERROR(VLOOKUP(INDEX(INDIRECT($B$1&amp;"!"&amp;ADDRESS(8,COLUMN()+6,4)&amp;":"&amp;ADDRESS(73,COLUMN()+6,4)),MATCH($B54,INDIRECT($B$1&amp;"!$A$8:$A$73"),0)),CONFIG!$A$15:$B$28,2,FALSE),"")</f>
        <v/>
      </c>
      <c r="U54" s="157">
        <f>IFERROR(VLOOKUP(INDEX(INDIRECT($B$1&amp;"!"&amp;ADDRESS(8,COLUMN()+6,4)&amp;":"&amp;ADDRESS(73,COLUMN()+6,4)),MATCH($B54,INDIRECT($B$1&amp;"!$A$8:$A$73"),0)),CONFIG!$A$15:$B$28,2,FALSE),"")</f>
        <v/>
      </c>
      <c r="V54" s="157">
        <f>IFERROR(VLOOKUP(INDEX(INDIRECT($B$1&amp;"!"&amp;ADDRESS(8,COLUMN()+6,4)&amp;":"&amp;ADDRESS(73,COLUMN()+6,4)),MATCH($B54,INDIRECT($B$1&amp;"!$A$8:$A$73"),0)),CONFIG!$A$15:$B$28,2,FALSE),"")</f>
        <v/>
      </c>
      <c r="W54" s="157">
        <f>IFERROR(VLOOKUP(INDEX(INDIRECT($B$1&amp;"!"&amp;ADDRESS(8,COLUMN()+6,4)&amp;":"&amp;ADDRESS(73,COLUMN()+6,4)),MATCH($B54,INDIRECT($B$1&amp;"!$A$8:$A$73"),0)),CONFIG!$A$15:$B$28,2,FALSE),"")</f>
        <v/>
      </c>
      <c r="X54" s="157">
        <f>IFERROR(VLOOKUP(INDEX(INDIRECT($B$1&amp;"!"&amp;ADDRESS(8,COLUMN()+6,4)&amp;":"&amp;ADDRESS(73,COLUMN()+6,4)),MATCH($B54,INDIRECT($B$1&amp;"!$A$8:$A$73"),0)),CONFIG!$A$15:$B$28,2,FALSE),"")</f>
        <v/>
      </c>
      <c r="Y54" s="157">
        <f>IFERROR(VLOOKUP(INDEX(INDIRECT($B$1&amp;"!"&amp;ADDRESS(8,COLUMN()+6,4)&amp;":"&amp;ADDRESS(73,COLUMN()+6,4)),MATCH($B54,INDIRECT($B$1&amp;"!$A$8:$A$73"),0)),CONFIG!$A$15:$B$28,2,FALSE),"")</f>
        <v/>
      </c>
      <c r="Z54" s="157">
        <f>IFERROR(VLOOKUP(INDEX(INDIRECT($B$1&amp;"!"&amp;ADDRESS(8,COLUMN()+6,4)&amp;":"&amp;ADDRESS(73,COLUMN()+6,4)),MATCH($B54,INDIRECT($B$1&amp;"!$A$8:$A$73"),0)),CONFIG!$A$15:$B$28,2,FALSE),"")</f>
        <v/>
      </c>
      <c r="AA54" s="157">
        <f>IFERROR(VLOOKUP(INDEX(INDIRECT($B$1&amp;"!"&amp;ADDRESS(8,COLUMN()+6,4)&amp;":"&amp;ADDRESS(73,COLUMN()+6,4)),MATCH($B54,INDIRECT($B$1&amp;"!$A$8:$A$73"),0)),CONFIG!$A$15:$B$28,2,FALSE),"")</f>
        <v/>
      </c>
      <c r="AB54" s="157">
        <f>IFERROR(VLOOKUP(INDEX(INDIRECT($B$1&amp;"!"&amp;ADDRESS(8,COLUMN()+6,4)&amp;":"&amp;ADDRESS(73,COLUMN()+6,4)),MATCH($B54,INDIRECT($B$1&amp;"!$A$8:$A$73"),0)),CONFIG!$A$15:$B$28,2,FALSE),"")</f>
        <v/>
      </c>
      <c r="AC54" s="157">
        <f>IFERROR(VLOOKUP(INDEX(INDIRECT($B$1&amp;"!"&amp;ADDRESS(8,COLUMN()+6,4)&amp;":"&amp;ADDRESS(73,COLUMN()+6,4)),MATCH($B54,INDIRECT($B$1&amp;"!$A$8:$A$73"),0)),CONFIG!$A$15:$B$28,2,FALSE),"")</f>
        <v/>
      </c>
      <c r="AD54" s="157">
        <f>IFERROR(VLOOKUP(INDEX(INDIRECT($B$1&amp;"!"&amp;ADDRESS(8,COLUMN()+6,4)&amp;":"&amp;ADDRESS(73,COLUMN()+6,4)),MATCH($B54,INDIRECT($B$1&amp;"!$A$8:$A$73"),0)),CONFIG!$A$15:$B$28,2,FALSE),"")</f>
        <v/>
      </c>
      <c r="AE54" s="157">
        <f>IFERROR(VLOOKUP(INDEX(INDIRECT($B$1&amp;"!"&amp;ADDRESS(8,COLUMN()+6,4)&amp;":"&amp;ADDRESS(73,COLUMN()+6,4)),MATCH($B54,INDIRECT($B$1&amp;"!$A$8:$A$73"),0)),CONFIG!$A$15:$B$28,2,FALSE),"")</f>
        <v/>
      </c>
      <c r="AF54" s="157">
        <f>IFERROR(VLOOKUP(INDEX(INDIRECT($B$1&amp;"!"&amp;ADDRESS(8,COLUMN()+6,4)&amp;":"&amp;ADDRESS(73,COLUMN()+6,4)),MATCH($B54,INDIRECT($B$1&amp;"!$A$8:$A$73"),0)),CONFIG!$A$15:$B$28,2,FALSE),"")</f>
        <v/>
      </c>
      <c r="AG54" s="157">
        <f>IFERROR(VLOOKUP(INDEX(INDIRECT($B$1&amp;"!"&amp;ADDRESS(8,COLUMN()+6,4)&amp;":"&amp;ADDRESS(73,COLUMN()+6,4)),MATCH($B54,INDIRECT($B$1&amp;"!$A$8:$A$73"),0)),CONFIG!$A$15:$B$28,2,FALSE),"")</f>
        <v/>
      </c>
      <c r="AH54" s="157">
        <f>IFERROR(VLOOKUP(INDEX(INDIRECT($B$1&amp;"!"&amp;ADDRESS(8,COLUMN()+6,4)&amp;":"&amp;ADDRESS(73,COLUMN()+6,4)),MATCH($B54,INDIRECT($B$1&amp;"!$A$8:$A$73"),0)),CONFIG!$A$15:$B$28,2,FALSE),"")</f>
        <v/>
      </c>
      <c r="AI54" s="39" t="n"/>
    </row>
    <row r="55">
      <c r="A55" s="155" t="inlineStr">
        <is>
          <t>Laura Haydee</t>
        </is>
      </c>
      <c r="B55" s="156" t="inlineStr">
        <is>
          <t>Laura</t>
        </is>
      </c>
      <c r="C55" s="157">
        <f>IFERROR(VLOOKUP(INDEX(INDIRECT($B$1&amp;"!"&amp;ADDRESS(8,COLUMN()+6,4)&amp;":"&amp;ADDRESS(73,COLUMN()+6,4)),MATCH($B55,INDIRECT($B$1&amp;"!$A$8:$A$73"),0)),CONFIG!$A$15:$B$28,2,FALSE),"")</f>
        <v/>
      </c>
      <c r="D55" s="157">
        <f>IFERROR(VLOOKUP(INDEX(INDIRECT($B$1&amp;"!"&amp;ADDRESS(8,COLUMN()+6,4)&amp;":"&amp;ADDRESS(73,COLUMN()+6,4)),MATCH($B55,INDIRECT($B$1&amp;"!$A$8:$A$73"),0)),CONFIG!$A$15:$B$28,2,FALSE),"")</f>
        <v/>
      </c>
      <c r="E55" s="157">
        <f>IFERROR(VLOOKUP(INDEX(INDIRECT($B$1&amp;"!"&amp;ADDRESS(8,COLUMN()+6,4)&amp;":"&amp;ADDRESS(73,COLUMN()+6,4)),MATCH($B55,INDIRECT($B$1&amp;"!$A$8:$A$73"),0)),CONFIG!$A$15:$B$28,2,FALSE),"")</f>
        <v/>
      </c>
      <c r="F55" s="157">
        <f>IFERROR(VLOOKUP(INDEX(INDIRECT($B$1&amp;"!"&amp;ADDRESS(8,COLUMN()+6,4)&amp;":"&amp;ADDRESS(73,COLUMN()+6,4)),MATCH($B55,INDIRECT($B$1&amp;"!$A$8:$A$73"),0)),CONFIG!$A$15:$B$28,2,FALSE),"")</f>
        <v/>
      </c>
      <c r="G55" s="157">
        <f>IFERROR(VLOOKUP(INDEX(INDIRECT($B$1&amp;"!"&amp;ADDRESS(8,COLUMN()+6,4)&amp;":"&amp;ADDRESS(73,COLUMN()+6,4)),MATCH($B55,INDIRECT($B$1&amp;"!$A$8:$A$73"),0)),CONFIG!$A$15:$B$28,2,FALSE),"")</f>
        <v/>
      </c>
      <c r="H55" s="157">
        <f>IFERROR(VLOOKUP(INDEX(INDIRECT($B$1&amp;"!"&amp;ADDRESS(8,COLUMN()+6,4)&amp;":"&amp;ADDRESS(73,COLUMN()+6,4)),MATCH($B55,INDIRECT($B$1&amp;"!$A$8:$A$73"),0)),CONFIG!$A$15:$B$28,2,FALSE),"")</f>
        <v/>
      </c>
      <c r="I55" s="157">
        <f>IFERROR(VLOOKUP(INDEX(INDIRECT($B$1&amp;"!"&amp;ADDRESS(8,COLUMN()+6,4)&amp;":"&amp;ADDRESS(73,COLUMN()+6,4)),MATCH($B55,INDIRECT($B$1&amp;"!$A$8:$A$73"),0)),CONFIG!$A$15:$B$28,2,FALSE),"")</f>
        <v/>
      </c>
      <c r="J55" s="157">
        <f>IFERROR(VLOOKUP(INDEX(INDIRECT($B$1&amp;"!"&amp;ADDRESS(8,COLUMN()+6,4)&amp;":"&amp;ADDRESS(73,COLUMN()+6,4)),MATCH($B55,INDIRECT($B$1&amp;"!$A$8:$A$73"),0)),CONFIG!$A$15:$B$28,2,FALSE),"")</f>
        <v/>
      </c>
      <c r="K55" s="157">
        <f>IFERROR(VLOOKUP(INDEX(INDIRECT($B$1&amp;"!"&amp;ADDRESS(8,COLUMN()+6,4)&amp;":"&amp;ADDRESS(73,COLUMN()+6,4)),MATCH($B55,INDIRECT($B$1&amp;"!$A$8:$A$73"),0)),CONFIG!$A$15:$B$28,2,FALSE),"")</f>
        <v/>
      </c>
      <c r="L55" s="157">
        <f>IFERROR(VLOOKUP(INDEX(INDIRECT($B$1&amp;"!"&amp;ADDRESS(8,COLUMN()+6,4)&amp;":"&amp;ADDRESS(73,COLUMN()+6,4)),MATCH($B55,INDIRECT($B$1&amp;"!$A$8:$A$73"),0)),CONFIG!$A$15:$B$28,2,FALSE),"")</f>
        <v/>
      </c>
      <c r="M55" s="157">
        <f>IFERROR(VLOOKUP(INDEX(INDIRECT($B$1&amp;"!"&amp;ADDRESS(8,COLUMN()+6,4)&amp;":"&amp;ADDRESS(73,COLUMN()+6,4)),MATCH($B55,INDIRECT($B$1&amp;"!$A$8:$A$73"),0)),CONFIG!$A$15:$B$28,2,FALSE),"")</f>
        <v/>
      </c>
      <c r="N55" s="157">
        <f>IFERROR(VLOOKUP(INDEX(INDIRECT($B$1&amp;"!"&amp;ADDRESS(8,COLUMN()+6,4)&amp;":"&amp;ADDRESS(73,COLUMN()+6,4)),MATCH($B55,INDIRECT($B$1&amp;"!$A$8:$A$73"),0)),CONFIG!$A$15:$B$28,2,FALSE),"")</f>
        <v/>
      </c>
      <c r="O55" s="157">
        <f>IFERROR(VLOOKUP(INDEX(INDIRECT($B$1&amp;"!"&amp;ADDRESS(8,COLUMN()+6,4)&amp;":"&amp;ADDRESS(73,COLUMN()+6,4)),MATCH($B55,INDIRECT($B$1&amp;"!$A$8:$A$73"),0)),CONFIG!$A$15:$B$28,2,FALSE),"")</f>
        <v/>
      </c>
      <c r="P55" s="157">
        <f>IFERROR(VLOOKUP(INDEX(INDIRECT($B$1&amp;"!"&amp;ADDRESS(8,COLUMN()+6,4)&amp;":"&amp;ADDRESS(73,COLUMN()+6,4)),MATCH($B55,INDIRECT($B$1&amp;"!$A$8:$A$73"),0)),CONFIG!$A$15:$B$28,2,FALSE),"")</f>
        <v/>
      </c>
      <c r="Q55" s="157">
        <f>IFERROR(VLOOKUP(INDEX(INDIRECT($B$1&amp;"!"&amp;ADDRESS(8,COLUMN()+6,4)&amp;":"&amp;ADDRESS(73,COLUMN()+6,4)),MATCH($B55,INDIRECT($B$1&amp;"!$A$8:$A$73"),0)),CONFIG!$A$15:$B$28,2,FALSE),"")</f>
        <v/>
      </c>
      <c r="R55" s="157">
        <f>IFERROR(VLOOKUP(INDEX(INDIRECT($B$1&amp;"!"&amp;ADDRESS(8,COLUMN()+6,4)&amp;":"&amp;ADDRESS(73,COLUMN()+6,4)),MATCH($B55,INDIRECT($B$1&amp;"!$A$8:$A$73"),0)),CONFIG!$A$15:$B$28,2,FALSE),"")</f>
        <v/>
      </c>
      <c r="S55" s="157">
        <f>IFERROR(VLOOKUP(INDEX(INDIRECT($B$1&amp;"!"&amp;ADDRESS(8,COLUMN()+6,4)&amp;":"&amp;ADDRESS(73,COLUMN()+6,4)),MATCH($B55,INDIRECT($B$1&amp;"!$A$8:$A$73"),0)),CONFIG!$A$15:$B$28,2,FALSE),"")</f>
        <v/>
      </c>
      <c r="T55" s="157">
        <f>IFERROR(VLOOKUP(INDEX(INDIRECT($B$1&amp;"!"&amp;ADDRESS(8,COLUMN()+6,4)&amp;":"&amp;ADDRESS(73,COLUMN()+6,4)),MATCH($B55,INDIRECT($B$1&amp;"!$A$8:$A$73"),0)),CONFIG!$A$15:$B$28,2,FALSE),"")</f>
        <v/>
      </c>
      <c r="U55" s="157">
        <f>IFERROR(VLOOKUP(INDEX(INDIRECT($B$1&amp;"!"&amp;ADDRESS(8,COLUMN()+6,4)&amp;":"&amp;ADDRESS(73,COLUMN()+6,4)),MATCH($B55,INDIRECT($B$1&amp;"!$A$8:$A$73"),0)),CONFIG!$A$15:$B$28,2,FALSE),"")</f>
        <v/>
      </c>
      <c r="V55" s="157">
        <f>IFERROR(VLOOKUP(INDEX(INDIRECT($B$1&amp;"!"&amp;ADDRESS(8,COLUMN()+6,4)&amp;":"&amp;ADDRESS(73,COLUMN()+6,4)),MATCH($B55,INDIRECT($B$1&amp;"!$A$8:$A$73"),0)),CONFIG!$A$15:$B$28,2,FALSE),"")</f>
        <v/>
      </c>
      <c r="W55" s="157">
        <f>IFERROR(VLOOKUP(INDEX(INDIRECT($B$1&amp;"!"&amp;ADDRESS(8,COLUMN()+6,4)&amp;":"&amp;ADDRESS(73,COLUMN()+6,4)),MATCH($B55,INDIRECT($B$1&amp;"!$A$8:$A$73"),0)),CONFIG!$A$15:$B$28,2,FALSE),"")</f>
        <v/>
      </c>
      <c r="X55" s="157">
        <f>IFERROR(VLOOKUP(INDEX(INDIRECT($B$1&amp;"!"&amp;ADDRESS(8,COLUMN()+6,4)&amp;":"&amp;ADDRESS(73,COLUMN()+6,4)),MATCH($B55,INDIRECT($B$1&amp;"!$A$8:$A$73"),0)),CONFIG!$A$15:$B$28,2,FALSE),"")</f>
        <v/>
      </c>
      <c r="Y55" s="157">
        <f>IFERROR(VLOOKUP(INDEX(INDIRECT($B$1&amp;"!"&amp;ADDRESS(8,COLUMN()+6,4)&amp;":"&amp;ADDRESS(73,COLUMN()+6,4)),MATCH($B55,INDIRECT($B$1&amp;"!$A$8:$A$73"),0)),CONFIG!$A$15:$B$28,2,FALSE),"")</f>
        <v/>
      </c>
      <c r="Z55" s="157">
        <f>IFERROR(VLOOKUP(INDEX(INDIRECT($B$1&amp;"!"&amp;ADDRESS(8,COLUMN()+6,4)&amp;":"&amp;ADDRESS(73,COLUMN()+6,4)),MATCH($B55,INDIRECT($B$1&amp;"!$A$8:$A$73"),0)),CONFIG!$A$15:$B$28,2,FALSE),"")</f>
        <v/>
      </c>
      <c r="AA55" s="157">
        <f>IFERROR(VLOOKUP(INDEX(INDIRECT($B$1&amp;"!"&amp;ADDRESS(8,COLUMN()+6,4)&amp;":"&amp;ADDRESS(73,COLUMN()+6,4)),MATCH($B55,INDIRECT($B$1&amp;"!$A$8:$A$73"),0)),CONFIG!$A$15:$B$28,2,FALSE),"")</f>
        <v/>
      </c>
      <c r="AB55" s="157">
        <f>IFERROR(VLOOKUP(INDEX(INDIRECT($B$1&amp;"!"&amp;ADDRESS(8,COLUMN()+6,4)&amp;":"&amp;ADDRESS(73,COLUMN()+6,4)),MATCH($B55,INDIRECT($B$1&amp;"!$A$8:$A$73"),0)),CONFIG!$A$15:$B$28,2,FALSE),"")</f>
        <v/>
      </c>
      <c r="AC55" s="157">
        <f>IFERROR(VLOOKUP(INDEX(INDIRECT($B$1&amp;"!"&amp;ADDRESS(8,COLUMN()+6,4)&amp;":"&amp;ADDRESS(73,COLUMN()+6,4)),MATCH($B55,INDIRECT($B$1&amp;"!$A$8:$A$73"),0)),CONFIG!$A$15:$B$28,2,FALSE),"")</f>
        <v/>
      </c>
      <c r="AD55" s="157">
        <f>IFERROR(VLOOKUP(INDEX(INDIRECT($B$1&amp;"!"&amp;ADDRESS(8,COLUMN()+6,4)&amp;":"&amp;ADDRESS(73,COLUMN()+6,4)),MATCH($B55,INDIRECT($B$1&amp;"!$A$8:$A$73"),0)),CONFIG!$A$15:$B$28,2,FALSE),"")</f>
        <v/>
      </c>
      <c r="AE55" s="157">
        <f>IFERROR(VLOOKUP(INDEX(INDIRECT($B$1&amp;"!"&amp;ADDRESS(8,COLUMN()+6,4)&amp;":"&amp;ADDRESS(73,COLUMN()+6,4)),MATCH($B55,INDIRECT($B$1&amp;"!$A$8:$A$73"),0)),CONFIG!$A$15:$B$28,2,FALSE),"")</f>
        <v/>
      </c>
      <c r="AF55" s="157">
        <f>IFERROR(VLOOKUP(INDEX(INDIRECT($B$1&amp;"!"&amp;ADDRESS(8,COLUMN()+6,4)&amp;":"&amp;ADDRESS(73,COLUMN()+6,4)),MATCH($B55,INDIRECT($B$1&amp;"!$A$8:$A$73"),0)),CONFIG!$A$15:$B$28,2,FALSE),"")</f>
        <v/>
      </c>
      <c r="AG55" s="157">
        <f>IFERROR(VLOOKUP(INDEX(INDIRECT($B$1&amp;"!"&amp;ADDRESS(8,COLUMN()+6,4)&amp;":"&amp;ADDRESS(73,COLUMN()+6,4)),MATCH($B55,INDIRECT($B$1&amp;"!$A$8:$A$73"),0)),CONFIG!$A$15:$B$28,2,FALSE),"")</f>
        <v/>
      </c>
      <c r="AH55" s="157">
        <f>IFERROR(VLOOKUP(INDEX(INDIRECT($B$1&amp;"!"&amp;ADDRESS(8,COLUMN()+6,4)&amp;":"&amp;ADDRESS(73,COLUMN()+6,4)),MATCH($B55,INDIRECT($B$1&amp;"!$A$8:$A$73"),0)),CONFIG!$A$15:$B$28,2,FALSE),"")</f>
        <v/>
      </c>
      <c r="AI55" s="39" t="n"/>
    </row>
    <row r="56">
      <c r="A56" s="155" t="inlineStr">
        <is>
          <t>Letícia Café</t>
        </is>
      </c>
      <c r="B56" s="156" t="inlineStr">
        <is>
          <t>Leticia</t>
        </is>
      </c>
      <c r="C56" s="157">
        <f>IFERROR(VLOOKUP(INDEX(INDIRECT($B$1&amp;"!"&amp;ADDRESS(8,COLUMN()+6,4)&amp;":"&amp;ADDRESS(73,COLUMN()+6,4)),MATCH($B56,INDIRECT($B$1&amp;"!$A$8:$A$73"),0)),CONFIG!$A$15:$B$28,2,FALSE),"")</f>
        <v/>
      </c>
      <c r="D56" s="157">
        <f>IFERROR(VLOOKUP(INDEX(INDIRECT($B$1&amp;"!"&amp;ADDRESS(8,COLUMN()+6,4)&amp;":"&amp;ADDRESS(73,COLUMN()+6,4)),MATCH($B56,INDIRECT($B$1&amp;"!$A$8:$A$73"),0)),CONFIG!$A$15:$B$28,2,FALSE),"")</f>
        <v/>
      </c>
      <c r="E56" s="157">
        <f>IFERROR(VLOOKUP(INDEX(INDIRECT($B$1&amp;"!"&amp;ADDRESS(8,COLUMN()+6,4)&amp;":"&amp;ADDRESS(73,COLUMN()+6,4)),MATCH($B56,INDIRECT($B$1&amp;"!$A$8:$A$73"),0)),CONFIG!$A$15:$B$28,2,FALSE),"")</f>
        <v/>
      </c>
      <c r="F56" s="157">
        <f>IFERROR(VLOOKUP(INDEX(INDIRECT($B$1&amp;"!"&amp;ADDRESS(8,COLUMN()+6,4)&amp;":"&amp;ADDRESS(73,COLUMN()+6,4)),MATCH($B56,INDIRECT($B$1&amp;"!$A$8:$A$73"),0)),CONFIG!$A$15:$B$28,2,FALSE),"")</f>
        <v/>
      </c>
      <c r="G56" s="157">
        <f>IFERROR(VLOOKUP(INDEX(INDIRECT($B$1&amp;"!"&amp;ADDRESS(8,COLUMN()+6,4)&amp;":"&amp;ADDRESS(73,COLUMN()+6,4)),MATCH($B56,INDIRECT($B$1&amp;"!$A$8:$A$73"),0)),CONFIG!$A$15:$B$28,2,FALSE),"")</f>
        <v/>
      </c>
      <c r="H56" s="157">
        <f>IFERROR(VLOOKUP(INDEX(INDIRECT($B$1&amp;"!"&amp;ADDRESS(8,COLUMN()+6,4)&amp;":"&amp;ADDRESS(73,COLUMN()+6,4)),MATCH($B56,INDIRECT($B$1&amp;"!$A$8:$A$73"),0)),CONFIG!$A$15:$B$28,2,FALSE),"")</f>
        <v/>
      </c>
      <c r="I56" s="157">
        <f>IFERROR(VLOOKUP(INDEX(INDIRECT($B$1&amp;"!"&amp;ADDRESS(8,COLUMN()+6,4)&amp;":"&amp;ADDRESS(73,COLUMN()+6,4)),MATCH($B56,INDIRECT($B$1&amp;"!$A$8:$A$73"),0)),CONFIG!$A$15:$B$28,2,FALSE),"")</f>
        <v/>
      </c>
      <c r="J56" s="157">
        <f>IFERROR(VLOOKUP(INDEX(INDIRECT($B$1&amp;"!"&amp;ADDRESS(8,COLUMN()+6,4)&amp;":"&amp;ADDRESS(73,COLUMN()+6,4)),MATCH($B56,INDIRECT($B$1&amp;"!$A$8:$A$73"),0)),CONFIG!$A$15:$B$28,2,FALSE),"")</f>
        <v/>
      </c>
      <c r="K56" s="157">
        <f>IFERROR(VLOOKUP(INDEX(INDIRECT($B$1&amp;"!"&amp;ADDRESS(8,COLUMN()+6,4)&amp;":"&amp;ADDRESS(73,COLUMN()+6,4)),MATCH($B56,INDIRECT($B$1&amp;"!$A$8:$A$73"),0)),CONFIG!$A$15:$B$28,2,FALSE),"")</f>
        <v/>
      </c>
      <c r="L56" s="157">
        <f>IFERROR(VLOOKUP(INDEX(INDIRECT($B$1&amp;"!"&amp;ADDRESS(8,COLUMN()+6,4)&amp;":"&amp;ADDRESS(73,COLUMN()+6,4)),MATCH($B56,INDIRECT($B$1&amp;"!$A$8:$A$73"),0)),CONFIG!$A$15:$B$28,2,FALSE),"")</f>
        <v/>
      </c>
      <c r="M56" s="157">
        <f>IFERROR(VLOOKUP(INDEX(INDIRECT($B$1&amp;"!"&amp;ADDRESS(8,COLUMN()+6,4)&amp;":"&amp;ADDRESS(73,COLUMN()+6,4)),MATCH($B56,INDIRECT($B$1&amp;"!$A$8:$A$73"),0)),CONFIG!$A$15:$B$28,2,FALSE),"")</f>
        <v/>
      </c>
      <c r="N56" s="157">
        <f>IFERROR(VLOOKUP(INDEX(INDIRECT($B$1&amp;"!"&amp;ADDRESS(8,COLUMN()+6,4)&amp;":"&amp;ADDRESS(73,COLUMN()+6,4)),MATCH($B56,INDIRECT($B$1&amp;"!$A$8:$A$73"),0)),CONFIG!$A$15:$B$28,2,FALSE),"")</f>
        <v/>
      </c>
      <c r="O56" s="157">
        <f>IFERROR(VLOOKUP(INDEX(INDIRECT($B$1&amp;"!"&amp;ADDRESS(8,COLUMN()+6,4)&amp;":"&amp;ADDRESS(73,COLUMN()+6,4)),MATCH($B56,INDIRECT($B$1&amp;"!$A$8:$A$73"),0)),CONFIG!$A$15:$B$28,2,FALSE),"")</f>
        <v/>
      </c>
      <c r="P56" s="157">
        <f>IFERROR(VLOOKUP(INDEX(INDIRECT($B$1&amp;"!"&amp;ADDRESS(8,COLUMN()+6,4)&amp;":"&amp;ADDRESS(73,COLUMN()+6,4)),MATCH($B56,INDIRECT($B$1&amp;"!$A$8:$A$73"),0)),CONFIG!$A$15:$B$28,2,FALSE),"")</f>
        <v/>
      </c>
      <c r="Q56" s="157">
        <f>IFERROR(VLOOKUP(INDEX(INDIRECT($B$1&amp;"!"&amp;ADDRESS(8,COLUMN()+6,4)&amp;":"&amp;ADDRESS(73,COLUMN()+6,4)),MATCH($B56,INDIRECT($B$1&amp;"!$A$8:$A$73"),0)),CONFIG!$A$15:$B$28,2,FALSE),"")</f>
        <v/>
      </c>
      <c r="R56" s="157">
        <f>IFERROR(VLOOKUP(INDEX(INDIRECT($B$1&amp;"!"&amp;ADDRESS(8,COLUMN()+6,4)&amp;":"&amp;ADDRESS(73,COLUMN()+6,4)),MATCH($B56,INDIRECT($B$1&amp;"!$A$8:$A$73"),0)),CONFIG!$A$15:$B$28,2,FALSE),"")</f>
        <v/>
      </c>
      <c r="S56" s="157">
        <f>IFERROR(VLOOKUP(INDEX(INDIRECT($B$1&amp;"!"&amp;ADDRESS(8,COLUMN()+6,4)&amp;":"&amp;ADDRESS(73,COLUMN()+6,4)),MATCH($B56,INDIRECT($B$1&amp;"!$A$8:$A$73"),0)),CONFIG!$A$15:$B$28,2,FALSE),"")</f>
        <v/>
      </c>
      <c r="T56" s="157">
        <f>IFERROR(VLOOKUP(INDEX(INDIRECT($B$1&amp;"!"&amp;ADDRESS(8,COLUMN()+6,4)&amp;":"&amp;ADDRESS(73,COLUMN()+6,4)),MATCH($B56,INDIRECT($B$1&amp;"!$A$8:$A$73"),0)),CONFIG!$A$15:$B$28,2,FALSE),"")</f>
        <v/>
      </c>
      <c r="U56" s="157">
        <f>IFERROR(VLOOKUP(INDEX(INDIRECT($B$1&amp;"!"&amp;ADDRESS(8,COLUMN()+6,4)&amp;":"&amp;ADDRESS(73,COLUMN()+6,4)),MATCH($B56,INDIRECT($B$1&amp;"!$A$8:$A$73"),0)),CONFIG!$A$15:$B$28,2,FALSE),"")</f>
        <v/>
      </c>
      <c r="V56" s="157">
        <f>IFERROR(VLOOKUP(INDEX(INDIRECT($B$1&amp;"!"&amp;ADDRESS(8,COLUMN()+6,4)&amp;":"&amp;ADDRESS(73,COLUMN()+6,4)),MATCH($B56,INDIRECT($B$1&amp;"!$A$8:$A$73"),0)),CONFIG!$A$15:$B$28,2,FALSE),"")</f>
        <v/>
      </c>
      <c r="W56" s="157">
        <f>IFERROR(VLOOKUP(INDEX(INDIRECT($B$1&amp;"!"&amp;ADDRESS(8,COLUMN()+6,4)&amp;":"&amp;ADDRESS(73,COLUMN()+6,4)),MATCH($B56,INDIRECT($B$1&amp;"!$A$8:$A$73"),0)),CONFIG!$A$15:$B$28,2,FALSE),"")</f>
        <v/>
      </c>
      <c r="X56" s="157">
        <f>IFERROR(VLOOKUP(INDEX(INDIRECT($B$1&amp;"!"&amp;ADDRESS(8,COLUMN()+6,4)&amp;":"&amp;ADDRESS(73,COLUMN()+6,4)),MATCH($B56,INDIRECT($B$1&amp;"!$A$8:$A$73"),0)),CONFIG!$A$15:$B$28,2,FALSE),"")</f>
        <v/>
      </c>
      <c r="Y56" s="157">
        <f>IFERROR(VLOOKUP(INDEX(INDIRECT($B$1&amp;"!"&amp;ADDRESS(8,COLUMN()+6,4)&amp;":"&amp;ADDRESS(73,COLUMN()+6,4)),MATCH($B56,INDIRECT($B$1&amp;"!$A$8:$A$73"),0)),CONFIG!$A$15:$B$28,2,FALSE),"")</f>
        <v/>
      </c>
      <c r="Z56" s="157">
        <f>IFERROR(VLOOKUP(INDEX(INDIRECT($B$1&amp;"!"&amp;ADDRESS(8,COLUMN()+6,4)&amp;":"&amp;ADDRESS(73,COLUMN()+6,4)),MATCH($B56,INDIRECT($B$1&amp;"!$A$8:$A$73"),0)),CONFIG!$A$15:$B$28,2,FALSE),"")</f>
        <v/>
      </c>
      <c r="AA56" s="157">
        <f>IFERROR(VLOOKUP(INDEX(INDIRECT($B$1&amp;"!"&amp;ADDRESS(8,COLUMN()+6,4)&amp;":"&amp;ADDRESS(73,COLUMN()+6,4)),MATCH($B56,INDIRECT($B$1&amp;"!$A$8:$A$73"),0)),CONFIG!$A$15:$B$28,2,FALSE),"")</f>
        <v/>
      </c>
      <c r="AB56" s="157">
        <f>IFERROR(VLOOKUP(INDEX(INDIRECT($B$1&amp;"!"&amp;ADDRESS(8,COLUMN()+6,4)&amp;":"&amp;ADDRESS(73,COLUMN()+6,4)),MATCH($B56,INDIRECT($B$1&amp;"!$A$8:$A$73"),0)),CONFIG!$A$15:$B$28,2,FALSE),"")</f>
        <v/>
      </c>
      <c r="AC56" s="157">
        <f>IFERROR(VLOOKUP(INDEX(INDIRECT($B$1&amp;"!"&amp;ADDRESS(8,COLUMN()+6,4)&amp;":"&amp;ADDRESS(73,COLUMN()+6,4)),MATCH($B56,INDIRECT($B$1&amp;"!$A$8:$A$73"),0)),CONFIG!$A$15:$B$28,2,FALSE),"")</f>
        <v/>
      </c>
      <c r="AD56" s="157">
        <f>IFERROR(VLOOKUP(INDEX(INDIRECT($B$1&amp;"!"&amp;ADDRESS(8,COLUMN()+6,4)&amp;":"&amp;ADDRESS(73,COLUMN()+6,4)),MATCH($B56,INDIRECT($B$1&amp;"!$A$8:$A$73"),0)),CONFIG!$A$15:$B$28,2,FALSE),"")</f>
        <v/>
      </c>
      <c r="AE56" s="157">
        <f>IFERROR(VLOOKUP(INDEX(INDIRECT($B$1&amp;"!"&amp;ADDRESS(8,COLUMN()+6,4)&amp;":"&amp;ADDRESS(73,COLUMN()+6,4)),MATCH($B56,INDIRECT($B$1&amp;"!$A$8:$A$73"),0)),CONFIG!$A$15:$B$28,2,FALSE),"")</f>
        <v/>
      </c>
      <c r="AF56" s="157">
        <f>IFERROR(VLOOKUP(INDEX(INDIRECT($B$1&amp;"!"&amp;ADDRESS(8,COLUMN()+6,4)&amp;":"&amp;ADDRESS(73,COLUMN()+6,4)),MATCH($B56,INDIRECT($B$1&amp;"!$A$8:$A$73"),0)),CONFIG!$A$15:$B$28,2,FALSE),"")</f>
        <v/>
      </c>
      <c r="AG56" s="157">
        <f>IFERROR(VLOOKUP(INDEX(INDIRECT($B$1&amp;"!"&amp;ADDRESS(8,COLUMN()+6,4)&amp;":"&amp;ADDRESS(73,COLUMN()+6,4)),MATCH($B56,INDIRECT($B$1&amp;"!$A$8:$A$73"),0)),CONFIG!$A$15:$B$28,2,FALSE),"")</f>
        <v/>
      </c>
      <c r="AH56" s="157">
        <f>IFERROR(VLOOKUP(INDEX(INDIRECT($B$1&amp;"!"&amp;ADDRESS(8,COLUMN()+6,4)&amp;":"&amp;ADDRESS(73,COLUMN()+6,4)),MATCH($B56,INDIRECT($B$1&amp;"!$A$8:$A$73"),0)),CONFIG!$A$15:$B$28,2,FALSE),"")</f>
        <v/>
      </c>
      <c r="AI56" s="39" t="n"/>
    </row>
    <row r="57">
      <c r="A57" s="155" t="inlineStr">
        <is>
          <t>Luciana Costa</t>
        </is>
      </c>
      <c r="B57" s="156" t="inlineStr">
        <is>
          <t>LuCosta</t>
        </is>
      </c>
      <c r="C57" s="157">
        <f>IFERROR(VLOOKUP(INDEX(INDIRECT($B$1&amp;"!"&amp;ADDRESS(8,COLUMN()+6,4)&amp;":"&amp;ADDRESS(73,COLUMN()+6,4)),MATCH($B57,INDIRECT($B$1&amp;"!$A$8:$A$73"),0)),CONFIG!$A$15:$B$28,2,FALSE),"")</f>
        <v/>
      </c>
      <c r="D57" s="157">
        <f>IFERROR(VLOOKUP(INDEX(INDIRECT($B$1&amp;"!"&amp;ADDRESS(8,COLUMN()+6,4)&amp;":"&amp;ADDRESS(73,COLUMN()+6,4)),MATCH($B57,INDIRECT($B$1&amp;"!$A$8:$A$73"),0)),CONFIG!$A$15:$B$28,2,FALSE),"")</f>
        <v/>
      </c>
      <c r="E57" s="157">
        <f>IFERROR(VLOOKUP(INDEX(INDIRECT($B$1&amp;"!"&amp;ADDRESS(8,COLUMN()+6,4)&amp;":"&amp;ADDRESS(73,COLUMN()+6,4)),MATCH($B57,INDIRECT($B$1&amp;"!$A$8:$A$73"),0)),CONFIG!$A$15:$B$28,2,FALSE),"")</f>
        <v/>
      </c>
      <c r="F57" s="157">
        <f>IFERROR(VLOOKUP(INDEX(INDIRECT($B$1&amp;"!"&amp;ADDRESS(8,COLUMN()+6,4)&amp;":"&amp;ADDRESS(73,COLUMN()+6,4)),MATCH($B57,INDIRECT($B$1&amp;"!$A$8:$A$73"),0)),CONFIG!$A$15:$B$28,2,FALSE),"")</f>
        <v/>
      </c>
      <c r="G57" s="157">
        <f>IFERROR(VLOOKUP(INDEX(INDIRECT($B$1&amp;"!"&amp;ADDRESS(8,COLUMN()+6,4)&amp;":"&amp;ADDRESS(73,COLUMN()+6,4)),MATCH($B57,INDIRECT($B$1&amp;"!$A$8:$A$73"),0)),CONFIG!$A$15:$B$28,2,FALSE),"")</f>
        <v/>
      </c>
      <c r="H57" s="157">
        <f>IFERROR(VLOOKUP(INDEX(INDIRECT($B$1&amp;"!"&amp;ADDRESS(8,COLUMN()+6,4)&amp;":"&amp;ADDRESS(73,COLUMN()+6,4)),MATCH($B57,INDIRECT($B$1&amp;"!$A$8:$A$73"),0)),CONFIG!$A$15:$B$28,2,FALSE),"")</f>
        <v/>
      </c>
      <c r="I57" s="157">
        <f>IFERROR(VLOOKUP(INDEX(INDIRECT($B$1&amp;"!"&amp;ADDRESS(8,COLUMN()+6,4)&amp;":"&amp;ADDRESS(73,COLUMN()+6,4)),MATCH($B57,INDIRECT($B$1&amp;"!$A$8:$A$73"),0)),CONFIG!$A$15:$B$28,2,FALSE),"")</f>
        <v/>
      </c>
      <c r="J57" s="157">
        <f>IFERROR(VLOOKUP(INDEX(INDIRECT($B$1&amp;"!"&amp;ADDRESS(8,COLUMN()+6,4)&amp;":"&amp;ADDRESS(73,COLUMN()+6,4)),MATCH($B57,INDIRECT($B$1&amp;"!$A$8:$A$73"),0)),CONFIG!$A$15:$B$28,2,FALSE),"")</f>
        <v/>
      </c>
      <c r="K57" s="157">
        <f>IFERROR(VLOOKUP(INDEX(INDIRECT($B$1&amp;"!"&amp;ADDRESS(8,COLUMN()+6,4)&amp;":"&amp;ADDRESS(73,COLUMN()+6,4)),MATCH($B57,INDIRECT($B$1&amp;"!$A$8:$A$73"),0)),CONFIG!$A$15:$B$28,2,FALSE),"")</f>
        <v/>
      </c>
      <c r="L57" s="157">
        <f>IFERROR(VLOOKUP(INDEX(INDIRECT($B$1&amp;"!"&amp;ADDRESS(8,COLUMN()+6,4)&amp;":"&amp;ADDRESS(73,COLUMN()+6,4)),MATCH($B57,INDIRECT($B$1&amp;"!$A$8:$A$73"),0)),CONFIG!$A$15:$B$28,2,FALSE),"")</f>
        <v/>
      </c>
      <c r="M57" s="157">
        <f>IFERROR(VLOOKUP(INDEX(INDIRECT($B$1&amp;"!"&amp;ADDRESS(8,COLUMN()+6,4)&amp;":"&amp;ADDRESS(73,COLUMN()+6,4)),MATCH($B57,INDIRECT($B$1&amp;"!$A$8:$A$73"),0)),CONFIG!$A$15:$B$28,2,FALSE),"")</f>
        <v/>
      </c>
      <c r="N57" s="157">
        <f>IFERROR(VLOOKUP(INDEX(INDIRECT($B$1&amp;"!"&amp;ADDRESS(8,COLUMN()+6,4)&amp;":"&amp;ADDRESS(73,COLUMN()+6,4)),MATCH($B57,INDIRECT($B$1&amp;"!$A$8:$A$73"),0)),CONFIG!$A$15:$B$28,2,FALSE),"")</f>
        <v/>
      </c>
      <c r="O57" s="157">
        <f>IFERROR(VLOOKUP(INDEX(INDIRECT($B$1&amp;"!"&amp;ADDRESS(8,COLUMN()+6,4)&amp;":"&amp;ADDRESS(73,COLUMN()+6,4)),MATCH($B57,INDIRECT($B$1&amp;"!$A$8:$A$73"),0)),CONFIG!$A$15:$B$28,2,FALSE),"")</f>
        <v/>
      </c>
      <c r="P57" s="157">
        <f>IFERROR(VLOOKUP(INDEX(INDIRECT($B$1&amp;"!"&amp;ADDRESS(8,COLUMN()+6,4)&amp;":"&amp;ADDRESS(73,COLUMN()+6,4)),MATCH($B57,INDIRECT($B$1&amp;"!$A$8:$A$73"),0)),CONFIG!$A$15:$B$28,2,FALSE),"")</f>
        <v/>
      </c>
      <c r="Q57" s="157">
        <f>IFERROR(VLOOKUP(INDEX(INDIRECT($B$1&amp;"!"&amp;ADDRESS(8,COLUMN()+6,4)&amp;":"&amp;ADDRESS(73,COLUMN()+6,4)),MATCH($B57,INDIRECT($B$1&amp;"!$A$8:$A$73"),0)),CONFIG!$A$15:$B$28,2,FALSE),"")</f>
        <v/>
      </c>
      <c r="R57" s="157">
        <f>IFERROR(VLOOKUP(INDEX(INDIRECT($B$1&amp;"!"&amp;ADDRESS(8,COLUMN()+6,4)&amp;":"&amp;ADDRESS(73,COLUMN()+6,4)),MATCH($B57,INDIRECT($B$1&amp;"!$A$8:$A$73"),0)),CONFIG!$A$15:$B$28,2,FALSE),"")</f>
        <v/>
      </c>
      <c r="S57" s="157">
        <f>IFERROR(VLOOKUP(INDEX(INDIRECT($B$1&amp;"!"&amp;ADDRESS(8,COLUMN()+6,4)&amp;":"&amp;ADDRESS(73,COLUMN()+6,4)),MATCH($B57,INDIRECT($B$1&amp;"!$A$8:$A$73"),0)),CONFIG!$A$15:$B$28,2,FALSE),"")</f>
        <v/>
      </c>
      <c r="T57" s="157">
        <f>IFERROR(VLOOKUP(INDEX(INDIRECT($B$1&amp;"!"&amp;ADDRESS(8,COLUMN()+6,4)&amp;":"&amp;ADDRESS(73,COLUMN()+6,4)),MATCH($B57,INDIRECT($B$1&amp;"!$A$8:$A$73"),0)),CONFIG!$A$15:$B$28,2,FALSE),"")</f>
        <v/>
      </c>
      <c r="U57" s="157">
        <f>IFERROR(VLOOKUP(INDEX(INDIRECT($B$1&amp;"!"&amp;ADDRESS(8,COLUMN()+6,4)&amp;":"&amp;ADDRESS(73,COLUMN()+6,4)),MATCH($B57,INDIRECT($B$1&amp;"!$A$8:$A$73"),0)),CONFIG!$A$15:$B$28,2,FALSE),"")</f>
        <v/>
      </c>
      <c r="V57" s="157">
        <f>IFERROR(VLOOKUP(INDEX(INDIRECT($B$1&amp;"!"&amp;ADDRESS(8,COLUMN()+6,4)&amp;":"&amp;ADDRESS(73,COLUMN()+6,4)),MATCH($B57,INDIRECT($B$1&amp;"!$A$8:$A$73"),0)),CONFIG!$A$15:$B$28,2,FALSE),"")</f>
        <v/>
      </c>
      <c r="W57" s="157">
        <f>IFERROR(VLOOKUP(INDEX(INDIRECT($B$1&amp;"!"&amp;ADDRESS(8,COLUMN()+6,4)&amp;":"&amp;ADDRESS(73,COLUMN()+6,4)),MATCH($B57,INDIRECT($B$1&amp;"!$A$8:$A$73"),0)),CONFIG!$A$15:$B$28,2,FALSE),"")</f>
        <v/>
      </c>
      <c r="X57" s="157">
        <f>IFERROR(VLOOKUP(INDEX(INDIRECT($B$1&amp;"!"&amp;ADDRESS(8,COLUMN()+6,4)&amp;":"&amp;ADDRESS(73,COLUMN()+6,4)),MATCH($B57,INDIRECT($B$1&amp;"!$A$8:$A$73"),0)),CONFIG!$A$15:$B$28,2,FALSE),"")</f>
        <v/>
      </c>
      <c r="Y57" s="157">
        <f>IFERROR(VLOOKUP(INDEX(INDIRECT($B$1&amp;"!"&amp;ADDRESS(8,COLUMN()+6,4)&amp;":"&amp;ADDRESS(73,COLUMN()+6,4)),MATCH($B57,INDIRECT($B$1&amp;"!$A$8:$A$73"),0)),CONFIG!$A$15:$B$28,2,FALSE),"")</f>
        <v/>
      </c>
      <c r="Z57" s="157">
        <f>IFERROR(VLOOKUP(INDEX(INDIRECT($B$1&amp;"!"&amp;ADDRESS(8,COLUMN()+6,4)&amp;":"&amp;ADDRESS(73,COLUMN()+6,4)),MATCH($B57,INDIRECT($B$1&amp;"!$A$8:$A$73"),0)),CONFIG!$A$15:$B$28,2,FALSE),"")</f>
        <v/>
      </c>
      <c r="AA57" s="157">
        <f>IFERROR(VLOOKUP(INDEX(INDIRECT($B$1&amp;"!"&amp;ADDRESS(8,COLUMN()+6,4)&amp;":"&amp;ADDRESS(73,COLUMN()+6,4)),MATCH($B57,INDIRECT($B$1&amp;"!$A$8:$A$73"),0)),CONFIG!$A$15:$B$28,2,FALSE),"")</f>
        <v/>
      </c>
      <c r="AB57" s="157">
        <f>IFERROR(VLOOKUP(INDEX(INDIRECT($B$1&amp;"!"&amp;ADDRESS(8,COLUMN()+6,4)&amp;":"&amp;ADDRESS(73,COLUMN()+6,4)),MATCH($B57,INDIRECT($B$1&amp;"!$A$8:$A$73"),0)),CONFIG!$A$15:$B$28,2,FALSE),"")</f>
        <v/>
      </c>
      <c r="AC57" s="157">
        <f>IFERROR(VLOOKUP(INDEX(INDIRECT($B$1&amp;"!"&amp;ADDRESS(8,COLUMN()+6,4)&amp;":"&amp;ADDRESS(73,COLUMN()+6,4)),MATCH($B57,INDIRECT($B$1&amp;"!$A$8:$A$73"),0)),CONFIG!$A$15:$B$28,2,FALSE),"")</f>
        <v/>
      </c>
      <c r="AD57" s="157">
        <f>IFERROR(VLOOKUP(INDEX(INDIRECT($B$1&amp;"!"&amp;ADDRESS(8,COLUMN()+6,4)&amp;":"&amp;ADDRESS(73,COLUMN()+6,4)),MATCH($B57,INDIRECT($B$1&amp;"!$A$8:$A$73"),0)),CONFIG!$A$15:$B$28,2,FALSE),"")</f>
        <v/>
      </c>
      <c r="AE57" s="157">
        <f>IFERROR(VLOOKUP(INDEX(INDIRECT($B$1&amp;"!"&amp;ADDRESS(8,COLUMN()+6,4)&amp;":"&amp;ADDRESS(73,COLUMN()+6,4)),MATCH($B57,INDIRECT($B$1&amp;"!$A$8:$A$73"),0)),CONFIG!$A$15:$B$28,2,FALSE),"")</f>
        <v/>
      </c>
      <c r="AF57" s="157">
        <f>IFERROR(VLOOKUP(INDEX(INDIRECT($B$1&amp;"!"&amp;ADDRESS(8,COLUMN()+6,4)&amp;":"&amp;ADDRESS(73,COLUMN()+6,4)),MATCH($B57,INDIRECT($B$1&amp;"!$A$8:$A$73"),0)),CONFIG!$A$15:$B$28,2,FALSE),"")</f>
        <v/>
      </c>
      <c r="AG57" s="157">
        <f>IFERROR(VLOOKUP(INDEX(INDIRECT($B$1&amp;"!"&amp;ADDRESS(8,COLUMN()+6,4)&amp;":"&amp;ADDRESS(73,COLUMN()+6,4)),MATCH($B57,INDIRECT($B$1&amp;"!$A$8:$A$73"),0)),CONFIG!$A$15:$B$28,2,FALSE),"")</f>
        <v/>
      </c>
      <c r="AH57" s="157">
        <f>IFERROR(VLOOKUP(INDEX(INDIRECT($B$1&amp;"!"&amp;ADDRESS(8,COLUMN()+6,4)&amp;":"&amp;ADDRESS(73,COLUMN()+6,4)),MATCH($B57,INDIRECT($B$1&amp;"!$A$8:$A$73"),0)),CONFIG!$A$15:$B$28,2,FALSE),"")</f>
        <v/>
      </c>
      <c r="AI57" s="39" t="n"/>
    </row>
    <row r="58">
      <c r="A58" s="155" t="inlineStr">
        <is>
          <t>Marcia</t>
        </is>
      </c>
      <c r="B58" s="156" t="inlineStr">
        <is>
          <t>Marcia</t>
        </is>
      </c>
      <c r="C58" s="157">
        <f>IFERROR(VLOOKUP(INDEX(INDIRECT($B$1&amp;"!"&amp;ADDRESS(8,COLUMN()+6,4)&amp;":"&amp;ADDRESS(73,COLUMN()+6,4)),MATCH($B58,INDIRECT($B$1&amp;"!$A$8:$A$73"),0)),CONFIG!$A$15:$B$28,2,FALSE),"")</f>
        <v/>
      </c>
      <c r="D58" s="157">
        <f>IFERROR(VLOOKUP(INDEX(INDIRECT($B$1&amp;"!"&amp;ADDRESS(8,COLUMN()+6,4)&amp;":"&amp;ADDRESS(73,COLUMN()+6,4)),MATCH($B58,INDIRECT($B$1&amp;"!$A$8:$A$73"),0)),CONFIG!$A$15:$B$28,2,FALSE),"")</f>
        <v/>
      </c>
      <c r="E58" s="157">
        <f>IFERROR(VLOOKUP(INDEX(INDIRECT($B$1&amp;"!"&amp;ADDRESS(8,COLUMN()+6,4)&amp;":"&amp;ADDRESS(73,COLUMN()+6,4)),MATCH($B58,INDIRECT($B$1&amp;"!$A$8:$A$73"),0)),CONFIG!$A$15:$B$28,2,FALSE),"")</f>
        <v/>
      </c>
      <c r="F58" s="157">
        <f>IFERROR(VLOOKUP(INDEX(INDIRECT($B$1&amp;"!"&amp;ADDRESS(8,COLUMN()+6,4)&amp;":"&amp;ADDRESS(73,COLUMN()+6,4)),MATCH($B58,INDIRECT($B$1&amp;"!$A$8:$A$73"),0)),CONFIG!$A$15:$B$28,2,FALSE),"")</f>
        <v/>
      </c>
      <c r="G58" s="157">
        <f>IFERROR(VLOOKUP(INDEX(INDIRECT($B$1&amp;"!"&amp;ADDRESS(8,COLUMN()+6,4)&amp;":"&amp;ADDRESS(73,COLUMN()+6,4)),MATCH($B58,INDIRECT($B$1&amp;"!$A$8:$A$73"),0)),CONFIG!$A$15:$B$28,2,FALSE),"")</f>
        <v/>
      </c>
      <c r="H58" s="157">
        <f>IFERROR(VLOOKUP(INDEX(INDIRECT($B$1&amp;"!"&amp;ADDRESS(8,COLUMN()+6,4)&amp;":"&amp;ADDRESS(73,COLUMN()+6,4)),MATCH($B58,INDIRECT($B$1&amp;"!$A$8:$A$73"),0)),CONFIG!$A$15:$B$28,2,FALSE),"")</f>
        <v/>
      </c>
      <c r="I58" s="157">
        <f>IFERROR(VLOOKUP(INDEX(INDIRECT($B$1&amp;"!"&amp;ADDRESS(8,COLUMN()+6,4)&amp;":"&amp;ADDRESS(73,COLUMN()+6,4)),MATCH($B58,INDIRECT($B$1&amp;"!$A$8:$A$73"),0)),CONFIG!$A$15:$B$28,2,FALSE),"")</f>
        <v/>
      </c>
      <c r="J58" s="157">
        <f>IFERROR(VLOOKUP(INDEX(INDIRECT($B$1&amp;"!"&amp;ADDRESS(8,COLUMN()+6,4)&amp;":"&amp;ADDRESS(73,COLUMN()+6,4)),MATCH($B58,INDIRECT($B$1&amp;"!$A$8:$A$73"),0)),CONFIG!$A$15:$B$28,2,FALSE),"")</f>
        <v/>
      </c>
      <c r="K58" s="157">
        <f>IFERROR(VLOOKUP(INDEX(INDIRECT($B$1&amp;"!"&amp;ADDRESS(8,COLUMN()+6,4)&amp;":"&amp;ADDRESS(73,COLUMN()+6,4)),MATCH($B58,INDIRECT($B$1&amp;"!$A$8:$A$73"),0)),CONFIG!$A$15:$B$28,2,FALSE),"")</f>
        <v/>
      </c>
      <c r="L58" s="157">
        <f>IFERROR(VLOOKUP(INDEX(INDIRECT($B$1&amp;"!"&amp;ADDRESS(8,COLUMN()+6,4)&amp;":"&amp;ADDRESS(73,COLUMN()+6,4)),MATCH($B58,INDIRECT($B$1&amp;"!$A$8:$A$73"),0)),CONFIG!$A$15:$B$28,2,FALSE),"")</f>
        <v/>
      </c>
      <c r="M58" s="157">
        <f>IFERROR(VLOOKUP(INDEX(INDIRECT($B$1&amp;"!"&amp;ADDRESS(8,COLUMN()+6,4)&amp;":"&amp;ADDRESS(73,COLUMN()+6,4)),MATCH($B58,INDIRECT($B$1&amp;"!$A$8:$A$73"),0)),CONFIG!$A$15:$B$28,2,FALSE),"")</f>
        <v/>
      </c>
      <c r="N58" s="157">
        <f>IFERROR(VLOOKUP(INDEX(INDIRECT($B$1&amp;"!"&amp;ADDRESS(8,COLUMN()+6,4)&amp;":"&amp;ADDRESS(73,COLUMN()+6,4)),MATCH($B58,INDIRECT($B$1&amp;"!$A$8:$A$73"),0)),CONFIG!$A$15:$B$28,2,FALSE),"")</f>
        <v/>
      </c>
      <c r="O58" s="157">
        <f>IFERROR(VLOOKUP(INDEX(INDIRECT($B$1&amp;"!"&amp;ADDRESS(8,COLUMN()+6,4)&amp;":"&amp;ADDRESS(73,COLUMN()+6,4)),MATCH($B58,INDIRECT($B$1&amp;"!$A$8:$A$73"),0)),CONFIG!$A$15:$B$28,2,FALSE),"")</f>
        <v/>
      </c>
      <c r="P58" s="157">
        <f>IFERROR(VLOOKUP(INDEX(INDIRECT($B$1&amp;"!"&amp;ADDRESS(8,COLUMN()+6,4)&amp;":"&amp;ADDRESS(73,COLUMN()+6,4)),MATCH($B58,INDIRECT($B$1&amp;"!$A$8:$A$73"),0)),CONFIG!$A$15:$B$28,2,FALSE),"")</f>
        <v/>
      </c>
      <c r="Q58" s="157">
        <f>IFERROR(VLOOKUP(INDEX(INDIRECT($B$1&amp;"!"&amp;ADDRESS(8,COLUMN()+6,4)&amp;":"&amp;ADDRESS(73,COLUMN()+6,4)),MATCH($B58,INDIRECT($B$1&amp;"!$A$8:$A$73"),0)),CONFIG!$A$15:$B$28,2,FALSE),"")</f>
        <v/>
      </c>
      <c r="R58" s="157">
        <f>IFERROR(VLOOKUP(INDEX(INDIRECT($B$1&amp;"!"&amp;ADDRESS(8,COLUMN()+6,4)&amp;":"&amp;ADDRESS(73,COLUMN()+6,4)),MATCH($B58,INDIRECT($B$1&amp;"!$A$8:$A$73"),0)),CONFIG!$A$15:$B$28,2,FALSE),"")</f>
        <v/>
      </c>
      <c r="S58" s="157">
        <f>IFERROR(VLOOKUP(INDEX(INDIRECT($B$1&amp;"!"&amp;ADDRESS(8,COLUMN()+6,4)&amp;":"&amp;ADDRESS(73,COLUMN()+6,4)),MATCH($B58,INDIRECT($B$1&amp;"!$A$8:$A$73"),0)),CONFIG!$A$15:$B$28,2,FALSE),"")</f>
        <v/>
      </c>
      <c r="T58" s="157">
        <f>IFERROR(VLOOKUP(INDEX(INDIRECT($B$1&amp;"!"&amp;ADDRESS(8,COLUMN()+6,4)&amp;":"&amp;ADDRESS(73,COLUMN()+6,4)),MATCH($B58,INDIRECT($B$1&amp;"!$A$8:$A$73"),0)),CONFIG!$A$15:$B$28,2,FALSE),"")</f>
        <v/>
      </c>
      <c r="U58" s="157">
        <f>IFERROR(VLOOKUP(INDEX(INDIRECT($B$1&amp;"!"&amp;ADDRESS(8,COLUMN()+6,4)&amp;":"&amp;ADDRESS(73,COLUMN()+6,4)),MATCH($B58,INDIRECT($B$1&amp;"!$A$8:$A$73"),0)),CONFIG!$A$15:$B$28,2,FALSE),"")</f>
        <v/>
      </c>
      <c r="V58" s="157">
        <f>IFERROR(VLOOKUP(INDEX(INDIRECT($B$1&amp;"!"&amp;ADDRESS(8,COLUMN()+6,4)&amp;":"&amp;ADDRESS(73,COLUMN()+6,4)),MATCH($B58,INDIRECT($B$1&amp;"!$A$8:$A$73"),0)),CONFIG!$A$15:$B$28,2,FALSE),"")</f>
        <v/>
      </c>
      <c r="W58" s="157">
        <f>IFERROR(VLOOKUP(INDEX(INDIRECT($B$1&amp;"!"&amp;ADDRESS(8,COLUMN()+6,4)&amp;":"&amp;ADDRESS(73,COLUMN()+6,4)),MATCH($B58,INDIRECT($B$1&amp;"!$A$8:$A$73"),0)),CONFIG!$A$15:$B$28,2,FALSE),"")</f>
        <v/>
      </c>
      <c r="X58" s="157">
        <f>IFERROR(VLOOKUP(INDEX(INDIRECT($B$1&amp;"!"&amp;ADDRESS(8,COLUMN()+6,4)&amp;":"&amp;ADDRESS(73,COLUMN()+6,4)),MATCH($B58,INDIRECT($B$1&amp;"!$A$8:$A$73"),0)),CONFIG!$A$15:$B$28,2,FALSE),"")</f>
        <v/>
      </c>
      <c r="Y58" s="157">
        <f>IFERROR(VLOOKUP(INDEX(INDIRECT($B$1&amp;"!"&amp;ADDRESS(8,COLUMN()+6,4)&amp;":"&amp;ADDRESS(73,COLUMN()+6,4)),MATCH($B58,INDIRECT($B$1&amp;"!$A$8:$A$73"),0)),CONFIG!$A$15:$B$28,2,FALSE),"")</f>
        <v/>
      </c>
      <c r="Z58" s="157">
        <f>IFERROR(VLOOKUP(INDEX(INDIRECT($B$1&amp;"!"&amp;ADDRESS(8,COLUMN()+6,4)&amp;":"&amp;ADDRESS(73,COLUMN()+6,4)),MATCH($B58,INDIRECT($B$1&amp;"!$A$8:$A$73"),0)),CONFIG!$A$15:$B$28,2,FALSE),"")</f>
        <v/>
      </c>
      <c r="AA58" s="157">
        <f>IFERROR(VLOOKUP(INDEX(INDIRECT($B$1&amp;"!"&amp;ADDRESS(8,COLUMN()+6,4)&amp;":"&amp;ADDRESS(73,COLUMN()+6,4)),MATCH($B58,INDIRECT($B$1&amp;"!$A$8:$A$73"),0)),CONFIG!$A$15:$B$28,2,FALSE),"")</f>
        <v/>
      </c>
      <c r="AB58" s="157">
        <f>IFERROR(VLOOKUP(INDEX(INDIRECT($B$1&amp;"!"&amp;ADDRESS(8,COLUMN()+6,4)&amp;":"&amp;ADDRESS(73,COLUMN()+6,4)),MATCH($B58,INDIRECT($B$1&amp;"!$A$8:$A$73"),0)),CONFIG!$A$15:$B$28,2,FALSE),"")</f>
        <v/>
      </c>
      <c r="AC58" s="157">
        <f>IFERROR(VLOOKUP(INDEX(INDIRECT($B$1&amp;"!"&amp;ADDRESS(8,COLUMN()+6,4)&amp;":"&amp;ADDRESS(73,COLUMN()+6,4)),MATCH($B58,INDIRECT($B$1&amp;"!$A$8:$A$73"),0)),CONFIG!$A$15:$B$28,2,FALSE),"")</f>
        <v/>
      </c>
      <c r="AD58" s="157">
        <f>IFERROR(VLOOKUP(INDEX(INDIRECT($B$1&amp;"!"&amp;ADDRESS(8,COLUMN()+6,4)&amp;":"&amp;ADDRESS(73,COLUMN()+6,4)),MATCH($B58,INDIRECT($B$1&amp;"!$A$8:$A$73"),0)),CONFIG!$A$15:$B$28,2,FALSE),"")</f>
        <v/>
      </c>
      <c r="AE58" s="157">
        <f>IFERROR(VLOOKUP(INDEX(INDIRECT($B$1&amp;"!"&amp;ADDRESS(8,COLUMN()+6,4)&amp;":"&amp;ADDRESS(73,COLUMN()+6,4)),MATCH($B58,INDIRECT($B$1&amp;"!$A$8:$A$73"),0)),CONFIG!$A$15:$B$28,2,FALSE),"")</f>
        <v/>
      </c>
      <c r="AF58" s="157">
        <f>IFERROR(VLOOKUP(INDEX(INDIRECT($B$1&amp;"!"&amp;ADDRESS(8,COLUMN()+6,4)&amp;":"&amp;ADDRESS(73,COLUMN()+6,4)),MATCH($B58,INDIRECT($B$1&amp;"!$A$8:$A$73"),0)),CONFIG!$A$15:$B$28,2,FALSE),"")</f>
        <v/>
      </c>
      <c r="AG58" s="157">
        <f>IFERROR(VLOOKUP(INDEX(INDIRECT($B$1&amp;"!"&amp;ADDRESS(8,COLUMN()+6,4)&amp;":"&amp;ADDRESS(73,COLUMN()+6,4)),MATCH($B58,INDIRECT($B$1&amp;"!$A$8:$A$73"),0)),CONFIG!$A$15:$B$28,2,FALSE),"")</f>
        <v/>
      </c>
      <c r="AH58" s="157">
        <f>IFERROR(VLOOKUP(INDEX(INDIRECT($B$1&amp;"!"&amp;ADDRESS(8,COLUMN()+6,4)&amp;":"&amp;ADDRESS(73,COLUMN()+6,4)),MATCH($B58,INDIRECT($B$1&amp;"!$A$8:$A$73"),0)),CONFIG!$A$15:$B$28,2,FALSE),"")</f>
        <v/>
      </c>
      <c r="AI58" s="39" t="n"/>
    </row>
    <row r="59">
      <c r="A59" s="155" t="inlineStr">
        <is>
          <t>Mayara Wobido</t>
        </is>
      </c>
      <c r="B59" s="156" t="inlineStr">
        <is>
          <t>MayWobido</t>
        </is>
      </c>
      <c r="C59" s="157">
        <f>IFERROR(VLOOKUP(INDEX(INDIRECT($B$1&amp;"!"&amp;ADDRESS(8,COLUMN()+6,4)&amp;":"&amp;ADDRESS(73,COLUMN()+6,4)),MATCH($B59,INDIRECT($B$1&amp;"!$A$8:$A$73"),0)),CONFIG!$A$15:$B$28,2,FALSE),"")</f>
        <v/>
      </c>
      <c r="D59" s="157">
        <f>IFERROR(VLOOKUP(INDEX(INDIRECT($B$1&amp;"!"&amp;ADDRESS(8,COLUMN()+6,4)&amp;":"&amp;ADDRESS(73,COLUMN()+6,4)),MATCH($B59,INDIRECT($B$1&amp;"!$A$8:$A$73"),0)),CONFIG!$A$15:$B$28,2,FALSE),"")</f>
        <v/>
      </c>
      <c r="E59" s="157">
        <f>IFERROR(VLOOKUP(INDEX(INDIRECT($B$1&amp;"!"&amp;ADDRESS(8,COLUMN()+6,4)&amp;":"&amp;ADDRESS(73,COLUMN()+6,4)),MATCH($B59,INDIRECT($B$1&amp;"!$A$8:$A$73"),0)),CONFIG!$A$15:$B$28,2,FALSE),"")</f>
        <v/>
      </c>
      <c r="F59" s="157">
        <f>IFERROR(VLOOKUP(INDEX(INDIRECT($B$1&amp;"!"&amp;ADDRESS(8,COLUMN()+6,4)&amp;":"&amp;ADDRESS(73,COLUMN()+6,4)),MATCH($B59,INDIRECT($B$1&amp;"!$A$8:$A$73"),0)),CONFIG!$A$15:$B$28,2,FALSE),"")</f>
        <v/>
      </c>
      <c r="G59" s="157">
        <f>IFERROR(VLOOKUP(INDEX(INDIRECT($B$1&amp;"!"&amp;ADDRESS(8,COLUMN()+6,4)&amp;":"&amp;ADDRESS(73,COLUMN()+6,4)),MATCH($B59,INDIRECT($B$1&amp;"!$A$8:$A$73"),0)),CONFIG!$A$15:$B$28,2,FALSE),"")</f>
        <v/>
      </c>
      <c r="H59" s="157">
        <f>IFERROR(VLOOKUP(INDEX(INDIRECT($B$1&amp;"!"&amp;ADDRESS(8,COLUMN()+6,4)&amp;":"&amp;ADDRESS(73,COLUMN()+6,4)),MATCH($B59,INDIRECT($B$1&amp;"!$A$8:$A$73"),0)),CONFIG!$A$15:$B$28,2,FALSE),"")</f>
        <v/>
      </c>
      <c r="I59" s="157">
        <f>IFERROR(VLOOKUP(INDEX(INDIRECT($B$1&amp;"!"&amp;ADDRESS(8,COLUMN()+6,4)&amp;":"&amp;ADDRESS(73,COLUMN()+6,4)),MATCH($B59,INDIRECT($B$1&amp;"!$A$8:$A$73"),0)),CONFIG!$A$15:$B$28,2,FALSE),"")</f>
        <v/>
      </c>
      <c r="J59" s="157">
        <f>IFERROR(VLOOKUP(INDEX(INDIRECT($B$1&amp;"!"&amp;ADDRESS(8,COLUMN()+6,4)&amp;":"&amp;ADDRESS(73,COLUMN()+6,4)),MATCH($B59,INDIRECT($B$1&amp;"!$A$8:$A$73"),0)),CONFIG!$A$15:$B$28,2,FALSE),"")</f>
        <v/>
      </c>
      <c r="K59" s="157">
        <f>IFERROR(VLOOKUP(INDEX(INDIRECT($B$1&amp;"!"&amp;ADDRESS(8,COLUMN()+6,4)&amp;":"&amp;ADDRESS(73,COLUMN()+6,4)),MATCH($B59,INDIRECT($B$1&amp;"!$A$8:$A$73"),0)),CONFIG!$A$15:$B$28,2,FALSE),"")</f>
        <v/>
      </c>
      <c r="L59" s="157">
        <f>IFERROR(VLOOKUP(INDEX(INDIRECT($B$1&amp;"!"&amp;ADDRESS(8,COLUMN()+6,4)&amp;":"&amp;ADDRESS(73,COLUMN()+6,4)),MATCH($B59,INDIRECT($B$1&amp;"!$A$8:$A$73"),0)),CONFIG!$A$15:$B$28,2,FALSE),"")</f>
        <v/>
      </c>
      <c r="M59" s="157">
        <f>IFERROR(VLOOKUP(INDEX(INDIRECT($B$1&amp;"!"&amp;ADDRESS(8,COLUMN()+6,4)&amp;":"&amp;ADDRESS(73,COLUMN()+6,4)),MATCH($B59,INDIRECT($B$1&amp;"!$A$8:$A$73"),0)),CONFIG!$A$15:$B$28,2,FALSE),"")</f>
        <v/>
      </c>
      <c r="N59" s="157">
        <f>IFERROR(VLOOKUP(INDEX(INDIRECT($B$1&amp;"!"&amp;ADDRESS(8,COLUMN()+6,4)&amp;":"&amp;ADDRESS(73,COLUMN()+6,4)),MATCH($B59,INDIRECT($B$1&amp;"!$A$8:$A$73"),0)),CONFIG!$A$15:$B$28,2,FALSE),"")</f>
        <v/>
      </c>
      <c r="O59" s="157">
        <f>IFERROR(VLOOKUP(INDEX(INDIRECT($B$1&amp;"!"&amp;ADDRESS(8,COLUMN()+6,4)&amp;":"&amp;ADDRESS(73,COLUMN()+6,4)),MATCH($B59,INDIRECT($B$1&amp;"!$A$8:$A$73"),0)),CONFIG!$A$15:$B$28,2,FALSE),"")</f>
        <v/>
      </c>
      <c r="P59" s="157">
        <f>IFERROR(VLOOKUP(INDEX(INDIRECT($B$1&amp;"!"&amp;ADDRESS(8,COLUMN()+6,4)&amp;":"&amp;ADDRESS(73,COLUMN()+6,4)),MATCH($B59,INDIRECT($B$1&amp;"!$A$8:$A$73"),0)),CONFIG!$A$15:$B$28,2,FALSE),"")</f>
        <v/>
      </c>
      <c r="Q59" s="157">
        <f>IFERROR(VLOOKUP(INDEX(INDIRECT($B$1&amp;"!"&amp;ADDRESS(8,COLUMN()+6,4)&amp;":"&amp;ADDRESS(73,COLUMN()+6,4)),MATCH($B59,INDIRECT($B$1&amp;"!$A$8:$A$73"),0)),CONFIG!$A$15:$B$28,2,FALSE),"")</f>
        <v/>
      </c>
      <c r="R59" s="157">
        <f>IFERROR(VLOOKUP(INDEX(INDIRECT($B$1&amp;"!"&amp;ADDRESS(8,COLUMN()+6,4)&amp;":"&amp;ADDRESS(73,COLUMN()+6,4)),MATCH($B59,INDIRECT($B$1&amp;"!$A$8:$A$73"),0)),CONFIG!$A$15:$B$28,2,FALSE),"")</f>
        <v/>
      </c>
      <c r="S59" s="157">
        <f>IFERROR(VLOOKUP(INDEX(INDIRECT($B$1&amp;"!"&amp;ADDRESS(8,COLUMN()+6,4)&amp;":"&amp;ADDRESS(73,COLUMN()+6,4)),MATCH($B59,INDIRECT($B$1&amp;"!$A$8:$A$73"),0)),CONFIG!$A$15:$B$28,2,FALSE),"")</f>
        <v/>
      </c>
      <c r="T59" s="157">
        <f>IFERROR(VLOOKUP(INDEX(INDIRECT($B$1&amp;"!"&amp;ADDRESS(8,COLUMN()+6,4)&amp;":"&amp;ADDRESS(73,COLUMN()+6,4)),MATCH($B59,INDIRECT($B$1&amp;"!$A$8:$A$73"),0)),CONFIG!$A$15:$B$28,2,FALSE),"")</f>
        <v/>
      </c>
      <c r="U59" s="157">
        <f>IFERROR(VLOOKUP(INDEX(INDIRECT($B$1&amp;"!"&amp;ADDRESS(8,COLUMN()+6,4)&amp;":"&amp;ADDRESS(73,COLUMN()+6,4)),MATCH($B59,INDIRECT($B$1&amp;"!$A$8:$A$73"),0)),CONFIG!$A$15:$B$28,2,FALSE),"")</f>
        <v/>
      </c>
      <c r="V59" s="157">
        <f>IFERROR(VLOOKUP(INDEX(INDIRECT($B$1&amp;"!"&amp;ADDRESS(8,COLUMN()+6,4)&amp;":"&amp;ADDRESS(73,COLUMN()+6,4)),MATCH($B59,INDIRECT($B$1&amp;"!$A$8:$A$73"),0)),CONFIG!$A$15:$B$28,2,FALSE),"")</f>
        <v/>
      </c>
      <c r="W59" s="157">
        <f>IFERROR(VLOOKUP(INDEX(INDIRECT($B$1&amp;"!"&amp;ADDRESS(8,COLUMN()+6,4)&amp;":"&amp;ADDRESS(73,COLUMN()+6,4)),MATCH($B59,INDIRECT($B$1&amp;"!$A$8:$A$73"),0)),CONFIG!$A$15:$B$28,2,FALSE),"")</f>
        <v/>
      </c>
      <c r="X59" s="157">
        <f>IFERROR(VLOOKUP(INDEX(INDIRECT($B$1&amp;"!"&amp;ADDRESS(8,COLUMN()+6,4)&amp;":"&amp;ADDRESS(73,COLUMN()+6,4)),MATCH($B59,INDIRECT($B$1&amp;"!$A$8:$A$73"),0)),CONFIG!$A$15:$B$28,2,FALSE),"")</f>
        <v/>
      </c>
      <c r="Y59" s="157">
        <f>IFERROR(VLOOKUP(INDEX(INDIRECT($B$1&amp;"!"&amp;ADDRESS(8,COLUMN()+6,4)&amp;":"&amp;ADDRESS(73,COLUMN()+6,4)),MATCH($B59,INDIRECT($B$1&amp;"!$A$8:$A$73"),0)),CONFIG!$A$15:$B$28,2,FALSE),"")</f>
        <v/>
      </c>
      <c r="Z59" s="157">
        <f>IFERROR(VLOOKUP(INDEX(INDIRECT($B$1&amp;"!"&amp;ADDRESS(8,COLUMN()+6,4)&amp;":"&amp;ADDRESS(73,COLUMN()+6,4)),MATCH($B59,INDIRECT($B$1&amp;"!$A$8:$A$73"),0)),CONFIG!$A$15:$B$28,2,FALSE),"")</f>
        <v/>
      </c>
      <c r="AA59" s="157">
        <f>IFERROR(VLOOKUP(INDEX(INDIRECT($B$1&amp;"!"&amp;ADDRESS(8,COLUMN()+6,4)&amp;":"&amp;ADDRESS(73,COLUMN()+6,4)),MATCH($B59,INDIRECT($B$1&amp;"!$A$8:$A$73"),0)),CONFIG!$A$15:$B$28,2,FALSE),"")</f>
        <v/>
      </c>
      <c r="AB59" s="157">
        <f>IFERROR(VLOOKUP(INDEX(INDIRECT($B$1&amp;"!"&amp;ADDRESS(8,COLUMN()+6,4)&amp;":"&amp;ADDRESS(73,COLUMN()+6,4)),MATCH($B59,INDIRECT($B$1&amp;"!$A$8:$A$73"),0)),CONFIG!$A$15:$B$28,2,FALSE),"")</f>
        <v/>
      </c>
      <c r="AC59" s="157">
        <f>IFERROR(VLOOKUP(INDEX(INDIRECT($B$1&amp;"!"&amp;ADDRESS(8,COLUMN()+6,4)&amp;":"&amp;ADDRESS(73,COLUMN()+6,4)),MATCH($B59,INDIRECT($B$1&amp;"!$A$8:$A$73"),0)),CONFIG!$A$15:$B$28,2,FALSE),"")</f>
        <v/>
      </c>
      <c r="AD59" s="157">
        <f>IFERROR(VLOOKUP(INDEX(INDIRECT($B$1&amp;"!"&amp;ADDRESS(8,COLUMN()+6,4)&amp;":"&amp;ADDRESS(73,COLUMN()+6,4)),MATCH($B59,INDIRECT($B$1&amp;"!$A$8:$A$73"),0)),CONFIG!$A$15:$B$28,2,FALSE),"")</f>
        <v/>
      </c>
      <c r="AE59" s="157">
        <f>IFERROR(VLOOKUP(INDEX(INDIRECT($B$1&amp;"!"&amp;ADDRESS(8,COLUMN()+6,4)&amp;":"&amp;ADDRESS(73,COLUMN()+6,4)),MATCH($B59,INDIRECT($B$1&amp;"!$A$8:$A$73"),0)),CONFIG!$A$15:$B$28,2,FALSE),"")</f>
        <v/>
      </c>
      <c r="AF59" s="157">
        <f>IFERROR(VLOOKUP(INDEX(INDIRECT($B$1&amp;"!"&amp;ADDRESS(8,COLUMN()+6,4)&amp;":"&amp;ADDRESS(73,COLUMN()+6,4)),MATCH($B59,INDIRECT($B$1&amp;"!$A$8:$A$73"),0)),CONFIG!$A$15:$B$28,2,FALSE),"")</f>
        <v/>
      </c>
      <c r="AG59" s="157">
        <f>IFERROR(VLOOKUP(INDEX(INDIRECT($B$1&amp;"!"&amp;ADDRESS(8,COLUMN()+6,4)&amp;":"&amp;ADDRESS(73,COLUMN()+6,4)),MATCH($B59,INDIRECT($B$1&amp;"!$A$8:$A$73"),0)),CONFIG!$A$15:$B$28,2,FALSE),"")</f>
        <v/>
      </c>
      <c r="AH59" s="157">
        <f>IFERROR(VLOOKUP(INDEX(INDIRECT($B$1&amp;"!"&amp;ADDRESS(8,COLUMN()+6,4)&amp;":"&amp;ADDRESS(73,COLUMN()+6,4)),MATCH($B59,INDIRECT($B$1&amp;"!$A$8:$A$73"),0)),CONFIG!$A$15:$B$28,2,FALSE),"")</f>
        <v/>
      </c>
      <c r="AI59" s="39" t="n"/>
    </row>
    <row r="60">
      <c r="A60" s="155" t="inlineStr">
        <is>
          <t>Luciana Melara</t>
        </is>
      </c>
      <c r="B60" s="156" t="inlineStr">
        <is>
          <t>Melara</t>
        </is>
      </c>
      <c r="C60" s="157">
        <f>IFERROR(VLOOKUP(INDEX(INDIRECT($B$1&amp;"!"&amp;ADDRESS(8,COLUMN()+6,4)&amp;":"&amp;ADDRESS(73,COLUMN()+6,4)),MATCH($B60,INDIRECT($B$1&amp;"!$A$8:$A$73"),0)),CONFIG!$A$15:$B$28,2,FALSE),"")</f>
        <v/>
      </c>
      <c r="D60" s="157">
        <f>IFERROR(VLOOKUP(INDEX(INDIRECT($B$1&amp;"!"&amp;ADDRESS(8,COLUMN()+6,4)&amp;":"&amp;ADDRESS(73,COLUMN()+6,4)),MATCH($B60,INDIRECT($B$1&amp;"!$A$8:$A$73"),0)),CONFIG!$A$15:$B$28,2,FALSE),"")</f>
        <v/>
      </c>
      <c r="E60" s="157">
        <f>IFERROR(VLOOKUP(INDEX(INDIRECT($B$1&amp;"!"&amp;ADDRESS(8,COLUMN()+6,4)&amp;":"&amp;ADDRESS(73,COLUMN()+6,4)),MATCH($B60,INDIRECT($B$1&amp;"!$A$8:$A$73"),0)),CONFIG!$A$15:$B$28,2,FALSE),"")</f>
        <v/>
      </c>
      <c r="F60" s="157">
        <f>IFERROR(VLOOKUP(INDEX(INDIRECT($B$1&amp;"!"&amp;ADDRESS(8,COLUMN()+6,4)&amp;":"&amp;ADDRESS(73,COLUMN()+6,4)),MATCH($B60,INDIRECT($B$1&amp;"!$A$8:$A$73"),0)),CONFIG!$A$15:$B$28,2,FALSE),"")</f>
        <v/>
      </c>
      <c r="G60" s="157">
        <f>IFERROR(VLOOKUP(INDEX(INDIRECT($B$1&amp;"!"&amp;ADDRESS(8,COLUMN()+6,4)&amp;":"&amp;ADDRESS(73,COLUMN()+6,4)),MATCH($B60,INDIRECT($B$1&amp;"!$A$8:$A$73"),0)),CONFIG!$A$15:$B$28,2,FALSE),"")</f>
        <v/>
      </c>
      <c r="H60" s="157">
        <f>IFERROR(VLOOKUP(INDEX(INDIRECT($B$1&amp;"!"&amp;ADDRESS(8,COLUMN()+6,4)&amp;":"&amp;ADDRESS(73,COLUMN()+6,4)),MATCH($B60,INDIRECT($B$1&amp;"!$A$8:$A$73"),0)),CONFIG!$A$15:$B$28,2,FALSE),"")</f>
        <v/>
      </c>
      <c r="I60" s="157">
        <f>IFERROR(VLOOKUP(INDEX(INDIRECT($B$1&amp;"!"&amp;ADDRESS(8,COLUMN()+6,4)&amp;":"&amp;ADDRESS(73,COLUMN()+6,4)),MATCH($B60,INDIRECT($B$1&amp;"!$A$8:$A$73"),0)),CONFIG!$A$15:$B$28,2,FALSE),"")</f>
        <v/>
      </c>
      <c r="J60" s="157">
        <f>IFERROR(VLOOKUP(INDEX(INDIRECT($B$1&amp;"!"&amp;ADDRESS(8,COLUMN()+6,4)&amp;":"&amp;ADDRESS(73,COLUMN()+6,4)),MATCH($B60,INDIRECT($B$1&amp;"!$A$8:$A$73"),0)),CONFIG!$A$15:$B$28,2,FALSE),"")</f>
        <v/>
      </c>
      <c r="K60" s="157">
        <f>IFERROR(VLOOKUP(INDEX(INDIRECT($B$1&amp;"!"&amp;ADDRESS(8,COLUMN()+6,4)&amp;":"&amp;ADDRESS(73,COLUMN()+6,4)),MATCH($B60,INDIRECT($B$1&amp;"!$A$8:$A$73"),0)),CONFIG!$A$15:$B$28,2,FALSE),"")</f>
        <v/>
      </c>
      <c r="L60" s="157">
        <f>IFERROR(VLOOKUP(INDEX(INDIRECT($B$1&amp;"!"&amp;ADDRESS(8,COLUMN()+6,4)&amp;":"&amp;ADDRESS(73,COLUMN()+6,4)),MATCH($B60,INDIRECT($B$1&amp;"!$A$8:$A$73"),0)),CONFIG!$A$15:$B$28,2,FALSE),"")</f>
        <v/>
      </c>
      <c r="M60" s="157">
        <f>IFERROR(VLOOKUP(INDEX(INDIRECT($B$1&amp;"!"&amp;ADDRESS(8,COLUMN()+6,4)&amp;":"&amp;ADDRESS(73,COLUMN()+6,4)),MATCH($B60,INDIRECT($B$1&amp;"!$A$8:$A$73"),0)),CONFIG!$A$15:$B$28,2,FALSE),"")</f>
        <v/>
      </c>
      <c r="N60" s="157">
        <f>IFERROR(VLOOKUP(INDEX(INDIRECT($B$1&amp;"!"&amp;ADDRESS(8,COLUMN()+6,4)&amp;":"&amp;ADDRESS(73,COLUMN()+6,4)),MATCH($B60,INDIRECT($B$1&amp;"!$A$8:$A$73"),0)),CONFIG!$A$15:$B$28,2,FALSE),"")</f>
        <v/>
      </c>
      <c r="O60" s="157">
        <f>IFERROR(VLOOKUP(INDEX(INDIRECT($B$1&amp;"!"&amp;ADDRESS(8,COLUMN()+6,4)&amp;":"&amp;ADDRESS(73,COLUMN()+6,4)),MATCH($B60,INDIRECT($B$1&amp;"!$A$8:$A$73"),0)),CONFIG!$A$15:$B$28,2,FALSE),"")</f>
        <v/>
      </c>
      <c r="P60" s="157">
        <f>IFERROR(VLOOKUP(INDEX(INDIRECT($B$1&amp;"!"&amp;ADDRESS(8,COLUMN()+6,4)&amp;":"&amp;ADDRESS(73,COLUMN()+6,4)),MATCH($B60,INDIRECT($B$1&amp;"!$A$8:$A$73"),0)),CONFIG!$A$15:$B$28,2,FALSE),"")</f>
        <v/>
      </c>
      <c r="Q60" s="157">
        <f>IFERROR(VLOOKUP(INDEX(INDIRECT($B$1&amp;"!"&amp;ADDRESS(8,COLUMN()+6,4)&amp;":"&amp;ADDRESS(73,COLUMN()+6,4)),MATCH($B60,INDIRECT($B$1&amp;"!$A$8:$A$73"),0)),CONFIG!$A$15:$B$28,2,FALSE),"")</f>
        <v/>
      </c>
      <c r="R60" s="157">
        <f>IFERROR(VLOOKUP(INDEX(INDIRECT($B$1&amp;"!"&amp;ADDRESS(8,COLUMN()+6,4)&amp;":"&amp;ADDRESS(73,COLUMN()+6,4)),MATCH($B60,INDIRECT($B$1&amp;"!$A$8:$A$73"),0)),CONFIG!$A$15:$B$28,2,FALSE),"")</f>
        <v/>
      </c>
      <c r="S60" s="157">
        <f>IFERROR(VLOOKUP(INDEX(INDIRECT($B$1&amp;"!"&amp;ADDRESS(8,COLUMN()+6,4)&amp;":"&amp;ADDRESS(73,COLUMN()+6,4)),MATCH($B60,INDIRECT($B$1&amp;"!$A$8:$A$73"),0)),CONFIG!$A$15:$B$28,2,FALSE),"")</f>
        <v/>
      </c>
      <c r="T60" s="157">
        <f>IFERROR(VLOOKUP(INDEX(INDIRECT($B$1&amp;"!"&amp;ADDRESS(8,COLUMN()+6,4)&amp;":"&amp;ADDRESS(73,COLUMN()+6,4)),MATCH($B60,INDIRECT($B$1&amp;"!$A$8:$A$73"),0)),CONFIG!$A$15:$B$28,2,FALSE),"")</f>
        <v/>
      </c>
      <c r="U60" s="157">
        <f>IFERROR(VLOOKUP(INDEX(INDIRECT($B$1&amp;"!"&amp;ADDRESS(8,COLUMN()+6,4)&amp;":"&amp;ADDRESS(73,COLUMN()+6,4)),MATCH($B60,INDIRECT($B$1&amp;"!$A$8:$A$73"),0)),CONFIG!$A$15:$B$28,2,FALSE),"")</f>
        <v/>
      </c>
      <c r="V60" s="157">
        <f>IFERROR(VLOOKUP(INDEX(INDIRECT($B$1&amp;"!"&amp;ADDRESS(8,COLUMN()+6,4)&amp;":"&amp;ADDRESS(73,COLUMN()+6,4)),MATCH($B60,INDIRECT($B$1&amp;"!$A$8:$A$73"),0)),CONFIG!$A$15:$B$28,2,FALSE),"")</f>
        <v/>
      </c>
      <c r="W60" s="157">
        <f>IFERROR(VLOOKUP(INDEX(INDIRECT($B$1&amp;"!"&amp;ADDRESS(8,COLUMN()+6,4)&amp;":"&amp;ADDRESS(73,COLUMN()+6,4)),MATCH($B60,INDIRECT($B$1&amp;"!$A$8:$A$73"),0)),CONFIG!$A$15:$B$28,2,FALSE),"")</f>
        <v/>
      </c>
      <c r="X60" s="157">
        <f>IFERROR(VLOOKUP(INDEX(INDIRECT($B$1&amp;"!"&amp;ADDRESS(8,COLUMN()+6,4)&amp;":"&amp;ADDRESS(73,COLUMN()+6,4)),MATCH($B60,INDIRECT($B$1&amp;"!$A$8:$A$73"),0)),CONFIG!$A$15:$B$28,2,FALSE),"")</f>
        <v/>
      </c>
      <c r="Y60" s="157">
        <f>IFERROR(VLOOKUP(INDEX(INDIRECT($B$1&amp;"!"&amp;ADDRESS(8,COLUMN()+6,4)&amp;":"&amp;ADDRESS(73,COLUMN()+6,4)),MATCH($B60,INDIRECT($B$1&amp;"!$A$8:$A$73"),0)),CONFIG!$A$15:$B$28,2,FALSE),"")</f>
        <v/>
      </c>
      <c r="Z60" s="157">
        <f>IFERROR(VLOOKUP(INDEX(INDIRECT($B$1&amp;"!"&amp;ADDRESS(8,COLUMN()+6,4)&amp;":"&amp;ADDRESS(73,COLUMN()+6,4)),MATCH($B60,INDIRECT($B$1&amp;"!$A$8:$A$73"),0)),CONFIG!$A$15:$B$28,2,FALSE),"")</f>
        <v/>
      </c>
      <c r="AA60" s="157">
        <f>IFERROR(VLOOKUP(INDEX(INDIRECT($B$1&amp;"!"&amp;ADDRESS(8,COLUMN()+6,4)&amp;":"&amp;ADDRESS(73,COLUMN()+6,4)),MATCH($B60,INDIRECT($B$1&amp;"!$A$8:$A$73"),0)),CONFIG!$A$15:$B$28,2,FALSE),"")</f>
        <v/>
      </c>
      <c r="AB60" s="157">
        <f>IFERROR(VLOOKUP(INDEX(INDIRECT($B$1&amp;"!"&amp;ADDRESS(8,COLUMN()+6,4)&amp;":"&amp;ADDRESS(73,COLUMN()+6,4)),MATCH($B60,INDIRECT($B$1&amp;"!$A$8:$A$73"),0)),CONFIG!$A$15:$B$28,2,FALSE),"")</f>
        <v/>
      </c>
      <c r="AC60" s="157">
        <f>IFERROR(VLOOKUP(INDEX(INDIRECT($B$1&amp;"!"&amp;ADDRESS(8,COLUMN()+6,4)&amp;":"&amp;ADDRESS(73,COLUMN()+6,4)),MATCH($B60,INDIRECT($B$1&amp;"!$A$8:$A$73"),0)),CONFIG!$A$15:$B$28,2,FALSE),"")</f>
        <v/>
      </c>
      <c r="AD60" s="157">
        <f>IFERROR(VLOOKUP(INDEX(INDIRECT($B$1&amp;"!"&amp;ADDRESS(8,COLUMN()+6,4)&amp;":"&amp;ADDRESS(73,COLUMN()+6,4)),MATCH($B60,INDIRECT($B$1&amp;"!$A$8:$A$73"),0)),CONFIG!$A$15:$B$28,2,FALSE),"")</f>
        <v/>
      </c>
      <c r="AE60" s="157">
        <f>IFERROR(VLOOKUP(INDEX(INDIRECT($B$1&amp;"!"&amp;ADDRESS(8,COLUMN()+6,4)&amp;":"&amp;ADDRESS(73,COLUMN()+6,4)),MATCH($B60,INDIRECT($B$1&amp;"!$A$8:$A$73"),0)),CONFIG!$A$15:$B$28,2,FALSE),"")</f>
        <v/>
      </c>
      <c r="AF60" s="157">
        <f>IFERROR(VLOOKUP(INDEX(INDIRECT($B$1&amp;"!"&amp;ADDRESS(8,COLUMN()+6,4)&amp;":"&amp;ADDRESS(73,COLUMN()+6,4)),MATCH($B60,INDIRECT($B$1&amp;"!$A$8:$A$73"),0)),CONFIG!$A$15:$B$28,2,FALSE),"")</f>
        <v/>
      </c>
      <c r="AG60" s="157">
        <f>IFERROR(VLOOKUP(INDEX(INDIRECT($B$1&amp;"!"&amp;ADDRESS(8,COLUMN()+6,4)&amp;":"&amp;ADDRESS(73,COLUMN()+6,4)),MATCH($B60,INDIRECT($B$1&amp;"!$A$8:$A$73"),0)),CONFIG!$A$15:$B$28,2,FALSE),"")</f>
        <v/>
      </c>
      <c r="AH60" s="157">
        <f>IFERROR(VLOOKUP(INDEX(INDIRECT($B$1&amp;"!"&amp;ADDRESS(8,COLUMN()+6,4)&amp;":"&amp;ADDRESS(73,COLUMN()+6,4)),MATCH($B60,INDIRECT($B$1&amp;"!$A$8:$A$73"),0)),CONFIG!$A$15:$B$28,2,FALSE),"")</f>
        <v/>
      </c>
      <c r="AI60" s="39" t="n"/>
    </row>
    <row r="61">
      <c r="A61" s="155" t="inlineStr">
        <is>
          <t>Moabe</t>
        </is>
      </c>
      <c r="B61" s="156" t="inlineStr">
        <is>
          <t>Moabe</t>
        </is>
      </c>
      <c r="C61" s="157">
        <f>IFERROR(VLOOKUP(INDEX(INDIRECT($B$1&amp;"!"&amp;ADDRESS(8,COLUMN()+6,4)&amp;":"&amp;ADDRESS(73,COLUMN()+6,4)),MATCH($B61,INDIRECT($B$1&amp;"!$A$8:$A$73"),0)),CONFIG!$A$15:$B$28,2,FALSE),"")</f>
        <v/>
      </c>
      <c r="D61" s="157">
        <f>IFERROR(VLOOKUP(INDEX(INDIRECT($B$1&amp;"!"&amp;ADDRESS(8,COLUMN()+6,4)&amp;":"&amp;ADDRESS(73,COLUMN()+6,4)),MATCH($B61,INDIRECT($B$1&amp;"!$A$8:$A$73"),0)),CONFIG!$A$15:$B$28,2,FALSE),"")</f>
        <v/>
      </c>
      <c r="E61" s="157">
        <f>IFERROR(VLOOKUP(INDEX(INDIRECT($B$1&amp;"!"&amp;ADDRESS(8,COLUMN()+6,4)&amp;":"&amp;ADDRESS(73,COLUMN()+6,4)),MATCH($B61,INDIRECT($B$1&amp;"!$A$8:$A$73"),0)),CONFIG!$A$15:$B$28,2,FALSE),"")</f>
        <v/>
      </c>
      <c r="F61" s="157">
        <f>IFERROR(VLOOKUP(INDEX(INDIRECT($B$1&amp;"!"&amp;ADDRESS(8,COLUMN()+6,4)&amp;":"&amp;ADDRESS(73,COLUMN()+6,4)),MATCH($B61,INDIRECT($B$1&amp;"!$A$8:$A$73"),0)),CONFIG!$A$15:$B$28,2,FALSE),"")</f>
        <v/>
      </c>
      <c r="G61" s="157">
        <f>IFERROR(VLOOKUP(INDEX(INDIRECT($B$1&amp;"!"&amp;ADDRESS(8,COLUMN()+6,4)&amp;":"&amp;ADDRESS(73,COLUMN()+6,4)),MATCH($B61,INDIRECT($B$1&amp;"!$A$8:$A$73"),0)),CONFIG!$A$15:$B$28,2,FALSE),"")</f>
        <v/>
      </c>
      <c r="H61" s="157">
        <f>IFERROR(VLOOKUP(INDEX(INDIRECT($B$1&amp;"!"&amp;ADDRESS(8,COLUMN()+6,4)&amp;":"&amp;ADDRESS(73,COLUMN()+6,4)),MATCH($B61,INDIRECT($B$1&amp;"!$A$8:$A$73"),0)),CONFIG!$A$15:$B$28,2,FALSE),"")</f>
        <v/>
      </c>
      <c r="I61" s="157">
        <f>IFERROR(VLOOKUP(INDEX(INDIRECT($B$1&amp;"!"&amp;ADDRESS(8,COLUMN()+6,4)&amp;":"&amp;ADDRESS(73,COLUMN()+6,4)),MATCH($B61,INDIRECT($B$1&amp;"!$A$8:$A$73"),0)),CONFIG!$A$15:$B$28,2,FALSE),"")</f>
        <v/>
      </c>
      <c r="J61" s="157">
        <f>IFERROR(VLOOKUP(INDEX(INDIRECT($B$1&amp;"!"&amp;ADDRESS(8,COLUMN()+6,4)&amp;":"&amp;ADDRESS(73,COLUMN()+6,4)),MATCH($B61,INDIRECT($B$1&amp;"!$A$8:$A$73"),0)),CONFIG!$A$15:$B$28,2,FALSE),"")</f>
        <v/>
      </c>
      <c r="K61" s="157">
        <f>IFERROR(VLOOKUP(INDEX(INDIRECT($B$1&amp;"!"&amp;ADDRESS(8,COLUMN()+6,4)&amp;":"&amp;ADDRESS(73,COLUMN()+6,4)),MATCH($B61,INDIRECT($B$1&amp;"!$A$8:$A$73"),0)),CONFIG!$A$15:$B$28,2,FALSE),"")</f>
        <v/>
      </c>
      <c r="L61" s="157">
        <f>IFERROR(VLOOKUP(INDEX(INDIRECT($B$1&amp;"!"&amp;ADDRESS(8,COLUMN()+6,4)&amp;":"&amp;ADDRESS(73,COLUMN()+6,4)),MATCH($B61,INDIRECT($B$1&amp;"!$A$8:$A$73"),0)),CONFIG!$A$15:$B$28,2,FALSE),"")</f>
        <v/>
      </c>
      <c r="M61" s="157">
        <f>IFERROR(VLOOKUP(INDEX(INDIRECT($B$1&amp;"!"&amp;ADDRESS(8,COLUMN()+6,4)&amp;":"&amp;ADDRESS(73,COLUMN()+6,4)),MATCH($B61,INDIRECT($B$1&amp;"!$A$8:$A$73"),0)),CONFIG!$A$15:$B$28,2,FALSE),"")</f>
        <v/>
      </c>
      <c r="N61" s="157">
        <f>IFERROR(VLOOKUP(INDEX(INDIRECT($B$1&amp;"!"&amp;ADDRESS(8,COLUMN()+6,4)&amp;":"&amp;ADDRESS(73,COLUMN()+6,4)),MATCH($B61,INDIRECT($B$1&amp;"!$A$8:$A$73"),0)),CONFIG!$A$15:$B$28,2,FALSE),"")</f>
        <v/>
      </c>
      <c r="O61" s="157">
        <f>IFERROR(VLOOKUP(INDEX(INDIRECT($B$1&amp;"!"&amp;ADDRESS(8,COLUMN()+6,4)&amp;":"&amp;ADDRESS(73,COLUMN()+6,4)),MATCH($B61,INDIRECT($B$1&amp;"!$A$8:$A$73"),0)),CONFIG!$A$15:$B$28,2,FALSE),"")</f>
        <v/>
      </c>
      <c r="P61" s="157">
        <f>IFERROR(VLOOKUP(INDEX(INDIRECT($B$1&amp;"!"&amp;ADDRESS(8,COLUMN()+6,4)&amp;":"&amp;ADDRESS(73,COLUMN()+6,4)),MATCH($B61,INDIRECT($B$1&amp;"!$A$8:$A$73"),0)),CONFIG!$A$15:$B$28,2,FALSE),"")</f>
        <v/>
      </c>
      <c r="Q61" s="157">
        <f>IFERROR(VLOOKUP(INDEX(INDIRECT($B$1&amp;"!"&amp;ADDRESS(8,COLUMN()+6,4)&amp;":"&amp;ADDRESS(73,COLUMN()+6,4)),MATCH($B61,INDIRECT($B$1&amp;"!$A$8:$A$73"),0)),CONFIG!$A$15:$B$28,2,FALSE),"")</f>
        <v/>
      </c>
      <c r="R61" s="157">
        <f>IFERROR(VLOOKUP(INDEX(INDIRECT($B$1&amp;"!"&amp;ADDRESS(8,COLUMN()+6,4)&amp;":"&amp;ADDRESS(73,COLUMN()+6,4)),MATCH($B61,INDIRECT($B$1&amp;"!$A$8:$A$73"),0)),CONFIG!$A$15:$B$28,2,FALSE),"")</f>
        <v/>
      </c>
      <c r="S61" s="157">
        <f>IFERROR(VLOOKUP(INDEX(INDIRECT($B$1&amp;"!"&amp;ADDRESS(8,COLUMN()+6,4)&amp;":"&amp;ADDRESS(73,COLUMN()+6,4)),MATCH($B61,INDIRECT($B$1&amp;"!$A$8:$A$73"),0)),CONFIG!$A$15:$B$28,2,FALSE),"")</f>
        <v/>
      </c>
      <c r="T61" s="157">
        <f>IFERROR(VLOOKUP(INDEX(INDIRECT($B$1&amp;"!"&amp;ADDRESS(8,COLUMN()+6,4)&amp;":"&amp;ADDRESS(73,COLUMN()+6,4)),MATCH($B61,INDIRECT($B$1&amp;"!$A$8:$A$73"),0)),CONFIG!$A$15:$B$28,2,FALSE),"")</f>
        <v/>
      </c>
      <c r="U61" s="157">
        <f>IFERROR(VLOOKUP(INDEX(INDIRECT($B$1&amp;"!"&amp;ADDRESS(8,COLUMN()+6,4)&amp;":"&amp;ADDRESS(73,COLUMN()+6,4)),MATCH($B61,INDIRECT($B$1&amp;"!$A$8:$A$73"),0)),CONFIG!$A$15:$B$28,2,FALSE),"")</f>
        <v/>
      </c>
      <c r="V61" s="157">
        <f>IFERROR(VLOOKUP(INDEX(INDIRECT($B$1&amp;"!"&amp;ADDRESS(8,COLUMN()+6,4)&amp;":"&amp;ADDRESS(73,COLUMN()+6,4)),MATCH($B61,INDIRECT($B$1&amp;"!$A$8:$A$73"),0)),CONFIG!$A$15:$B$28,2,FALSE),"")</f>
        <v/>
      </c>
      <c r="W61" s="157">
        <f>IFERROR(VLOOKUP(INDEX(INDIRECT($B$1&amp;"!"&amp;ADDRESS(8,COLUMN()+6,4)&amp;":"&amp;ADDRESS(73,COLUMN()+6,4)),MATCH($B61,INDIRECT($B$1&amp;"!$A$8:$A$73"),0)),CONFIG!$A$15:$B$28,2,FALSE),"")</f>
        <v/>
      </c>
      <c r="X61" s="157">
        <f>IFERROR(VLOOKUP(INDEX(INDIRECT($B$1&amp;"!"&amp;ADDRESS(8,COLUMN()+6,4)&amp;":"&amp;ADDRESS(73,COLUMN()+6,4)),MATCH($B61,INDIRECT($B$1&amp;"!$A$8:$A$73"),0)),CONFIG!$A$15:$B$28,2,FALSE),"")</f>
        <v/>
      </c>
      <c r="Y61" s="157">
        <f>IFERROR(VLOOKUP(INDEX(INDIRECT($B$1&amp;"!"&amp;ADDRESS(8,COLUMN()+6,4)&amp;":"&amp;ADDRESS(73,COLUMN()+6,4)),MATCH($B61,INDIRECT($B$1&amp;"!$A$8:$A$73"),0)),CONFIG!$A$15:$B$28,2,FALSE),"")</f>
        <v/>
      </c>
      <c r="Z61" s="157">
        <f>IFERROR(VLOOKUP(INDEX(INDIRECT($B$1&amp;"!"&amp;ADDRESS(8,COLUMN()+6,4)&amp;":"&amp;ADDRESS(73,COLUMN()+6,4)),MATCH($B61,INDIRECT($B$1&amp;"!$A$8:$A$73"),0)),CONFIG!$A$15:$B$28,2,FALSE),"")</f>
        <v/>
      </c>
      <c r="AA61" s="157">
        <f>IFERROR(VLOOKUP(INDEX(INDIRECT($B$1&amp;"!"&amp;ADDRESS(8,COLUMN()+6,4)&amp;":"&amp;ADDRESS(73,COLUMN()+6,4)),MATCH($B61,INDIRECT($B$1&amp;"!$A$8:$A$73"),0)),CONFIG!$A$15:$B$28,2,FALSE),"")</f>
        <v/>
      </c>
      <c r="AB61" s="157">
        <f>IFERROR(VLOOKUP(INDEX(INDIRECT($B$1&amp;"!"&amp;ADDRESS(8,COLUMN()+6,4)&amp;":"&amp;ADDRESS(73,COLUMN()+6,4)),MATCH($B61,INDIRECT($B$1&amp;"!$A$8:$A$73"),0)),CONFIG!$A$15:$B$28,2,FALSE),"")</f>
        <v/>
      </c>
      <c r="AC61" s="157">
        <f>IFERROR(VLOOKUP(INDEX(INDIRECT($B$1&amp;"!"&amp;ADDRESS(8,COLUMN()+6,4)&amp;":"&amp;ADDRESS(73,COLUMN()+6,4)),MATCH($B61,INDIRECT($B$1&amp;"!$A$8:$A$73"),0)),CONFIG!$A$15:$B$28,2,FALSE),"")</f>
        <v/>
      </c>
      <c r="AD61" s="157">
        <f>IFERROR(VLOOKUP(INDEX(INDIRECT($B$1&amp;"!"&amp;ADDRESS(8,COLUMN()+6,4)&amp;":"&amp;ADDRESS(73,COLUMN()+6,4)),MATCH($B61,INDIRECT($B$1&amp;"!$A$8:$A$73"),0)),CONFIG!$A$15:$B$28,2,FALSE),"")</f>
        <v/>
      </c>
      <c r="AE61" s="157">
        <f>IFERROR(VLOOKUP(INDEX(INDIRECT($B$1&amp;"!"&amp;ADDRESS(8,COLUMN()+6,4)&amp;":"&amp;ADDRESS(73,COLUMN()+6,4)),MATCH($B61,INDIRECT($B$1&amp;"!$A$8:$A$73"),0)),CONFIG!$A$15:$B$28,2,FALSE),"")</f>
        <v/>
      </c>
      <c r="AF61" s="157">
        <f>IFERROR(VLOOKUP(INDEX(INDIRECT($B$1&amp;"!"&amp;ADDRESS(8,COLUMN()+6,4)&amp;":"&amp;ADDRESS(73,COLUMN()+6,4)),MATCH($B61,INDIRECT($B$1&amp;"!$A$8:$A$73"),0)),CONFIG!$A$15:$B$28,2,FALSE),"")</f>
        <v/>
      </c>
      <c r="AG61" s="157">
        <f>IFERROR(VLOOKUP(INDEX(INDIRECT($B$1&amp;"!"&amp;ADDRESS(8,COLUMN()+6,4)&amp;":"&amp;ADDRESS(73,COLUMN()+6,4)),MATCH($B61,INDIRECT($B$1&amp;"!$A$8:$A$73"),0)),CONFIG!$A$15:$B$28,2,FALSE),"")</f>
        <v/>
      </c>
      <c r="AH61" s="157">
        <f>IFERROR(VLOOKUP(INDEX(INDIRECT($B$1&amp;"!"&amp;ADDRESS(8,COLUMN()+6,4)&amp;":"&amp;ADDRESS(73,COLUMN()+6,4)),MATCH($B61,INDIRECT($B$1&amp;"!$A$8:$A$73"),0)),CONFIG!$A$15:$B$28,2,FALSE),"")</f>
        <v/>
      </c>
      <c r="AI61" s="39" t="n"/>
    </row>
    <row r="62">
      <c r="A62" s="155" t="inlineStr">
        <is>
          <t>Laura Nishioka</t>
        </is>
      </c>
      <c r="B62" s="156" t="inlineStr">
        <is>
          <t>Nishioka</t>
        </is>
      </c>
      <c r="C62" s="157">
        <f>IFERROR(VLOOKUP(INDEX(INDIRECT($B$1&amp;"!"&amp;ADDRESS(8,COLUMN()+6,4)&amp;":"&amp;ADDRESS(73,COLUMN()+6,4)),MATCH($B62,INDIRECT($B$1&amp;"!$A$8:$A$73"),0)),CONFIG!$A$15:$B$28,2,FALSE),"")</f>
        <v/>
      </c>
      <c r="D62" s="157">
        <f>IFERROR(VLOOKUP(INDEX(INDIRECT($B$1&amp;"!"&amp;ADDRESS(8,COLUMN()+6,4)&amp;":"&amp;ADDRESS(73,COLUMN()+6,4)),MATCH($B62,INDIRECT($B$1&amp;"!$A$8:$A$73"),0)),CONFIG!$A$15:$B$28,2,FALSE),"")</f>
        <v/>
      </c>
      <c r="E62" s="157">
        <f>IFERROR(VLOOKUP(INDEX(INDIRECT($B$1&amp;"!"&amp;ADDRESS(8,COLUMN()+6,4)&amp;":"&amp;ADDRESS(73,COLUMN()+6,4)),MATCH($B62,INDIRECT($B$1&amp;"!$A$8:$A$73"),0)),CONFIG!$A$15:$B$28,2,FALSE),"")</f>
        <v/>
      </c>
      <c r="F62" s="157">
        <f>IFERROR(VLOOKUP(INDEX(INDIRECT($B$1&amp;"!"&amp;ADDRESS(8,COLUMN()+6,4)&amp;":"&amp;ADDRESS(73,COLUMN()+6,4)),MATCH($B62,INDIRECT($B$1&amp;"!$A$8:$A$73"),0)),CONFIG!$A$15:$B$28,2,FALSE),"")</f>
        <v/>
      </c>
      <c r="G62" s="157">
        <f>IFERROR(VLOOKUP(INDEX(INDIRECT($B$1&amp;"!"&amp;ADDRESS(8,COLUMN()+6,4)&amp;":"&amp;ADDRESS(73,COLUMN()+6,4)),MATCH($B62,INDIRECT($B$1&amp;"!$A$8:$A$73"),0)),CONFIG!$A$15:$B$28,2,FALSE),"")</f>
        <v/>
      </c>
      <c r="H62" s="157">
        <f>IFERROR(VLOOKUP(INDEX(INDIRECT($B$1&amp;"!"&amp;ADDRESS(8,COLUMN()+6,4)&amp;":"&amp;ADDRESS(73,COLUMN()+6,4)),MATCH($B62,INDIRECT($B$1&amp;"!$A$8:$A$73"),0)),CONFIG!$A$15:$B$28,2,FALSE),"")</f>
        <v/>
      </c>
      <c r="I62" s="157">
        <f>IFERROR(VLOOKUP(INDEX(INDIRECT($B$1&amp;"!"&amp;ADDRESS(8,COLUMN()+6,4)&amp;":"&amp;ADDRESS(73,COLUMN()+6,4)),MATCH($B62,INDIRECT($B$1&amp;"!$A$8:$A$73"),0)),CONFIG!$A$15:$B$28,2,FALSE),"")</f>
        <v/>
      </c>
      <c r="J62" s="157">
        <f>IFERROR(VLOOKUP(INDEX(INDIRECT($B$1&amp;"!"&amp;ADDRESS(8,COLUMN()+6,4)&amp;":"&amp;ADDRESS(73,COLUMN()+6,4)),MATCH($B62,INDIRECT($B$1&amp;"!$A$8:$A$73"),0)),CONFIG!$A$15:$B$28,2,FALSE),"")</f>
        <v/>
      </c>
      <c r="K62" s="157">
        <f>IFERROR(VLOOKUP(INDEX(INDIRECT($B$1&amp;"!"&amp;ADDRESS(8,COLUMN()+6,4)&amp;":"&amp;ADDRESS(73,COLUMN()+6,4)),MATCH($B62,INDIRECT($B$1&amp;"!$A$8:$A$73"),0)),CONFIG!$A$15:$B$28,2,FALSE),"")</f>
        <v/>
      </c>
      <c r="L62" s="157">
        <f>IFERROR(VLOOKUP(INDEX(INDIRECT($B$1&amp;"!"&amp;ADDRESS(8,COLUMN()+6,4)&amp;":"&amp;ADDRESS(73,COLUMN()+6,4)),MATCH($B62,INDIRECT($B$1&amp;"!$A$8:$A$73"),0)),CONFIG!$A$15:$B$28,2,FALSE),"")</f>
        <v/>
      </c>
      <c r="M62" s="157">
        <f>IFERROR(VLOOKUP(INDEX(INDIRECT($B$1&amp;"!"&amp;ADDRESS(8,COLUMN()+6,4)&amp;":"&amp;ADDRESS(73,COLUMN()+6,4)),MATCH($B62,INDIRECT($B$1&amp;"!$A$8:$A$73"),0)),CONFIG!$A$15:$B$28,2,FALSE),"")</f>
        <v/>
      </c>
      <c r="N62" s="157">
        <f>IFERROR(VLOOKUP(INDEX(INDIRECT($B$1&amp;"!"&amp;ADDRESS(8,COLUMN()+6,4)&amp;":"&amp;ADDRESS(73,COLUMN()+6,4)),MATCH($B62,INDIRECT($B$1&amp;"!$A$8:$A$73"),0)),CONFIG!$A$15:$B$28,2,FALSE),"")</f>
        <v/>
      </c>
      <c r="O62" s="157">
        <f>IFERROR(VLOOKUP(INDEX(INDIRECT($B$1&amp;"!"&amp;ADDRESS(8,COLUMN()+6,4)&amp;":"&amp;ADDRESS(73,COLUMN()+6,4)),MATCH($B62,INDIRECT($B$1&amp;"!$A$8:$A$73"),0)),CONFIG!$A$15:$B$28,2,FALSE),"")</f>
        <v/>
      </c>
      <c r="P62" s="157">
        <f>IFERROR(VLOOKUP(INDEX(INDIRECT($B$1&amp;"!"&amp;ADDRESS(8,COLUMN()+6,4)&amp;":"&amp;ADDRESS(73,COLUMN()+6,4)),MATCH($B62,INDIRECT($B$1&amp;"!$A$8:$A$73"),0)),CONFIG!$A$15:$B$28,2,FALSE),"")</f>
        <v/>
      </c>
      <c r="Q62" s="157">
        <f>IFERROR(VLOOKUP(INDEX(INDIRECT($B$1&amp;"!"&amp;ADDRESS(8,COLUMN()+6,4)&amp;":"&amp;ADDRESS(73,COLUMN()+6,4)),MATCH($B62,INDIRECT($B$1&amp;"!$A$8:$A$73"),0)),CONFIG!$A$15:$B$28,2,FALSE),"")</f>
        <v/>
      </c>
      <c r="R62" s="157">
        <f>IFERROR(VLOOKUP(INDEX(INDIRECT($B$1&amp;"!"&amp;ADDRESS(8,COLUMN()+6,4)&amp;":"&amp;ADDRESS(73,COLUMN()+6,4)),MATCH($B62,INDIRECT($B$1&amp;"!$A$8:$A$73"),0)),CONFIG!$A$15:$B$28,2,FALSE),"")</f>
        <v/>
      </c>
      <c r="S62" s="157">
        <f>IFERROR(VLOOKUP(INDEX(INDIRECT($B$1&amp;"!"&amp;ADDRESS(8,COLUMN()+6,4)&amp;":"&amp;ADDRESS(73,COLUMN()+6,4)),MATCH($B62,INDIRECT($B$1&amp;"!$A$8:$A$73"),0)),CONFIG!$A$15:$B$28,2,FALSE),"")</f>
        <v/>
      </c>
      <c r="T62" s="157">
        <f>IFERROR(VLOOKUP(INDEX(INDIRECT($B$1&amp;"!"&amp;ADDRESS(8,COLUMN()+6,4)&amp;":"&amp;ADDRESS(73,COLUMN()+6,4)),MATCH($B62,INDIRECT($B$1&amp;"!$A$8:$A$73"),0)),CONFIG!$A$15:$B$28,2,FALSE),"")</f>
        <v/>
      </c>
      <c r="U62" s="157">
        <f>IFERROR(VLOOKUP(INDEX(INDIRECT($B$1&amp;"!"&amp;ADDRESS(8,COLUMN()+6,4)&amp;":"&amp;ADDRESS(73,COLUMN()+6,4)),MATCH($B62,INDIRECT($B$1&amp;"!$A$8:$A$73"),0)),CONFIG!$A$15:$B$28,2,FALSE),"")</f>
        <v/>
      </c>
      <c r="V62" s="157">
        <f>IFERROR(VLOOKUP(INDEX(INDIRECT($B$1&amp;"!"&amp;ADDRESS(8,COLUMN()+6,4)&amp;":"&amp;ADDRESS(73,COLUMN()+6,4)),MATCH($B62,INDIRECT($B$1&amp;"!$A$8:$A$73"),0)),CONFIG!$A$15:$B$28,2,FALSE),"")</f>
        <v/>
      </c>
      <c r="W62" s="157">
        <f>IFERROR(VLOOKUP(INDEX(INDIRECT($B$1&amp;"!"&amp;ADDRESS(8,COLUMN()+6,4)&amp;":"&amp;ADDRESS(73,COLUMN()+6,4)),MATCH($B62,INDIRECT($B$1&amp;"!$A$8:$A$73"),0)),CONFIG!$A$15:$B$28,2,FALSE),"")</f>
        <v/>
      </c>
      <c r="X62" s="157">
        <f>IFERROR(VLOOKUP(INDEX(INDIRECT($B$1&amp;"!"&amp;ADDRESS(8,COLUMN()+6,4)&amp;":"&amp;ADDRESS(73,COLUMN()+6,4)),MATCH($B62,INDIRECT($B$1&amp;"!$A$8:$A$73"),0)),CONFIG!$A$15:$B$28,2,FALSE),"")</f>
        <v/>
      </c>
      <c r="Y62" s="157">
        <f>IFERROR(VLOOKUP(INDEX(INDIRECT($B$1&amp;"!"&amp;ADDRESS(8,COLUMN()+6,4)&amp;":"&amp;ADDRESS(73,COLUMN()+6,4)),MATCH($B62,INDIRECT($B$1&amp;"!$A$8:$A$73"),0)),CONFIG!$A$15:$B$28,2,FALSE),"")</f>
        <v/>
      </c>
      <c r="Z62" s="157">
        <f>IFERROR(VLOOKUP(INDEX(INDIRECT($B$1&amp;"!"&amp;ADDRESS(8,COLUMN()+6,4)&amp;":"&amp;ADDRESS(73,COLUMN()+6,4)),MATCH($B62,INDIRECT($B$1&amp;"!$A$8:$A$73"),0)),CONFIG!$A$15:$B$28,2,FALSE),"")</f>
        <v/>
      </c>
      <c r="AA62" s="157">
        <f>IFERROR(VLOOKUP(INDEX(INDIRECT($B$1&amp;"!"&amp;ADDRESS(8,COLUMN()+6,4)&amp;":"&amp;ADDRESS(73,COLUMN()+6,4)),MATCH($B62,INDIRECT($B$1&amp;"!$A$8:$A$73"),0)),CONFIG!$A$15:$B$28,2,FALSE),"")</f>
        <v/>
      </c>
      <c r="AB62" s="157">
        <f>IFERROR(VLOOKUP(INDEX(INDIRECT($B$1&amp;"!"&amp;ADDRESS(8,COLUMN()+6,4)&amp;":"&amp;ADDRESS(73,COLUMN()+6,4)),MATCH($B62,INDIRECT($B$1&amp;"!$A$8:$A$73"),0)),CONFIG!$A$15:$B$28,2,FALSE),"")</f>
        <v/>
      </c>
      <c r="AC62" s="157">
        <f>IFERROR(VLOOKUP(INDEX(INDIRECT($B$1&amp;"!"&amp;ADDRESS(8,COLUMN()+6,4)&amp;":"&amp;ADDRESS(73,COLUMN()+6,4)),MATCH($B62,INDIRECT($B$1&amp;"!$A$8:$A$73"),0)),CONFIG!$A$15:$B$28,2,FALSE),"")</f>
        <v/>
      </c>
      <c r="AD62" s="157">
        <f>IFERROR(VLOOKUP(INDEX(INDIRECT($B$1&amp;"!"&amp;ADDRESS(8,COLUMN()+6,4)&amp;":"&amp;ADDRESS(73,COLUMN()+6,4)),MATCH($B62,INDIRECT($B$1&amp;"!$A$8:$A$73"),0)),CONFIG!$A$15:$B$28,2,FALSE),"")</f>
        <v/>
      </c>
      <c r="AE62" s="157">
        <f>IFERROR(VLOOKUP(INDEX(INDIRECT($B$1&amp;"!"&amp;ADDRESS(8,COLUMN()+6,4)&amp;":"&amp;ADDRESS(73,COLUMN()+6,4)),MATCH($B62,INDIRECT($B$1&amp;"!$A$8:$A$73"),0)),CONFIG!$A$15:$B$28,2,FALSE),"")</f>
        <v/>
      </c>
      <c r="AF62" s="157">
        <f>IFERROR(VLOOKUP(INDEX(INDIRECT($B$1&amp;"!"&amp;ADDRESS(8,COLUMN()+6,4)&amp;":"&amp;ADDRESS(73,COLUMN()+6,4)),MATCH($B62,INDIRECT($B$1&amp;"!$A$8:$A$73"),0)),CONFIG!$A$15:$B$28,2,FALSE),"")</f>
        <v/>
      </c>
      <c r="AG62" s="157">
        <f>IFERROR(VLOOKUP(INDEX(INDIRECT($B$1&amp;"!"&amp;ADDRESS(8,COLUMN()+6,4)&amp;":"&amp;ADDRESS(73,COLUMN()+6,4)),MATCH($B62,INDIRECT($B$1&amp;"!$A$8:$A$73"),0)),CONFIG!$A$15:$B$28,2,FALSE),"")</f>
        <v/>
      </c>
      <c r="AH62" s="157">
        <f>IFERROR(VLOOKUP(INDEX(INDIRECT($B$1&amp;"!"&amp;ADDRESS(8,COLUMN()+6,4)&amp;":"&amp;ADDRESS(73,COLUMN()+6,4)),MATCH($B62,INDIRECT($B$1&amp;"!$A$8:$A$73"),0)),CONFIG!$A$15:$B$28,2,FALSE),"")</f>
        <v/>
      </c>
      <c r="AI62" s="39" t="n"/>
    </row>
    <row r="63">
      <c r="A63" s="155" t="inlineStr">
        <is>
          <t>Patricia Abreu</t>
        </is>
      </c>
      <c r="B63" s="156" t="inlineStr">
        <is>
          <t>Patricia</t>
        </is>
      </c>
      <c r="C63" s="157">
        <f>IFERROR(VLOOKUP(INDEX(INDIRECT($B$1&amp;"!"&amp;ADDRESS(8,COLUMN()+6,4)&amp;":"&amp;ADDRESS(73,COLUMN()+6,4)),MATCH($B63,INDIRECT($B$1&amp;"!$A$8:$A$73"),0)),CONFIG!$A$15:$B$28,2,FALSE),"")</f>
        <v/>
      </c>
      <c r="D63" s="157">
        <f>IFERROR(VLOOKUP(INDEX(INDIRECT($B$1&amp;"!"&amp;ADDRESS(8,COLUMN()+6,4)&amp;":"&amp;ADDRESS(73,COLUMN()+6,4)),MATCH($B63,INDIRECT($B$1&amp;"!$A$8:$A$73"),0)),CONFIG!$A$15:$B$28,2,FALSE),"")</f>
        <v/>
      </c>
      <c r="E63" s="157">
        <f>IFERROR(VLOOKUP(INDEX(INDIRECT($B$1&amp;"!"&amp;ADDRESS(8,COLUMN()+6,4)&amp;":"&amp;ADDRESS(73,COLUMN()+6,4)),MATCH($B63,INDIRECT($B$1&amp;"!$A$8:$A$73"),0)),CONFIG!$A$15:$B$28,2,FALSE),"")</f>
        <v/>
      </c>
      <c r="F63" s="157">
        <f>IFERROR(VLOOKUP(INDEX(INDIRECT($B$1&amp;"!"&amp;ADDRESS(8,COLUMN()+6,4)&amp;":"&amp;ADDRESS(73,COLUMN()+6,4)),MATCH($B63,INDIRECT($B$1&amp;"!$A$8:$A$73"),0)),CONFIG!$A$15:$B$28,2,FALSE),"")</f>
        <v/>
      </c>
      <c r="G63" s="157">
        <f>IFERROR(VLOOKUP(INDEX(INDIRECT($B$1&amp;"!"&amp;ADDRESS(8,COLUMN()+6,4)&amp;":"&amp;ADDRESS(73,COLUMN()+6,4)),MATCH($B63,INDIRECT($B$1&amp;"!$A$8:$A$73"),0)),CONFIG!$A$15:$B$28,2,FALSE),"")</f>
        <v/>
      </c>
      <c r="H63" s="157">
        <f>IFERROR(VLOOKUP(INDEX(INDIRECT($B$1&amp;"!"&amp;ADDRESS(8,COLUMN()+6,4)&amp;":"&amp;ADDRESS(73,COLUMN()+6,4)),MATCH($B63,INDIRECT($B$1&amp;"!$A$8:$A$73"),0)),CONFIG!$A$15:$B$28,2,FALSE),"")</f>
        <v/>
      </c>
      <c r="I63" s="157">
        <f>IFERROR(VLOOKUP(INDEX(INDIRECT($B$1&amp;"!"&amp;ADDRESS(8,COLUMN()+6,4)&amp;":"&amp;ADDRESS(73,COLUMN()+6,4)),MATCH($B63,INDIRECT($B$1&amp;"!$A$8:$A$73"),0)),CONFIG!$A$15:$B$28,2,FALSE),"")</f>
        <v/>
      </c>
      <c r="J63" s="157">
        <f>IFERROR(VLOOKUP(INDEX(INDIRECT($B$1&amp;"!"&amp;ADDRESS(8,COLUMN()+6,4)&amp;":"&amp;ADDRESS(73,COLUMN()+6,4)),MATCH($B63,INDIRECT($B$1&amp;"!$A$8:$A$73"),0)),CONFIG!$A$15:$B$28,2,FALSE),"")</f>
        <v/>
      </c>
      <c r="K63" s="157">
        <f>IFERROR(VLOOKUP(INDEX(INDIRECT($B$1&amp;"!"&amp;ADDRESS(8,COLUMN()+6,4)&amp;":"&amp;ADDRESS(73,COLUMN()+6,4)),MATCH($B63,INDIRECT($B$1&amp;"!$A$8:$A$73"),0)),CONFIG!$A$15:$B$28,2,FALSE),"")</f>
        <v/>
      </c>
      <c r="L63" s="157">
        <f>IFERROR(VLOOKUP(INDEX(INDIRECT($B$1&amp;"!"&amp;ADDRESS(8,COLUMN()+6,4)&amp;":"&amp;ADDRESS(73,COLUMN()+6,4)),MATCH($B63,INDIRECT($B$1&amp;"!$A$8:$A$73"),0)),CONFIG!$A$15:$B$28,2,FALSE),"")</f>
        <v/>
      </c>
      <c r="M63" s="157">
        <f>IFERROR(VLOOKUP(INDEX(INDIRECT($B$1&amp;"!"&amp;ADDRESS(8,COLUMN()+6,4)&amp;":"&amp;ADDRESS(73,COLUMN()+6,4)),MATCH($B63,INDIRECT($B$1&amp;"!$A$8:$A$73"),0)),CONFIG!$A$15:$B$28,2,FALSE),"")</f>
        <v/>
      </c>
      <c r="N63" s="157">
        <f>IFERROR(VLOOKUP(INDEX(INDIRECT($B$1&amp;"!"&amp;ADDRESS(8,COLUMN()+6,4)&amp;":"&amp;ADDRESS(73,COLUMN()+6,4)),MATCH($B63,INDIRECT($B$1&amp;"!$A$8:$A$73"),0)),CONFIG!$A$15:$B$28,2,FALSE),"")</f>
        <v/>
      </c>
      <c r="O63" s="157">
        <f>IFERROR(VLOOKUP(INDEX(INDIRECT($B$1&amp;"!"&amp;ADDRESS(8,COLUMN()+6,4)&amp;":"&amp;ADDRESS(73,COLUMN()+6,4)),MATCH($B63,INDIRECT($B$1&amp;"!$A$8:$A$73"),0)),CONFIG!$A$15:$B$28,2,FALSE),"")</f>
        <v/>
      </c>
      <c r="P63" s="157">
        <f>IFERROR(VLOOKUP(INDEX(INDIRECT($B$1&amp;"!"&amp;ADDRESS(8,COLUMN()+6,4)&amp;":"&amp;ADDRESS(73,COLUMN()+6,4)),MATCH($B63,INDIRECT($B$1&amp;"!$A$8:$A$73"),0)),CONFIG!$A$15:$B$28,2,FALSE),"")</f>
        <v/>
      </c>
      <c r="Q63" s="157">
        <f>IFERROR(VLOOKUP(INDEX(INDIRECT($B$1&amp;"!"&amp;ADDRESS(8,COLUMN()+6,4)&amp;":"&amp;ADDRESS(73,COLUMN()+6,4)),MATCH($B63,INDIRECT($B$1&amp;"!$A$8:$A$73"),0)),CONFIG!$A$15:$B$28,2,FALSE),"")</f>
        <v/>
      </c>
      <c r="R63" s="157">
        <f>IFERROR(VLOOKUP(INDEX(INDIRECT($B$1&amp;"!"&amp;ADDRESS(8,COLUMN()+6,4)&amp;":"&amp;ADDRESS(73,COLUMN()+6,4)),MATCH($B63,INDIRECT($B$1&amp;"!$A$8:$A$73"),0)),CONFIG!$A$15:$B$28,2,FALSE),"")</f>
        <v/>
      </c>
      <c r="S63" s="157">
        <f>IFERROR(VLOOKUP(INDEX(INDIRECT($B$1&amp;"!"&amp;ADDRESS(8,COLUMN()+6,4)&amp;":"&amp;ADDRESS(73,COLUMN()+6,4)),MATCH($B63,INDIRECT($B$1&amp;"!$A$8:$A$73"),0)),CONFIG!$A$15:$B$28,2,FALSE),"")</f>
        <v/>
      </c>
      <c r="T63" s="157">
        <f>IFERROR(VLOOKUP(INDEX(INDIRECT($B$1&amp;"!"&amp;ADDRESS(8,COLUMN()+6,4)&amp;":"&amp;ADDRESS(73,COLUMN()+6,4)),MATCH($B63,INDIRECT($B$1&amp;"!$A$8:$A$73"),0)),CONFIG!$A$15:$B$28,2,FALSE),"")</f>
        <v/>
      </c>
      <c r="U63" s="157">
        <f>IFERROR(VLOOKUP(INDEX(INDIRECT($B$1&amp;"!"&amp;ADDRESS(8,COLUMN()+6,4)&amp;":"&amp;ADDRESS(73,COLUMN()+6,4)),MATCH($B63,INDIRECT($B$1&amp;"!$A$8:$A$73"),0)),CONFIG!$A$15:$B$28,2,FALSE),"")</f>
        <v/>
      </c>
      <c r="V63" s="157">
        <f>IFERROR(VLOOKUP(INDEX(INDIRECT($B$1&amp;"!"&amp;ADDRESS(8,COLUMN()+6,4)&amp;":"&amp;ADDRESS(73,COLUMN()+6,4)),MATCH($B63,INDIRECT($B$1&amp;"!$A$8:$A$73"),0)),CONFIG!$A$15:$B$28,2,FALSE),"")</f>
        <v/>
      </c>
      <c r="W63" s="157">
        <f>IFERROR(VLOOKUP(INDEX(INDIRECT($B$1&amp;"!"&amp;ADDRESS(8,COLUMN()+6,4)&amp;":"&amp;ADDRESS(73,COLUMN()+6,4)),MATCH($B63,INDIRECT($B$1&amp;"!$A$8:$A$73"),0)),CONFIG!$A$15:$B$28,2,FALSE),"")</f>
        <v/>
      </c>
      <c r="X63" s="157">
        <f>IFERROR(VLOOKUP(INDEX(INDIRECT($B$1&amp;"!"&amp;ADDRESS(8,COLUMN()+6,4)&amp;":"&amp;ADDRESS(73,COLUMN()+6,4)),MATCH($B63,INDIRECT($B$1&amp;"!$A$8:$A$73"),0)),CONFIG!$A$15:$B$28,2,FALSE),"")</f>
        <v/>
      </c>
      <c r="Y63" s="157">
        <f>IFERROR(VLOOKUP(INDEX(INDIRECT($B$1&amp;"!"&amp;ADDRESS(8,COLUMN()+6,4)&amp;":"&amp;ADDRESS(73,COLUMN()+6,4)),MATCH($B63,INDIRECT($B$1&amp;"!$A$8:$A$73"),0)),CONFIG!$A$15:$B$28,2,FALSE),"")</f>
        <v/>
      </c>
      <c r="Z63" s="157">
        <f>IFERROR(VLOOKUP(INDEX(INDIRECT($B$1&amp;"!"&amp;ADDRESS(8,COLUMN()+6,4)&amp;":"&amp;ADDRESS(73,COLUMN()+6,4)),MATCH($B63,INDIRECT($B$1&amp;"!$A$8:$A$73"),0)),CONFIG!$A$15:$B$28,2,FALSE),"")</f>
        <v/>
      </c>
      <c r="AA63" s="157">
        <f>IFERROR(VLOOKUP(INDEX(INDIRECT($B$1&amp;"!"&amp;ADDRESS(8,COLUMN()+6,4)&amp;":"&amp;ADDRESS(73,COLUMN()+6,4)),MATCH($B63,INDIRECT($B$1&amp;"!$A$8:$A$73"),0)),CONFIG!$A$15:$B$28,2,FALSE),"")</f>
        <v/>
      </c>
      <c r="AB63" s="157">
        <f>IFERROR(VLOOKUP(INDEX(INDIRECT($B$1&amp;"!"&amp;ADDRESS(8,COLUMN()+6,4)&amp;":"&amp;ADDRESS(73,COLUMN()+6,4)),MATCH($B63,INDIRECT($B$1&amp;"!$A$8:$A$73"),0)),CONFIG!$A$15:$B$28,2,FALSE),"")</f>
        <v/>
      </c>
      <c r="AC63" s="157">
        <f>IFERROR(VLOOKUP(INDEX(INDIRECT($B$1&amp;"!"&amp;ADDRESS(8,COLUMN()+6,4)&amp;":"&amp;ADDRESS(73,COLUMN()+6,4)),MATCH($B63,INDIRECT($B$1&amp;"!$A$8:$A$73"),0)),CONFIG!$A$15:$B$28,2,FALSE),"")</f>
        <v/>
      </c>
      <c r="AD63" s="157">
        <f>IFERROR(VLOOKUP(INDEX(INDIRECT($B$1&amp;"!"&amp;ADDRESS(8,COLUMN()+6,4)&amp;":"&amp;ADDRESS(73,COLUMN()+6,4)),MATCH($B63,INDIRECT($B$1&amp;"!$A$8:$A$73"),0)),CONFIG!$A$15:$B$28,2,FALSE),"")</f>
        <v/>
      </c>
      <c r="AE63" s="157">
        <f>IFERROR(VLOOKUP(INDEX(INDIRECT($B$1&amp;"!"&amp;ADDRESS(8,COLUMN()+6,4)&amp;":"&amp;ADDRESS(73,COLUMN()+6,4)),MATCH($B63,INDIRECT($B$1&amp;"!$A$8:$A$73"),0)),CONFIG!$A$15:$B$28,2,FALSE),"")</f>
        <v/>
      </c>
      <c r="AF63" s="157">
        <f>IFERROR(VLOOKUP(INDEX(INDIRECT($B$1&amp;"!"&amp;ADDRESS(8,COLUMN()+6,4)&amp;":"&amp;ADDRESS(73,COLUMN()+6,4)),MATCH($B63,INDIRECT($B$1&amp;"!$A$8:$A$73"),0)),CONFIG!$A$15:$B$28,2,FALSE),"")</f>
        <v/>
      </c>
      <c r="AG63" s="157">
        <f>IFERROR(VLOOKUP(INDEX(INDIRECT($B$1&amp;"!"&amp;ADDRESS(8,COLUMN()+6,4)&amp;":"&amp;ADDRESS(73,COLUMN()+6,4)),MATCH($B63,INDIRECT($B$1&amp;"!$A$8:$A$73"),0)),CONFIG!$A$15:$B$28,2,FALSE),"")</f>
        <v/>
      </c>
      <c r="AH63" s="157">
        <f>IFERROR(VLOOKUP(INDEX(INDIRECT($B$1&amp;"!"&amp;ADDRESS(8,COLUMN()+6,4)&amp;":"&amp;ADDRESS(73,COLUMN()+6,4)),MATCH($B63,INDIRECT($B$1&amp;"!$A$8:$A$73"),0)),CONFIG!$A$15:$B$28,2,FALSE),"")</f>
        <v/>
      </c>
      <c r="AI63" s="39" t="n"/>
    </row>
    <row r="64">
      <c r="A64" s="155" t="inlineStr">
        <is>
          <t>Pedro</t>
        </is>
      </c>
      <c r="B64" s="156" t="inlineStr">
        <is>
          <t>Pedro</t>
        </is>
      </c>
      <c r="C64" s="157">
        <f>IFERROR(VLOOKUP(INDEX(INDIRECT($B$1&amp;"!"&amp;ADDRESS(8,COLUMN()+6,4)&amp;":"&amp;ADDRESS(73,COLUMN()+6,4)),MATCH($B64,INDIRECT($B$1&amp;"!$A$8:$A$73"),0)),CONFIG!$A$15:$B$28,2,FALSE),"")</f>
        <v/>
      </c>
      <c r="D64" s="157">
        <f>IFERROR(VLOOKUP(INDEX(INDIRECT($B$1&amp;"!"&amp;ADDRESS(8,COLUMN()+6,4)&amp;":"&amp;ADDRESS(73,COLUMN()+6,4)),MATCH($B64,INDIRECT($B$1&amp;"!$A$8:$A$73"),0)),CONFIG!$A$15:$B$28,2,FALSE),"")</f>
        <v/>
      </c>
      <c r="E64" s="157">
        <f>IFERROR(VLOOKUP(INDEX(INDIRECT($B$1&amp;"!"&amp;ADDRESS(8,COLUMN()+6,4)&amp;":"&amp;ADDRESS(73,COLUMN()+6,4)),MATCH($B64,INDIRECT($B$1&amp;"!$A$8:$A$73"),0)),CONFIG!$A$15:$B$28,2,FALSE),"")</f>
        <v/>
      </c>
      <c r="F64" s="157">
        <f>IFERROR(VLOOKUP(INDEX(INDIRECT($B$1&amp;"!"&amp;ADDRESS(8,COLUMN()+6,4)&amp;":"&amp;ADDRESS(73,COLUMN()+6,4)),MATCH($B64,INDIRECT($B$1&amp;"!$A$8:$A$73"),0)),CONFIG!$A$15:$B$28,2,FALSE),"")</f>
        <v/>
      </c>
      <c r="G64" s="157">
        <f>IFERROR(VLOOKUP(INDEX(INDIRECT($B$1&amp;"!"&amp;ADDRESS(8,COLUMN()+6,4)&amp;":"&amp;ADDRESS(73,COLUMN()+6,4)),MATCH($B64,INDIRECT($B$1&amp;"!$A$8:$A$73"),0)),CONFIG!$A$15:$B$28,2,FALSE),"")</f>
        <v/>
      </c>
      <c r="H64" s="157">
        <f>IFERROR(VLOOKUP(INDEX(INDIRECT($B$1&amp;"!"&amp;ADDRESS(8,COLUMN()+6,4)&amp;":"&amp;ADDRESS(73,COLUMN()+6,4)),MATCH($B64,INDIRECT($B$1&amp;"!$A$8:$A$73"),0)),CONFIG!$A$15:$B$28,2,FALSE),"")</f>
        <v/>
      </c>
      <c r="I64" s="157">
        <f>IFERROR(VLOOKUP(INDEX(INDIRECT($B$1&amp;"!"&amp;ADDRESS(8,COLUMN()+6,4)&amp;":"&amp;ADDRESS(73,COLUMN()+6,4)),MATCH($B64,INDIRECT($B$1&amp;"!$A$8:$A$73"),0)),CONFIG!$A$15:$B$28,2,FALSE),"")</f>
        <v/>
      </c>
      <c r="J64" s="157">
        <f>IFERROR(VLOOKUP(INDEX(INDIRECT($B$1&amp;"!"&amp;ADDRESS(8,COLUMN()+6,4)&amp;":"&amp;ADDRESS(73,COLUMN()+6,4)),MATCH($B64,INDIRECT($B$1&amp;"!$A$8:$A$73"),0)),CONFIG!$A$15:$B$28,2,FALSE),"")</f>
        <v/>
      </c>
      <c r="K64" s="157">
        <f>IFERROR(VLOOKUP(INDEX(INDIRECT($B$1&amp;"!"&amp;ADDRESS(8,COLUMN()+6,4)&amp;":"&amp;ADDRESS(73,COLUMN()+6,4)),MATCH($B64,INDIRECT($B$1&amp;"!$A$8:$A$73"),0)),CONFIG!$A$15:$B$28,2,FALSE),"")</f>
        <v/>
      </c>
      <c r="L64" s="157">
        <f>IFERROR(VLOOKUP(INDEX(INDIRECT($B$1&amp;"!"&amp;ADDRESS(8,COLUMN()+6,4)&amp;":"&amp;ADDRESS(73,COLUMN()+6,4)),MATCH($B64,INDIRECT($B$1&amp;"!$A$8:$A$73"),0)),CONFIG!$A$15:$B$28,2,FALSE),"")</f>
        <v/>
      </c>
      <c r="M64" s="157">
        <f>IFERROR(VLOOKUP(INDEX(INDIRECT($B$1&amp;"!"&amp;ADDRESS(8,COLUMN()+6,4)&amp;":"&amp;ADDRESS(73,COLUMN()+6,4)),MATCH($B64,INDIRECT($B$1&amp;"!$A$8:$A$73"),0)),CONFIG!$A$15:$B$28,2,FALSE),"")</f>
        <v/>
      </c>
      <c r="N64" s="157">
        <f>IFERROR(VLOOKUP(INDEX(INDIRECT($B$1&amp;"!"&amp;ADDRESS(8,COLUMN()+6,4)&amp;":"&amp;ADDRESS(73,COLUMN()+6,4)),MATCH($B64,INDIRECT($B$1&amp;"!$A$8:$A$73"),0)),CONFIG!$A$15:$B$28,2,FALSE),"")</f>
        <v/>
      </c>
      <c r="O64" s="157">
        <f>IFERROR(VLOOKUP(INDEX(INDIRECT($B$1&amp;"!"&amp;ADDRESS(8,COLUMN()+6,4)&amp;":"&amp;ADDRESS(73,COLUMN()+6,4)),MATCH($B64,INDIRECT($B$1&amp;"!$A$8:$A$73"),0)),CONFIG!$A$15:$B$28,2,FALSE),"")</f>
        <v/>
      </c>
      <c r="P64" s="157">
        <f>IFERROR(VLOOKUP(INDEX(INDIRECT($B$1&amp;"!"&amp;ADDRESS(8,COLUMN()+6,4)&amp;":"&amp;ADDRESS(73,COLUMN()+6,4)),MATCH($B64,INDIRECT($B$1&amp;"!$A$8:$A$73"),0)),CONFIG!$A$15:$B$28,2,FALSE),"")</f>
        <v/>
      </c>
      <c r="Q64" s="157">
        <f>IFERROR(VLOOKUP(INDEX(INDIRECT($B$1&amp;"!"&amp;ADDRESS(8,COLUMN()+6,4)&amp;":"&amp;ADDRESS(73,COLUMN()+6,4)),MATCH($B64,INDIRECT($B$1&amp;"!$A$8:$A$73"),0)),CONFIG!$A$15:$B$28,2,FALSE),"")</f>
        <v/>
      </c>
      <c r="R64" s="157">
        <f>IFERROR(VLOOKUP(INDEX(INDIRECT($B$1&amp;"!"&amp;ADDRESS(8,COLUMN()+6,4)&amp;":"&amp;ADDRESS(73,COLUMN()+6,4)),MATCH($B64,INDIRECT($B$1&amp;"!$A$8:$A$73"),0)),CONFIG!$A$15:$B$28,2,FALSE),"")</f>
        <v/>
      </c>
      <c r="S64" s="157">
        <f>IFERROR(VLOOKUP(INDEX(INDIRECT($B$1&amp;"!"&amp;ADDRESS(8,COLUMN()+6,4)&amp;":"&amp;ADDRESS(73,COLUMN()+6,4)),MATCH($B64,INDIRECT($B$1&amp;"!$A$8:$A$73"),0)),CONFIG!$A$15:$B$28,2,FALSE),"")</f>
        <v/>
      </c>
      <c r="T64" s="157">
        <f>IFERROR(VLOOKUP(INDEX(INDIRECT($B$1&amp;"!"&amp;ADDRESS(8,COLUMN()+6,4)&amp;":"&amp;ADDRESS(73,COLUMN()+6,4)),MATCH($B64,INDIRECT($B$1&amp;"!$A$8:$A$73"),0)),CONFIG!$A$15:$B$28,2,FALSE),"")</f>
        <v/>
      </c>
      <c r="U64" s="157">
        <f>IFERROR(VLOOKUP(INDEX(INDIRECT($B$1&amp;"!"&amp;ADDRESS(8,COLUMN()+6,4)&amp;":"&amp;ADDRESS(73,COLUMN()+6,4)),MATCH($B64,INDIRECT($B$1&amp;"!$A$8:$A$73"),0)),CONFIG!$A$15:$B$28,2,FALSE),"")</f>
        <v/>
      </c>
      <c r="V64" s="157">
        <f>IFERROR(VLOOKUP(INDEX(INDIRECT($B$1&amp;"!"&amp;ADDRESS(8,COLUMN()+6,4)&amp;":"&amp;ADDRESS(73,COLUMN()+6,4)),MATCH($B64,INDIRECT($B$1&amp;"!$A$8:$A$73"),0)),CONFIG!$A$15:$B$28,2,FALSE),"")</f>
        <v/>
      </c>
      <c r="W64" s="157">
        <f>IFERROR(VLOOKUP(INDEX(INDIRECT($B$1&amp;"!"&amp;ADDRESS(8,COLUMN()+6,4)&amp;":"&amp;ADDRESS(73,COLUMN()+6,4)),MATCH($B64,INDIRECT($B$1&amp;"!$A$8:$A$73"),0)),CONFIG!$A$15:$B$28,2,FALSE),"")</f>
        <v/>
      </c>
      <c r="X64" s="157">
        <f>IFERROR(VLOOKUP(INDEX(INDIRECT($B$1&amp;"!"&amp;ADDRESS(8,COLUMN()+6,4)&amp;":"&amp;ADDRESS(73,COLUMN()+6,4)),MATCH($B64,INDIRECT($B$1&amp;"!$A$8:$A$73"),0)),CONFIG!$A$15:$B$28,2,FALSE),"")</f>
        <v/>
      </c>
      <c r="Y64" s="157">
        <f>IFERROR(VLOOKUP(INDEX(INDIRECT($B$1&amp;"!"&amp;ADDRESS(8,COLUMN()+6,4)&amp;":"&amp;ADDRESS(73,COLUMN()+6,4)),MATCH($B64,INDIRECT($B$1&amp;"!$A$8:$A$73"),0)),CONFIG!$A$15:$B$28,2,FALSE),"")</f>
        <v/>
      </c>
      <c r="Z64" s="157">
        <f>IFERROR(VLOOKUP(INDEX(INDIRECT($B$1&amp;"!"&amp;ADDRESS(8,COLUMN()+6,4)&amp;":"&amp;ADDRESS(73,COLUMN()+6,4)),MATCH($B64,INDIRECT($B$1&amp;"!$A$8:$A$73"),0)),CONFIG!$A$15:$B$28,2,FALSE),"")</f>
        <v/>
      </c>
      <c r="AA64" s="157">
        <f>IFERROR(VLOOKUP(INDEX(INDIRECT($B$1&amp;"!"&amp;ADDRESS(8,COLUMN()+6,4)&amp;":"&amp;ADDRESS(73,COLUMN()+6,4)),MATCH($B64,INDIRECT($B$1&amp;"!$A$8:$A$73"),0)),CONFIG!$A$15:$B$28,2,FALSE),"")</f>
        <v/>
      </c>
      <c r="AB64" s="157">
        <f>IFERROR(VLOOKUP(INDEX(INDIRECT($B$1&amp;"!"&amp;ADDRESS(8,COLUMN()+6,4)&amp;":"&amp;ADDRESS(73,COLUMN()+6,4)),MATCH($B64,INDIRECT($B$1&amp;"!$A$8:$A$73"),0)),CONFIG!$A$15:$B$28,2,FALSE),"")</f>
        <v/>
      </c>
      <c r="AC64" s="157">
        <f>IFERROR(VLOOKUP(INDEX(INDIRECT($B$1&amp;"!"&amp;ADDRESS(8,COLUMN()+6,4)&amp;":"&amp;ADDRESS(73,COLUMN()+6,4)),MATCH($B64,INDIRECT($B$1&amp;"!$A$8:$A$73"),0)),CONFIG!$A$15:$B$28,2,FALSE),"")</f>
        <v/>
      </c>
      <c r="AD64" s="157">
        <f>IFERROR(VLOOKUP(INDEX(INDIRECT($B$1&amp;"!"&amp;ADDRESS(8,COLUMN()+6,4)&amp;":"&amp;ADDRESS(73,COLUMN()+6,4)),MATCH($B64,INDIRECT($B$1&amp;"!$A$8:$A$73"),0)),CONFIG!$A$15:$B$28,2,FALSE),"")</f>
        <v/>
      </c>
      <c r="AE64" s="157">
        <f>IFERROR(VLOOKUP(INDEX(INDIRECT($B$1&amp;"!"&amp;ADDRESS(8,COLUMN()+6,4)&amp;":"&amp;ADDRESS(73,COLUMN()+6,4)),MATCH($B64,INDIRECT($B$1&amp;"!$A$8:$A$73"),0)),CONFIG!$A$15:$B$28,2,FALSE),"")</f>
        <v/>
      </c>
      <c r="AF64" s="157">
        <f>IFERROR(VLOOKUP(INDEX(INDIRECT($B$1&amp;"!"&amp;ADDRESS(8,COLUMN()+6,4)&amp;":"&amp;ADDRESS(73,COLUMN()+6,4)),MATCH($B64,INDIRECT($B$1&amp;"!$A$8:$A$73"),0)),CONFIG!$A$15:$B$28,2,FALSE),"")</f>
        <v/>
      </c>
      <c r="AG64" s="157">
        <f>IFERROR(VLOOKUP(INDEX(INDIRECT($B$1&amp;"!"&amp;ADDRESS(8,COLUMN()+6,4)&amp;":"&amp;ADDRESS(73,COLUMN()+6,4)),MATCH($B64,INDIRECT($B$1&amp;"!$A$8:$A$73"),0)),CONFIG!$A$15:$B$28,2,FALSE),"")</f>
        <v/>
      </c>
      <c r="AH64" s="157">
        <f>IFERROR(VLOOKUP(INDEX(INDIRECT($B$1&amp;"!"&amp;ADDRESS(8,COLUMN()+6,4)&amp;":"&amp;ADDRESS(73,COLUMN()+6,4)),MATCH($B64,INDIRECT($B$1&amp;"!$A$8:$A$73"),0)),CONFIG!$A$15:$B$28,2,FALSE),"")</f>
        <v/>
      </c>
      <c r="AI64" s="39" t="n"/>
    </row>
    <row r="65">
      <c r="A65" s="155" t="inlineStr">
        <is>
          <t>Paula Jamile</t>
        </is>
      </c>
      <c r="B65" s="156" t="inlineStr">
        <is>
          <t>Pjamile</t>
        </is>
      </c>
      <c r="C65" s="157">
        <f>IFERROR(VLOOKUP(INDEX(INDIRECT($B$1&amp;"!"&amp;ADDRESS(8,COLUMN()+6,4)&amp;":"&amp;ADDRESS(73,COLUMN()+6,4)),MATCH($B65,INDIRECT($B$1&amp;"!$A$8:$A$73"),0)),CONFIG!$A$15:$B$28,2,FALSE),"")</f>
        <v/>
      </c>
      <c r="D65" s="157">
        <f>IFERROR(VLOOKUP(INDEX(INDIRECT($B$1&amp;"!"&amp;ADDRESS(8,COLUMN()+6,4)&amp;":"&amp;ADDRESS(73,COLUMN()+6,4)),MATCH($B65,INDIRECT($B$1&amp;"!$A$8:$A$73"),0)),CONFIG!$A$15:$B$28,2,FALSE),"")</f>
        <v/>
      </c>
      <c r="E65" s="157">
        <f>IFERROR(VLOOKUP(INDEX(INDIRECT($B$1&amp;"!"&amp;ADDRESS(8,COLUMN()+6,4)&amp;":"&amp;ADDRESS(73,COLUMN()+6,4)),MATCH($B65,INDIRECT($B$1&amp;"!$A$8:$A$73"),0)),CONFIG!$A$15:$B$28,2,FALSE),"")</f>
        <v/>
      </c>
      <c r="F65" s="157">
        <f>IFERROR(VLOOKUP(INDEX(INDIRECT($B$1&amp;"!"&amp;ADDRESS(8,COLUMN()+6,4)&amp;":"&amp;ADDRESS(73,COLUMN()+6,4)),MATCH($B65,INDIRECT($B$1&amp;"!$A$8:$A$73"),0)),CONFIG!$A$15:$B$28,2,FALSE),"")</f>
        <v/>
      </c>
      <c r="G65" s="157">
        <f>IFERROR(VLOOKUP(INDEX(INDIRECT($B$1&amp;"!"&amp;ADDRESS(8,COLUMN()+6,4)&amp;":"&amp;ADDRESS(73,COLUMN()+6,4)),MATCH($B65,INDIRECT($B$1&amp;"!$A$8:$A$73"),0)),CONFIG!$A$15:$B$28,2,FALSE),"")</f>
        <v/>
      </c>
      <c r="H65" s="157">
        <f>IFERROR(VLOOKUP(INDEX(INDIRECT($B$1&amp;"!"&amp;ADDRESS(8,COLUMN()+6,4)&amp;":"&amp;ADDRESS(73,COLUMN()+6,4)),MATCH($B65,INDIRECT($B$1&amp;"!$A$8:$A$73"),0)),CONFIG!$A$15:$B$28,2,FALSE),"")</f>
        <v/>
      </c>
      <c r="I65" s="157">
        <f>IFERROR(VLOOKUP(INDEX(INDIRECT($B$1&amp;"!"&amp;ADDRESS(8,COLUMN()+6,4)&amp;":"&amp;ADDRESS(73,COLUMN()+6,4)),MATCH($B65,INDIRECT($B$1&amp;"!$A$8:$A$73"),0)),CONFIG!$A$15:$B$28,2,FALSE),"")</f>
        <v/>
      </c>
      <c r="J65" s="157">
        <f>IFERROR(VLOOKUP(INDEX(INDIRECT($B$1&amp;"!"&amp;ADDRESS(8,COLUMN()+6,4)&amp;":"&amp;ADDRESS(73,COLUMN()+6,4)),MATCH($B65,INDIRECT($B$1&amp;"!$A$8:$A$73"),0)),CONFIG!$A$15:$B$28,2,FALSE),"")</f>
        <v/>
      </c>
      <c r="K65" s="157">
        <f>IFERROR(VLOOKUP(INDEX(INDIRECT($B$1&amp;"!"&amp;ADDRESS(8,COLUMN()+6,4)&amp;":"&amp;ADDRESS(73,COLUMN()+6,4)),MATCH($B65,INDIRECT($B$1&amp;"!$A$8:$A$73"),0)),CONFIG!$A$15:$B$28,2,FALSE),"")</f>
        <v/>
      </c>
      <c r="L65" s="157">
        <f>IFERROR(VLOOKUP(INDEX(INDIRECT($B$1&amp;"!"&amp;ADDRESS(8,COLUMN()+6,4)&amp;":"&amp;ADDRESS(73,COLUMN()+6,4)),MATCH($B65,INDIRECT($B$1&amp;"!$A$8:$A$73"),0)),CONFIG!$A$15:$B$28,2,FALSE),"")</f>
        <v/>
      </c>
      <c r="M65" s="157">
        <f>IFERROR(VLOOKUP(INDEX(INDIRECT($B$1&amp;"!"&amp;ADDRESS(8,COLUMN()+6,4)&amp;":"&amp;ADDRESS(73,COLUMN()+6,4)),MATCH($B65,INDIRECT($B$1&amp;"!$A$8:$A$73"),0)),CONFIG!$A$15:$B$28,2,FALSE),"")</f>
        <v/>
      </c>
      <c r="N65" s="157">
        <f>IFERROR(VLOOKUP(INDEX(INDIRECT($B$1&amp;"!"&amp;ADDRESS(8,COLUMN()+6,4)&amp;":"&amp;ADDRESS(73,COLUMN()+6,4)),MATCH($B65,INDIRECT($B$1&amp;"!$A$8:$A$73"),0)),CONFIG!$A$15:$B$28,2,FALSE),"")</f>
        <v/>
      </c>
      <c r="O65" s="157">
        <f>IFERROR(VLOOKUP(INDEX(INDIRECT($B$1&amp;"!"&amp;ADDRESS(8,COLUMN()+6,4)&amp;":"&amp;ADDRESS(73,COLUMN()+6,4)),MATCH($B65,INDIRECT($B$1&amp;"!$A$8:$A$73"),0)),CONFIG!$A$15:$B$28,2,FALSE),"")</f>
        <v/>
      </c>
      <c r="P65" s="157">
        <f>IFERROR(VLOOKUP(INDEX(INDIRECT($B$1&amp;"!"&amp;ADDRESS(8,COLUMN()+6,4)&amp;":"&amp;ADDRESS(73,COLUMN()+6,4)),MATCH($B65,INDIRECT($B$1&amp;"!$A$8:$A$73"),0)),CONFIG!$A$15:$B$28,2,FALSE),"")</f>
        <v/>
      </c>
      <c r="Q65" s="157">
        <f>IFERROR(VLOOKUP(INDEX(INDIRECT($B$1&amp;"!"&amp;ADDRESS(8,COLUMN()+6,4)&amp;":"&amp;ADDRESS(73,COLUMN()+6,4)),MATCH($B65,INDIRECT($B$1&amp;"!$A$8:$A$73"),0)),CONFIG!$A$15:$B$28,2,FALSE),"")</f>
        <v/>
      </c>
      <c r="R65" s="157">
        <f>IFERROR(VLOOKUP(INDEX(INDIRECT($B$1&amp;"!"&amp;ADDRESS(8,COLUMN()+6,4)&amp;":"&amp;ADDRESS(73,COLUMN()+6,4)),MATCH($B65,INDIRECT($B$1&amp;"!$A$8:$A$73"),0)),CONFIG!$A$15:$B$28,2,FALSE),"")</f>
        <v/>
      </c>
      <c r="S65" s="157">
        <f>IFERROR(VLOOKUP(INDEX(INDIRECT($B$1&amp;"!"&amp;ADDRESS(8,COLUMN()+6,4)&amp;":"&amp;ADDRESS(73,COLUMN()+6,4)),MATCH($B65,INDIRECT($B$1&amp;"!$A$8:$A$73"),0)),CONFIG!$A$15:$B$28,2,FALSE),"")</f>
        <v/>
      </c>
      <c r="T65" s="157">
        <f>IFERROR(VLOOKUP(INDEX(INDIRECT($B$1&amp;"!"&amp;ADDRESS(8,COLUMN()+6,4)&amp;":"&amp;ADDRESS(73,COLUMN()+6,4)),MATCH($B65,INDIRECT($B$1&amp;"!$A$8:$A$73"),0)),CONFIG!$A$15:$B$28,2,FALSE),"")</f>
        <v/>
      </c>
      <c r="U65" s="157">
        <f>IFERROR(VLOOKUP(INDEX(INDIRECT($B$1&amp;"!"&amp;ADDRESS(8,COLUMN()+6,4)&amp;":"&amp;ADDRESS(73,COLUMN()+6,4)),MATCH($B65,INDIRECT($B$1&amp;"!$A$8:$A$73"),0)),CONFIG!$A$15:$B$28,2,FALSE),"")</f>
        <v/>
      </c>
      <c r="V65" s="157">
        <f>IFERROR(VLOOKUP(INDEX(INDIRECT($B$1&amp;"!"&amp;ADDRESS(8,COLUMN()+6,4)&amp;":"&amp;ADDRESS(73,COLUMN()+6,4)),MATCH($B65,INDIRECT($B$1&amp;"!$A$8:$A$73"),0)),CONFIG!$A$15:$B$28,2,FALSE),"")</f>
        <v/>
      </c>
      <c r="W65" s="157">
        <f>IFERROR(VLOOKUP(INDEX(INDIRECT($B$1&amp;"!"&amp;ADDRESS(8,COLUMN()+6,4)&amp;":"&amp;ADDRESS(73,COLUMN()+6,4)),MATCH($B65,INDIRECT($B$1&amp;"!$A$8:$A$73"),0)),CONFIG!$A$15:$B$28,2,FALSE),"")</f>
        <v/>
      </c>
      <c r="X65" s="157">
        <f>IFERROR(VLOOKUP(INDEX(INDIRECT($B$1&amp;"!"&amp;ADDRESS(8,COLUMN()+6,4)&amp;":"&amp;ADDRESS(73,COLUMN()+6,4)),MATCH($B65,INDIRECT($B$1&amp;"!$A$8:$A$73"),0)),CONFIG!$A$15:$B$28,2,FALSE),"")</f>
        <v/>
      </c>
      <c r="Y65" s="157">
        <f>IFERROR(VLOOKUP(INDEX(INDIRECT($B$1&amp;"!"&amp;ADDRESS(8,COLUMN()+6,4)&amp;":"&amp;ADDRESS(73,COLUMN()+6,4)),MATCH($B65,INDIRECT($B$1&amp;"!$A$8:$A$73"),0)),CONFIG!$A$15:$B$28,2,FALSE),"")</f>
        <v/>
      </c>
      <c r="Z65" s="157">
        <f>IFERROR(VLOOKUP(INDEX(INDIRECT($B$1&amp;"!"&amp;ADDRESS(8,COLUMN()+6,4)&amp;":"&amp;ADDRESS(73,COLUMN()+6,4)),MATCH($B65,INDIRECT($B$1&amp;"!$A$8:$A$73"),0)),CONFIG!$A$15:$B$28,2,FALSE),"")</f>
        <v/>
      </c>
      <c r="AA65" s="157">
        <f>IFERROR(VLOOKUP(INDEX(INDIRECT($B$1&amp;"!"&amp;ADDRESS(8,COLUMN()+6,4)&amp;":"&amp;ADDRESS(73,COLUMN()+6,4)),MATCH($B65,INDIRECT($B$1&amp;"!$A$8:$A$73"),0)),CONFIG!$A$15:$B$28,2,FALSE),"")</f>
        <v/>
      </c>
      <c r="AB65" s="157">
        <f>IFERROR(VLOOKUP(INDEX(INDIRECT($B$1&amp;"!"&amp;ADDRESS(8,COLUMN()+6,4)&amp;":"&amp;ADDRESS(73,COLUMN()+6,4)),MATCH($B65,INDIRECT($B$1&amp;"!$A$8:$A$73"),0)),CONFIG!$A$15:$B$28,2,FALSE),"")</f>
        <v/>
      </c>
      <c r="AC65" s="157">
        <f>IFERROR(VLOOKUP(INDEX(INDIRECT($B$1&amp;"!"&amp;ADDRESS(8,COLUMN()+6,4)&amp;":"&amp;ADDRESS(73,COLUMN()+6,4)),MATCH($B65,INDIRECT($B$1&amp;"!$A$8:$A$73"),0)),CONFIG!$A$15:$B$28,2,FALSE),"")</f>
        <v/>
      </c>
      <c r="AD65" s="157">
        <f>IFERROR(VLOOKUP(INDEX(INDIRECT($B$1&amp;"!"&amp;ADDRESS(8,COLUMN()+6,4)&amp;":"&amp;ADDRESS(73,COLUMN()+6,4)),MATCH($B65,INDIRECT($B$1&amp;"!$A$8:$A$73"),0)),CONFIG!$A$15:$B$28,2,FALSE),"")</f>
        <v/>
      </c>
      <c r="AE65" s="157">
        <f>IFERROR(VLOOKUP(INDEX(INDIRECT($B$1&amp;"!"&amp;ADDRESS(8,COLUMN()+6,4)&amp;":"&amp;ADDRESS(73,COLUMN()+6,4)),MATCH($B65,INDIRECT($B$1&amp;"!$A$8:$A$73"),0)),CONFIG!$A$15:$B$28,2,FALSE),"")</f>
        <v/>
      </c>
      <c r="AF65" s="157">
        <f>IFERROR(VLOOKUP(INDEX(INDIRECT($B$1&amp;"!"&amp;ADDRESS(8,COLUMN()+6,4)&amp;":"&amp;ADDRESS(73,COLUMN()+6,4)),MATCH($B65,INDIRECT($B$1&amp;"!$A$8:$A$73"),0)),CONFIG!$A$15:$B$28,2,FALSE),"")</f>
        <v/>
      </c>
      <c r="AG65" s="157">
        <f>IFERROR(VLOOKUP(INDEX(INDIRECT($B$1&amp;"!"&amp;ADDRESS(8,COLUMN()+6,4)&amp;":"&amp;ADDRESS(73,COLUMN()+6,4)),MATCH($B65,INDIRECT($B$1&amp;"!$A$8:$A$73"),0)),CONFIG!$A$15:$B$28,2,FALSE),"")</f>
        <v/>
      </c>
      <c r="AH65" s="157">
        <f>IFERROR(VLOOKUP(INDEX(INDIRECT($B$1&amp;"!"&amp;ADDRESS(8,COLUMN()+6,4)&amp;":"&amp;ADDRESS(73,COLUMN()+6,4)),MATCH($B65,INDIRECT($B$1&amp;"!$A$8:$A$73"),0)),CONFIG!$A$15:$B$28,2,FALSE),"")</f>
        <v/>
      </c>
      <c r="AI65" s="39" t="n"/>
    </row>
    <row r="66">
      <c r="A66" s="155" t="inlineStr">
        <is>
          <t>Raphael Costa</t>
        </is>
      </c>
      <c r="B66" s="156" t="inlineStr">
        <is>
          <t>Raphael</t>
        </is>
      </c>
      <c r="C66" s="157">
        <f>IFERROR(VLOOKUP(INDEX(INDIRECT($B$1&amp;"!"&amp;ADDRESS(8,COLUMN()+6,4)&amp;":"&amp;ADDRESS(73,COLUMN()+6,4)),MATCH($B66,INDIRECT($B$1&amp;"!$A$8:$A$73"),0)),CONFIG!$A$15:$B$28,2,FALSE),"")</f>
        <v/>
      </c>
      <c r="D66" s="157">
        <f>IFERROR(VLOOKUP(INDEX(INDIRECT($B$1&amp;"!"&amp;ADDRESS(8,COLUMN()+6,4)&amp;":"&amp;ADDRESS(73,COLUMN()+6,4)),MATCH($B66,INDIRECT($B$1&amp;"!$A$8:$A$73"),0)),CONFIG!$A$15:$B$28,2,FALSE),"")</f>
        <v/>
      </c>
      <c r="E66" s="157">
        <f>IFERROR(VLOOKUP(INDEX(INDIRECT($B$1&amp;"!"&amp;ADDRESS(8,COLUMN()+6,4)&amp;":"&amp;ADDRESS(73,COLUMN()+6,4)),MATCH($B66,INDIRECT($B$1&amp;"!$A$8:$A$73"),0)),CONFIG!$A$15:$B$28,2,FALSE),"")</f>
        <v/>
      </c>
      <c r="F66" s="157">
        <f>IFERROR(VLOOKUP(INDEX(INDIRECT($B$1&amp;"!"&amp;ADDRESS(8,COLUMN()+6,4)&amp;":"&amp;ADDRESS(73,COLUMN()+6,4)),MATCH($B66,INDIRECT($B$1&amp;"!$A$8:$A$73"),0)),CONFIG!$A$15:$B$28,2,FALSE),"")</f>
        <v/>
      </c>
      <c r="G66" s="157">
        <f>IFERROR(VLOOKUP(INDEX(INDIRECT($B$1&amp;"!"&amp;ADDRESS(8,COLUMN()+6,4)&amp;":"&amp;ADDRESS(73,COLUMN()+6,4)),MATCH($B66,INDIRECT($B$1&amp;"!$A$8:$A$73"),0)),CONFIG!$A$15:$B$28,2,FALSE),"")</f>
        <v/>
      </c>
      <c r="H66" s="157">
        <f>IFERROR(VLOOKUP(INDEX(INDIRECT($B$1&amp;"!"&amp;ADDRESS(8,COLUMN()+6,4)&amp;":"&amp;ADDRESS(73,COLUMN()+6,4)),MATCH($B66,INDIRECT($B$1&amp;"!$A$8:$A$73"),0)),CONFIG!$A$15:$B$28,2,FALSE),"")</f>
        <v/>
      </c>
      <c r="I66" s="157">
        <f>IFERROR(VLOOKUP(INDEX(INDIRECT($B$1&amp;"!"&amp;ADDRESS(8,COLUMN()+6,4)&amp;":"&amp;ADDRESS(73,COLUMN()+6,4)),MATCH($B66,INDIRECT($B$1&amp;"!$A$8:$A$73"),0)),CONFIG!$A$15:$B$28,2,FALSE),"")</f>
        <v/>
      </c>
      <c r="J66" s="157">
        <f>IFERROR(VLOOKUP(INDEX(INDIRECT($B$1&amp;"!"&amp;ADDRESS(8,COLUMN()+6,4)&amp;":"&amp;ADDRESS(73,COLUMN()+6,4)),MATCH($B66,INDIRECT($B$1&amp;"!$A$8:$A$73"),0)),CONFIG!$A$15:$B$28,2,FALSE),"")</f>
        <v/>
      </c>
      <c r="K66" s="157">
        <f>IFERROR(VLOOKUP(INDEX(INDIRECT($B$1&amp;"!"&amp;ADDRESS(8,COLUMN()+6,4)&amp;":"&amp;ADDRESS(73,COLUMN()+6,4)),MATCH($B66,INDIRECT($B$1&amp;"!$A$8:$A$73"),0)),CONFIG!$A$15:$B$28,2,FALSE),"")</f>
        <v/>
      </c>
      <c r="L66" s="157">
        <f>IFERROR(VLOOKUP(INDEX(INDIRECT($B$1&amp;"!"&amp;ADDRESS(8,COLUMN()+6,4)&amp;":"&amp;ADDRESS(73,COLUMN()+6,4)),MATCH($B66,INDIRECT($B$1&amp;"!$A$8:$A$73"),0)),CONFIG!$A$15:$B$28,2,FALSE),"")</f>
        <v/>
      </c>
      <c r="M66" s="157">
        <f>IFERROR(VLOOKUP(INDEX(INDIRECT($B$1&amp;"!"&amp;ADDRESS(8,COLUMN()+6,4)&amp;":"&amp;ADDRESS(73,COLUMN()+6,4)),MATCH($B66,INDIRECT($B$1&amp;"!$A$8:$A$73"),0)),CONFIG!$A$15:$B$28,2,FALSE),"")</f>
        <v/>
      </c>
      <c r="N66" s="157">
        <f>IFERROR(VLOOKUP(INDEX(INDIRECT($B$1&amp;"!"&amp;ADDRESS(8,COLUMN()+6,4)&amp;":"&amp;ADDRESS(73,COLUMN()+6,4)),MATCH($B66,INDIRECT($B$1&amp;"!$A$8:$A$73"),0)),CONFIG!$A$15:$B$28,2,FALSE),"")</f>
        <v/>
      </c>
      <c r="O66" s="157">
        <f>IFERROR(VLOOKUP(INDEX(INDIRECT($B$1&amp;"!"&amp;ADDRESS(8,COLUMN()+6,4)&amp;":"&amp;ADDRESS(73,COLUMN()+6,4)),MATCH($B66,INDIRECT($B$1&amp;"!$A$8:$A$73"),0)),CONFIG!$A$15:$B$28,2,FALSE),"")</f>
        <v/>
      </c>
      <c r="P66" s="157">
        <f>IFERROR(VLOOKUP(INDEX(INDIRECT($B$1&amp;"!"&amp;ADDRESS(8,COLUMN()+6,4)&amp;":"&amp;ADDRESS(73,COLUMN()+6,4)),MATCH($B66,INDIRECT($B$1&amp;"!$A$8:$A$73"),0)),CONFIG!$A$15:$B$28,2,FALSE),"")</f>
        <v/>
      </c>
      <c r="Q66" s="157">
        <f>IFERROR(VLOOKUP(INDEX(INDIRECT($B$1&amp;"!"&amp;ADDRESS(8,COLUMN()+6,4)&amp;":"&amp;ADDRESS(73,COLUMN()+6,4)),MATCH($B66,INDIRECT($B$1&amp;"!$A$8:$A$73"),0)),CONFIG!$A$15:$B$28,2,FALSE),"")</f>
        <v/>
      </c>
      <c r="R66" s="157">
        <f>IFERROR(VLOOKUP(INDEX(INDIRECT($B$1&amp;"!"&amp;ADDRESS(8,COLUMN()+6,4)&amp;":"&amp;ADDRESS(73,COLUMN()+6,4)),MATCH($B66,INDIRECT($B$1&amp;"!$A$8:$A$73"),0)),CONFIG!$A$15:$B$28,2,FALSE),"")</f>
        <v/>
      </c>
      <c r="S66" s="157">
        <f>IFERROR(VLOOKUP(INDEX(INDIRECT($B$1&amp;"!"&amp;ADDRESS(8,COLUMN()+6,4)&amp;":"&amp;ADDRESS(73,COLUMN()+6,4)),MATCH($B66,INDIRECT($B$1&amp;"!$A$8:$A$73"),0)),CONFIG!$A$15:$B$28,2,FALSE),"")</f>
        <v/>
      </c>
      <c r="T66" s="157">
        <f>IFERROR(VLOOKUP(INDEX(INDIRECT($B$1&amp;"!"&amp;ADDRESS(8,COLUMN()+6,4)&amp;":"&amp;ADDRESS(73,COLUMN()+6,4)),MATCH($B66,INDIRECT($B$1&amp;"!$A$8:$A$73"),0)),CONFIG!$A$15:$B$28,2,FALSE),"")</f>
        <v/>
      </c>
      <c r="U66" s="157">
        <f>IFERROR(VLOOKUP(INDEX(INDIRECT($B$1&amp;"!"&amp;ADDRESS(8,COLUMN()+6,4)&amp;":"&amp;ADDRESS(73,COLUMN()+6,4)),MATCH($B66,INDIRECT($B$1&amp;"!$A$8:$A$73"),0)),CONFIG!$A$15:$B$28,2,FALSE),"")</f>
        <v/>
      </c>
      <c r="V66" s="157">
        <f>IFERROR(VLOOKUP(INDEX(INDIRECT($B$1&amp;"!"&amp;ADDRESS(8,COLUMN()+6,4)&amp;":"&amp;ADDRESS(73,COLUMN()+6,4)),MATCH($B66,INDIRECT($B$1&amp;"!$A$8:$A$73"),0)),CONFIG!$A$15:$B$28,2,FALSE),"")</f>
        <v/>
      </c>
      <c r="W66" s="157">
        <f>IFERROR(VLOOKUP(INDEX(INDIRECT($B$1&amp;"!"&amp;ADDRESS(8,COLUMN()+6,4)&amp;":"&amp;ADDRESS(73,COLUMN()+6,4)),MATCH($B66,INDIRECT($B$1&amp;"!$A$8:$A$73"),0)),CONFIG!$A$15:$B$28,2,FALSE),"")</f>
        <v/>
      </c>
      <c r="X66" s="157">
        <f>IFERROR(VLOOKUP(INDEX(INDIRECT($B$1&amp;"!"&amp;ADDRESS(8,COLUMN()+6,4)&amp;":"&amp;ADDRESS(73,COLUMN()+6,4)),MATCH($B66,INDIRECT($B$1&amp;"!$A$8:$A$73"),0)),CONFIG!$A$15:$B$28,2,FALSE),"")</f>
        <v/>
      </c>
      <c r="Y66" s="157">
        <f>IFERROR(VLOOKUP(INDEX(INDIRECT($B$1&amp;"!"&amp;ADDRESS(8,COLUMN()+6,4)&amp;":"&amp;ADDRESS(73,COLUMN()+6,4)),MATCH($B66,INDIRECT($B$1&amp;"!$A$8:$A$73"),0)),CONFIG!$A$15:$B$28,2,FALSE),"")</f>
        <v/>
      </c>
      <c r="Z66" s="157">
        <f>IFERROR(VLOOKUP(INDEX(INDIRECT($B$1&amp;"!"&amp;ADDRESS(8,COLUMN()+6,4)&amp;":"&amp;ADDRESS(73,COLUMN()+6,4)),MATCH($B66,INDIRECT($B$1&amp;"!$A$8:$A$73"),0)),CONFIG!$A$15:$B$28,2,FALSE),"")</f>
        <v/>
      </c>
      <c r="AA66" s="157">
        <f>IFERROR(VLOOKUP(INDEX(INDIRECT($B$1&amp;"!"&amp;ADDRESS(8,COLUMN()+6,4)&amp;":"&amp;ADDRESS(73,COLUMN()+6,4)),MATCH($B66,INDIRECT($B$1&amp;"!$A$8:$A$73"),0)),CONFIG!$A$15:$B$28,2,FALSE),"")</f>
        <v/>
      </c>
      <c r="AB66" s="157">
        <f>IFERROR(VLOOKUP(INDEX(INDIRECT($B$1&amp;"!"&amp;ADDRESS(8,COLUMN()+6,4)&amp;":"&amp;ADDRESS(73,COLUMN()+6,4)),MATCH($B66,INDIRECT($B$1&amp;"!$A$8:$A$73"),0)),CONFIG!$A$15:$B$28,2,FALSE),"")</f>
        <v/>
      </c>
      <c r="AC66" s="157">
        <f>IFERROR(VLOOKUP(INDEX(INDIRECT($B$1&amp;"!"&amp;ADDRESS(8,COLUMN()+6,4)&amp;":"&amp;ADDRESS(73,COLUMN()+6,4)),MATCH($B66,INDIRECT($B$1&amp;"!$A$8:$A$73"),0)),CONFIG!$A$15:$B$28,2,FALSE),"")</f>
        <v/>
      </c>
      <c r="AD66" s="157">
        <f>IFERROR(VLOOKUP(INDEX(INDIRECT($B$1&amp;"!"&amp;ADDRESS(8,COLUMN()+6,4)&amp;":"&amp;ADDRESS(73,COLUMN()+6,4)),MATCH($B66,INDIRECT($B$1&amp;"!$A$8:$A$73"),0)),CONFIG!$A$15:$B$28,2,FALSE),"")</f>
        <v/>
      </c>
      <c r="AE66" s="157">
        <f>IFERROR(VLOOKUP(INDEX(INDIRECT($B$1&amp;"!"&amp;ADDRESS(8,COLUMN()+6,4)&amp;":"&amp;ADDRESS(73,COLUMN()+6,4)),MATCH($B66,INDIRECT($B$1&amp;"!$A$8:$A$73"),0)),CONFIG!$A$15:$B$28,2,FALSE),"")</f>
        <v/>
      </c>
      <c r="AF66" s="157">
        <f>IFERROR(VLOOKUP(INDEX(INDIRECT($B$1&amp;"!"&amp;ADDRESS(8,COLUMN()+6,4)&amp;":"&amp;ADDRESS(73,COLUMN()+6,4)),MATCH($B66,INDIRECT($B$1&amp;"!$A$8:$A$73"),0)),CONFIG!$A$15:$B$28,2,FALSE),"")</f>
        <v/>
      </c>
      <c r="AG66" s="157">
        <f>IFERROR(VLOOKUP(INDEX(INDIRECT($B$1&amp;"!"&amp;ADDRESS(8,COLUMN()+6,4)&amp;":"&amp;ADDRESS(73,COLUMN()+6,4)),MATCH($B66,INDIRECT($B$1&amp;"!$A$8:$A$73"),0)),CONFIG!$A$15:$B$28,2,FALSE),"")</f>
        <v/>
      </c>
      <c r="AH66" s="157">
        <f>IFERROR(VLOOKUP(INDEX(INDIRECT($B$1&amp;"!"&amp;ADDRESS(8,COLUMN()+6,4)&amp;":"&amp;ADDRESS(73,COLUMN()+6,4)),MATCH($B66,INDIRECT($B$1&amp;"!$A$8:$A$73"),0)),CONFIG!$A$15:$B$28,2,FALSE),"")</f>
        <v/>
      </c>
      <c r="AI66" s="39" t="n"/>
    </row>
    <row r="67">
      <c r="A67" s="155" t="inlineStr">
        <is>
          <t>Raquel Assis</t>
        </is>
      </c>
      <c r="B67" s="156" t="inlineStr">
        <is>
          <t>Raquel</t>
        </is>
      </c>
      <c r="C67" s="157">
        <f>IFERROR(VLOOKUP(INDEX(INDIRECT($B$1&amp;"!"&amp;ADDRESS(8,COLUMN()+6,4)&amp;":"&amp;ADDRESS(73,COLUMN()+6,4)),MATCH($B67,INDIRECT($B$1&amp;"!$A$8:$A$73"),0)),CONFIG!$A$15:$B$28,2,FALSE),"")</f>
        <v/>
      </c>
      <c r="D67" s="157">
        <f>IFERROR(VLOOKUP(INDEX(INDIRECT($B$1&amp;"!"&amp;ADDRESS(8,COLUMN()+6,4)&amp;":"&amp;ADDRESS(73,COLUMN()+6,4)),MATCH($B67,INDIRECT($B$1&amp;"!$A$8:$A$73"),0)),CONFIG!$A$15:$B$28,2,FALSE),"")</f>
        <v/>
      </c>
      <c r="E67" s="157">
        <f>IFERROR(VLOOKUP(INDEX(INDIRECT($B$1&amp;"!"&amp;ADDRESS(8,COLUMN()+6,4)&amp;":"&amp;ADDRESS(73,COLUMN()+6,4)),MATCH($B67,INDIRECT($B$1&amp;"!$A$8:$A$73"),0)),CONFIG!$A$15:$B$28,2,FALSE),"")</f>
        <v/>
      </c>
      <c r="F67" s="157">
        <f>IFERROR(VLOOKUP(INDEX(INDIRECT($B$1&amp;"!"&amp;ADDRESS(8,COLUMN()+6,4)&amp;":"&amp;ADDRESS(73,COLUMN()+6,4)),MATCH($B67,INDIRECT($B$1&amp;"!$A$8:$A$73"),0)),CONFIG!$A$15:$B$28,2,FALSE),"")</f>
        <v/>
      </c>
      <c r="G67" s="157">
        <f>IFERROR(VLOOKUP(INDEX(INDIRECT($B$1&amp;"!"&amp;ADDRESS(8,COLUMN()+6,4)&amp;":"&amp;ADDRESS(73,COLUMN()+6,4)),MATCH($B67,INDIRECT($B$1&amp;"!$A$8:$A$73"),0)),CONFIG!$A$15:$B$28,2,FALSE),"")</f>
        <v/>
      </c>
      <c r="H67" s="157">
        <f>IFERROR(VLOOKUP(INDEX(INDIRECT($B$1&amp;"!"&amp;ADDRESS(8,COLUMN()+6,4)&amp;":"&amp;ADDRESS(73,COLUMN()+6,4)),MATCH($B67,INDIRECT($B$1&amp;"!$A$8:$A$73"),0)),CONFIG!$A$15:$B$28,2,FALSE),"")</f>
        <v/>
      </c>
      <c r="I67" s="157">
        <f>IFERROR(VLOOKUP(INDEX(INDIRECT($B$1&amp;"!"&amp;ADDRESS(8,COLUMN()+6,4)&amp;":"&amp;ADDRESS(73,COLUMN()+6,4)),MATCH($B67,INDIRECT($B$1&amp;"!$A$8:$A$73"),0)),CONFIG!$A$15:$B$28,2,FALSE),"")</f>
        <v/>
      </c>
      <c r="J67" s="157">
        <f>IFERROR(VLOOKUP(INDEX(INDIRECT($B$1&amp;"!"&amp;ADDRESS(8,COLUMN()+6,4)&amp;":"&amp;ADDRESS(73,COLUMN()+6,4)),MATCH($B67,INDIRECT($B$1&amp;"!$A$8:$A$73"),0)),CONFIG!$A$15:$B$28,2,FALSE),"")</f>
        <v/>
      </c>
      <c r="K67" s="157">
        <f>IFERROR(VLOOKUP(INDEX(INDIRECT($B$1&amp;"!"&amp;ADDRESS(8,COLUMN()+6,4)&amp;":"&amp;ADDRESS(73,COLUMN()+6,4)),MATCH($B67,INDIRECT($B$1&amp;"!$A$8:$A$73"),0)),CONFIG!$A$15:$B$28,2,FALSE),"")</f>
        <v/>
      </c>
      <c r="L67" s="157">
        <f>IFERROR(VLOOKUP(INDEX(INDIRECT($B$1&amp;"!"&amp;ADDRESS(8,COLUMN()+6,4)&amp;":"&amp;ADDRESS(73,COLUMN()+6,4)),MATCH($B67,INDIRECT($B$1&amp;"!$A$8:$A$73"),0)),CONFIG!$A$15:$B$28,2,FALSE),"")</f>
        <v/>
      </c>
      <c r="M67" s="157">
        <f>IFERROR(VLOOKUP(INDEX(INDIRECT($B$1&amp;"!"&amp;ADDRESS(8,COLUMN()+6,4)&amp;":"&amp;ADDRESS(73,COLUMN()+6,4)),MATCH($B67,INDIRECT($B$1&amp;"!$A$8:$A$73"),0)),CONFIG!$A$15:$B$28,2,FALSE),"")</f>
        <v/>
      </c>
      <c r="N67" s="157">
        <f>IFERROR(VLOOKUP(INDEX(INDIRECT($B$1&amp;"!"&amp;ADDRESS(8,COLUMN()+6,4)&amp;":"&amp;ADDRESS(73,COLUMN()+6,4)),MATCH($B67,INDIRECT($B$1&amp;"!$A$8:$A$73"),0)),CONFIG!$A$15:$B$28,2,FALSE),"")</f>
        <v/>
      </c>
      <c r="O67" s="157">
        <f>IFERROR(VLOOKUP(INDEX(INDIRECT($B$1&amp;"!"&amp;ADDRESS(8,COLUMN()+6,4)&amp;":"&amp;ADDRESS(73,COLUMN()+6,4)),MATCH($B67,INDIRECT($B$1&amp;"!$A$8:$A$73"),0)),CONFIG!$A$15:$B$28,2,FALSE),"")</f>
        <v/>
      </c>
      <c r="P67" s="157">
        <f>IFERROR(VLOOKUP(INDEX(INDIRECT($B$1&amp;"!"&amp;ADDRESS(8,COLUMN()+6,4)&amp;":"&amp;ADDRESS(73,COLUMN()+6,4)),MATCH($B67,INDIRECT($B$1&amp;"!$A$8:$A$73"),0)),CONFIG!$A$15:$B$28,2,FALSE),"")</f>
        <v/>
      </c>
      <c r="Q67" s="157">
        <f>IFERROR(VLOOKUP(INDEX(INDIRECT($B$1&amp;"!"&amp;ADDRESS(8,COLUMN()+6,4)&amp;":"&amp;ADDRESS(73,COLUMN()+6,4)),MATCH($B67,INDIRECT($B$1&amp;"!$A$8:$A$73"),0)),CONFIG!$A$15:$B$28,2,FALSE),"")</f>
        <v/>
      </c>
      <c r="R67" s="157">
        <f>IFERROR(VLOOKUP(INDEX(INDIRECT($B$1&amp;"!"&amp;ADDRESS(8,COLUMN()+6,4)&amp;":"&amp;ADDRESS(73,COLUMN()+6,4)),MATCH($B67,INDIRECT($B$1&amp;"!$A$8:$A$73"),0)),CONFIG!$A$15:$B$28,2,FALSE),"")</f>
        <v/>
      </c>
      <c r="S67" s="157">
        <f>IFERROR(VLOOKUP(INDEX(INDIRECT($B$1&amp;"!"&amp;ADDRESS(8,COLUMN()+6,4)&amp;":"&amp;ADDRESS(73,COLUMN()+6,4)),MATCH($B67,INDIRECT($B$1&amp;"!$A$8:$A$73"),0)),CONFIG!$A$15:$B$28,2,FALSE),"")</f>
        <v/>
      </c>
      <c r="T67" s="157">
        <f>IFERROR(VLOOKUP(INDEX(INDIRECT($B$1&amp;"!"&amp;ADDRESS(8,COLUMN()+6,4)&amp;":"&amp;ADDRESS(73,COLUMN()+6,4)),MATCH($B67,INDIRECT($B$1&amp;"!$A$8:$A$73"),0)),CONFIG!$A$15:$B$28,2,FALSE),"")</f>
        <v/>
      </c>
      <c r="U67" s="157">
        <f>IFERROR(VLOOKUP(INDEX(INDIRECT($B$1&amp;"!"&amp;ADDRESS(8,COLUMN()+6,4)&amp;":"&amp;ADDRESS(73,COLUMN()+6,4)),MATCH($B67,INDIRECT($B$1&amp;"!$A$8:$A$73"),0)),CONFIG!$A$15:$B$28,2,FALSE),"")</f>
        <v/>
      </c>
      <c r="V67" s="157">
        <f>IFERROR(VLOOKUP(INDEX(INDIRECT($B$1&amp;"!"&amp;ADDRESS(8,COLUMN()+6,4)&amp;":"&amp;ADDRESS(73,COLUMN()+6,4)),MATCH($B67,INDIRECT($B$1&amp;"!$A$8:$A$73"),0)),CONFIG!$A$15:$B$28,2,FALSE),"")</f>
        <v/>
      </c>
      <c r="W67" s="157">
        <f>IFERROR(VLOOKUP(INDEX(INDIRECT($B$1&amp;"!"&amp;ADDRESS(8,COLUMN()+6,4)&amp;":"&amp;ADDRESS(73,COLUMN()+6,4)),MATCH($B67,INDIRECT($B$1&amp;"!$A$8:$A$73"),0)),CONFIG!$A$15:$B$28,2,FALSE),"")</f>
        <v/>
      </c>
      <c r="X67" s="157">
        <f>IFERROR(VLOOKUP(INDEX(INDIRECT($B$1&amp;"!"&amp;ADDRESS(8,COLUMN()+6,4)&amp;":"&amp;ADDRESS(73,COLUMN()+6,4)),MATCH($B67,INDIRECT($B$1&amp;"!$A$8:$A$73"),0)),CONFIG!$A$15:$B$28,2,FALSE),"")</f>
        <v/>
      </c>
      <c r="Y67" s="157">
        <f>IFERROR(VLOOKUP(INDEX(INDIRECT($B$1&amp;"!"&amp;ADDRESS(8,COLUMN()+6,4)&amp;":"&amp;ADDRESS(73,COLUMN()+6,4)),MATCH($B67,INDIRECT($B$1&amp;"!$A$8:$A$73"),0)),CONFIG!$A$15:$B$28,2,FALSE),"")</f>
        <v/>
      </c>
      <c r="Z67" s="157">
        <f>IFERROR(VLOOKUP(INDEX(INDIRECT($B$1&amp;"!"&amp;ADDRESS(8,COLUMN()+6,4)&amp;":"&amp;ADDRESS(73,COLUMN()+6,4)),MATCH($B67,INDIRECT($B$1&amp;"!$A$8:$A$73"),0)),CONFIG!$A$15:$B$28,2,FALSE),"")</f>
        <v/>
      </c>
      <c r="AA67" s="157">
        <f>IFERROR(VLOOKUP(INDEX(INDIRECT($B$1&amp;"!"&amp;ADDRESS(8,COLUMN()+6,4)&amp;":"&amp;ADDRESS(73,COLUMN()+6,4)),MATCH($B67,INDIRECT($B$1&amp;"!$A$8:$A$73"),0)),CONFIG!$A$15:$B$28,2,FALSE),"")</f>
        <v/>
      </c>
      <c r="AB67" s="157">
        <f>IFERROR(VLOOKUP(INDEX(INDIRECT($B$1&amp;"!"&amp;ADDRESS(8,COLUMN()+6,4)&amp;":"&amp;ADDRESS(73,COLUMN()+6,4)),MATCH($B67,INDIRECT($B$1&amp;"!$A$8:$A$73"),0)),CONFIG!$A$15:$B$28,2,FALSE),"")</f>
        <v/>
      </c>
      <c r="AC67" s="157">
        <f>IFERROR(VLOOKUP(INDEX(INDIRECT($B$1&amp;"!"&amp;ADDRESS(8,COLUMN()+6,4)&amp;":"&amp;ADDRESS(73,COLUMN()+6,4)),MATCH($B67,INDIRECT($B$1&amp;"!$A$8:$A$73"),0)),CONFIG!$A$15:$B$28,2,FALSE),"")</f>
        <v/>
      </c>
      <c r="AD67" s="157">
        <f>IFERROR(VLOOKUP(INDEX(INDIRECT($B$1&amp;"!"&amp;ADDRESS(8,COLUMN()+6,4)&amp;":"&amp;ADDRESS(73,COLUMN()+6,4)),MATCH($B67,INDIRECT($B$1&amp;"!$A$8:$A$73"),0)),CONFIG!$A$15:$B$28,2,FALSE),"")</f>
        <v/>
      </c>
      <c r="AE67" s="157">
        <f>IFERROR(VLOOKUP(INDEX(INDIRECT($B$1&amp;"!"&amp;ADDRESS(8,COLUMN()+6,4)&amp;":"&amp;ADDRESS(73,COLUMN()+6,4)),MATCH($B67,INDIRECT($B$1&amp;"!$A$8:$A$73"),0)),CONFIG!$A$15:$B$28,2,FALSE),"")</f>
        <v/>
      </c>
      <c r="AF67" s="157">
        <f>IFERROR(VLOOKUP(INDEX(INDIRECT($B$1&amp;"!"&amp;ADDRESS(8,COLUMN()+6,4)&amp;":"&amp;ADDRESS(73,COLUMN()+6,4)),MATCH($B67,INDIRECT($B$1&amp;"!$A$8:$A$73"),0)),CONFIG!$A$15:$B$28,2,FALSE),"")</f>
        <v/>
      </c>
      <c r="AG67" s="157">
        <f>IFERROR(VLOOKUP(INDEX(INDIRECT($B$1&amp;"!"&amp;ADDRESS(8,COLUMN()+6,4)&amp;":"&amp;ADDRESS(73,COLUMN()+6,4)),MATCH($B67,INDIRECT($B$1&amp;"!$A$8:$A$73"),0)),CONFIG!$A$15:$B$28,2,FALSE),"")</f>
        <v/>
      </c>
      <c r="AH67" s="157">
        <f>IFERROR(VLOOKUP(INDEX(INDIRECT($B$1&amp;"!"&amp;ADDRESS(8,COLUMN()+6,4)&amp;":"&amp;ADDRESS(73,COLUMN()+6,4)),MATCH($B67,INDIRECT($B$1&amp;"!$A$8:$A$73"),0)),CONFIG!$A$15:$B$28,2,FALSE),"")</f>
        <v/>
      </c>
      <c r="AI67" s="39" t="n"/>
    </row>
    <row r="68">
      <c r="A68" s="155" t="inlineStr">
        <is>
          <t>Thamyres</t>
        </is>
      </c>
      <c r="B68" s="156" t="inlineStr">
        <is>
          <t>Thamyres</t>
        </is>
      </c>
      <c r="C68" s="157">
        <f>IFERROR(VLOOKUP(INDEX(INDIRECT($B$1&amp;"!"&amp;ADDRESS(8,COLUMN()+6,4)&amp;":"&amp;ADDRESS(73,COLUMN()+6,4)),MATCH($B68,INDIRECT($B$1&amp;"!$A$8:$A$73"),0)),CONFIG!$A$15:$B$28,2,FALSE),"")</f>
        <v/>
      </c>
      <c r="D68" s="157">
        <f>IFERROR(VLOOKUP(INDEX(INDIRECT($B$1&amp;"!"&amp;ADDRESS(8,COLUMN()+6,4)&amp;":"&amp;ADDRESS(73,COLUMN()+6,4)),MATCH($B68,INDIRECT($B$1&amp;"!$A$8:$A$73"),0)),CONFIG!$A$15:$B$28,2,FALSE),"")</f>
        <v/>
      </c>
      <c r="E68" s="157">
        <f>IFERROR(VLOOKUP(INDEX(INDIRECT($B$1&amp;"!"&amp;ADDRESS(8,COLUMN()+6,4)&amp;":"&amp;ADDRESS(73,COLUMN()+6,4)),MATCH($B68,INDIRECT($B$1&amp;"!$A$8:$A$73"),0)),CONFIG!$A$15:$B$28,2,FALSE),"")</f>
        <v/>
      </c>
      <c r="F68" s="157">
        <f>IFERROR(VLOOKUP(INDEX(INDIRECT($B$1&amp;"!"&amp;ADDRESS(8,COLUMN()+6,4)&amp;":"&amp;ADDRESS(73,COLUMN()+6,4)),MATCH($B68,INDIRECT($B$1&amp;"!$A$8:$A$73"),0)),CONFIG!$A$15:$B$28,2,FALSE),"")</f>
        <v/>
      </c>
      <c r="G68" s="157">
        <f>IFERROR(VLOOKUP(INDEX(INDIRECT($B$1&amp;"!"&amp;ADDRESS(8,COLUMN()+6,4)&amp;":"&amp;ADDRESS(73,COLUMN()+6,4)),MATCH($B68,INDIRECT($B$1&amp;"!$A$8:$A$73"),0)),CONFIG!$A$15:$B$28,2,FALSE),"")</f>
        <v/>
      </c>
      <c r="H68" s="157">
        <f>IFERROR(VLOOKUP(INDEX(INDIRECT($B$1&amp;"!"&amp;ADDRESS(8,COLUMN()+6,4)&amp;":"&amp;ADDRESS(73,COLUMN()+6,4)),MATCH($B68,INDIRECT($B$1&amp;"!$A$8:$A$73"),0)),CONFIG!$A$15:$B$28,2,FALSE),"")</f>
        <v/>
      </c>
      <c r="I68" s="157">
        <f>IFERROR(VLOOKUP(INDEX(INDIRECT($B$1&amp;"!"&amp;ADDRESS(8,COLUMN()+6,4)&amp;":"&amp;ADDRESS(73,COLUMN()+6,4)),MATCH($B68,INDIRECT($B$1&amp;"!$A$8:$A$73"),0)),CONFIG!$A$15:$B$28,2,FALSE),"")</f>
        <v/>
      </c>
      <c r="J68" s="157">
        <f>IFERROR(VLOOKUP(INDEX(INDIRECT($B$1&amp;"!"&amp;ADDRESS(8,COLUMN()+6,4)&amp;":"&amp;ADDRESS(73,COLUMN()+6,4)),MATCH($B68,INDIRECT($B$1&amp;"!$A$8:$A$73"),0)),CONFIG!$A$15:$B$28,2,FALSE),"")</f>
        <v/>
      </c>
      <c r="K68" s="157">
        <f>IFERROR(VLOOKUP(INDEX(INDIRECT($B$1&amp;"!"&amp;ADDRESS(8,COLUMN()+6,4)&amp;":"&amp;ADDRESS(73,COLUMN()+6,4)),MATCH($B68,INDIRECT($B$1&amp;"!$A$8:$A$73"),0)),CONFIG!$A$15:$B$28,2,FALSE),"")</f>
        <v/>
      </c>
      <c r="L68" s="157">
        <f>IFERROR(VLOOKUP(INDEX(INDIRECT($B$1&amp;"!"&amp;ADDRESS(8,COLUMN()+6,4)&amp;":"&amp;ADDRESS(73,COLUMN()+6,4)),MATCH($B68,INDIRECT($B$1&amp;"!$A$8:$A$73"),0)),CONFIG!$A$15:$B$28,2,FALSE),"")</f>
        <v/>
      </c>
      <c r="M68" s="157">
        <f>IFERROR(VLOOKUP(INDEX(INDIRECT($B$1&amp;"!"&amp;ADDRESS(8,COLUMN()+6,4)&amp;":"&amp;ADDRESS(73,COLUMN()+6,4)),MATCH($B68,INDIRECT($B$1&amp;"!$A$8:$A$73"),0)),CONFIG!$A$15:$B$28,2,FALSE),"")</f>
        <v/>
      </c>
      <c r="N68" s="157">
        <f>IFERROR(VLOOKUP(INDEX(INDIRECT($B$1&amp;"!"&amp;ADDRESS(8,COLUMN()+6,4)&amp;":"&amp;ADDRESS(73,COLUMN()+6,4)),MATCH($B68,INDIRECT($B$1&amp;"!$A$8:$A$73"),0)),CONFIG!$A$15:$B$28,2,FALSE),"")</f>
        <v/>
      </c>
      <c r="O68" s="157">
        <f>IFERROR(VLOOKUP(INDEX(INDIRECT($B$1&amp;"!"&amp;ADDRESS(8,COLUMN()+6,4)&amp;":"&amp;ADDRESS(73,COLUMN()+6,4)),MATCH($B68,INDIRECT($B$1&amp;"!$A$8:$A$73"),0)),CONFIG!$A$15:$B$28,2,FALSE),"")</f>
        <v/>
      </c>
      <c r="P68" s="157">
        <f>IFERROR(VLOOKUP(INDEX(INDIRECT($B$1&amp;"!"&amp;ADDRESS(8,COLUMN()+6,4)&amp;":"&amp;ADDRESS(73,COLUMN()+6,4)),MATCH($B68,INDIRECT($B$1&amp;"!$A$8:$A$73"),0)),CONFIG!$A$15:$B$28,2,FALSE),"")</f>
        <v/>
      </c>
      <c r="Q68" s="157">
        <f>IFERROR(VLOOKUP(INDEX(INDIRECT($B$1&amp;"!"&amp;ADDRESS(8,COLUMN()+6,4)&amp;":"&amp;ADDRESS(73,COLUMN()+6,4)),MATCH($B68,INDIRECT($B$1&amp;"!$A$8:$A$73"),0)),CONFIG!$A$15:$B$28,2,FALSE),"")</f>
        <v/>
      </c>
      <c r="R68" s="157">
        <f>IFERROR(VLOOKUP(INDEX(INDIRECT($B$1&amp;"!"&amp;ADDRESS(8,COLUMN()+6,4)&amp;":"&amp;ADDRESS(73,COLUMN()+6,4)),MATCH($B68,INDIRECT($B$1&amp;"!$A$8:$A$73"),0)),CONFIG!$A$15:$B$28,2,FALSE),"")</f>
        <v/>
      </c>
      <c r="S68" s="157">
        <f>IFERROR(VLOOKUP(INDEX(INDIRECT($B$1&amp;"!"&amp;ADDRESS(8,COLUMN()+6,4)&amp;":"&amp;ADDRESS(73,COLUMN()+6,4)),MATCH($B68,INDIRECT($B$1&amp;"!$A$8:$A$73"),0)),CONFIG!$A$15:$B$28,2,FALSE),"")</f>
        <v/>
      </c>
      <c r="T68" s="157">
        <f>IFERROR(VLOOKUP(INDEX(INDIRECT($B$1&amp;"!"&amp;ADDRESS(8,COLUMN()+6,4)&amp;":"&amp;ADDRESS(73,COLUMN()+6,4)),MATCH($B68,INDIRECT($B$1&amp;"!$A$8:$A$73"),0)),CONFIG!$A$15:$B$28,2,FALSE),"")</f>
        <v/>
      </c>
      <c r="U68" s="157">
        <f>IFERROR(VLOOKUP(INDEX(INDIRECT($B$1&amp;"!"&amp;ADDRESS(8,COLUMN()+6,4)&amp;":"&amp;ADDRESS(73,COLUMN()+6,4)),MATCH($B68,INDIRECT($B$1&amp;"!$A$8:$A$73"),0)),CONFIG!$A$15:$B$28,2,FALSE),"")</f>
        <v/>
      </c>
      <c r="V68" s="157">
        <f>IFERROR(VLOOKUP(INDEX(INDIRECT($B$1&amp;"!"&amp;ADDRESS(8,COLUMN()+6,4)&amp;":"&amp;ADDRESS(73,COLUMN()+6,4)),MATCH($B68,INDIRECT($B$1&amp;"!$A$8:$A$73"),0)),CONFIG!$A$15:$B$28,2,FALSE),"")</f>
        <v/>
      </c>
      <c r="W68" s="157">
        <f>IFERROR(VLOOKUP(INDEX(INDIRECT($B$1&amp;"!"&amp;ADDRESS(8,COLUMN()+6,4)&amp;":"&amp;ADDRESS(73,COLUMN()+6,4)),MATCH($B68,INDIRECT($B$1&amp;"!$A$8:$A$73"),0)),CONFIG!$A$15:$B$28,2,FALSE),"")</f>
        <v/>
      </c>
      <c r="X68" s="157">
        <f>IFERROR(VLOOKUP(INDEX(INDIRECT($B$1&amp;"!"&amp;ADDRESS(8,COLUMN()+6,4)&amp;":"&amp;ADDRESS(73,COLUMN()+6,4)),MATCH($B68,INDIRECT($B$1&amp;"!$A$8:$A$73"),0)),CONFIG!$A$15:$B$28,2,FALSE),"")</f>
        <v/>
      </c>
      <c r="Y68" s="157">
        <f>IFERROR(VLOOKUP(INDEX(INDIRECT($B$1&amp;"!"&amp;ADDRESS(8,COLUMN()+6,4)&amp;":"&amp;ADDRESS(73,COLUMN()+6,4)),MATCH($B68,INDIRECT($B$1&amp;"!$A$8:$A$73"),0)),CONFIG!$A$15:$B$28,2,FALSE),"")</f>
        <v/>
      </c>
      <c r="Z68" s="157">
        <f>IFERROR(VLOOKUP(INDEX(INDIRECT($B$1&amp;"!"&amp;ADDRESS(8,COLUMN()+6,4)&amp;":"&amp;ADDRESS(73,COLUMN()+6,4)),MATCH($B68,INDIRECT($B$1&amp;"!$A$8:$A$73"),0)),CONFIG!$A$15:$B$28,2,FALSE),"")</f>
        <v/>
      </c>
      <c r="AA68" s="157">
        <f>IFERROR(VLOOKUP(INDEX(INDIRECT($B$1&amp;"!"&amp;ADDRESS(8,COLUMN()+6,4)&amp;":"&amp;ADDRESS(73,COLUMN()+6,4)),MATCH($B68,INDIRECT($B$1&amp;"!$A$8:$A$73"),0)),CONFIG!$A$15:$B$28,2,FALSE),"")</f>
        <v/>
      </c>
      <c r="AB68" s="157">
        <f>IFERROR(VLOOKUP(INDEX(INDIRECT($B$1&amp;"!"&amp;ADDRESS(8,COLUMN()+6,4)&amp;":"&amp;ADDRESS(73,COLUMN()+6,4)),MATCH($B68,INDIRECT($B$1&amp;"!$A$8:$A$73"),0)),CONFIG!$A$15:$B$28,2,FALSE),"")</f>
        <v/>
      </c>
      <c r="AC68" s="157">
        <f>IFERROR(VLOOKUP(INDEX(INDIRECT($B$1&amp;"!"&amp;ADDRESS(8,COLUMN()+6,4)&amp;":"&amp;ADDRESS(73,COLUMN()+6,4)),MATCH($B68,INDIRECT($B$1&amp;"!$A$8:$A$73"),0)),CONFIG!$A$15:$B$28,2,FALSE),"")</f>
        <v/>
      </c>
      <c r="AD68" s="157">
        <f>IFERROR(VLOOKUP(INDEX(INDIRECT($B$1&amp;"!"&amp;ADDRESS(8,COLUMN()+6,4)&amp;":"&amp;ADDRESS(73,COLUMN()+6,4)),MATCH($B68,INDIRECT($B$1&amp;"!$A$8:$A$73"),0)),CONFIG!$A$15:$B$28,2,FALSE),"")</f>
        <v/>
      </c>
      <c r="AE68" s="157">
        <f>IFERROR(VLOOKUP(INDEX(INDIRECT($B$1&amp;"!"&amp;ADDRESS(8,COLUMN()+6,4)&amp;":"&amp;ADDRESS(73,COLUMN()+6,4)),MATCH($B68,INDIRECT($B$1&amp;"!$A$8:$A$73"),0)),CONFIG!$A$15:$B$28,2,FALSE),"")</f>
        <v/>
      </c>
      <c r="AF68" s="157">
        <f>IFERROR(VLOOKUP(INDEX(INDIRECT($B$1&amp;"!"&amp;ADDRESS(8,COLUMN()+6,4)&amp;":"&amp;ADDRESS(73,COLUMN()+6,4)),MATCH($B68,INDIRECT($B$1&amp;"!$A$8:$A$73"),0)),CONFIG!$A$15:$B$28,2,FALSE),"")</f>
        <v/>
      </c>
      <c r="AG68" s="157">
        <f>IFERROR(VLOOKUP(INDEX(INDIRECT($B$1&amp;"!"&amp;ADDRESS(8,COLUMN()+6,4)&amp;":"&amp;ADDRESS(73,COLUMN()+6,4)),MATCH($B68,INDIRECT($B$1&amp;"!$A$8:$A$73"),0)),CONFIG!$A$15:$B$28,2,FALSE),"")</f>
        <v/>
      </c>
      <c r="AH68" s="157">
        <f>IFERROR(VLOOKUP(INDEX(INDIRECT($B$1&amp;"!"&amp;ADDRESS(8,COLUMN()+6,4)&amp;":"&amp;ADDRESS(73,COLUMN()+6,4)),MATCH($B68,INDIRECT($B$1&amp;"!$A$8:$A$73"),0)),CONFIG!$A$15:$B$28,2,FALSE),"")</f>
        <v/>
      </c>
      <c r="AI68" s="39" t="n"/>
    </row>
    <row r="69">
      <c r="A69" s="155" t="inlineStr">
        <is>
          <t>Vanessa</t>
        </is>
      </c>
      <c r="B69" s="156" t="inlineStr">
        <is>
          <t>Vanessa</t>
        </is>
      </c>
      <c r="C69" s="157">
        <f>IFERROR(VLOOKUP(INDEX(INDIRECT($B$1&amp;"!"&amp;ADDRESS(8,COLUMN()+6,4)&amp;":"&amp;ADDRESS(73,COLUMN()+6,4)),MATCH($B69,INDIRECT($B$1&amp;"!$A$8:$A$73"),0)),CONFIG!$A$15:$B$28,2,FALSE),"")</f>
        <v/>
      </c>
      <c r="D69" s="157">
        <f>IFERROR(VLOOKUP(INDEX(INDIRECT($B$1&amp;"!"&amp;ADDRESS(8,COLUMN()+6,4)&amp;":"&amp;ADDRESS(73,COLUMN()+6,4)),MATCH($B69,INDIRECT($B$1&amp;"!$A$8:$A$73"),0)),CONFIG!$A$15:$B$28,2,FALSE),"")</f>
        <v/>
      </c>
      <c r="E69" s="157">
        <f>IFERROR(VLOOKUP(INDEX(INDIRECT($B$1&amp;"!"&amp;ADDRESS(8,COLUMN()+6,4)&amp;":"&amp;ADDRESS(73,COLUMN()+6,4)),MATCH($B69,INDIRECT($B$1&amp;"!$A$8:$A$73"),0)),CONFIG!$A$15:$B$28,2,FALSE),"")</f>
        <v/>
      </c>
      <c r="F69" s="157">
        <f>IFERROR(VLOOKUP(INDEX(INDIRECT($B$1&amp;"!"&amp;ADDRESS(8,COLUMN()+6,4)&amp;":"&amp;ADDRESS(73,COLUMN()+6,4)),MATCH($B69,INDIRECT($B$1&amp;"!$A$8:$A$73"),0)),CONFIG!$A$15:$B$28,2,FALSE),"")</f>
        <v/>
      </c>
      <c r="G69" s="157">
        <f>IFERROR(VLOOKUP(INDEX(INDIRECT($B$1&amp;"!"&amp;ADDRESS(8,COLUMN()+6,4)&amp;":"&amp;ADDRESS(73,COLUMN()+6,4)),MATCH($B69,INDIRECT($B$1&amp;"!$A$8:$A$73"),0)),CONFIG!$A$15:$B$28,2,FALSE),"")</f>
        <v/>
      </c>
      <c r="H69" s="157">
        <f>IFERROR(VLOOKUP(INDEX(INDIRECT($B$1&amp;"!"&amp;ADDRESS(8,COLUMN()+6,4)&amp;":"&amp;ADDRESS(73,COLUMN()+6,4)),MATCH($B69,INDIRECT($B$1&amp;"!$A$8:$A$73"),0)),CONFIG!$A$15:$B$28,2,FALSE),"")</f>
        <v/>
      </c>
      <c r="I69" s="157">
        <f>IFERROR(VLOOKUP(INDEX(INDIRECT($B$1&amp;"!"&amp;ADDRESS(8,COLUMN()+6,4)&amp;":"&amp;ADDRESS(73,COLUMN()+6,4)),MATCH($B69,INDIRECT($B$1&amp;"!$A$8:$A$73"),0)),CONFIG!$A$15:$B$28,2,FALSE),"")</f>
        <v/>
      </c>
      <c r="J69" s="157">
        <f>IFERROR(VLOOKUP(INDEX(INDIRECT($B$1&amp;"!"&amp;ADDRESS(8,COLUMN()+6,4)&amp;":"&amp;ADDRESS(73,COLUMN()+6,4)),MATCH($B69,INDIRECT($B$1&amp;"!$A$8:$A$73"),0)),CONFIG!$A$15:$B$28,2,FALSE),"")</f>
        <v/>
      </c>
      <c r="K69" s="157">
        <f>IFERROR(VLOOKUP(INDEX(INDIRECT($B$1&amp;"!"&amp;ADDRESS(8,COLUMN()+6,4)&amp;":"&amp;ADDRESS(73,COLUMN()+6,4)),MATCH($B69,INDIRECT($B$1&amp;"!$A$8:$A$73"),0)),CONFIG!$A$15:$B$28,2,FALSE),"")</f>
        <v/>
      </c>
      <c r="L69" s="157">
        <f>IFERROR(VLOOKUP(INDEX(INDIRECT($B$1&amp;"!"&amp;ADDRESS(8,COLUMN()+6,4)&amp;":"&amp;ADDRESS(73,COLUMN()+6,4)),MATCH($B69,INDIRECT($B$1&amp;"!$A$8:$A$73"),0)),CONFIG!$A$15:$B$28,2,FALSE),"")</f>
        <v/>
      </c>
      <c r="M69" s="157">
        <f>IFERROR(VLOOKUP(INDEX(INDIRECT($B$1&amp;"!"&amp;ADDRESS(8,COLUMN()+6,4)&amp;":"&amp;ADDRESS(73,COLUMN()+6,4)),MATCH($B69,INDIRECT($B$1&amp;"!$A$8:$A$73"),0)),CONFIG!$A$15:$B$28,2,FALSE),"")</f>
        <v/>
      </c>
      <c r="N69" s="157">
        <f>IFERROR(VLOOKUP(INDEX(INDIRECT($B$1&amp;"!"&amp;ADDRESS(8,COLUMN()+6,4)&amp;":"&amp;ADDRESS(73,COLUMN()+6,4)),MATCH($B69,INDIRECT($B$1&amp;"!$A$8:$A$73"),0)),CONFIG!$A$15:$B$28,2,FALSE),"")</f>
        <v/>
      </c>
      <c r="O69" s="157">
        <f>IFERROR(VLOOKUP(INDEX(INDIRECT($B$1&amp;"!"&amp;ADDRESS(8,COLUMN()+6,4)&amp;":"&amp;ADDRESS(73,COLUMN()+6,4)),MATCH($B69,INDIRECT($B$1&amp;"!$A$8:$A$73"),0)),CONFIG!$A$15:$B$28,2,FALSE),"")</f>
        <v/>
      </c>
      <c r="P69" s="157">
        <f>IFERROR(VLOOKUP(INDEX(INDIRECT($B$1&amp;"!"&amp;ADDRESS(8,COLUMN()+6,4)&amp;":"&amp;ADDRESS(73,COLUMN()+6,4)),MATCH($B69,INDIRECT($B$1&amp;"!$A$8:$A$73"),0)),CONFIG!$A$15:$B$28,2,FALSE),"")</f>
        <v/>
      </c>
      <c r="Q69" s="157">
        <f>IFERROR(VLOOKUP(INDEX(INDIRECT($B$1&amp;"!"&amp;ADDRESS(8,COLUMN()+6,4)&amp;":"&amp;ADDRESS(73,COLUMN()+6,4)),MATCH($B69,INDIRECT($B$1&amp;"!$A$8:$A$73"),0)),CONFIG!$A$15:$B$28,2,FALSE),"")</f>
        <v/>
      </c>
      <c r="R69" s="157">
        <f>IFERROR(VLOOKUP(INDEX(INDIRECT($B$1&amp;"!"&amp;ADDRESS(8,COLUMN()+6,4)&amp;":"&amp;ADDRESS(73,COLUMN()+6,4)),MATCH($B69,INDIRECT($B$1&amp;"!$A$8:$A$73"),0)),CONFIG!$A$15:$B$28,2,FALSE),"")</f>
        <v/>
      </c>
      <c r="S69" s="157">
        <f>IFERROR(VLOOKUP(INDEX(INDIRECT($B$1&amp;"!"&amp;ADDRESS(8,COLUMN()+6,4)&amp;":"&amp;ADDRESS(73,COLUMN()+6,4)),MATCH($B69,INDIRECT($B$1&amp;"!$A$8:$A$73"),0)),CONFIG!$A$15:$B$28,2,FALSE),"")</f>
        <v/>
      </c>
      <c r="T69" s="157">
        <f>IFERROR(VLOOKUP(INDEX(INDIRECT($B$1&amp;"!"&amp;ADDRESS(8,COLUMN()+6,4)&amp;":"&amp;ADDRESS(73,COLUMN()+6,4)),MATCH($B69,INDIRECT($B$1&amp;"!$A$8:$A$73"),0)),CONFIG!$A$15:$B$28,2,FALSE),"")</f>
        <v/>
      </c>
      <c r="U69" s="157">
        <f>IFERROR(VLOOKUP(INDEX(INDIRECT($B$1&amp;"!"&amp;ADDRESS(8,COLUMN()+6,4)&amp;":"&amp;ADDRESS(73,COLUMN()+6,4)),MATCH($B69,INDIRECT($B$1&amp;"!$A$8:$A$73"),0)),CONFIG!$A$15:$B$28,2,FALSE),"")</f>
        <v/>
      </c>
      <c r="V69" s="157">
        <f>IFERROR(VLOOKUP(INDEX(INDIRECT($B$1&amp;"!"&amp;ADDRESS(8,COLUMN()+6,4)&amp;":"&amp;ADDRESS(73,COLUMN()+6,4)),MATCH($B69,INDIRECT($B$1&amp;"!$A$8:$A$73"),0)),CONFIG!$A$15:$B$28,2,FALSE),"")</f>
        <v/>
      </c>
      <c r="W69" s="157">
        <f>IFERROR(VLOOKUP(INDEX(INDIRECT($B$1&amp;"!"&amp;ADDRESS(8,COLUMN()+6,4)&amp;":"&amp;ADDRESS(73,COLUMN()+6,4)),MATCH($B69,INDIRECT($B$1&amp;"!$A$8:$A$73"),0)),CONFIG!$A$15:$B$28,2,FALSE),"")</f>
        <v/>
      </c>
      <c r="X69" s="157">
        <f>IFERROR(VLOOKUP(INDEX(INDIRECT($B$1&amp;"!"&amp;ADDRESS(8,COLUMN()+6,4)&amp;":"&amp;ADDRESS(73,COLUMN()+6,4)),MATCH($B69,INDIRECT($B$1&amp;"!$A$8:$A$73"),0)),CONFIG!$A$15:$B$28,2,FALSE),"")</f>
        <v/>
      </c>
      <c r="Y69" s="157">
        <f>IFERROR(VLOOKUP(INDEX(INDIRECT($B$1&amp;"!"&amp;ADDRESS(8,COLUMN()+6,4)&amp;":"&amp;ADDRESS(73,COLUMN()+6,4)),MATCH($B69,INDIRECT($B$1&amp;"!$A$8:$A$73"),0)),CONFIG!$A$15:$B$28,2,FALSE),"")</f>
        <v/>
      </c>
      <c r="Z69" s="157">
        <f>IFERROR(VLOOKUP(INDEX(INDIRECT($B$1&amp;"!"&amp;ADDRESS(8,COLUMN()+6,4)&amp;":"&amp;ADDRESS(73,COLUMN()+6,4)),MATCH($B69,INDIRECT($B$1&amp;"!$A$8:$A$73"),0)),CONFIG!$A$15:$B$28,2,FALSE),"")</f>
        <v/>
      </c>
      <c r="AA69" s="157">
        <f>IFERROR(VLOOKUP(INDEX(INDIRECT($B$1&amp;"!"&amp;ADDRESS(8,COLUMN()+6,4)&amp;":"&amp;ADDRESS(73,COLUMN()+6,4)),MATCH($B69,INDIRECT($B$1&amp;"!$A$8:$A$73"),0)),CONFIG!$A$15:$B$28,2,FALSE),"")</f>
        <v/>
      </c>
      <c r="AB69" s="157">
        <f>IFERROR(VLOOKUP(INDEX(INDIRECT($B$1&amp;"!"&amp;ADDRESS(8,COLUMN()+6,4)&amp;":"&amp;ADDRESS(73,COLUMN()+6,4)),MATCH($B69,INDIRECT($B$1&amp;"!$A$8:$A$73"),0)),CONFIG!$A$15:$B$28,2,FALSE),"")</f>
        <v/>
      </c>
      <c r="AC69" s="157">
        <f>IFERROR(VLOOKUP(INDEX(INDIRECT($B$1&amp;"!"&amp;ADDRESS(8,COLUMN()+6,4)&amp;":"&amp;ADDRESS(73,COLUMN()+6,4)),MATCH($B69,INDIRECT($B$1&amp;"!$A$8:$A$73"),0)),CONFIG!$A$15:$B$28,2,FALSE),"")</f>
        <v/>
      </c>
      <c r="AD69" s="157">
        <f>IFERROR(VLOOKUP(INDEX(INDIRECT($B$1&amp;"!"&amp;ADDRESS(8,COLUMN()+6,4)&amp;":"&amp;ADDRESS(73,COLUMN()+6,4)),MATCH($B69,INDIRECT($B$1&amp;"!$A$8:$A$73"),0)),CONFIG!$A$15:$B$28,2,FALSE),"")</f>
        <v/>
      </c>
      <c r="AE69" s="157">
        <f>IFERROR(VLOOKUP(INDEX(INDIRECT($B$1&amp;"!"&amp;ADDRESS(8,COLUMN()+6,4)&amp;":"&amp;ADDRESS(73,COLUMN()+6,4)),MATCH($B69,INDIRECT($B$1&amp;"!$A$8:$A$73"),0)),CONFIG!$A$15:$B$28,2,FALSE),"")</f>
        <v/>
      </c>
      <c r="AF69" s="157">
        <f>IFERROR(VLOOKUP(INDEX(INDIRECT($B$1&amp;"!"&amp;ADDRESS(8,COLUMN()+6,4)&amp;":"&amp;ADDRESS(73,COLUMN()+6,4)),MATCH($B69,INDIRECT($B$1&amp;"!$A$8:$A$73"),0)),CONFIG!$A$15:$B$28,2,FALSE),"")</f>
        <v/>
      </c>
      <c r="AG69" s="157">
        <f>IFERROR(VLOOKUP(INDEX(INDIRECT($B$1&amp;"!"&amp;ADDRESS(8,COLUMN()+6,4)&amp;":"&amp;ADDRESS(73,COLUMN()+6,4)),MATCH($B69,INDIRECT($B$1&amp;"!$A$8:$A$73"),0)),CONFIG!$A$15:$B$28,2,FALSE),"")</f>
        <v/>
      </c>
      <c r="AH69" s="157">
        <f>IFERROR(VLOOKUP(INDEX(INDIRECT($B$1&amp;"!"&amp;ADDRESS(8,COLUMN()+6,4)&amp;":"&amp;ADDRESS(73,COLUMN()+6,4)),MATCH($B69,INDIRECT($B$1&amp;"!$A$8:$A$73"),0)),CONFIG!$A$15:$B$28,2,FALSE),"")</f>
        <v/>
      </c>
      <c r="AI69" s="39" t="n"/>
    </row>
    <row r="70">
      <c r="A70" s="155" t="inlineStr">
        <is>
          <t>Henrique Yuji</t>
        </is>
      </c>
      <c r="B70" s="156" t="inlineStr">
        <is>
          <t>Yuji</t>
        </is>
      </c>
      <c r="C70" s="157">
        <f>IFERROR(VLOOKUP(INDEX(INDIRECT($B$1&amp;"!"&amp;ADDRESS(8,COLUMN()+6,4)&amp;":"&amp;ADDRESS(73,COLUMN()+6,4)),MATCH($B70,INDIRECT($B$1&amp;"!$A$8:$A$73"),0)),CONFIG!$A$15:$B$28,2,FALSE),"")</f>
        <v/>
      </c>
      <c r="D70" s="157">
        <f>IFERROR(VLOOKUP(INDEX(INDIRECT($B$1&amp;"!"&amp;ADDRESS(8,COLUMN()+6,4)&amp;":"&amp;ADDRESS(73,COLUMN()+6,4)),MATCH($B70,INDIRECT($B$1&amp;"!$A$8:$A$73"),0)),CONFIG!$A$15:$B$28,2,FALSE),"")</f>
        <v/>
      </c>
      <c r="E70" s="157">
        <f>IFERROR(VLOOKUP(INDEX(INDIRECT($B$1&amp;"!"&amp;ADDRESS(8,COLUMN()+6,4)&amp;":"&amp;ADDRESS(73,COLUMN()+6,4)),MATCH($B70,INDIRECT($B$1&amp;"!$A$8:$A$73"),0)),CONFIG!$A$15:$B$28,2,FALSE),"")</f>
        <v/>
      </c>
      <c r="F70" s="157">
        <f>IFERROR(VLOOKUP(INDEX(INDIRECT($B$1&amp;"!"&amp;ADDRESS(8,COLUMN()+6,4)&amp;":"&amp;ADDRESS(73,COLUMN()+6,4)),MATCH($B70,INDIRECT($B$1&amp;"!$A$8:$A$73"),0)),CONFIG!$A$15:$B$28,2,FALSE),"")</f>
        <v/>
      </c>
      <c r="G70" s="157">
        <f>IFERROR(VLOOKUP(INDEX(INDIRECT($B$1&amp;"!"&amp;ADDRESS(8,COLUMN()+6,4)&amp;":"&amp;ADDRESS(73,COLUMN()+6,4)),MATCH($B70,INDIRECT($B$1&amp;"!$A$8:$A$73"),0)),CONFIG!$A$15:$B$28,2,FALSE),"")</f>
        <v/>
      </c>
      <c r="H70" s="157">
        <f>IFERROR(VLOOKUP(INDEX(INDIRECT($B$1&amp;"!"&amp;ADDRESS(8,COLUMN()+6,4)&amp;":"&amp;ADDRESS(73,COLUMN()+6,4)),MATCH($B70,INDIRECT($B$1&amp;"!$A$8:$A$73"),0)),CONFIG!$A$15:$B$28,2,FALSE),"")</f>
        <v/>
      </c>
      <c r="I70" s="157">
        <f>IFERROR(VLOOKUP(INDEX(INDIRECT($B$1&amp;"!"&amp;ADDRESS(8,COLUMN()+6,4)&amp;":"&amp;ADDRESS(73,COLUMN()+6,4)),MATCH($B70,INDIRECT($B$1&amp;"!$A$8:$A$73"),0)),CONFIG!$A$15:$B$28,2,FALSE),"")</f>
        <v/>
      </c>
      <c r="J70" s="157">
        <f>IFERROR(VLOOKUP(INDEX(INDIRECT($B$1&amp;"!"&amp;ADDRESS(8,COLUMN()+6,4)&amp;":"&amp;ADDRESS(73,COLUMN()+6,4)),MATCH($B70,INDIRECT($B$1&amp;"!$A$8:$A$73"),0)),CONFIG!$A$15:$B$28,2,FALSE),"")</f>
        <v/>
      </c>
      <c r="K70" s="157">
        <f>IFERROR(VLOOKUP(INDEX(INDIRECT($B$1&amp;"!"&amp;ADDRESS(8,COLUMN()+6,4)&amp;":"&amp;ADDRESS(73,COLUMN()+6,4)),MATCH($B70,INDIRECT($B$1&amp;"!$A$8:$A$73"),0)),CONFIG!$A$15:$B$28,2,FALSE),"")</f>
        <v/>
      </c>
      <c r="L70" s="157">
        <f>IFERROR(VLOOKUP(INDEX(INDIRECT($B$1&amp;"!"&amp;ADDRESS(8,COLUMN()+6,4)&amp;":"&amp;ADDRESS(73,COLUMN()+6,4)),MATCH($B70,INDIRECT($B$1&amp;"!$A$8:$A$73"),0)),CONFIG!$A$15:$B$28,2,FALSE),"")</f>
        <v/>
      </c>
      <c r="M70" s="157">
        <f>IFERROR(VLOOKUP(INDEX(INDIRECT($B$1&amp;"!"&amp;ADDRESS(8,COLUMN()+6,4)&amp;":"&amp;ADDRESS(73,COLUMN()+6,4)),MATCH($B70,INDIRECT($B$1&amp;"!$A$8:$A$73"),0)),CONFIG!$A$15:$B$28,2,FALSE),"")</f>
        <v/>
      </c>
      <c r="N70" s="157">
        <f>IFERROR(VLOOKUP(INDEX(INDIRECT($B$1&amp;"!"&amp;ADDRESS(8,COLUMN()+6,4)&amp;":"&amp;ADDRESS(73,COLUMN()+6,4)),MATCH($B70,INDIRECT($B$1&amp;"!$A$8:$A$73"),0)),CONFIG!$A$15:$B$28,2,FALSE),"")</f>
        <v/>
      </c>
      <c r="O70" s="157">
        <f>IFERROR(VLOOKUP(INDEX(INDIRECT($B$1&amp;"!"&amp;ADDRESS(8,COLUMN()+6,4)&amp;":"&amp;ADDRESS(73,COLUMN()+6,4)),MATCH($B70,INDIRECT($B$1&amp;"!$A$8:$A$73"),0)),CONFIG!$A$15:$B$28,2,FALSE),"")</f>
        <v/>
      </c>
      <c r="P70" s="157">
        <f>IFERROR(VLOOKUP(INDEX(INDIRECT($B$1&amp;"!"&amp;ADDRESS(8,COLUMN()+6,4)&amp;":"&amp;ADDRESS(73,COLUMN()+6,4)),MATCH($B70,INDIRECT($B$1&amp;"!$A$8:$A$73"),0)),CONFIG!$A$15:$B$28,2,FALSE),"")</f>
        <v/>
      </c>
      <c r="Q70" s="157">
        <f>IFERROR(VLOOKUP(INDEX(INDIRECT($B$1&amp;"!"&amp;ADDRESS(8,COLUMN()+6,4)&amp;":"&amp;ADDRESS(73,COLUMN()+6,4)),MATCH($B70,INDIRECT($B$1&amp;"!$A$8:$A$73"),0)),CONFIG!$A$15:$B$28,2,FALSE),"")</f>
        <v/>
      </c>
      <c r="R70" s="157">
        <f>IFERROR(VLOOKUP(INDEX(INDIRECT($B$1&amp;"!"&amp;ADDRESS(8,COLUMN()+6,4)&amp;":"&amp;ADDRESS(73,COLUMN()+6,4)),MATCH($B70,INDIRECT($B$1&amp;"!$A$8:$A$73"),0)),CONFIG!$A$15:$B$28,2,FALSE),"")</f>
        <v/>
      </c>
      <c r="S70" s="157">
        <f>IFERROR(VLOOKUP(INDEX(INDIRECT($B$1&amp;"!"&amp;ADDRESS(8,COLUMN()+6,4)&amp;":"&amp;ADDRESS(73,COLUMN()+6,4)),MATCH($B70,INDIRECT($B$1&amp;"!$A$8:$A$73"),0)),CONFIG!$A$15:$B$28,2,FALSE),"")</f>
        <v/>
      </c>
      <c r="T70" s="157">
        <f>IFERROR(VLOOKUP(INDEX(INDIRECT($B$1&amp;"!"&amp;ADDRESS(8,COLUMN()+6,4)&amp;":"&amp;ADDRESS(73,COLUMN()+6,4)),MATCH($B70,INDIRECT($B$1&amp;"!$A$8:$A$73"),0)),CONFIG!$A$15:$B$28,2,FALSE),"")</f>
        <v/>
      </c>
      <c r="U70" s="157">
        <f>IFERROR(VLOOKUP(INDEX(INDIRECT($B$1&amp;"!"&amp;ADDRESS(8,COLUMN()+6,4)&amp;":"&amp;ADDRESS(73,COLUMN()+6,4)),MATCH($B70,INDIRECT($B$1&amp;"!$A$8:$A$73"),0)),CONFIG!$A$15:$B$28,2,FALSE),"")</f>
        <v/>
      </c>
      <c r="V70" s="157">
        <f>IFERROR(VLOOKUP(INDEX(INDIRECT($B$1&amp;"!"&amp;ADDRESS(8,COLUMN()+6,4)&amp;":"&amp;ADDRESS(73,COLUMN()+6,4)),MATCH($B70,INDIRECT($B$1&amp;"!$A$8:$A$73"),0)),CONFIG!$A$15:$B$28,2,FALSE),"")</f>
        <v/>
      </c>
      <c r="W70" s="157">
        <f>IFERROR(VLOOKUP(INDEX(INDIRECT($B$1&amp;"!"&amp;ADDRESS(8,COLUMN()+6,4)&amp;":"&amp;ADDRESS(73,COLUMN()+6,4)),MATCH($B70,INDIRECT($B$1&amp;"!$A$8:$A$73"),0)),CONFIG!$A$15:$B$28,2,FALSE),"")</f>
        <v/>
      </c>
      <c r="X70" s="157">
        <f>IFERROR(VLOOKUP(INDEX(INDIRECT($B$1&amp;"!"&amp;ADDRESS(8,COLUMN()+6,4)&amp;":"&amp;ADDRESS(73,COLUMN()+6,4)),MATCH($B70,INDIRECT($B$1&amp;"!$A$8:$A$73"),0)),CONFIG!$A$15:$B$28,2,FALSE),"")</f>
        <v/>
      </c>
      <c r="Y70" s="157">
        <f>IFERROR(VLOOKUP(INDEX(INDIRECT($B$1&amp;"!"&amp;ADDRESS(8,COLUMN()+6,4)&amp;":"&amp;ADDRESS(73,COLUMN()+6,4)),MATCH($B70,INDIRECT($B$1&amp;"!$A$8:$A$73"),0)),CONFIG!$A$15:$B$28,2,FALSE),"")</f>
        <v/>
      </c>
      <c r="Z70" s="157">
        <f>IFERROR(VLOOKUP(INDEX(INDIRECT($B$1&amp;"!"&amp;ADDRESS(8,COLUMN()+6,4)&amp;":"&amp;ADDRESS(73,COLUMN()+6,4)),MATCH($B70,INDIRECT($B$1&amp;"!$A$8:$A$73"),0)),CONFIG!$A$15:$B$28,2,FALSE),"")</f>
        <v/>
      </c>
      <c r="AA70" s="157">
        <f>IFERROR(VLOOKUP(INDEX(INDIRECT($B$1&amp;"!"&amp;ADDRESS(8,COLUMN()+6,4)&amp;":"&amp;ADDRESS(73,COLUMN()+6,4)),MATCH($B70,INDIRECT($B$1&amp;"!$A$8:$A$73"),0)),CONFIG!$A$15:$B$28,2,FALSE),"")</f>
        <v/>
      </c>
      <c r="AB70" s="157">
        <f>IFERROR(VLOOKUP(INDEX(INDIRECT($B$1&amp;"!"&amp;ADDRESS(8,COLUMN()+6,4)&amp;":"&amp;ADDRESS(73,COLUMN()+6,4)),MATCH($B70,INDIRECT($B$1&amp;"!$A$8:$A$73"),0)),CONFIG!$A$15:$B$28,2,FALSE),"")</f>
        <v/>
      </c>
      <c r="AC70" s="157">
        <f>IFERROR(VLOOKUP(INDEX(INDIRECT($B$1&amp;"!"&amp;ADDRESS(8,COLUMN()+6,4)&amp;":"&amp;ADDRESS(73,COLUMN()+6,4)),MATCH($B70,INDIRECT($B$1&amp;"!$A$8:$A$73"),0)),CONFIG!$A$15:$B$28,2,FALSE),"")</f>
        <v/>
      </c>
      <c r="AD70" s="157">
        <f>IFERROR(VLOOKUP(INDEX(INDIRECT($B$1&amp;"!"&amp;ADDRESS(8,COLUMN()+6,4)&amp;":"&amp;ADDRESS(73,COLUMN()+6,4)),MATCH($B70,INDIRECT($B$1&amp;"!$A$8:$A$73"),0)),CONFIG!$A$15:$B$28,2,FALSE),"")</f>
        <v/>
      </c>
      <c r="AE70" s="157">
        <f>IFERROR(VLOOKUP(INDEX(INDIRECT($B$1&amp;"!"&amp;ADDRESS(8,COLUMN()+6,4)&amp;":"&amp;ADDRESS(73,COLUMN()+6,4)),MATCH($B70,INDIRECT($B$1&amp;"!$A$8:$A$73"),0)),CONFIG!$A$15:$B$28,2,FALSE),"")</f>
        <v/>
      </c>
      <c r="AF70" s="157">
        <f>IFERROR(VLOOKUP(INDEX(INDIRECT($B$1&amp;"!"&amp;ADDRESS(8,COLUMN()+6,4)&amp;":"&amp;ADDRESS(73,COLUMN()+6,4)),MATCH($B70,INDIRECT($B$1&amp;"!$A$8:$A$73"),0)),CONFIG!$A$15:$B$28,2,FALSE),"")</f>
        <v/>
      </c>
      <c r="AG70" s="157">
        <f>IFERROR(VLOOKUP(INDEX(INDIRECT($B$1&amp;"!"&amp;ADDRESS(8,COLUMN()+6,4)&amp;":"&amp;ADDRESS(73,COLUMN()+6,4)),MATCH($B70,INDIRECT($B$1&amp;"!$A$8:$A$73"),0)),CONFIG!$A$15:$B$28,2,FALSE),"")</f>
        <v/>
      </c>
      <c r="AH70" s="157">
        <f>IFERROR(VLOOKUP(INDEX(INDIRECT($B$1&amp;"!"&amp;ADDRESS(8,COLUMN()+6,4)&amp;":"&amp;ADDRESS(73,COLUMN()+6,4)),MATCH($B70,INDIRECT($B$1&amp;"!$A$8:$A$73"),0)),CONFIG!$A$15:$B$28,2,FALSE),"")</f>
        <v/>
      </c>
      <c r="AI70" s="39" t="n"/>
    </row>
    <row r="71">
      <c r="A71" s="155" t="inlineStr">
        <is>
          <t>Julia Isaac</t>
        </is>
      </c>
      <c r="B71" s="156" t="inlineStr">
        <is>
          <t>JuIsaac</t>
        </is>
      </c>
      <c r="C71" s="157">
        <f>IFERROR(VLOOKUP(INDEX(INDIRECT($B$1&amp;"!"&amp;ADDRESS(8,COLUMN()+6,4)&amp;":"&amp;ADDRESS(73,COLUMN()+6,4)),MATCH($B71,INDIRECT($B$1&amp;"!$A$8:$A$73"),0)),CONFIG!$A$15:$B$28,2,FALSE),"")</f>
        <v/>
      </c>
      <c r="D71" s="157">
        <f>IFERROR(VLOOKUP(INDEX(INDIRECT($B$1&amp;"!"&amp;ADDRESS(8,COLUMN()+6,4)&amp;":"&amp;ADDRESS(73,COLUMN()+6,4)),MATCH($B71,INDIRECT($B$1&amp;"!$A$8:$A$73"),0)),CONFIG!$A$15:$B$28,2,FALSE),"")</f>
        <v/>
      </c>
      <c r="E71" s="157">
        <f>IFERROR(VLOOKUP(INDEX(INDIRECT($B$1&amp;"!"&amp;ADDRESS(8,COLUMN()+6,4)&amp;":"&amp;ADDRESS(73,COLUMN()+6,4)),MATCH($B71,INDIRECT($B$1&amp;"!$A$8:$A$73"),0)),CONFIG!$A$15:$B$28,2,FALSE),"")</f>
        <v/>
      </c>
      <c r="F71" s="157">
        <f>IFERROR(VLOOKUP(INDEX(INDIRECT($B$1&amp;"!"&amp;ADDRESS(8,COLUMN()+6,4)&amp;":"&amp;ADDRESS(73,COLUMN()+6,4)),MATCH($B71,INDIRECT($B$1&amp;"!$A$8:$A$73"),0)),CONFIG!$A$15:$B$28,2,FALSE),"")</f>
        <v/>
      </c>
      <c r="G71" s="157">
        <f>IFERROR(VLOOKUP(INDEX(INDIRECT($B$1&amp;"!"&amp;ADDRESS(8,COLUMN()+6,4)&amp;":"&amp;ADDRESS(73,COLUMN()+6,4)),MATCH($B71,INDIRECT($B$1&amp;"!$A$8:$A$73"),0)),CONFIG!$A$15:$B$28,2,FALSE),"")</f>
        <v/>
      </c>
      <c r="H71" s="157">
        <f>IFERROR(VLOOKUP(INDEX(INDIRECT($B$1&amp;"!"&amp;ADDRESS(8,COLUMN()+6,4)&amp;":"&amp;ADDRESS(73,COLUMN()+6,4)),MATCH($B71,INDIRECT($B$1&amp;"!$A$8:$A$73"),0)),CONFIG!$A$15:$B$28,2,FALSE),"")</f>
        <v/>
      </c>
      <c r="I71" s="157">
        <f>IFERROR(VLOOKUP(INDEX(INDIRECT($B$1&amp;"!"&amp;ADDRESS(8,COLUMN()+6,4)&amp;":"&amp;ADDRESS(73,COLUMN()+6,4)),MATCH($B71,INDIRECT($B$1&amp;"!$A$8:$A$73"),0)),CONFIG!$A$15:$B$28,2,FALSE),"")</f>
        <v/>
      </c>
      <c r="J71" s="157">
        <f>IFERROR(VLOOKUP(INDEX(INDIRECT($B$1&amp;"!"&amp;ADDRESS(8,COLUMN()+6,4)&amp;":"&amp;ADDRESS(73,COLUMN()+6,4)),MATCH($B71,INDIRECT($B$1&amp;"!$A$8:$A$73"),0)),CONFIG!$A$15:$B$28,2,FALSE),"")</f>
        <v/>
      </c>
      <c r="K71" s="157">
        <f>IFERROR(VLOOKUP(INDEX(INDIRECT($B$1&amp;"!"&amp;ADDRESS(8,COLUMN()+6,4)&amp;":"&amp;ADDRESS(73,COLUMN()+6,4)),MATCH($B71,INDIRECT($B$1&amp;"!$A$8:$A$73"),0)),CONFIG!$A$15:$B$28,2,FALSE),"")</f>
        <v/>
      </c>
      <c r="L71" s="157">
        <f>IFERROR(VLOOKUP(INDEX(INDIRECT($B$1&amp;"!"&amp;ADDRESS(8,COLUMN()+6,4)&amp;":"&amp;ADDRESS(73,COLUMN()+6,4)),MATCH($B71,INDIRECT($B$1&amp;"!$A$8:$A$73"),0)),CONFIG!$A$15:$B$28,2,FALSE),"")</f>
        <v/>
      </c>
      <c r="M71" s="157">
        <f>IFERROR(VLOOKUP(INDEX(INDIRECT($B$1&amp;"!"&amp;ADDRESS(8,COLUMN()+6,4)&amp;":"&amp;ADDRESS(73,COLUMN()+6,4)),MATCH($B71,INDIRECT($B$1&amp;"!$A$8:$A$73"),0)),CONFIG!$A$15:$B$28,2,FALSE),"")</f>
        <v/>
      </c>
      <c r="N71" s="157">
        <f>IFERROR(VLOOKUP(INDEX(INDIRECT($B$1&amp;"!"&amp;ADDRESS(8,COLUMN()+6,4)&amp;":"&amp;ADDRESS(73,COLUMN()+6,4)),MATCH($B71,INDIRECT($B$1&amp;"!$A$8:$A$73"),0)),CONFIG!$A$15:$B$28,2,FALSE),"")</f>
        <v/>
      </c>
      <c r="O71" s="157">
        <f>IFERROR(VLOOKUP(INDEX(INDIRECT($B$1&amp;"!"&amp;ADDRESS(8,COLUMN()+6,4)&amp;":"&amp;ADDRESS(73,COLUMN()+6,4)),MATCH($B71,INDIRECT($B$1&amp;"!$A$8:$A$73"),0)),CONFIG!$A$15:$B$28,2,FALSE),"")</f>
        <v/>
      </c>
      <c r="P71" s="157">
        <f>IFERROR(VLOOKUP(INDEX(INDIRECT($B$1&amp;"!"&amp;ADDRESS(8,COLUMN()+6,4)&amp;":"&amp;ADDRESS(73,COLUMN()+6,4)),MATCH($B71,INDIRECT($B$1&amp;"!$A$8:$A$73"),0)),CONFIG!$A$15:$B$28,2,FALSE),"")</f>
        <v/>
      </c>
      <c r="Q71" s="157">
        <f>IFERROR(VLOOKUP(INDEX(INDIRECT($B$1&amp;"!"&amp;ADDRESS(8,COLUMN()+6,4)&amp;":"&amp;ADDRESS(73,COLUMN()+6,4)),MATCH($B71,INDIRECT($B$1&amp;"!$A$8:$A$73"),0)),CONFIG!$A$15:$B$28,2,FALSE),"")</f>
        <v/>
      </c>
      <c r="R71" s="157">
        <f>IFERROR(VLOOKUP(INDEX(INDIRECT($B$1&amp;"!"&amp;ADDRESS(8,COLUMN()+6,4)&amp;":"&amp;ADDRESS(73,COLUMN()+6,4)),MATCH($B71,INDIRECT($B$1&amp;"!$A$8:$A$73"),0)),CONFIG!$A$15:$B$28,2,FALSE),"")</f>
        <v/>
      </c>
      <c r="S71" s="157">
        <f>IFERROR(VLOOKUP(INDEX(INDIRECT($B$1&amp;"!"&amp;ADDRESS(8,COLUMN()+6,4)&amp;":"&amp;ADDRESS(73,COLUMN()+6,4)),MATCH($B71,INDIRECT($B$1&amp;"!$A$8:$A$73"),0)),CONFIG!$A$15:$B$28,2,FALSE),"")</f>
        <v/>
      </c>
      <c r="T71" s="157">
        <f>IFERROR(VLOOKUP(INDEX(INDIRECT($B$1&amp;"!"&amp;ADDRESS(8,COLUMN()+6,4)&amp;":"&amp;ADDRESS(73,COLUMN()+6,4)),MATCH($B71,INDIRECT($B$1&amp;"!$A$8:$A$73"),0)),CONFIG!$A$15:$B$28,2,FALSE),"")</f>
        <v/>
      </c>
      <c r="U71" s="157">
        <f>IFERROR(VLOOKUP(INDEX(INDIRECT($B$1&amp;"!"&amp;ADDRESS(8,COLUMN()+6,4)&amp;":"&amp;ADDRESS(73,COLUMN()+6,4)),MATCH($B71,INDIRECT($B$1&amp;"!$A$8:$A$73"),0)),CONFIG!$A$15:$B$28,2,FALSE),"")</f>
        <v/>
      </c>
      <c r="V71" s="157">
        <f>IFERROR(VLOOKUP(INDEX(INDIRECT($B$1&amp;"!"&amp;ADDRESS(8,COLUMN()+6,4)&amp;":"&amp;ADDRESS(73,COLUMN()+6,4)),MATCH($B71,INDIRECT($B$1&amp;"!$A$8:$A$73"),0)),CONFIG!$A$15:$B$28,2,FALSE),"")</f>
        <v/>
      </c>
      <c r="W71" s="157">
        <f>IFERROR(VLOOKUP(INDEX(INDIRECT($B$1&amp;"!"&amp;ADDRESS(8,COLUMN()+6,4)&amp;":"&amp;ADDRESS(73,COLUMN()+6,4)),MATCH($B71,INDIRECT($B$1&amp;"!$A$8:$A$73"),0)),CONFIG!$A$15:$B$28,2,FALSE),"")</f>
        <v/>
      </c>
      <c r="X71" s="157">
        <f>IFERROR(VLOOKUP(INDEX(INDIRECT($B$1&amp;"!"&amp;ADDRESS(8,COLUMN()+6,4)&amp;":"&amp;ADDRESS(73,COLUMN()+6,4)),MATCH($B71,INDIRECT($B$1&amp;"!$A$8:$A$73"),0)),CONFIG!$A$15:$B$28,2,FALSE),"")</f>
        <v/>
      </c>
      <c r="Y71" s="157">
        <f>IFERROR(VLOOKUP(INDEX(INDIRECT($B$1&amp;"!"&amp;ADDRESS(8,COLUMN()+6,4)&amp;":"&amp;ADDRESS(73,COLUMN()+6,4)),MATCH($B71,INDIRECT($B$1&amp;"!$A$8:$A$73"),0)),CONFIG!$A$15:$B$28,2,FALSE),"")</f>
        <v/>
      </c>
      <c r="Z71" s="157">
        <f>IFERROR(VLOOKUP(INDEX(INDIRECT($B$1&amp;"!"&amp;ADDRESS(8,COLUMN()+6,4)&amp;":"&amp;ADDRESS(73,COLUMN()+6,4)),MATCH($B71,INDIRECT($B$1&amp;"!$A$8:$A$73"),0)),CONFIG!$A$15:$B$28,2,FALSE),"")</f>
        <v/>
      </c>
      <c r="AA71" s="157">
        <f>IFERROR(VLOOKUP(INDEX(INDIRECT($B$1&amp;"!"&amp;ADDRESS(8,COLUMN()+6,4)&amp;":"&amp;ADDRESS(73,COLUMN()+6,4)),MATCH($B71,INDIRECT($B$1&amp;"!$A$8:$A$73"),0)),CONFIG!$A$15:$B$28,2,FALSE),"")</f>
        <v/>
      </c>
      <c r="AB71" s="157">
        <f>IFERROR(VLOOKUP(INDEX(INDIRECT($B$1&amp;"!"&amp;ADDRESS(8,COLUMN()+6,4)&amp;":"&amp;ADDRESS(73,COLUMN()+6,4)),MATCH($B71,INDIRECT($B$1&amp;"!$A$8:$A$73"),0)),CONFIG!$A$15:$B$28,2,FALSE),"")</f>
        <v/>
      </c>
      <c r="AC71" s="157">
        <f>IFERROR(VLOOKUP(INDEX(INDIRECT($B$1&amp;"!"&amp;ADDRESS(8,COLUMN()+6,4)&amp;":"&amp;ADDRESS(73,COLUMN()+6,4)),MATCH($B71,INDIRECT($B$1&amp;"!$A$8:$A$73"),0)),CONFIG!$A$15:$B$28,2,FALSE),"")</f>
        <v/>
      </c>
      <c r="AD71" s="157">
        <f>IFERROR(VLOOKUP(INDEX(INDIRECT($B$1&amp;"!"&amp;ADDRESS(8,COLUMN()+6,4)&amp;":"&amp;ADDRESS(73,COLUMN()+6,4)),MATCH($B71,INDIRECT($B$1&amp;"!$A$8:$A$73"),0)),CONFIG!$A$15:$B$28,2,FALSE),"")</f>
        <v/>
      </c>
      <c r="AE71" s="157">
        <f>IFERROR(VLOOKUP(INDEX(INDIRECT($B$1&amp;"!"&amp;ADDRESS(8,COLUMN()+6,4)&amp;":"&amp;ADDRESS(73,COLUMN()+6,4)),MATCH($B71,INDIRECT($B$1&amp;"!$A$8:$A$73"),0)),CONFIG!$A$15:$B$28,2,FALSE),"")</f>
        <v/>
      </c>
      <c r="AF71" s="157">
        <f>IFERROR(VLOOKUP(INDEX(INDIRECT($B$1&amp;"!"&amp;ADDRESS(8,COLUMN()+6,4)&amp;":"&amp;ADDRESS(73,COLUMN()+6,4)),MATCH($B71,INDIRECT($B$1&amp;"!$A$8:$A$73"),0)),CONFIG!$A$15:$B$28,2,FALSE),"")</f>
        <v/>
      </c>
      <c r="AG71" s="157">
        <f>IFERROR(VLOOKUP(INDEX(INDIRECT($B$1&amp;"!"&amp;ADDRESS(8,COLUMN()+6,4)&amp;":"&amp;ADDRESS(73,COLUMN()+6,4)),MATCH($B71,INDIRECT($B$1&amp;"!$A$8:$A$73"),0)),CONFIG!$A$15:$B$28,2,FALSE),"")</f>
        <v/>
      </c>
      <c r="AH71" s="157">
        <f>IFERROR(VLOOKUP(INDEX(INDIRECT($B$1&amp;"!"&amp;ADDRESS(8,COLUMN()+6,4)&amp;":"&amp;ADDRESS(73,COLUMN()+6,4)),MATCH($B71,INDIRECT($B$1&amp;"!$A$8:$A$73"),0)),CONFIG!$A$15:$B$28,2,FALSE),"")</f>
        <v/>
      </c>
      <c r="AI71" s="39" t="n"/>
    </row>
    <row r="72">
      <c r="A72" s="155" t="inlineStr">
        <is>
          <t>Stephanie</t>
        </is>
      </c>
      <c r="B72" s="156" t="inlineStr">
        <is>
          <t>Stephanie</t>
        </is>
      </c>
      <c r="C72" s="157">
        <f>IFERROR(VLOOKUP(INDEX(INDIRECT($B$1&amp;"!"&amp;ADDRESS(8,COLUMN()+6,4)&amp;":"&amp;ADDRESS(73,COLUMN()+6,4)),MATCH($B72,INDIRECT($B$1&amp;"!$A$8:$A$73"),0)),CONFIG!$A$15:$B$28,2,FALSE),"")</f>
        <v/>
      </c>
      <c r="D72" s="157">
        <f>IFERROR(VLOOKUP(INDEX(INDIRECT($B$1&amp;"!"&amp;ADDRESS(8,COLUMN()+6,4)&amp;":"&amp;ADDRESS(73,COLUMN()+6,4)),MATCH($B72,INDIRECT($B$1&amp;"!$A$8:$A$73"),0)),CONFIG!$A$15:$B$28,2,FALSE),"")</f>
        <v/>
      </c>
      <c r="E72" s="157">
        <f>IFERROR(VLOOKUP(INDEX(INDIRECT($B$1&amp;"!"&amp;ADDRESS(8,COLUMN()+6,4)&amp;":"&amp;ADDRESS(73,COLUMN()+6,4)),MATCH($B72,INDIRECT($B$1&amp;"!$A$8:$A$73"),0)),CONFIG!$A$15:$B$28,2,FALSE),"")</f>
        <v/>
      </c>
      <c r="F72" s="157">
        <f>IFERROR(VLOOKUP(INDEX(INDIRECT($B$1&amp;"!"&amp;ADDRESS(8,COLUMN()+6,4)&amp;":"&amp;ADDRESS(73,COLUMN()+6,4)),MATCH($B72,INDIRECT($B$1&amp;"!$A$8:$A$73"),0)),CONFIG!$A$15:$B$28,2,FALSE),"")</f>
        <v/>
      </c>
      <c r="G72" s="157">
        <f>IFERROR(VLOOKUP(INDEX(INDIRECT($B$1&amp;"!"&amp;ADDRESS(8,COLUMN()+6,4)&amp;":"&amp;ADDRESS(73,COLUMN()+6,4)),MATCH($B72,INDIRECT($B$1&amp;"!$A$8:$A$73"),0)),CONFIG!$A$15:$B$28,2,FALSE),"")</f>
        <v/>
      </c>
      <c r="H72" s="157">
        <f>IFERROR(VLOOKUP(INDEX(INDIRECT($B$1&amp;"!"&amp;ADDRESS(8,COLUMN()+6,4)&amp;":"&amp;ADDRESS(73,COLUMN()+6,4)),MATCH($B72,INDIRECT($B$1&amp;"!$A$8:$A$73"),0)),CONFIG!$A$15:$B$28,2,FALSE),"")</f>
        <v/>
      </c>
      <c r="I72" s="157">
        <f>IFERROR(VLOOKUP(INDEX(INDIRECT($B$1&amp;"!"&amp;ADDRESS(8,COLUMN()+6,4)&amp;":"&amp;ADDRESS(73,COLUMN()+6,4)),MATCH($B72,INDIRECT($B$1&amp;"!$A$8:$A$73"),0)),CONFIG!$A$15:$B$28,2,FALSE),"")</f>
        <v/>
      </c>
      <c r="J72" s="157">
        <f>IFERROR(VLOOKUP(INDEX(INDIRECT($B$1&amp;"!"&amp;ADDRESS(8,COLUMN()+6,4)&amp;":"&amp;ADDRESS(73,COLUMN()+6,4)),MATCH($B72,INDIRECT($B$1&amp;"!$A$8:$A$73"),0)),CONFIG!$A$15:$B$28,2,FALSE),"")</f>
        <v/>
      </c>
      <c r="K72" s="157">
        <f>IFERROR(VLOOKUP(INDEX(INDIRECT($B$1&amp;"!"&amp;ADDRESS(8,COLUMN()+6,4)&amp;":"&amp;ADDRESS(73,COLUMN()+6,4)),MATCH($B72,INDIRECT($B$1&amp;"!$A$8:$A$73"),0)),CONFIG!$A$15:$B$28,2,FALSE),"")</f>
        <v/>
      </c>
      <c r="L72" s="157">
        <f>IFERROR(VLOOKUP(INDEX(INDIRECT($B$1&amp;"!"&amp;ADDRESS(8,COLUMN()+6,4)&amp;":"&amp;ADDRESS(73,COLUMN()+6,4)),MATCH($B72,INDIRECT($B$1&amp;"!$A$8:$A$73"),0)),CONFIG!$A$15:$B$28,2,FALSE),"")</f>
        <v/>
      </c>
      <c r="M72" s="157">
        <f>IFERROR(VLOOKUP(INDEX(INDIRECT($B$1&amp;"!"&amp;ADDRESS(8,COLUMN()+6,4)&amp;":"&amp;ADDRESS(73,COLUMN()+6,4)),MATCH($B72,INDIRECT($B$1&amp;"!$A$8:$A$73"),0)),CONFIG!$A$15:$B$28,2,FALSE),"")</f>
        <v/>
      </c>
      <c r="N72" s="157">
        <f>IFERROR(VLOOKUP(INDEX(INDIRECT($B$1&amp;"!"&amp;ADDRESS(8,COLUMN()+6,4)&amp;":"&amp;ADDRESS(73,COLUMN()+6,4)),MATCH($B72,INDIRECT($B$1&amp;"!$A$8:$A$73"),0)),CONFIG!$A$15:$B$28,2,FALSE),"")</f>
        <v/>
      </c>
      <c r="O72" s="157">
        <f>IFERROR(VLOOKUP(INDEX(INDIRECT($B$1&amp;"!"&amp;ADDRESS(8,COLUMN()+6,4)&amp;":"&amp;ADDRESS(73,COLUMN()+6,4)),MATCH($B72,INDIRECT($B$1&amp;"!$A$8:$A$73"),0)),CONFIG!$A$15:$B$28,2,FALSE),"")</f>
        <v/>
      </c>
      <c r="P72" s="157">
        <f>IFERROR(VLOOKUP(INDEX(INDIRECT($B$1&amp;"!"&amp;ADDRESS(8,COLUMN()+6,4)&amp;":"&amp;ADDRESS(73,COLUMN()+6,4)),MATCH($B72,INDIRECT($B$1&amp;"!$A$8:$A$73"),0)),CONFIG!$A$15:$B$28,2,FALSE),"")</f>
        <v/>
      </c>
      <c r="Q72" s="157">
        <f>IFERROR(VLOOKUP(INDEX(INDIRECT($B$1&amp;"!"&amp;ADDRESS(8,COLUMN()+6,4)&amp;":"&amp;ADDRESS(73,COLUMN()+6,4)),MATCH($B72,INDIRECT($B$1&amp;"!$A$8:$A$73"),0)),CONFIG!$A$15:$B$28,2,FALSE),"")</f>
        <v/>
      </c>
      <c r="R72" s="157">
        <f>IFERROR(VLOOKUP(INDEX(INDIRECT($B$1&amp;"!"&amp;ADDRESS(8,COLUMN()+6,4)&amp;":"&amp;ADDRESS(73,COLUMN()+6,4)),MATCH($B72,INDIRECT($B$1&amp;"!$A$8:$A$73"),0)),CONFIG!$A$15:$B$28,2,FALSE),"")</f>
        <v/>
      </c>
      <c r="S72" s="157">
        <f>IFERROR(VLOOKUP(INDEX(INDIRECT($B$1&amp;"!"&amp;ADDRESS(8,COLUMN()+6,4)&amp;":"&amp;ADDRESS(73,COLUMN()+6,4)),MATCH($B72,INDIRECT($B$1&amp;"!$A$8:$A$73"),0)),CONFIG!$A$15:$B$28,2,FALSE),"")</f>
        <v/>
      </c>
      <c r="T72" s="157">
        <f>IFERROR(VLOOKUP(INDEX(INDIRECT($B$1&amp;"!"&amp;ADDRESS(8,COLUMN()+6,4)&amp;":"&amp;ADDRESS(73,COLUMN()+6,4)),MATCH($B72,INDIRECT($B$1&amp;"!$A$8:$A$73"),0)),CONFIG!$A$15:$B$28,2,FALSE),"")</f>
        <v/>
      </c>
      <c r="U72" s="157">
        <f>IFERROR(VLOOKUP(INDEX(INDIRECT($B$1&amp;"!"&amp;ADDRESS(8,COLUMN()+6,4)&amp;":"&amp;ADDRESS(73,COLUMN()+6,4)),MATCH($B72,INDIRECT($B$1&amp;"!$A$8:$A$73"),0)),CONFIG!$A$15:$B$28,2,FALSE),"")</f>
        <v/>
      </c>
      <c r="V72" s="157">
        <f>IFERROR(VLOOKUP(INDEX(INDIRECT($B$1&amp;"!"&amp;ADDRESS(8,COLUMN()+6,4)&amp;":"&amp;ADDRESS(73,COLUMN()+6,4)),MATCH($B72,INDIRECT($B$1&amp;"!$A$8:$A$73"),0)),CONFIG!$A$15:$B$28,2,FALSE),"")</f>
        <v/>
      </c>
      <c r="W72" s="157">
        <f>IFERROR(VLOOKUP(INDEX(INDIRECT($B$1&amp;"!"&amp;ADDRESS(8,COLUMN()+6,4)&amp;":"&amp;ADDRESS(73,COLUMN()+6,4)),MATCH($B72,INDIRECT($B$1&amp;"!$A$8:$A$73"),0)),CONFIG!$A$15:$B$28,2,FALSE),"")</f>
        <v/>
      </c>
      <c r="X72" s="157">
        <f>IFERROR(VLOOKUP(INDEX(INDIRECT($B$1&amp;"!"&amp;ADDRESS(8,COLUMN()+6,4)&amp;":"&amp;ADDRESS(73,COLUMN()+6,4)),MATCH($B72,INDIRECT($B$1&amp;"!$A$8:$A$73"),0)),CONFIG!$A$15:$B$28,2,FALSE),"")</f>
        <v/>
      </c>
      <c r="Y72" s="157">
        <f>IFERROR(VLOOKUP(INDEX(INDIRECT($B$1&amp;"!"&amp;ADDRESS(8,COLUMN()+6,4)&amp;":"&amp;ADDRESS(73,COLUMN()+6,4)),MATCH($B72,INDIRECT($B$1&amp;"!$A$8:$A$73"),0)),CONFIG!$A$15:$B$28,2,FALSE),"")</f>
        <v/>
      </c>
      <c r="Z72" s="157">
        <f>IFERROR(VLOOKUP(INDEX(INDIRECT($B$1&amp;"!"&amp;ADDRESS(8,COLUMN()+6,4)&amp;":"&amp;ADDRESS(73,COLUMN()+6,4)),MATCH($B72,INDIRECT($B$1&amp;"!$A$8:$A$73"),0)),CONFIG!$A$15:$B$28,2,FALSE),"")</f>
        <v/>
      </c>
      <c r="AA72" s="157">
        <f>IFERROR(VLOOKUP(INDEX(INDIRECT($B$1&amp;"!"&amp;ADDRESS(8,COLUMN()+6,4)&amp;":"&amp;ADDRESS(73,COLUMN()+6,4)),MATCH($B72,INDIRECT($B$1&amp;"!$A$8:$A$73"),0)),CONFIG!$A$15:$B$28,2,FALSE),"")</f>
        <v/>
      </c>
      <c r="AB72" s="157">
        <f>IFERROR(VLOOKUP(INDEX(INDIRECT($B$1&amp;"!"&amp;ADDRESS(8,COLUMN()+6,4)&amp;":"&amp;ADDRESS(73,COLUMN()+6,4)),MATCH($B72,INDIRECT($B$1&amp;"!$A$8:$A$73"),0)),CONFIG!$A$15:$B$28,2,FALSE),"")</f>
        <v/>
      </c>
      <c r="AC72" s="157">
        <f>IFERROR(VLOOKUP(INDEX(INDIRECT($B$1&amp;"!"&amp;ADDRESS(8,COLUMN()+6,4)&amp;":"&amp;ADDRESS(73,COLUMN()+6,4)),MATCH($B72,INDIRECT($B$1&amp;"!$A$8:$A$73"),0)),CONFIG!$A$15:$B$28,2,FALSE),"")</f>
        <v/>
      </c>
      <c r="AD72" s="157">
        <f>IFERROR(VLOOKUP(INDEX(INDIRECT($B$1&amp;"!"&amp;ADDRESS(8,COLUMN()+6,4)&amp;":"&amp;ADDRESS(73,COLUMN()+6,4)),MATCH($B72,INDIRECT($B$1&amp;"!$A$8:$A$73"),0)),CONFIG!$A$15:$B$28,2,FALSE),"")</f>
        <v/>
      </c>
      <c r="AE72" s="157">
        <f>IFERROR(VLOOKUP(INDEX(INDIRECT($B$1&amp;"!"&amp;ADDRESS(8,COLUMN()+6,4)&amp;":"&amp;ADDRESS(73,COLUMN()+6,4)),MATCH($B72,INDIRECT($B$1&amp;"!$A$8:$A$73"),0)),CONFIG!$A$15:$B$28,2,FALSE),"")</f>
        <v/>
      </c>
      <c r="AF72" s="157">
        <f>IFERROR(VLOOKUP(INDEX(INDIRECT($B$1&amp;"!"&amp;ADDRESS(8,COLUMN()+6,4)&amp;":"&amp;ADDRESS(73,COLUMN()+6,4)),MATCH($B72,INDIRECT($B$1&amp;"!$A$8:$A$73"),0)),CONFIG!$A$15:$B$28,2,FALSE),"")</f>
        <v/>
      </c>
      <c r="AG72" s="157">
        <f>IFERROR(VLOOKUP(INDEX(INDIRECT($B$1&amp;"!"&amp;ADDRESS(8,COLUMN()+6,4)&amp;":"&amp;ADDRESS(73,COLUMN()+6,4)),MATCH($B72,INDIRECT($B$1&amp;"!$A$8:$A$73"),0)),CONFIG!$A$15:$B$28,2,FALSE),"")</f>
        <v/>
      </c>
      <c r="AH72" s="157">
        <f>IFERROR(VLOOKUP(INDEX(INDIRECT($B$1&amp;"!"&amp;ADDRESS(8,COLUMN()+6,4)&amp;":"&amp;ADDRESS(73,COLUMN()+6,4)),MATCH($B72,INDIRECT($B$1&amp;"!$A$8:$A$73"),0)),CONFIG!$A$15:$B$28,2,FALSE),"")</f>
        <v/>
      </c>
      <c r="AI72" s="39" t="n"/>
    </row>
    <row r="73">
      <c r="A73" s="155" t="inlineStr">
        <is>
          <t>Mariana Pinheiro</t>
        </is>
      </c>
      <c r="B73" s="156" t="inlineStr">
        <is>
          <t>MPinheiro</t>
        </is>
      </c>
      <c r="C73" s="157">
        <f>IFERROR(VLOOKUP(INDEX(INDIRECT($B$1&amp;"!"&amp;ADDRESS(8,COLUMN()+6,4)&amp;":"&amp;ADDRESS(73,COLUMN()+6,4)),MATCH($B73,INDIRECT($B$1&amp;"!$A$8:$A$73"),0)),CONFIG!$A$15:$B$28,2,FALSE),"")</f>
        <v/>
      </c>
      <c r="D73" s="157">
        <f>IFERROR(VLOOKUP(INDEX(INDIRECT($B$1&amp;"!"&amp;ADDRESS(8,COLUMN()+6,4)&amp;":"&amp;ADDRESS(73,COLUMN()+6,4)),MATCH($B73,INDIRECT($B$1&amp;"!$A$8:$A$73"),0)),CONFIG!$A$15:$B$28,2,FALSE),"")</f>
        <v/>
      </c>
      <c r="E73" s="157">
        <f>IFERROR(VLOOKUP(INDEX(INDIRECT($B$1&amp;"!"&amp;ADDRESS(8,COLUMN()+6,4)&amp;":"&amp;ADDRESS(73,COLUMN()+6,4)),MATCH($B73,INDIRECT($B$1&amp;"!$A$8:$A$73"),0)),CONFIG!$A$15:$B$28,2,FALSE),"")</f>
        <v/>
      </c>
      <c r="F73" s="157">
        <f>IFERROR(VLOOKUP(INDEX(INDIRECT($B$1&amp;"!"&amp;ADDRESS(8,COLUMN()+6,4)&amp;":"&amp;ADDRESS(73,COLUMN()+6,4)),MATCH($B73,INDIRECT($B$1&amp;"!$A$8:$A$73"),0)),CONFIG!$A$15:$B$28,2,FALSE),"")</f>
        <v/>
      </c>
      <c r="G73" s="157">
        <f>IFERROR(VLOOKUP(INDEX(INDIRECT($B$1&amp;"!"&amp;ADDRESS(8,COLUMN()+6,4)&amp;":"&amp;ADDRESS(73,COLUMN()+6,4)),MATCH($B73,INDIRECT($B$1&amp;"!$A$8:$A$73"),0)),CONFIG!$A$15:$B$28,2,FALSE),"")</f>
        <v/>
      </c>
      <c r="H73" s="157">
        <f>IFERROR(VLOOKUP(INDEX(INDIRECT($B$1&amp;"!"&amp;ADDRESS(8,COLUMN()+6,4)&amp;":"&amp;ADDRESS(73,COLUMN()+6,4)),MATCH($B73,INDIRECT($B$1&amp;"!$A$8:$A$73"),0)),CONFIG!$A$15:$B$28,2,FALSE),"")</f>
        <v/>
      </c>
      <c r="I73" s="157">
        <f>IFERROR(VLOOKUP(INDEX(INDIRECT($B$1&amp;"!"&amp;ADDRESS(8,COLUMN()+6,4)&amp;":"&amp;ADDRESS(73,COLUMN()+6,4)),MATCH($B73,INDIRECT($B$1&amp;"!$A$8:$A$73"),0)),CONFIG!$A$15:$B$28,2,FALSE),"")</f>
        <v/>
      </c>
      <c r="J73" s="157">
        <f>IFERROR(VLOOKUP(INDEX(INDIRECT($B$1&amp;"!"&amp;ADDRESS(8,COLUMN()+6,4)&amp;":"&amp;ADDRESS(73,COLUMN()+6,4)),MATCH($B73,INDIRECT($B$1&amp;"!$A$8:$A$73"),0)),CONFIG!$A$15:$B$28,2,FALSE),"")</f>
        <v/>
      </c>
      <c r="K73" s="157">
        <f>IFERROR(VLOOKUP(INDEX(INDIRECT($B$1&amp;"!"&amp;ADDRESS(8,COLUMN()+6,4)&amp;":"&amp;ADDRESS(73,COLUMN()+6,4)),MATCH($B73,INDIRECT($B$1&amp;"!$A$8:$A$73"),0)),CONFIG!$A$15:$B$28,2,FALSE),"")</f>
        <v/>
      </c>
      <c r="L73" s="157">
        <f>IFERROR(VLOOKUP(INDEX(INDIRECT($B$1&amp;"!"&amp;ADDRESS(8,COLUMN()+6,4)&amp;":"&amp;ADDRESS(73,COLUMN()+6,4)),MATCH($B73,INDIRECT($B$1&amp;"!$A$8:$A$73"),0)),CONFIG!$A$15:$B$28,2,FALSE),"")</f>
        <v/>
      </c>
      <c r="M73" s="157">
        <f>IFERROR(VLOOKUP(INDEX(INDIRECT($B$1&amp;"!"&amp;ADDRESS(8,COLUMN()+6,4)&amp;":"&amp;ADDRESS(73,COLUMN()+6,4)),MATCH($B73,INDIRECT($B$1&amp;"!$A$8:$A$73"),0)),CONFIG!$A$15:$B$28,2,FALSE),"")</f>
        <v/>
      </c>
      <c r="N73" s="157">
        <f>IFERROR(VLOOKUP(INDEX(INDIRECT($B$1&amp;"!"&amp;ADDRESS(8,COLUMN()+6,4)&amp;":"&amp;ADDRESS(73,COLUMN()+6,4)),MATCH($B73,INDIRECT($B$1&amp;"!$A$8:$A$73"),0)),CONFIG!$A$15:$B$28,2,FALSE),"")</f>
        <v/>
      </c>
      <c r="O73" s="157">
        <f>IFERROR(VLOOKUP(INDEX(INDIRECT($B$1&amp;"!"&amp;ADDRESS(8,COLUMN()+6,4)&amp;":"&amp;ADDRESS(73,COLUMN()+6,4)),MATCH($B73,INDIRECT($B$1&amp;"!$A$8:$A$73"),0)),CONFIG!$A$15:$B$28,2,FALSE),"")</f>
        <v/>
      </c>
      <c r="P73" s="157">
        <f>IFERROR(VLOOKUP(INDEX(INDIRECT($B$1&amp;"!"&amp;ADDRESS(8,COLUMN()+6,4)&amp;":"&amp;ADDRESS(73,COLUMN()+6,4)),MATCH($B73,INDIRECT($B$1&amp;"!$A$8:$A$73"),0)),CONFIG!$A$15:$B$28,2,FALSE),"")</f>
        <v/>
      </c>
      <c r="Q73" s="157">
        <f>IFERROR(VLOOKUP(INDEX(INDIRECT($B$1&amp;"!"&amp;ADDRESS(8,COLUMN()+6,4)&amp;":"&amp;ADDRESS(73,COLUMN()+6,4)),MATCH($B73,INDIRECT($B$1&amp;"!$A$8:$A$73"),0)),CONFIG!$A$15:$B$28,2,FALSE),"")</f>
        <v/>
      </c>
      <c r="R73" s="157">
        <f>IFERROR(VLOOKUP(INDEX(INDIRECT($B$1&amp;"!"&amp;ADDRESS(8,COLUMN()+6,4)&amp;":"&amp;ADDRESS(73,COLUMN()+6,4)),MATCH($B73,INDIRECT($B$1&amp;"!$A$8:$A$73"),0)),CONFIG!$A$15:$B$28,2,FALSE),"")</f>
        <v/>
      </c>
      <c r="S73" s="157">
        <f>IFERROR(VLOOKUP(INDEX(INDIRECT($B$1&amp;"!"&amp;ADDRESS(8,COLUMN()+6,4)&amp;":"&amp;ADDRESS(73,COLUMN()+6,4)),MATCH($B73,INDIRECT($B$1&amp;"!$A$8:$A$73"),0)),CONFIG!$A$15:$B$28,2,FALSE),"")</f>
        <v/>
      </c>
      <c r="T73" s="157">
        <f>IFERROR(VLOOKUP(INDEX(INDIRECT($B$1&amp;"!"&amp;ADDRESS(8,COLUMN()+6,4)&amp;":"&amp;ADDRESS(73,COLUMN()+6,4)),MATCH($B73,INDIRECT($B$1&amp;"!$A$8:$A$73"),0)),CONFIG!$A$15:$B$28,2,FALSE),"")</f>
        <v/>
      </c>
      <c r="U73" s="157">
        <f>IFERROR(VLOOKUP(INDEX(INDIRECT($B$1&amp;"!"&amp;ADDRESS(8,COLUMN()+6,4)&amp;":"&amp;ADDRESS(73,COLUMN()+6,4)),MATCH($B73,INDIRECT($B$1&amp;"!$A$8:$A$73"),0)),CONFIG!$A$15:$B$28,2,FALSE),"")</f>
        <v/>
      </c>
      <c r="V73" s="157">
        <f>IFERROR(VLOOKUP(INDEX(INDIRECT($B$1&amp;"!"&amp;ADDRESS(8,COLUMN()+6,4)&amp;":"&amp;ADDRESS(73,COLUMN()+6,4)),MATCH($B73,INDIRECT($B$1&amp;"!$A$8:$A$73"),0)),CONFIG!$A$15:$B$28,2,FALSE),"")</f>
        <v/>
      </c>
      <c r="W73" s="157">
        <f>IFERROR(VLOOKUP(INDEX(INDIRECT($B$1&amp;"!"&amp;ADDRESS(8,COLUMN()+6,4)&amp;":"&amp;ADDRESS(73,COLUMN()+6,4)),MATCH($B73,INDIRECT($B$1&amp;"!$A$8:$A$73"),0)),CONFIG!$A$15:$B$28,2,FALSE),"")</f>
        <v/>
      </c>
      <c r="X73" s="157">
        <f>IFERROR(VLOOKUP(INDEX(INDIRECT($B$1&amp;"!"&amp;ADDRESS(8,COLUMN()+6,4)&amp;":"&amp;ADDRESS(73,COLUMN()+6,4)),MATCH($B73,INDIRECT($B$1&amp;"!$A$8:$A$73"),0)),CONFIG!$A$15:$B$28,2,FALSE),"")</f>
        <v/>
      </c>
      <c r="Y73" s="157">
        <f>IFERROR(VLOOKUP(INDEX(INDIRECT($B$1&amp;"!"&amp;ADDRESS(8,COLUMN()+6,4)&amp;":"&amp;ADDRESS(73,COLUMN()+6,4)),MATCH($B73,INDIRECT($B$1&amp;"!$A$8:$A$73"),0)),CONFIG!$A$15:$B$28,2,FALSE),"")</f>
        <v/>
      </c>
      <c r="Z73" s="157">
        <f>IFERROR(VLOOKUP(INDEX(INDIRECT($B$1&amp;"!"&amp;ADDRESS(8,COLUMN()+6,4)&amp;":"&amp;ADDRESS(73,COLUMN()+6,4)),MATCH($B73,INDIRECT($B$1&amp;"!$A$8:$A$73"),0)),CONFIG!$A$15:$B$28,2,FALSE),"")</f>
        <v/>
      </c>
      <c r="AA73" s="157">
        <f>IFERROR(VLOOKUP(INDEX(INDIRECT($B$1&amp;"!"&amp;ADDRESS(8,COLUMN()+6,4)&amp;":"&amp;ADDRESS(73,COLUMN()+6,4)),MATCH($B73,INDIRECT($B$1&amp;"!$A$8:$A$73"),0)),CONFIG!$A$15:$B$28,2,FALSE),"")</f>
        <v/>
      </c>
      <c r="AB73" s="157">
        <f>IFERROR(VLOOKUP(INDEX(INDIRECT($B$1&amp;"!"&amp;ADDRESS(8,COLUMN()+6,4)&amp;":"&amp;ADDRESS(73,COLUMN()+6,4)),MATCH($B73,INDIRECT($B$1&amp;"!$A$8:$A$73"),0)),CONFIG!$A$15:$B$28,2,FALSE),"")</f>
        <v/>
      </c>
      <c r="AC73" s="157">
        <f>IFERROR(VLOOKUP(INDEX(INDIRECT($B$1&amp;"!"&amp;ADDRESS(8,COLUMN()+6,4)&amp;":"&amp;ADDRESS(73,COLUMN()+6,4)),MATCH($B73,INDIRECT($B$1&amp;"!$A$8:$A$73"),0)),CONFIG!$A$15:$B$28,2,FALSE),"")</f>
        <v/>
      </c>
      <c r="AD73" s="157">
        <f>IFERROR(VLOOKUP(INDEX(INDIRECT($B$1&amp;"!"&amp;ADDRESS(8,COLUMN()+6,4)&amp;":"&amp;ADDRESS(73,COLUMN()+6,4)),MATCH($B73,INDIRECT($B$1&amp;"!$A$8:$A$73"),0)),CONFIG!$A$15:$B$28,2,FALSE),"")</f>
        <v/>
      </c>
      <c r="AE73" s="157">
        <f>IFERROR(VLOOKUP(INDEX(INDIRECT($B$1&amp;"!"&amp;ADDRESS(8,COLUMN()+6,4)&amp;":"&amp;ADDRESS(73,COLUMN()+6,4)),MATCH($B73,INDIRECT($B$1&amp;"!$A$8:$A$73"),0)),CONFIG!$A$15:$B$28,2,FALSE),"")</f>
        <v/>
      </c>
      <c r="AF73" s="157">
        <f>IFERROR(VLOOKUP(INDEX(INDIRECT($B$1&amp;"!"&amp;ADDRESS(8,COLUMN()+6,4)&amp;":"&amp;ADDRESS(73,COLUMN()+6,4)),MATCH($B73,INDIRECT($B$1&amp;"!$A$8:$A$73"),0)),CONFIG!$A$15:$B$28,2,FALSE),"")</f>
        <v/>
      </c>
      <c r="AG73" s="157">
        <f>IFERROR(VLOOKUP(INDEX(INDIRECT($B$1&amp;"!"&amp;ADDRESS(8,COLUMN()+6,4)&amp;":"&amp;ADDRESS(73,COLUMN()+6,4)),MATCH($B73,INDIRECT($B$1&amp;"!$A$8:$A$73"),0)),CONFIG!$A$15:$B$28,2,FALSE),"")</f>
        <v/>
      </c>
      <c r="AH73" s="157">
        <f>IFERROR(VLOOKUP(INDEX(INDIRECT($B$1&amp;"!"&amp;ADDRESS(8,COLUMN()+6,4)&amp;":"&amp;ADDRESS(73,COLUMN()+6,4)),MATCH($B73,INDIRECT($B$1&amp;"!$A$8:$A$73"),0)),CONFIG!$A$15:$B$28,2,FALSE),"")</f>
        <v/>
      </c>
      <c r="A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8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9" t="inlineStr">
        <is>
          <t>Médico</t>
        </is>
      </c>
      <c r="B6" s="159" t="inlineStr">
        <is>
          <t>Grupo</t>
        </is>
      </c>
      <c r="C6" s="159" t="inlineStr">
        <is>
          <t>Quando</t>
        </is>
      </c>
      <c r="D6" s="159" t="inlineStr">
        <is>
          <t>O que acontece</t>
        </is>
      </c>
      <c r="E6" s="159" t="inlineStr">
        <is>
          <t>Base</t>
        </is>
      </c>
      <c r="F6" s="159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13" t="inlineStr">
        <is>
          <t>chefia</t>
        </is>
      </c>
      <c r="C7" s="160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13" t="inlineStr">
        <is>
          <t>art. 67 CLT</t>
        </is>
      </c>
      <c r="F7" s="161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13" t="inlineStr">
        <is>
          <t>chefia</t>
        </is>
      </c>
      <c r="C8" s="160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13" t="inlineStr">
        <is>
          <t>art. 67 CLT</t>
        </is>
      </c>
      <c r="F8" s="161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13" t="inlineStr">
        <is>
          <t>chefia</t>
        </is>
      </c>
      <c r="C9" s="160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13" t="inlineStr">
        <is>
          <t>art. 67 CLT</t>
        </is>
      </c>
      <c r="F9" s="161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13" t="inlineStr">
        <is>
          <t>chefia</t>
        </is>
      </c>
      <c r="C10" s="160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13" t="inlineStr">
        <is>
          <t>art. 67 CLT</t>
        </is>
      </c>
      <c r="F10" s="161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13" t="inlineStr">
        <is>
          <t>chefia</t>
        </is>
      </c>
      <c r="C11" s="160" t="inlineStr">
        <is>
          <t>5 semanas</t>
        </is>
      </c>
      <c r="D11" s="68" t="inlineStr">
        <is>
          <t>sem folga de 24h consecutivas nessas semanas: 04/01, 11/01, 22/02, 05/04, 12/07</t>
        </is>
      </c>
      <c r="E11" s="113" t="inlineStr">
        <is>
          <t>art. 67 CLT</t>
        </is>
      </c>
      <c r="F11" s="161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13" t="inlineStr">
        <is>
          <t>chefia</t>
        </is>
      </c>
      <c r="C12" s="160" t="inlineStr">
        <is>
          <t>1 semanas</t>
        </is>
      </c>
      <c r="D12" s="68" t="inlineStr">
        <is>
          <t>sem folga de 24h consecutivas nessas semanas: 13/02</t>
        </is>
      </c>
      <c r="E12" s="113" t="inlineStr">
        <is>
          <t>art. 67 CLT</t>
        </is>
      </c>
      <c r="F12" s="161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13" t="inlineStr">
        <is>
          <t>administrativo</t>
        </is>
      </c>
      <c r="C13" s="160" t="inlineStr">
        <is>
          <t>1 semanas</t>
        </is>
      </c>
      <c r="D13" s="68" t="inlineStr">
        <is>
          <t>sem folga de 24h consecutivas nessas semanas: 29/06</t>
        </is>
      </c>
      <c r="E13" s="113" t="inlineStr">
        <is>
          <t>art. 67 CLT</t>
        </is>
      </c>
      <c r="F13" s="161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13" t="inlineStr">
        <is>
          <t>chefia</t>
        </is>
      </c>
      <c r="C14" s="160" t="inlineStr">
        <is>
          <t>1 semanas</t>
        </is>
      </c>
      <c r="D14" s="68" t="inlineStr">
        <is>
          <t>sem folga de 24h consecutivas nessas semanas: 21/07</t>
        </is>
      </c>
      <c r="E14" s="113" t="inlineStr">
        <is>
          <t>art. 67 CLT</t>
        </is>
      </c>
      <c r="F14" s="161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62" t="inlineStr">
        <is>
          <t>ALERTA — pontual, o alvo é zero (77)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9" t="inlineStr">
        <is>
          <t>Médico</t>
        </is>
      </c>
      <c r="B20" s="159" t="inlineStr">
        <is>
          <t>Grupo</t>
        </is>
      </c>
      <c r="C20" s="159" t="inlineStr">
        <is>
          <t>Quando</t>
        </is>
      </c>
      <c r="D20" s="159" t="inlineStr">
        <is>
          <t>O que acontece</t>
        </is>
      </c>
      <c r="E20" s="159" t="inlineStr">
        <is>
          <t>Base</t>
        </is>
      </c>
      <c r="F20" s="159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13" t="inlineStr">
        <is>
          <t>24h</t>
        </is>
      </c>
      <c r="C21" s="160" t="inlineStr">
        <is>
          <t>04/01</t>
        </is>
      </c>
      <c r="D21" s="68" t="inlineStr">
        <is>
          <t>N 04/01 → M 05/01: 0h de descanso (soma 18h)</t>
        </is>
      </c>
      <c r="E21" s="113" t="inlineStr">
        <is>
          <t>art. 66 CLT — 11h</t>
        </is>
      </c>
      <c r="F21" s="163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13" t="inlineStr">
        <is>
          <t>24h</t>
        </is>
      </c>
      <c r="C22" s="160" t="inlineStr">
        <is>
          <t>11/01</t>
        </is>
      </c>
      <c r="D22" s="68" t="inlineStr">
        <is>
          <t>N 11/01 → M 12/01: 0h de descanso (soma 18h)</t>
        </is>
      </c>
      <c r="E22" s="113" t="inlineStr">
        <is>
          <t>art. 66 CLT — 11h</t>
        </is>
      </c>
      <c r="F22" s="163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13" t="inlineStr">
        <is>
          <t>chefia</t>
        </is>
      </c>
      <c r="C23" s="160" t="inlineStr">
        <is>
          <t>11/01</t>
        </is>
      </c>
      <c r="D23" s="68" t="inlineStr">
        <is>
          <t>N 11/01 → M 12/01: 0h de descanso (soma 18h)</t>
        </is>
      </c>
      <c r="E23" s="113" t="inlineStr">
        <is>
          <t>art. 66 CLT — 11h</t>
        </is>
      </c>
      <c r="F23" s="163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13" t="inlineStr">
        <is>
          <t>36h</t>
        </is>
      </c>
      <c r="C24" s="160" t="inlineStr">
        <is>
          <t>12/01</t>
        </is>
      </c>
      <c r="D24" s="68" t="inlineStr">
        <is>
          <t>N 12/01 → D 13/01: 0h de descanso (soma 24h)</t>
        </is>
      </c>
      <c r="E24" s="113" t="inlineStr">
        <is>
          <t>art. 66 CLT — 11h</t>
        </is>
      </c>
      <c r="F24" s="163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13" t="inlineStr">
        <is>
          <t>chefia</t>
        </is>
      </c>
      <c r="C25" s="160" t="inlineStr">
        <is>
          <t>18/01</t>
        </is>
      </c>
      <c r="D25" s="68" t="inlineStr">
        <is>
          <t>N 18/01 → M 19/01: 0h de descanso (soma 18h)</t>
        </is>
      </c>
      <c r="E25" s="113" t="inlineStr">
        <is>
          <t>art. 66 CLT — 11h</t>
        </is>
      </c>
      <c r="F25" s="163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13" t="inlineStr">
        <is>
          <t>24h</t>
        </is>
      </c>
      <c r="C26" s="160" t="inlineStr">
        <is>
          <t>18/01</t>
        </is>
      </c>
      <c r="D26" s="68" t="inlineStr">
        <is>
          <t>N 18/01 → M 19/01: 0h de descanso (soma 18h)</t>
        </is>
      </c>
      <c r="E26" s="113" t="inlineStr">
        <is>
          <t>art. 66 CLT — 11h</t>
        </is>
      </c>
      <c r="F26" s="163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13" t="inlineStr">
        <is>
          <t>30h</t>
        </is>
      </c>
      <c r="C27" s="160" t="inlineStr">
        <is>
          <t>18/01</t>
        </is>
      </c>
      <c r="D27" s="68" t="inlineStr">
        <is>
          <t>N 18/01 → M 19/01: 0h de descanso (soma 18h)</t>
        </is>
      </c>
      <c r="E27" s="113" t="inlineStr">
        <is>
          <t>art. 66 CLT — 11h</t>
        </is>
      </c>
      <c r="F27" s="163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13" t="inlineStr">
        <is>
          <t>36h</t>
        </is>
      </c>
      <c r="C28" s="160" t="inlineStr">
        <is>
          <t>20/01</t>
        </is>
      </c>
      <c r="D28" s="68" t="inlineStr">
        <is>
          <t>N 20/01 → M 21/01: 0h de descanso (soma 18h)</t>
        </is>
      </c>
      <c r="E28" s="113" t="inlineStr">
        <is>
          <t>art. 66 CLT — 11h</t>
        </is>
      </c>
      <c r="F28" s="163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13" t="inlineStr">
        <is>
          <t>24h</t>
        </is>
      </c>
      <c r="C29" s="160" t="inlineStr">
        <is>
          <t>24/01</t>
        </is>
      </c>
      <c r="D29" s="68" t="inlineStr">
        <is>
          <t>N 24/01 → M 25/01: 0h de descanso (soma 18h)</t>
        </is>
      </c>
      <c r="E29" s="113" t="inlineStr">
        <is>
          <t>art. 66 CLT — 11h</t>
        </is>
      </c>
      <c r="F29" s="163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13" t="inlineStr">
        <is>
          <t>36h</t>
        </is>
      </c>
      <c r="C30" s="160" t="inlineStr">
        <is>
          <t>25/01</t>
        </is>
      </c>
      <c r="D30" s="68" t="inlineStr">
        <is>
          <t>N 25/01 → D 26/01: 0h de descanso (soma 24h)</t>
        </is>
      </c>
      <c r="E30" s="113" t="inlineStr">
        <is>
          <t>art. 66 CLT — 11h</t>
        </is>
      </c>
      <c r="F30" s="163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13" t="inlineStr">
        <is>
          <t>30h</t>
        </is>
      </c>
      <c r="C31" s="160" t="inlineStr">
        <is>
          <t>26/01</t>
        </is>
      </c>
      <c r="D31" s="68" t="inlineStr">
        <is>
          <t>N 26/01 → M 27/01: 0h de descanso (soma 18h)</t>
        </is>
      </c>
      <c r="E31" s="113" t="inlineStr">
        <is>
          <t>art. 66 CLT — 11h</t>
        </is>
      </c>
      <c r="F31" s="163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13" t="inlineStr">
        <is>
          <t>36h</t>
        </is>
      </c>
      <c r="C32" s="160" t="inlineStr">
        <is>
          <t>27/01</t>
        </is>
      </c>
      <c r="D32" s="68" t="inlineStr">
        <is>
          <t>N 27/01 → M 28/01: 0h de descanso (soma 18h)</t>
        </is>
      </c>
      <c r="E32" s="113" t="inlineStr">
        <is>
          <t>art. 66 CLT — 11h</t>
        </is>
      </c>
      <c r="F32" s="163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13" t="inlineStr">
        <is>
          <t>administrativo</t>
        </is>
      </c>
      <c r="C33" s="160" t="inlineStr">
        <is>
          <t>01/02</t>
        </is>
      </c>
      <c r="D33" s="68" t="inlineStr">
        <is>
          <t>N 01/02 → M 02/02: 0h de descanso (soma 18h)</t>
        </is>
      </c>
      <c r="E33" s="113" t="inlineStr">
        <is>
          <t>art. 66 CLT — 11h</t>
        </is>
      </c>
      <c r="F33" s="163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13" t="inlineStr">
        <is>
          <t>36h</t>
        </is>
      </c>
      <c r="C34" s="160" t="inlineStr">
        <is>
          <t>02/02</t>
        </is>
      </c>
      <c r="D34" s="68" t="inlineStr">
        <is>
          <t>N 02/02 → E 03/02: 1h de descanso (soma 16h)</t>
        </is>
      </c>
      <c r="E34" s="113" t="inlineStr">
        <is>
          <t>art. 66 CLT — 11h</t>
        </is>
      </c>
      <c r="F34" s="163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13" t="inlineStr">
        <is>
          <t>24h</t>
        </is>
      </c>
      <c r="C35" s="160" t="inlineStr">
        <is>
          <t>03/02</t>
        </is>
      </c>
      <c r="D35" s="68" t="inlineStr">
        <is>
          <t>N 03/02 → M 04/02: 0h de descanso (soma 18h)</t>
        </is>
      </c>
      <c r="E35" s="113" t="inlineStr">
        <is>
          <t>art. 66 CLT — 11h</t>
        </is>
      </c>
      <c r="F35" s="163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13" t="inlineStr">
        <is>
          <t>36h</t>
        </is>
      </c>
      <c r="C36" s="160" t="inlineStr">
        <is>
          <t>05/02</t>
        </is>
      </c>
      <c r="D36" s="68" t="inlineStr">
        <is>
          <t>N 05/02 → M 06/02: 0h de descanso (soma 18h)</t>
        </is>
      </c>
      <c r="E36" s="113" t="inlineStr">
        <is>
          <t>art. 66 CLT — 11h</t>
        </is>
      </c>
      <c r="F36" s="163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13" t="inlineStr">
        <is>
          <t>30h</t>
        </is>
      </c>
      <c r="C37" s="160" t="inlineStr">
        <is>
          <t>06/02</t>
        </is>
      </c>
      <c r="D37" s="68" t="inlineStr">
        <is>
          <t>semana de 06/02: 6 turnos, maior folga 18h (mínimo 24h)</t>
        </is>
      </c>
      <c r="E37" s="113" t="inlineStr">
        <is>
          <t>art. 67 CLT — 24h consecutivas/semana</t>
        </is>
      </c>
      <c r="F37" s="163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13" t="inlineStr">
        <is>
          <t>30h</t>
        </is>
      </c>
      <c r="C38" s="160" t="inlineStr">
        <is>
          <t>07/02</t>
        </is>
      </c>
      <c r="D38" s="68" t="inlineStr">
        <is>
          <t>N 07/02 → M 08/02: 0h de descanso (soma 18h)</t>
        </is>
      </c>
      <c r="E38" s="113" t="inlineStr">
        <is>
          <t>art. 66 CLT — 11h</t>
        </is>
      </c>
      <c r="F38" s="163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13" t="inlineStr">
        <is>
          <t>36h</t>
        </is>
      </c>
      <c r="C39" s="160" t="inlineStr">
        <is>
          <t>08/02</t>
        </is>
      </c>
      <c r="D39" s="68" t="inlineStr">
        <is>
          <t>N 08/02 → M 09/02: 0h de descanso (soma 18h)</t>
        </is>
      </c>
      <c r="E39" s="113" t="inlineStr">
        <is>
          <t>art. 66 CLT — 11h</t>
        </is>
      </c>
      <c r="F39" s="163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13" t="inlineStr">
        <is>
          <t>36h</t>
        </is>
      </c>
      <c r="C40" s="160" t="inlineStr">
        <is>
          <t>12/02</t>
        </is>
      </c>
      <c r="D40" s="68" t="inlineStr">
        <is>
          <t>N 12/02 → M 13/02: 0h de descanso (soma 18h)</t>
        </is>
      </c>
      <c r="E40" s="113" t="inlineStr">
        <is>
          <t>art. 66 CLT — 11h</t>
        </is>
      </c>
      <c r="F40" s="163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13" t="inlineStr">
        <is>
          <t>chefia</t>
        </is>
      </c>
      <c r="C41" s="160" t="inlineStr">
        <is>
          <t>14/02</t>
        </is>
      </c>
      <c r="D41" s="68" t="inlineStr">
        <is>
          <t>N 14/02 → M 15/02: 0h de descanso (soma 18h)</t>
        </is>
      </c>
      <c r="E41" s="113" t="inlineStr">
        <is>
          <t>art. 66 CLT — 11h</t>
        </is>
      </c>
      <c r="F41" s="163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13" t="inlineStr">
        <is>
          <t>24h</t>
        </is>
      </c>
      <c r="C42" s="160" t="inlineStr">
        <is>
          <t>15/02</t>
        </is>
      </c>
      <c r="D42" s="68" t="inlineStr">
        <is>
          <t>N 15/02 → M 16/02: 0h de descanso (soma 18h)</t>
        </is>
      </c>
      <c r="E42" s="113" t="inlineStr">
        <is>
          <t>art. 66 CLT — 11h</t>
        </is>
      </c>
      <c r="F42" s="163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13" t="inlineStr">
        <is>
          <t>36h</t>
        </is>
      </c>
      <c r="C43" s="160" t="inlineStr">
        <is>
          <t>17/02</t>
        </is>
      </c>
      <c r="D43" s="68" t="inlineStr">
        <is>
          <t>N 17/02 → M 18/02: 0h de descanso (soma 18h)</t>
        </is>
      </c>
      <c r="E43" s="113" t="inlineStr">
        <is>
          <t>art. 66 CLT — 11h</t>
        </is>
      </c>
      <c r="F43" s="163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13" t="inlineStr">
        <is>
          <t>36h</t>
        </is>
      </c>
      <c r="C44" s="160" t="inlineStr">
        <is>
          <t>19/02</t>
        </is>
      </c>
      <c r="D44" s="68" t="inlineStr">
        <is>
          <t>N 19/02 → M 20/02: 0h de descanso (soma 18h)</t>
        </is>
      </c>
      <c r="E44" s="113" t="inlineStr">
        <is>
          <t>art. 66 CLT — 11h</t>
        </is>
      </c>
      <c r="F44" s="163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13" t="inlineStr">
        <is>
          <t>chefia</t>
        </is>
      </c>
      <c r="C45" s="160" t="inlineStr">
        <is>
          <t>22/02</t>
        </is>
      </c>
      <c r="D45" s="68" t="inlineStr">
        <is>
          <t>N 22/02 → M 23/02: 0h de descanso (soma 18h)</t>
        </is>
      </c>
      <c r="E45" s="113" t="inlineStr">
        <is>
          <t>art. 66 CLT — 11h</t>
        </is>
      </c>
      <c r="F45" s="163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13" t="inlineStr">
        <is>
          <t>36h</t>
        </is>
      </c>
      <c r="C46" s="160" t="inlineStr">
        <is>
          <t>24/02</t>
        </is>
      </c>
      <c r="D46" s="68" t="inlineStr">
        <is>
          <t>N 24/02 → M 25/02: 0h de descanso (soma 18h)</t>
        </is>
      </c>
      <c r="E46" s="113" t="inlineStr">
        <is>
          <t>art. 66 CLT — 11h</t>
        </is>
      </c>
      <c r="F46" s="163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13" t="inlineStr">
        <is>
          <t>24h</t>
        </is>
      </c>
      <c r="C47" s="160" t="inlineStr">
        <is>
          <t>24/02</t>
        </is>
      </c>
      <c r="D47" s="68" t="inlineStr">
        <is>
          <t>N 24/02 → M 25/02: 0h de descanso (soma 18h)</t>
        </is>
      </c>
      <c r="E47" s="113" t="inlineStr">
        <is>
          <t>art. 66 CLT — 11h</t>
        </is>
      </c>
      <c r="F47" s="163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13" t="inlineStr">
        <is>
          <t>administrativo</t>
        </is>
      </c>
      <c r="C48" s="160" t="inlineStr">
        <is>
          <t>26/02</t>
        </is>
      </c>
      <c r="D48" s="68" t="inlineStr">
        <is>
          <t>N 26/02 → M 27/02: 0h de descanso (soma 18h)</t>
        </is>
      </c>
      <c r="E48" s="113" t="inlineStr">
        <is>
          <t>art. 66 CLT — 11h</t>
        </is>
      </c>
      <c r="F48" s="163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13" t="inlineStr">
        <is>
          <t>24h</t>
        </is>
      </c>
      <c r="C49" s="160" t="inlineStr">
        <is>
          <t>28/02</t>
        </is>
      </c>
      <c r="D49" s="68" t="inlineStr">
        <is>
          <t>N 28/02 → M 01/03: 0h de descanso (soma 18h)</t>
        </is>
      </c>
      <c r="E49" s="113" t="inlineStr">
        <is>
          <t>art. 66 CLT — 11h</t>
        </is>
      </c>
      <c r="F49" s="163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13" t="inlineStr">
        <is>
          <t>chefia</t>
        </is>
      </c>
      <c r="C50" s="160" t="inlineStr">
        <is>
          <t>01/03</t>
        </is>
      </c>
      <c r="D50" s="68" t="inlineStr">
        <is>
          <t>N 01/03 → M 02/03: 0h de descanso (soma 18h)</t>
        </is>
      </c>
      <c r="E50" s="113" t="inlineStr">
        <is>
          <t>art. 66 CLT — 11h</t>
        </is>
      </c>
      <c r="F50" s="163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13" t="inlineStr">
        <is>
          <t>36h</t>
        </is>
      </c>
      <c r="C51" s="160" t="inlineStr">
        <is>
          <t>02/03</t>
        </is>
      </c>
      <c r="D51" s="68" t="inlineStr">
        <is>
          <t>N 02/03 → E 03/03: 1h de descanso (soma 16h)</t>
        </is>
      </c>
      <c r="E51" s="113" t="inlineStr">
        <is>
          <t>art. 66 CLT — 11h</t>
        </is>
      </c>
      <c r="F51" s="163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13" t="inlineStr">
        <is>
          <t>24h</t>
        </is>
      </c>
      <c r="C52" s="160" t="inlineStr">
        <is>
          <t>03/03</t>
        </is>
      </c>
      <c r="D52" s="68" t="inlineStr">
        <is>
          <t>N 03/03 → M 04/03: 0h de descanso (soma 18h)</t>
        </is>
      </c>
      <c r="E52" s="113" t="inlineStr">
        <is>
          <t>art. 66 CLT — 11h</t>
        </is>
      </c>
      <c r="F52" s="163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13" t="inlineStr">
        <is>
          <t>36h</t>
        </is>
      </c>
      <c r="C53" s="160" t="inlineStr">
        <is>
          <t>09/03</t>
        </is>
      </c>
      <c r="D53" s="68" t="inlineStr">
        <is>
          <t>N 09/03 → M 10/03: 0h de descanso (soma 18h)</t>
        </is>
      </c>
      <c r="E53" s="113" t="inlineStr">
        <is>
          <t>art. 66 CLT — 11h</t>
        </is>
      </c>
      <c r="F53" s="163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13" t="inlineStr">
        <is>
          <t>administrativo</t>
        </is>
      </c>
      <c r="C54" s="160" t="inlineStr">
        <is>
          <t>12/03</t>
        </is>
      </c>
      <c r="D54" s="68" t="inlineStr">
        <is>
          <t>N 12/03 → M 13/03: 0h de descanso (soma 18h)</t>
        </is>
      </c>
      <c r="E54" s="113" t="inlineStr">
        <is>
          <t>art. 66 CLT — 11h</t>
        </is>
      </c>
      <c r="F54" s="163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13" t="inlineStr">
        <is>
          <t>36h</t>
        </is>
      </c>
      <c r="C55" s="160" t="inlineStr">
        <is>
          <t>15/03</t>
        </is>
      </c>
      <c r="D55" s="68" t="inlineStr">
        <is>
          <t>N 15/03 → C 16/03: 1h de descanso (soma 23h)</t>
        </is>
      </c>
      <c r="E55" s="113" t="inlineStr">
        <is>
          <t>art. 66 CLT — 11h</t>
        </is>
      </c>
      <c r="F55" s="163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13" t="inlineStr">
        <is>
          <t>36h</t>
        </is>
      </c>
      <c r="C56" s="160" t="inlineStr">
        <is>
          <t>15/03</t>
        </is>
      </c>
      <c r="D56" s="68" t="inlineStr">
        <is>
          <t>N 15/03 → M 16/03: 0h de descanso (soma 18h)</t>
        </is>
      </c>
      <c r="E56" s="113" t="inlineStr">
        <is>
          <t>art. 66 CLT — 11h</t>
        </is>
      </c>
      <c r="F56" s="163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13" t="inlineStr">
        <is>
          <t>36h</t>
        </is>
      </c>
      <c r="C57" s="160" t="inlineStr">
        <is>
          <t>17/03</t>
        </is>
      </c>
      <c r="D57" s="68" t="inlineStr">
        <is>
          <t>N 17/03 → M 18/03: 0h de descanso (soma 18h)</t>
        </is>
      </c>
      <c r="E57" s="113" t="inlineStr">
        <is>
          <t>art. 66 CLT — 11h</t>
        </is>
      </c>
      <c r="F57" s="163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13" t="inlineStr">
        <is>
          <t>36h</t>
        </is>
      </c>
      <c r="C58" s="160" t="inlineStr">
        <is>
          <t>24/03</t>
        </is>
      </c>
      <c r="D58" s="68" t="inlineStr">
        <is>
          <t>N 24/03 → M 25/03: 0h de descanso (soma 18h)</t>
        </is>
      </c>
      <c r="E58" s="113" t="inlineStr">
        <is>
          <t>art. 66 CLT — 11h</t>
        </is>
      </c>
      <c r="F58" s="163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13" t="inlineStr">
        <is>
          <t>administrativo</t>
        </is>
      </c>
      <c r="C59" s="160" t="inlineStr">
        <is>
          <t>26/03</t>
        </is>
      </c>
      <c r="D59" s="68" t="inlineStr">
        <is>
          <t>N 26/03 → M 27/03: 0h de descanso (soma 18h)</t>
        </is>
      </c>
      <c r="E59" s="113" t="inlineStr">
        <is>
          <t>art. 66 CLT — 11h</t>
        </is>
      </c>
      <c r="F59" s="163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13" t="inlineStr">
        <is>
          <t>30h</t>
        </is>
      </c>
      <c r="C60" s="160" t="inlineStr">
        <is>
          <t>28/03</t>
        </is>
      </c>
      <c r="D60" s="68" t="inlineStr">
        <is>
          <t>N 28/03 → M 29/03: 0h de descanso (soma 18h)</t>
        </is>
      </c>
      <c r="E60" s="113" t="inlineStr">
        <is>
          <t>art. 66 CLT — 11h</t>
        </is>
      </c>
      <c r="F60" s="163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13" t="inlineStr">
        <is>
          <t>chefia</t>
        </is>
      </c>
      <c r="C61" s="160" t="inlineStr">
        <is>
          <t>29/03</t>
        </is>
      </c>
      <c r="D61" s="68" t="inlineStr">
        <is>
          <t>N 29/03 → M 30/03: 0h de descanso (soma 18h)</t>
        </is>
      </c>
      <c r="E61" s="113" t="inlineStr">
        <is>
          <t>art. 66 CLT — 11h</t>
        </is>
      </c>
      <c r="F61" s="163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13" t="inlineStr">
        <is>
          <t>36h</t>
        </is>
      </c>
      <c r="C62" s="160" t="inlineStr">
        <is>
          <t>03/04</t>
        </is>
      </c>
      <c r="D62" s="68" t="inlineStr">
        <is>
          <t>N 03/04 → M 04/04: 0h de descanso (soma 18h)</t>
        </is>
      </c>
      <c r="E62" s="113" t="inlineStr">
        <is>
          <t>art. 66 CLT — 11h</t>
        </is>
      </c>
      <c r="F62" s="163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13" t="inlineStr">
        <is>
          <t>36h</t>
        </is>
      </c>
      <c r="C63" s="160" t="inlineStr">
        <is>
          <t>05/04</t>
        </is>
      </c>
      <c r="D63" s="68" t="inlineStr">
        <is>
          <t>N 05/04 → M 06/04: 0h de descanso (soma 18h)</t>
        </is>
      </c>
      <c r="E63" s="113" t="inlineStr">
        <is>
          <t>art. 66 CLT — 11h</t>
        </is>
      </c>
      <c r="F63" s="163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13" t="inlineStr">
        <is>
          <t>rotina</t>
        </is>
      </c>
      <c r="C64" s="160" t="inlineStr">
        <is>
          <t>05/04</t>
        </is>
      </c>
      <c r="D64" s="68" t="inlineStr">
        <is>
          <t>N 05/04 → M 06/04: 0h de descanso (soma 18h)</t>
        </is>
      </c>
      <c r="E64" s="113" t="inlineStr">
        <is>
          <t>art. 66 CLT — 11h</t>
        </is>
      </c>
      <c r="F64" s="163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13" t="inlineStr">
        <is>
          <t>36h</t>
        </is>
      </c>
      <c r="C65" s="160" t="inlineStr">
        <is>
          <t>05/04</t>
        </is>
      </c>
      <c r="D65" s="68" t="inlineStr">
        <is>
          <t>N 05/04 → M 06/04: 0h de descanso (soma 18h)</t>
        </is>
      </c>
      <c r="E65" s="113" t="inlineStr">
        <is>
          <t>art. 66 CLT — 11h</t>
        </is>
      </c>
      <c r="F65" s="163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13" t="inlineStr">
        <is>
          <t>36h</t>
        </is>
      </c>
      <c r="C66" s="160" t="inlineStr">
        <is>
          <t>06/04</t>
        </is>
      </c>
      <c r="D66" s="68" t="inlineStr">
        <is>
          <t>N 06/04 → E 07/04: 1h de descanso (soma 16h)</t>
        </is>
      </c>
      <c r="E66" s="113" t="inlineStr">
        <is>
          <t>art. 66 CLT — 11h</t>
        </is>
      </c>
      <c r="F66" s="163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13" t="inlineStr">
        <is>
          <t>24h</t>
        </is>
      </c>
      <c r="C67" s="160" t="inlineStr">
        <is>
          <t>11/04</t>
        </is>
      </c>
      <c r="D67" s="68" t="inlineStr">
        <is>
          <t>N 11/04 → M 12/04: 0h de descanso (soma 18h)</t>
        </is>
      </c>
      <c r="E67" s="113" t="inlineStr">
        <is>
          <t>art. 66 CLT — 11h</t>
        </is>
      </c>
      <c r="F67" s="163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13" t="inlineStr">
        <is>
          <t>36h</t>
        </is>
      </c>
      <c r="C68" s="160" t="inlineStr">
        <is>
          <t>12/04</t>
        </is>
      </c>
      <c r="D68" s="68" t="inlineStr">
        <is>
          <t>N 12/04 → M 13/04: 0h de descanso (soma 18h)</t>
        </is>
      </c>
      <c r="E68" s="113" t="inlineStr">
        <is>
          <t>art. 66 CLT — 11h</t>
        </is>
      </c>
      <c r="F68" s="163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13" t="inlineStr">
        <is>
          <t>36h</t>
        </is>
      </c>
      <c r="C69" s="160" t="inlineStr">
        <is>
          <t>13/04</t>
        </is>
      </c>
      <c r="D69" s="68" t="inlineStr">
        <is>
          <t>N 13/04 → E 14/04: 1h de descanso (soma 16h)</t>
        </is>
      </c>
      <c r="E69" s="113" t="inlineStr">
        <is>
          <t>art. 66 CLT — 11h</t>
        </is>
      </c>
      <c r="F69" s="163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13" t="inlineStr">
        <is>
          <t>24h</t>
        </is>
      </c>
      <c r="C70" s="160" t="inlineStr">
        <is>
          <t>19/04</t>
        </is>
      </c>
      <c r="D70" s="68" t="inlineStr">
        <is>
          <t>N 19/04 → M 20/04: 0h de descanso (soma 18h)</t>
        </is>
      </c>
      <c r="E70" s="113" t="inlineStr">
        <is>
          <t>art. 66 CLT — 11h</t>
        </is>
      </c>
      <c r="F70" s="163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13" t="inlineStr">
        <is>
          <t>chefia</t>
        </is>
      </c>
      <c r="C71" s="160" t="inlineStr">
        <is>
          <t>19/04</t>
        </is>
      </c>
      <c r="D71" s="68" t="inlineStr">
        <is>
          <t>N 19/04 → M 20/04: 0h de descanso (soma 18h)</t>
        </is>
      </c>
      <c r="E71" s="113" t="inlineStr">
        <is>
          <t>art. 66 CLT — 11h</t>
        </is>
      </c>
      <c r="F71" s="163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13" t="inlineStr">
        <is>
          <t>24h</t>
        </is>
      </c>
      <c r="C72" s="160" t="inlineStr">
        <is>
          <t>21/04</t>
        </is>
      </c>
      <c r="D72" s="68" t="inlineStr">
        <is>
          <t>N 21/04 → M 22/04: 0h de descanso (soma 18h)</t>
        </is>
      </c>
      <c r="E72" s="113" t="inlineStr">
        <is>
          <t>art. 66 CLT — 11h</t>
        </is>
      </c>
      <c r="F72" s="163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13" t="inlineStr">
        <is>
          <t>36h</t>
        </is>
      </c>
      <c r="C73" s="160" t="inlineStr">
        <is>
          <t>26/04</t>
        </is>
      </c>
      <c r="D73" s="68" t="inlineStr">
        <is>
          <t>N 26/04 → M 27/04: 0h de descanso (soma 18h)</t>
        </is>
      </c>
      <c r="E73" s="113" t="inlineStr">
        <is>
          <t>art. 66 CLT — 11h</t>
        </is>
      </c>
      <c r="F73" s="163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13" t="inlineStr">
        <is>
          <t>36h</t>
        </is>
      </c>
      <c r="C74" s="160" t="inlineStr">
        <is>
          <t>27/04</t>
        </is>
      </c>
      <c r="D74" s="68" t="inlineStr">
        <is>
          <t>N 27/04 → M 28/04: 0h de descanso (soma 18h)</t>
        </is>
      </c>
      <c r="E74" s="113" t="inlineStr">
        <is>
          <t>art. 66 CLT — 11h</t>
        </is>
      </c>
      <c r="F74" s="163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13" t="inlineStr">
        <is>
          <t>24h</t>
        </is>
      </c>
      <c r="C75" s="160" t="inlineStr">
        <is>
          <t>28/04</t>
        </is>
      </c>
      <c r="D75" s="68" t="inlineStr">
        <is>
          <t>N 28/04 → M 29/04: 0h de descanso (soma 18h)</t>
        </is>
      </c>
      <c r="E75" s="113" t="inlineStr">
        <is>
          <t>art. 66 CLT — 11h</t>
        </is>
      </c>
      <c r="F75" s="163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13" t="inlineStr">
        <is>
          <t>30h</t>
        </is>
      </c>
      <c r="C76" s="160" t="inlineStr">
        <is>
          <t>30/04</t>
        </is>
      </c>
      <c r="D76" s="68" t="inlineStr">
        <is>
          <t>N 30/04 → D 01/05: 0h de descanso (soma 24h)</t>
        </is>
      </c>
      <c r="E76" s="113" t="inlineStr">
        <is>
          <t>art. 66 CLT — 11h</t>
        </is>
      </c>
      <c r="F76" s="163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13" t="inlineStr">
        <is>
          <t>36h</t>
        </is>
      </c>
      <c r="C77" s="160" t="inlineStr">
        <is>
          <t>30/04</t>
        </is>
      </c>
      <c r="D77" s="68" t="inlineStr">
        <is>
          <t>N 30/04 → M 01/05: 0h de descanso (soma 18h)</t>
        </is>
      </c>
      <c r="E77" s="113" t="inlineStr">
        <is>
          <t>art. 66 CLT — 11h</t>
        </is>
      </c>
      <c r="F77" s="163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13" t="inlineStr">
        <is>
          <t>chefia</t>
        </is>
      </c>
      <c r="C78" s="160" t="inlineStr">
        <is>
          <t>24/05</t>
        </is>
      </c>
      <c r="D78" s="68" t="inlineStr">
        <is>
          <t>N 24/05 → M 25/05: 0h de descanso (soma 18h)</t>
        </is>
      </c>
      <c r="E78" s="113" t="inlineStr">
        <is>
          <t>art. 66 CLT — 11h</t>
        </is>
      </c>
      <c r="F78" s="163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13" t="inlineStr">
        <is>
          <t>30h</t>
        </is>
      </c>
      <c r="C79" s="160" t="inlineStr">
        <is>
          <t>24/05</t>
        </is>
      </c>
      <c r="D79" s="68" t="inlineStr">
        <is>
          <t>N 24/05 → M 25/05: 0h de descanso (soma 18h)</t>
        </is>
      </c>
      <c r="E79" s="113" t="inlineStr">
        <is>
          <t>art. 66 CLT — 11h</t>
        </is>
      </c>
      <c r="F79" s="163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13" t="inlineStr">
        <is>
          <t>36h</t>
        </is>
      </c>
      <c r="C80" s="160" t="inlineStr">
        <is>
          <t>25/05</t>
        </is>
      </c>
      <c r="D80" s="68" t="inlineStr">
        <is>
          <t>N 25/05 → M 26/05: 0h de descanso (soma 18h)</t>
        </is>
      </c>
      <c r="E80" s="113" t="inlineStr">
        <is>
          <t>art. 66 CLT — 11h</t>
        </is>
      </c>
      <c r="F80" s="163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13" t="inlineStr">
        <is>
          <t>24h</t>
        </is>
      </c>
      <c r="C81" s="160" t="inlineStr">
        <is>
          <t>02/06</t>
        </is>
      </c>
      <c r="D81" s="68" t="inlineStr">
        <is>
          <t>N 02/06 → D 03/06: 0h de descanso (soma 24h)</t>
        </is>
      </c>
      <c r="E81" s="113" t="inlineStr">
        <is>
          <t>art. 66 CLT — 11h</t>
        </is>
      </c>
      <c r="F81" s="163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13" t="inlineStr">
        <is>
          <t>30h</t>
        </is>
      </c>
      <c r="C82" s="160" t="inlineStr">
        <is>
          <t>14/06</t>
        </is>
      </c>
      <c r="D82" s="68" t="inlineStr">
        <is>
          <t>N 14/06 → M 15/06: 0h de descanso (soma 18h)</t>
        </is>
      </c>
      <c r="E82" s="113" t="inlineStr">
        <is>
          <t>art. 66 CLT — 11h</t>
        </is>
      </c>
      <c r="F82" s="163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13" t="inlineStr">
        <is>
          <t>24h</t>
        </is>
      </c>
      <c r="C83" s="160" t="inlineStr">
        <is>
          <t>05/07</t>
        </is>
      </c>
      <c r="D83" s="68" t="inlineStr">
        <is>
          <t>N 05/07 → M 06/07: 0h de descanso (soma 18h)</t>
        </is>
      </c>
      <c r="E83" s="113" t="inlineStr">
        <is>
          <t>art. 66 CLT — 11h</t>
        </is>
      </c>
      <c r="F83" s="163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13" t="inlineStr">
        <is>
          <t>36h</t>
        </is>
      </c>
      <c r="C84" s="160" t="inlineStr">
        <is>
          <t>13/07</t>
        </is>
      </c>
      <c r="D84" s="68" t="inlineStr">
        <is>
          <t>N 13/07 → E 14/07: 1h de descanso (soma 16h)</t>
        </is>
      </c>
      <c r="E84" s="113" t="inlineStr">
        <is>
          <t>art. 66 CLT — 11h</t>
        </is>
      </c>
      <c r="F84" s="163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13" t="inlineStr">
        <is>
          <t>chefia</t>
        </is>
      </c>
      <c r="C85" s="160" t="inlineStr">
        <is>
          <t>19/07</t>
        </is>
      </c>
      <c r="D85" s="68" t="inlineStr">
        <is>
          <t>N 19/07 → M 20/07: 0h de descanso (soma 18h)</t>
        </is>
      </c>
      <c r="E85" s="113" t="inlineStr">
        <is>
          <t>art. 66 CLT — 11h</t>
        </is>
      </c>
      <c r="F85" s="163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13" t="inlineStr">
        <is>
          <t>36h</t>
        </is>
      </c>
      <c r="C86" s="160" t="inlineStr">
        <is>
          <t>27/07</t>
        </is>
      </c>
      <c r="D86" s="68" t="inlineStr">
        <is>
          <t>N 27/07 → E 28/07: 1h de descanso (soma 16h)</t>
        </is>
      </c>
      <c r="E86" s="113" t="inlineStr">
        <is>
          <t>art. 66 CLT — 11h</t>
        </is>
      </c>
      <c r="F86" s="163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13" t="inlineStr">
        <is>
          <t>chefia</t>
        </is>
      </c>
      <c r="C87" s="160" t="inlineStr">
        <is>
          <t>02/08</t>
        </is>
      </c>
      <c r="D87" s="68" t="inlineStr">
        <is>
          <t>N 02/08 → M 03/08: 0h de descanso (soma 18h)</t>
        </is>
      </c>
      <c r="E87" s="113" t="inlineStr">
        <is>
          <t>art. 66 CLT — 11h</t>
        </is>
      </c>
      <c r="F87" s="163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13" t="inlineStr">
        <is>
          <t>36h</t>
        </is>
      </c>
      <c r="C88" s="160" t="inlineStr">
        <is>
          <t>10/08</t>
        </is>
      </c>
      <c r="D88" s="68" t="inlineStr">
        <is>
          <t>N 10/08 → E 11/08: 1h de descanso (soma 16h)</t>
        </is>
      </c>
      <c r="E88" s="113" t="inlineStr">
        <is>
          <t>art. 66 CLT — 11h</t>
        </is>
      </c>
      <c r="F88" s="163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13" t="inlineStr">
        <is>
          <t>36h</t>
        </is>
      </c>
      <c r="C89" s="160" t="inlineStr">
        <is>
          <t>24/08</t>
        </is>
      </c>
      <c r="D89" s="68" t="inlineStr">
        <is>
          <t>N 24/08 → E 25/08: 1h de descanso (soma 16h)</t>
        </is>
      </c>
      <c r="E89" s="113" t="inlineStr">
        <is>
          <t>art. 66 CLT — 11h</t>
        </is>
      </c>
      <c r="F89" s="163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13" t="inlineStr">
        <is>
          <t>chefia</t>
        </is>
      </c>
      <c r="C90" s="160" t="inlineStr">
        <is>
          <t>13/09</t>
        </is>
      </c>
      <c r="D90" s="68" t="inlineStr">
        <is>
          <t>N 13/09 → M 14/09: 0h de descanso (soma 18h)</t>
        </is>
      </c>
      <c r="E90" s="113" t="inlineStr">
        <is>
          <t>art. 66 CLT — 11h</t>
        </is>
      </c>
      <c r="F90" s="163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13" t="inlineStr">
        <is>
          <t>30h</t>
        </is>
      </c>
      <c r="C91" s="160" t="inlineStr">
        <is>
          <t>15/09</t>
        </is>
      </c>
      <c r="D91" s="68" t="inlineStr">
        <is>
          <t>N 15/09 → M 16/09: 0h de descanso (soma 18h)</t>
        </is>
      </c>
      <c r="E91" s="113" t="inlineStr">
        <is>
          <t>art. 66 CLT — 11h</t>
        </is>
      </c>
      <c r="F91" s="163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LuAlice</t>
        </is>
      </c>
      <c r="B92" s="113" t="inlineStr">
        <is>
          <t>36h</t>
        </is>
      </c>
      <c r="C92" s="160" t="inlineStr">
        <is>
          <t>01/10</t>
        </is>
      </c>
      <c r="D92" s="68" t="inlineStr">
        <is>
          <t>N 01/10 → D 02/10: 0h de descanso (soma 24h)</t>
        </is>
      </c>
      <c r="E92" s="113" t="inlineStr">
        <is>
          <t>art. 66 CLT — 11h</t>
        </is>
      </c>
      <c r="F92" s="163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MSalomão</t>
        </is>
      </c>
      <c r="B93" s="113" t="inlineStr">
        <is>
          <t>chefia</t>
        </is>
      </c>
      <c r="C93" s="160" t="inlineStr">
        <is>
          <t>04/10</t>
        </is>
      </c>
      <c r="D93" s="68" t="inlineStr">
        <is>
          <t>N 04/10 → M 05/10: 0h de descanso (soma 18h)</t>
        </is>
      </c>
      <c r="E93" s="113" t="inlineStr">
        <is>
          <t>art. 66 CLT — 11h</t>
        </is>
      </c>
      <c r="F93" s="163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Aline</t>
        </is>
      </c>
      <c r="B94" s="113" t="inlineStr">
        <is>
          <t>36h</t>
        </is>
      </c>
      <c r="C94" s="160" t="inlineStr">
        <is>
          <t>05/10</t>
        </is>
      </c>
      <c r="D94" s="68" t="inlineStr">
        <is>
          <t>N 05/10 → E 06/10: 1h de descanso (soma 16h)</t>
        </is>
      </c>
      <c r="E94" s="113" t="inlineStr">
        <is>
          <t>art. 66 CLT — 11h</t>
        </is>
      </c>
      <c r="F94" s="163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81" t="inlineStr">
        <is>
          <t>Aline</t>
        </is>
      </c>
      <c r="B95" s="113" t="inlineStr">
        <is>
          <t>36h</t>
        </is>
      </c>
      <c r="C95" s="160" t="inlineStr">
        <is>
          <t>12/10</t>
        </is>
      </c>
      <c r="D95" s="68" t="inlineStr">
        <is>
          <t>N 12/10 → E 13/10: 1h de descanso (soma 16h)</t>
        </is>
      </c>
      <c r="E95" s="113" t="inlineStr">
        <is>
          <t>art. 66 CLT — 11h</t>
        </is>
      </c>
      <c r="F95" s="163" t="inlineStr">
        <is>
          <t>ALERTA</t>
        </is>
      </c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81" t="inlineStr">
        <is>
          <t>MSalomão</t>
        </is>
      </c>
      <c r="B96" s="113" t="inlineStr">
        <is>
          <t>chefia</t>
        </is>
      </c>
      <c r="C96" s="160" t="inlineStr">
        <is>
          <t>18/10</t>
        </is>
      </c>
      <c r="D96" s="68" t="inlineStr">
        <is>
          <t>N 18/10 → M 19/10: 0h de descanso (soma 18h)</t>
        </is>
      </c>
      <c r="E96" s="113" t="inlineStr">
        <is>
          <t>art. 66 CLT — 11h</t>
        </is>
      </c>
      <c r="F96" s="163" t="inlineStr">
        <is>
          <t>ALERTA</t>
        </is>
      </c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81" t="inlineStr">
        <is>
          <t>Moabe</t>
        </is>
      </c>
      <c r="B97" s="113" t="inlineStr">
        <is>
          <t>24h</t>
        </is>
      </c>
      <c r="C97" s="160" t="inlineStr">
        <is>
          <t>18/10</t>
        </is>
      </c>
      <c r="D97" s="68" t="inlineStr">
        <is>
          <t>N 18/10 → D 19/10: 0h de descanso (soma 24h)</t>
        </is>
      </c>
      <c r="E97" s="113" t="inlineStr">
        <is>
          <t>art. 66 CLT — 11h</t>
        </is>
      </c>
      <c r="F97" s="163" t="inlineStr">
        <is>
          <t>ALERTA</t>
        </is>
      </c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64" t="inlineStr">
        <is>
          <t>REGISTRO — prática estabelecida do serviço (139)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 ht="28" customHeight="1">
      <c r="A101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159" t="inlineStr">
        <is>
          <t>Médico</t>
        </is>
      </c>
      <c r="B103" s="159" t="inlineStr">
        <is>
          <t>Grupo</t>
        </is>
      </c>
      <c r="C103" s="159" t="inlineStr">
        <is>
          <t>Quando</t>
        </is>
      </c>
      <c r="D103" s="159" t="inlineStr">
        <is>
          <t>O que acontece</t>
        </is>
      </c>
      <c r="E103" s="159" t="inlineStr">
        <is>
          <t>Base</t>
        </is>
      </c>
      <c r="F103" s="159" t="inlineStr">
        <is>
          <t>Tratamento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João</t>
        </is>
      </c>
      <c r="B104" s="113" t="inlineStr">
        <is>
          <t>30h</t>
        </is>
      </c>
      <c r="C104" s="160" t="inlineStr">
        <is>
          <t>06/01</t>
        </is>
      </c>
      <c r="D104" s="68" t="inlineStr">
        <is>
          <t>N 06/01 → T 07/01: 6h de descanso (soma 18h)</t>
        </is>
      </c>
      <c r="E104" s="113" t="inlineStr">
        <is>
          <t>art. 66 CLT — 11h</t>
        </is>
      </c>
      <c r="F104" s="165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Roberta</t>
        </is>
      </c>
      <c r="B105" s="113" t="inlineStr">
        <is>
          <t>36h</t>
        </is>
      </c>
      <c r="C105" s="160" t="inlineStr">
        <is>
          <t>06/01</t>
        </is>
      </c>
      <c r="D105" s="68" t="inlineStr">
        <is>
          <t>N 06/01 → T 07/01: 6h de descanso (soma 18h)</t>
        </is>
      </c>
      <c r="E105" s="113" t="inlineStr">
        <is>
          <t>art. 66 CLT — 11h</t>
        </is>
      </c>
      <c r="F105" s="165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Isabella</t>
        </is>
      </c>
      <c r="B106" s="113" t="inlineStr">
        <is>
          <t>36h</t>
        </is>
      </c>
      <c r="C106" s="160" t="inlineStr">
        <is>
          <t>11/01</t>
        </is>
      </c>
      <c r="D106" s="68" t="inlineStr">
        <is>
          <t>N 11/01 → T 12/01: 6h de descanso (soma 18h)</t>
        </is>
      </c>
      <c r="E106" s="113" t="inlineStr">
        <is>
          <t>art. 66 CLT — 11h</t>
        </is>
      </c>
      <c r="F106" s="165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Amanda</t>
        </is>
      </c>
      <c r="B107" s="113" t="inlineStr">
        <is>
          <t>30h</t>
        </is>
      </c>
      <c r="C107" s="160" t="inlineStr">
        <is>
          <t>12/01</t>
        </is>
      </c>
      <c r="D107" s="68" t="inlineStr">
        <is>
          <t>N 12/01 → T 13/01: 6h de descanso (soma 18h)</t>
        </is>
      </c>
      <c r="E107" s="113" t="inlineStr">
        <is>
          <t>art. 66 CLT — 11h</t>
        </is>
      </c>
      <c r="F107" s="165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Raphael</t>
        </is>
      </c>
      <c r="B108" s="113" t="inlineStr">
        <is>
          <t>24h</t>
        </is>
      </c>
      <c r="C108" s="160" t="inlineStr">
        <is>
          <t>12/01</t>
        </is>
      </c>
      <c r="D108" s="68" t="inlineStr">
        <is>
          <t>N 12/01 → T 13/01: 6h de descanso (soma 18h)</t>
        </is>
      </c>
      <c r="E108" s="113" t="inlineStr">
        <is>
          <t>art. 66 CLT — 11h</t>
        </is>
      </c>
      <c r="F108" s="165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Raphael</t>
        </is>
      </c>
      <c r="B109" s="113" t="inlineStr">
        <is>
          <t>24h</t>
        </is>
      </c>
      <c r="C109" s="160" t="inlineStr">
        <is>
          <t>14/01</t>
        </is>
      </c>
      <c r="D109" s="68" t="inlineStr">
        <is>
          <t>N 14/01 → T 15/01: 6h de descanso (soma 18h)</t>
        </is>
      </c>
      <c r="E109" s="113" t="inlineStr">
        <is>
          <t>art. 66 CLT — 11h</t>
        </is>
      </c>
      <c r="F109" s="165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13" t="inlineStr">
        <is>
          <t>chefia</t>
        </is>
      </c>
      <c r="C110" s="160" t="inlineStr">
        <is>
          <t>15/01</t>
        </is>
      </c>
      <c r="D110" s="68" t="inlineStr">
        <is>
          <t>N 15/01 → T 16/01: 6h de descanso (soma 18h)</t>
        </is>
      </c>
      <c r="E110" s="113" t="inlineStr">
        <is>
          <t>art. 66 CLT — 11h</t>
        </is>
      </c>
      <c r="F110" s="165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João</t>
        </is>
      </c>
      <c r="B111" s="113" t="inlineStr">
        <is>
          <t>30h</t>
        </is>
      </c>
      <c r="C111" s="160" t="inlineStr">
        <is>
          <t>20/01</t>
        </is>
      </c>
      <c r="D111" s="68" t="inlineStr">
        <is>
          <t>N 20/01 → T 21/01: 6h de descanso (soma 18h)</t>
        </is>
      </c>
      <c r="E111" s="113" t="inlineStr">
        <is>
          <t>art. 66 CLT — 11h</t>
        </is>
      </c>
      <c r="F111" s="165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Pedro</t>
        </is>
      </c>
      <c r="B112" s="113" t="inlineStr">
        <is>
          <t>24h</t>
        </is>
      </c>
      <c r="C112" s="160" t="inlineStr">
        <is>
          <t>21/01</t>
        </is>
      </c>
      <c r="D112" s="68" t="inlineStr">
        <is>
          <t>N 21/01 → T 22/01: 6h de descanso (soma 18h)</t>
        </is>
      </c>
      <c r="E112" s="113" t="inlineStr">
        <is>
          <t>art. 66 CLT — 11h</t>
        </is>
      </c>
      <c r="F112" s="165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Amelio</t>
        </is>
      </c>
      <c r="B113" s="113" t="inlineStr">
        <is>
          <t>chefia</t>
        </is>
      </c>
      <c r="C113" s="160" t="inlineStr">
        <is>
          <t>24/01</t>
        </is>
      </c>
      <c r="D113" s="68" t="inlineStr">
        <is>
          <t>N 24/01 → T 25/01: 6h de descanso (soma 18h)</t>
        </is>
      </c>
      <c r="E113" s="113" t="inlineStr">
        <is>
          <t>art. 66 CLT — 11h</t>
        </is>
      </c>
      <c r="F113" s="165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Aline</t>
        </is>
      </c>
      <c r="B114" s="113" t="inlineStr">
        <is>
          <t>36h</t>
        </is>
      </c>
      <c r="C114" s="160" t="inlineStr">
        <is>
          <t>27/01</t>
        </is>
      </c>
      <c r="D114" s="68" t="inlineStr">
        <is>
          <t>N 27/01 → T 28/01: 6h de descanso (soma 18h)</t>
        </is>
      </c>
      <c r="E114" s="113" t="inlineStr">
        <is>
          <t>art. 66 CLT — 11h</t>
        </is>
      </c>
      <c r="F114" s="165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João</t>
        </is>
      </c>
      <c r="B115" s="113" t="inlineStr">
        <is>
          <t>30h</t>
        </is>
      </c>
      <c r="C115" s="160" t="inlineStr">
        <is>
          <t>27/01</t>
        </is>
      </c>
      <c r="D115" s="68" t="inlineStr">
        <is>
          <t>N 27/01 → T 28/01: 6h de descanso (soma 18h)</t>
        </is>
      </c>
      <c r="E115" s="113" t="inlineStr">
        <is>
          <t>art. 66 CLT — 11h</t>
        </is>
      </c>
      <c r="F115" s="165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Pedro</t>
        </is>
      </c>
      <c r="B116" s="113" t="inlineStr">
        <is>
          <t>24h</t>
        </is>
      </c>
      <c r="C116" s="160" t="inlineStr">
        <is>
          <t>28/01</t>
        </is>
      </c>
      <c r="D116" s="68" t="inlineStr">
        <is>
          <t>N 28/01 → T 29/01: 6h de descanso (soma 18h)</t>
        </is>
      </c>
      <c r="E116" s="113" t="inlineStr">
        <is>
          <t>art. 66 CLT — 11h</t>
        </is>
      </c>
      <c r="F116" s="165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Amelio</t>
        </is>
      </c>
      <c r="B117" s="113" t="inlineStr">
        <is>
          <t>chefia</t>
        </is>
      </c>
      <c r="C117" s="160" t="inlineStr">
        <is>
          <t>30/01</t>
        </is>
      </c>
      <c r="D117" s="68" t="inlineStr">
        <is>
          <t>N 30/01 → T 31/01: 6h de descanso (soma 18h)</t>
        </is>
      </c>
      <c r="E117" s="113" t="inlineStr">
        <is>
          <t>art. 66 CLT — 11h</t>
        </is>
      </c>
      <c r="F117" s="165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Raphael</t>
        </is>
      </c>
      <c r="B118" s="113" t="inlineStr">
        <is>
          <t>24h</t>
        </is>
      </c>
      <c r="C118" s="160" t="inlineStr">
        <is>
          <t>02/02</t>
        </is>
      </c>
      <c r="D118" s="68" t="inlineStr">
        <is>
          <t>N 02/02 → T 03/02: 6h de descanso (soma 18h)</t>
        </is>
      </c>
      <c r="E118" s="113" t="inlineStr">
        <is>
          <t>art. 66 CLT — 11h</t>
        </is>
      </c>
      <c r="F118" s="165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João</t>
        </is>
      </c>
      <c r="B119" s="113" t="inlineStr">
        <is>
          <t>30h</t>
        </is>
      </c>
      <c r="C119" s="160" t="inlineStr">
        <is>
          <t>03/02</t>
        </is>
      </c>
      <c r="D119" s="68" t="inlineStr">
        <is>
          <t>N 03/02 → T 04/02: 6h de descanso (soma 18h)</t>
        </is>
      </c>
      <c r="E119" s="113" t="inlineStr">
        <is>
          <t>art. 66 CLT — 11h</t>
        </is>
      </c>
      <c r="F119" s="165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Pedro</t>
        </is>
      </c>
      <c r="B120" s="113" t="inlineStr">
        <is>
          <t>24h</t>
        </is>
      </c>
      <c r="C120" s="160" t="inlineStr">
        <is>
          <t>04/02</t>
        </is>
      </c>
      <c r="D120" s="68" t="inlineStr">
        <is>
          <t>N 04/02 → T 05/02: 6h de descanso (soma 18h)</t>
        </is>
      </c>
      <c r="E120" s="113" t="inlineStr">
        <is>
          <t>art. 66 CLT — 11h</t>
        </is>
      </c>
      <c r="F120" s="165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Isabella</t>
        </is>
      </c>
      <c r="B121" s="113" t="inlineStr">
        <is>
          <t>36h</t>
        </is>
      </c>
      <c r="C121" s="160" t="inlineStr">
        <is>
          <t>05/02</t>
        </is>
      </c>
      <c r="D121" s="68" t="inlineStr">
        <is>
          <t>N 05/02 → T 06/02: 6h de descanso (soma 18h)</t>
        </is>
      </c>
      <c r="E121" s="113" t="inlineStr">
        <is>
          <t>art. 66 CLT — 11h</t>
        </is>
      </c>
      <c r="F121" s="165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MPinheiro</t>
        </is>
      </c>
      <c r="B122" s="113" t="inlineStr">
        <is>
          <t>administrativo</t>
        </is>
      </c>
      <c r="C122" s="160" t="inlineStr">
        <is>
          <t>05/02</t>
        </is>
      </c>
      <c r="D122" s="68" t="inlineStr">
        <is>
          <t>N 05/02 → T 06/02: 6h de descanso (soma 18h)</t>
        </is>
      </c>
      <c r="E122" s="113" t="inlineStr">
        <is>
          <t>art. 66 CLT — 11h</t>
        </is>
      </c>
      <c r="F122" s="165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Aline</t>
        </is>
      </c>
      <c r="B123" s="113" t="inlineStr">
        <is>
          <t>36h</t>
        </is>
      </c>
      <c r="C123" s="160" t="inlineStr">
        <is>
          <t>09/02</t>
        </is>
      </c>
      <c r="D123" s="68" t="inlineStr">
        <is>
          <t>N 09/02 → T 10/02: 6h de descanso (soma 18h)</t>
        </is>
      </c>
      <c r="E123" s="113" t="inlineStr">
        <is>
          <t>art. 66 CLT — 11h</t>
        </is>
      </c>
      <c r="F123" s="165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13" t="inlineStr">
        <is>
          <t>24h</t>
        </is>
      </c>
      <c r="C124" s="160" t="inlineStr">
        <is>
          <t>09/02</t>
        </is>
      </c>
      <c r="D124" s="68" t="inlineStr">
        <is>
          <t>N 09/02 → T 10/02: 6h de descanso (soma 18h)</t>
        </is>
      </c>
      <c r="E124" s="113" t="inlineStr">
        <is>
          <t>art. 66 CLT — 11h</t>
        </is>
      </c>
      <c r="F124" s="165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João</t>
        </is>
      </c>
      <c r="B125" s="113" t="inlineStr">
        <is>
          <t>30h</t>
        </is>
      </c>
      <c r="C125" s="160" t="inlineStr">
        <is>
          <t>10/02</t>
        </is>
      </c>
      <c r="D125" s="68" t="inlineStr">
        <is>
          <t>N 10/02 → T 11/02: 6h de descanso (soma 18h)</t>
        </is>
      </c>
      <c r="E125" s="113" t="inlineStr">
        <is>
          <t>art. 66 CLT — 11h</t>
        </is>
      </c>
      <c r="F125" s="165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Pedro</t>
        </is>
      </c>
      <c r="B126" s="113" t="inlineStr">
        <is>
          <t>24h</t>
        </is>
      </c>
      <c r="C126" s="160" t="inlineStr">
        <is>
          <t>11/02</t>
        </is>
      </c>
      <c r="D126" s="68" t="inlineStr">
        <is>
          <t>N 11/02 → T 12/02: 6h de descanso (soma 18h)</t>
        </is>
      </c>
      <c r="E126" s="113" t="inlineStr">
        <is>
          <t>art. 66 CLT — 11h</t>
        </is>
      </c>
      <c r="F126" s="165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13" t="inlineStr">
        <is>
          <t>24h</t>
        </is>
      </c>
      <c r="C127" s="160" t="inlineStr">
        <is>
          <t>11/02</t>
        </is>
      </c>
      <c r="D127" s="68" t="inlineStr">
        <is>
          <t>N 11/02 → T 12/02: 6h de descanso (soma 18h)</t>
        </is>
      </c>
      <c r="E127" s="113" t="inlineStr">
        <is>
          <t>art. 66 CLT — 11h</t>
        </is>
      </c>
      <c r="F127" s="165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Kozak</t>
        </is>
      </c>
      <c r="B128" s="113" t="inlineStr">
        <is>
          <t>24h</t>
        </is>
      </c>
      <c r="C128" s="160" t="inlineStr">
        <is>
          <t>12/02</t>
        </is>
      </c>
      <c r="D128" s="68" t="inlineStr">
        <is>
          <t>N 12/02 → T 13/02: 6h de descanso (soma 18h)</t>
        </is>
      </c>
      <c r="E128" s="113" t="inlineStr">
        <is>
          <t>art. 66 CLT — 11h</t>
        </is>
      </c>
      <c r="F128" s="165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13" t="inlineStr">
        <is>
          <t>30h</t>
        </is>
      </c>
      <c r="C129" s="160" t="inlineStr">
        <is>
          <t>18/02</t>
        </is>
      </c>
      <c r="D129" s="68" t="inlineStr">
        <is>
          <t>N 18/02 → T 19/02: 6h de descanso (soma 18h)</t>
        </is>
      </c>
      <c r="E129" s="113" t="inlineStr">
        <is>
          <t>art. 66 CLT — 11h</t>
        </is>
      </c>
      <c r="F129" s="165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Rosana</t>
        </is>
      </c>
      <c r="B130" s="113" t="inlineStr">
        <is>
          <t>30h</t>
        </is>
      </c>
      <c r="C130" s="160" t="inlineStr">
        <is>
          <t>21/02</t>
        </is>
      </c>
      <c r="D130" s="68" t="inlineStr">
        <is>
          <t>N 21/02 → T 22/02: 6h de descanso (soma 18h)</t>
        </is>
      </c>
      <c r="E130" s="113" t="inlineStr">
        <is>
          <t>art. 66 CLT — 11h</t>
        </is>
      </c>
      <c r="F130" s="165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Isabella</t>
        </is>
      </c>
      <c r="B131" s="113" t="inlineStr">
        <is>
          <t>36h</t>
        </is>
      </c>
      <c r="C131" s="160" t="inlineStr">
        <is>
          <t>22/02</t>
        </is>
      </c>
      <c r="D131" s="68" t="inlineStr">
        <is>
          <t>N 22/02 → T 23/02: 6h de descanso (soma 18h)</t>
        </is>
      </c>
      <c r="E131" s="113" t="inlineStr">
        <is>
          <t>art. 66 CLT — 11h</t>
        </is>
      </c>
      <c r="F131" s="165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Raphael</t>
        </is>
      </c>
      <c r="B132" s="113" t="inlineStr">
        <is>
          <t>24h</t>
        </is>
      </c>
      <c r="C132" s="160" t="inlineStr">
        <is>
          <t>23/02</t>
        </is>
      </c>
      <c r="D132" s="68" t="inlineStr">
        <is>
          <t>N 23/02 → T 24/02: 6h de descanso (soma 18h)</t>
        </is>
      </c>
      <c r="E132" s="113" t="inlineStr">
        <is>
          <t>art. 66 CLT — 11h</t>
        </is>
      </c>
      <c r="F132" s="165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João</t>
        </is>
      </c>
      <c r="B133" s="113" t="inlineStr">
        <is>
          <t>30h</t>
        </is>
      </c>
      <c r="C133" s="160" t="inlineStr">
        <is>
          <t>24/02</t>
        </is>
      </c>
      <c r="D133" s="68" t="inlineStr">
        <is>
          <t>N 24/02 → T 25/02: 6h de descanso (soma 18h)</t>
        </is>
      </c>
      <c r="E133" s="113" t="inlineStr">
        <is>
          <t>art. 66 CLT — 11h</t>
        </is>
      </c>
      <c r="F133" s="165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13" t="inlineStr">
        <is>
          <t>30h</t>
        </is>
      </c>
      <c r="C134" s="160" t="inlineStr">
        <is>
          <t>01/03</t>
        </is>
      </c>
      <c r="D134" s="68" t="inlineStr">
        <is>
          <t>N 01/03 → T 02/03: 6h de descanso (soma 18h)</t>
        </is>
      </c>
      <c r="E134" s="113" t="inlineStr">
        <is>
          <t>art. 66 CLT — 11h</t>
        </is>
      </c>
      <c r="F134" s="165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Roberta</t>
        </is>
      </c>
      <c r="B135" s="113" t="inlineStr">
        <is>
          <t>36h</t>
        </is>
      </c>
      <c r="C135" s="160" t="inlineStr">
        <is>
          <t>01/03</t>
        </is>
      </c>
      <c r="D135" s="68" t="inlineStr">
        <is>
          <t>N 01/03 → T 02/03: 6h de descanso (soma 18h)</t>
        </is>
      </c>
      <c r="E135" s="113" t="inlineStr">
        <is>
          <t>art. 66 CLT — 11h</t>
        </is>
      </c>
      <c r="F135" s="165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JuBrito</t>
        </is>
      </c>
      <c r="B136" s="113" t="inlineStr">
        <is>
          <t>30h</t>
        </is>
      </c>
      <c r="C136" s="160" t="inlineStr">
        <is>
          <t>02/03</t>
        </is>
      </c>
      <c r="D136" s="68" t="inlineStr">
        <is>
          <t>N 02/03 → T 03/03: 6h de descanso (soma 18h)</t>
        </is>
      </c>
      <c r="E136" s="113" t="inlineStr">
        <is>
          <t>art. 66 CLT — 11h</t>
        </is>
      </c>
      <c r="F136" s="165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13" t="inlineStr">
        <is>
          <t>30h</t>
        </is>
      </c>
      <c r="C137" s="160" t="inlineStr">
        <is>
          <t>03/03</t>
        </is>
      </c>
      <c r="D137" s="68" t="inlineStr">
        <is>
          <t>N 03/03 → T 04/03: 6h de descanso (soma 18h)</t>
        </is>
      </c>
      <c r="E137" s="113" t="inlineStr">
        <is>
          <t>art. 66 CLT — 11h</t>
        </is>
      </c>
      <c r="F137" s="165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JuCoutinho</t>
        </is>
      </c>
      <c r="B138" s="113" t="inlineStr">
        <is>
          <t>30h</t>
        </is>
      </c>
      <c r="C138" s="160" t="inlineStr">
        <is>
          <t>03/03</t>
        </is>
      </c>
      <c r="D138" s="68" t="inlineStr">
        <is>
          <t>N 03/03 → T 04/03: 6h de descanso (soma 18h)</t>
        </is>
      </c>
      <c r="E138" s="113" t="inlineStr">
        <is>
          <t>art. 66 CLT — 11h</t>
        </is>
      </c>
      <c r="F138" s="165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Pedro</t>
        </is>
      </c>
      <c r="B139" s="113" t="inlineStr">
        <is>
          <t>24h</t>
        </is>
      </c>
      <c r="C139" s="160" t="inlineStr">
        <is>
          <t>07/03</t>
        </is>
      </c>
      <c r="D139" s="68" t="inlineStr">
        <is>
          <t>N 07/03 → T 08/03: 6h de descanso (soma 18h)</t>
        </is>
      </c>
      <c r="E139" s="113" t="inlineStr">
        <is>
          <t>art. 66 CLT — 11h</t>
        </is>
      </c>
      <c r="F139" s="165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João</t>
        </is>
      </c>
      <c r="B140" s="113" t="inlineStr">
        <is>
          <t>30h</t>
        </is>
      </c>
      <c r="C140" s="160" t="inlineStr">
        <is>
          <t>10/03</t>
        </is>
      </c>
      <c r="D140" s="68" t="inlineStr">
        <is>
          <t>N 10/03 → T 11/03: 6h de descanso (soma 18h)</t>
        </is>
      </c>
      <c r="E140" s="113" t="inlineStr">
        <is>
          <t>art. 66 CLT — 11h</t>
        </is>
      </c>
      <c r="F140" s="165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Pedro</t>
        </is>
      </c>
      <c r="B141" s="113" t="inlineStr">
        <is>
          <t>24h</t>
        </is>
      </c>
      <c r="C141" s="160" t="inlineStr">
        <is>
          <t>11/03</t>
        </is>
      </c>
      <c r="D141" s="68" t="inlineStr">
        <is>
          <t>N 11/03 → T 12/03: 6h de descanso (soma 18h)</t>
        </is>
      </c>
      <c r="E141" s="113" t="inlineStr">
        <is>
          <t>art. 66 CLT — 11h</t>
        </is>
      </c>
      <c r="F141" s="165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Vanessa</t>
        </is>
      </c>
      <c r="B142" s="113" t="inlineStr">
        <is>
          <t>24h</t>
        </is>
      </c>
      <c r="C142" s="160" t="inlineStr">
        <is>
          <t>13/03</t>
        </is>
      </c>
      <c r="D142" s="68" t="inlineStr">
        <is>
          <t>N 13/03 → T 14/03: 6h de descanso (soma 18h)</t>
        </is>
      </c>
      <c r="E142" s="113" t="inlineStr">
        <is>
          <t>art. 66 CLT — 11h</t>
        </is>
      </c>
      <c r="F142" s="165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Raphael</t>
        </is>
      </c>
      <c r="B143" s="113" t="inlineStr">
        <is>
          <t>24h</t>
        </is>
      </c>
      <c r="C143" s="160" t="inlineStr">
        <is>
          <t>16/03</t>
        </is>
      </c>
      <c r="D143" s="68" t="inlineStr">
        <is>
          <t>N 16/03 → T 17/03: 6h de descanso (soma 18h)</t>
        </is>
      </c>
      <c r="E143" s="113" t="inlineStr">
        <is>
          <t>art. 66 CLT — 11h</t>
        </is>
      </c>
      <c r="F143" s="165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JuCoutinho</t>
        </is>
      </c>
      <c r="B144" s="113" t="inlineStr">
        <is>
          <t>30h</t>
        </is>
      </c>
      <c r="C144" s="160" t="inlineStr">
        <is>
          <t>17/03</t>
        </is>
      </c>
      <c r="D144" s="68" t="inlineStr">
        <is>
          <t>N 17/03 → T 18/03: 6h de descanso (soma 18h)</t>
        </is>
      </c>
      <c r="E144" s="113" t="inlineStr">
        <is>
          <t>art. 66 CLT — 11h</t>
        </is>
      </c>
      <c r="F144" s="165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13" t="inlineStr">
        <is>
          <t>24h</t>
        </is>
      </c>
      <c r="C145" s="160" t="inlineStr">
        <is>
          <t>18/03</t>
        </is>
      </c>
      <c r="D145" s="68" t="inlineStr">
        <is>
          <t>N 18/03 → T 19/03: 6h de descanso (soma 18h)</t>
        </is>
      </c>
      <c r="E145" s="113" t="inlineStr">
        <is>
          <t>art. 66 CLT — 11h</t>
        </is>
      </c>
      <c r="F145" s="165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MPinheiro</t>
        </is>
      </c>
      <c r="B146" s="113" t="inlineStr">
        <is>
          <t>administrativo</t>
        </is>
      </c>
      <c r="C146" s="160" t="inlineStr">
        <is>
          <t>19/03</t>
        </is>
      </c>
      <c r="D146" s="68" t="inlineStr">
        <is>
          <t>N 19/03 → T 20/03: 6h de descanso (soma 18h)</t>
        </is>
      </c>
      <c r="E146" s="113" t="inlineStr">
        <is>
          <t>art. 66 CLT — 11h</t>
        </is>
      </c>
      <c r="F146" s="165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Rosana</t>
        </is>
      </c>
      <c r="B147" s="113" t="inlineStr">
        <is>
          <t>30h</t>
        </is>
      </c>
      <c r="C147" s="160" t="inlineStr">
        <is>
          <t>22/03</t>
        </is>
      </c>
      <c r="D147" s="68" t="inlineStr">
        <is>
          <t>N 22/03 → T 23/03: 6h de descanso (soma 18h)</t>
        </is>
      </c>
      <c r="E147" s="113" t="inlineStr">
        <is>
          <t>art. 66 CLT — 11h</t>
        </is>
      </c>
      <c r="F147" s="165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Vanessa</t>
        </is>
      </c>
      <c r="B148" s="113" t="inlineStr">
        <is>
          <t>24h</t>
        </is>
      </c>
      <c r="C148" s="160" t="inlineStr">
        <is>
          <t>22/03</t>
        </is>
      </c>
      <c r="D148" s="68" t="inlineStr">
        <is>
          <t>N 22/03 → T 23/03: 6h de descanso (soma 18h)</t>
        </is>
      </c>
      <c r="E148" s="113" t="inlineStr">
        <is>
          <t>art. 66 CLT — 11h</t>
        </is>
      </c>
      <c r="F148" s="165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Raphael</t>
        </is>
      </c>
      <c r="B149" s="113" t="inlineStr">
        <is>
          <t>24h</t>
        </is>
      </c>
      <c r="C149" s="160" t="inlineStr">
        <is>
          <t>23/03</t>
        </is>
      </c>
      <c r="D149" s="68" t="inlineStr">
        <is>
          <t>N 23/03 → T 24/03: 6h de descanso (soma 18h)</t>
        </is>
      </c>
      <c r="E149" s="113" t="inlineStr">
        <is>
          <t>art. 66 CLT — 11h</t>
        </is>
      </c>
      <c r="F149" s="165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Pedro</t>
        </is>
      </c>
      <c r="B150" s="113" t="inlineStr">
        <is>
          <t>24h</t>
        </is>
      </c>
      <c r="C150" s="160" t="inlineStr">
        <is>
          <t>25/03</t>
        </is>
      </c>
      <c r="D150" s="68" t="inlineStr">
        <is>
          <t>N 25/03 → T 26/03: 6h de descanso (soma 18h)</t>
        </is>
      </c>
      <c r="E150" s="113" t="inlineStr">
        <is>
          <t>art. 66 CLT — 11h</t>
        </is>
      </c>
      <c r="F150" s="165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Fernando</t>
        </is>
      </c>
      <c r="B151" s="113" t="inlineStr">
        <is>
          <t>30h</t>
        </is>
      </c>
      <c r="C151" s="160" t="inlineStr">
        <is>
          <t>30/03</t>
        </is>
      </c>
      <c r="D151" s="68" t="inlineStr">
        <is>
          <t>N 30/03 → T 31/03: 6h de descanso (soma 18h)</t>
        </is>
      </c>
      <c r="E151" s="113" t="inlineStr">
        <is>
          <t>art. 66 CLT — 11h</t>
        </is>
      </c>
      <c r="F151" s="165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JuCoutinho</t>
        </is>
      </c>
      <c r="B152" s="113" t="inlineStr">
        <is>
          <t>30h</t>
        </is>
      </c>
      <c r="C152" s="160" t="inlineStr">
        <is>
          <t>31/03</t>
        </is>
      </c>
      <c r="D152" s="68" t="inlineStr">
        <is>
          <t>N 31/03 → T 01/04: 6h de descanso (soma 18h)</t>
        </is>
      </c>
      <c r="E152" s="113" t="inlineStr">
        <is>
          <t>art. 66 CLT — 11h</t>
        </is>
      </c>
      <c r="F152" s="165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Amanda</t>
        </is>
      </c>
      <c r="B153" s="113" t="inlineStr">
        <is>
          <t>30h</t>
        </is>
      </c>
      <c r="C153" s="160" t="inlineStr">
        <is>
          <t>02/04</t>
        </is>
      </c>
      <c r="D153" s="68" t="inlineStr">
        <is>
          <t>N 02/04 → T 03/04: 6h de descanso (soma 18h)</t>
        </is>
      </c>
      <c r="E153" s="113" t="inlineStr">
        <is>
          <t>art. 66 CLT — 11h</t>
        </is>
      </c>
      <c r="F153" s="165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Raylander</t>
        </is>
      </c>
      <c r="B154" s="113" t="inlineStr">
        <is>
          <t>30h</t>
        </is>
      </c>
      <c r="C154" s="160" t="inlineStr">
        <is>
          <t>06/04</t>
        </is>
      </c>
      <c r="D154" s="68" t="inlineStr">
        <is>
          <t>N 06/04 → T 07/04: 6h de descanso (soma 18h)</t>
        </is>
      </c>
      <c r="E154" s="113" t="inlineStr">
        <is>
          <t>art. 66 CLT — 11h</t>
        </is>
      </c>
      <c r="F154" s="165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João</t>
        </is>
      </c>
      <c r="B155" s="113" t="inlineStr">
        <is>
          <t>30h</t>
        </is>
      </c>
      <c r="C155" s="160" t="inlineStr">
        <is>
          <t>07/04</t>
        </is>
      </c>
      <c r="D155" s="68" t="inlineStr">
        <is>
          <t>N 07/04 → T 08/04: 6h de descanso (soma 18h)</t>
        </is>
      </c>
      <c r="E155" s="113" t="inlineStr">
        <is>
          <t>art. 66 CLT — 11h</t>
        </is>
      </c>
      <c r="F155" s="165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JuCoutinho</t>
        </is>
      </c>
      <c r="B156" s="113" t="inlineStr">
        <is>
          <t>30h</t>
        </is>
      </c>
      <c r="C156" s="160" t="inlineStr">
        <is>
          <t>07/04</t>
        </is>
      </c>
      <c r="D156" s="68" t="inlineStr">
        <is>
          <t>N 07/04 → T 08/04: 6h de descanso (soma 18h)</t>
        </is>
      </c>
      <c r="E156" s="113" t="inlineStr">
        <is>
          <t>art. 66 CLT — 11h</t>
        </is>
      </c>
      <c r="F156" s="165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Raphael</t>
        </is>
      </c>
      <c r="B157" s="113" t="inlineStr">
        <is>
          <t>24h</t>
        </is>
      </c>
      <c r="C157" s="160" t="inlineStr">
        <is>
          <t>09/04</t>
        </is>
      </c>
      <c r="D157" s="68" t="inlineStr">
        <is>
          <t>N 09/04 → T 10/04: 6h de descanso (soma 18h)</t>
        </is>
      </c>
      <c r="E157" s="113" t="inlineStr">
        <is>
          <t>art. 66 CLT — 11h</t>
        </is>
      </c>
      <c r="F157" s="165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13" t="inlineStr">
        <is>
          <t>24h</t>
        </is>
      </c>
      <c r="C158" s="160" t="inlineStr">
        <is>
          <t>13/04</t>
        </is>
      </c>
      <c r="D158" s="68" t="inlineStr">
        <is>
          <t>N 13/04 → T 14/04: 6h de descanso (soma 18h)</t>
        </is>
      </c>
      <c r="E158" s="113" t="inlineStr">
        <is>
          <t>art. 66 CLT — 11h</t>
        </is>
      </c>
      <c r="F158" s="165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João</t>
        </is>
      </c>
      <c r="B159" s="113" t="inlineStr">
        <is>
          <t>30h</t>
        </is>
      </c>
      <c r="C159" s="160" t="inlineStr">
        <is>
          <t>14/04</t>
        </is>
      </c>
      <c r="D159" s="68" t="inlineStr">
        <is>
          <t>N 14/04 → T 15/04: 6h de descanso (soma 18h)</t>
        </is>
      </c>
      <c r="E159" s="113" t="inlineStr">
        <is>
          <t>art. 66 CLT — 11h</t>
        </is>
      </c>
      <c r="F159" s="165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Yuji</t>
        </is>
      </c>
      <c r="B160" s="113" t="inlineStr">
        <is>
          <t>24h</t>
        </is>
      </c>
      <c r="C160" s="160" t="inlineStr">
        <is>
          <t>15/04</t>
        </is>
      </c>
      <c r="D160" s="68" t="inlineStr">
        <is>
          <t>N 15/04 → T 16/04: 6h de descanso (soma 18h)</t>
        </is>
      </c>
      <c r="E160" s="113" t="inlineStr">
        <is>
          <t>art. 66 CLT — 11h</t>
        </is>
      </c>
      <c r="F160" s="165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13" t="inlineStr">
        <is>
          <t>24h</t>
        </is>
      </c>
      <c r="C161" s="160" t="inlineStr">
        <is>
          <t>16/04</t>
        </is>
      </c>
      <c r="D161" s="68" t="inlineStr">
        <is>
          <t>N 16/04 → T 17/04: 6h de descanso (soma 18h)</t>
        </is>
      </c>
      <c r="E161" s="113" t="inlineStr">
        <is>
          <t>art. 66 CLT — 11h</t>
        </is>
      </c>
      <c r="F161" s="165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Ernesto</t>
        </is>
      </c>
      <c r="B162" s="113" t="inlineStr">
        <is>
          <t>24h</t>
        </is>
      </c>
      <c r="C162" s="160" t="inlineStr">
        <is>
          <t>18/04</t>
        </is>
      </c>
      <c r="D162" s="68" t="inlineStr">
        <is>
          <t>N 18/04 → T 19/04: 6h de descanso (soma 18h)</t>
        </is>
      </c>
      <c r="E162" s="113" t="inlineStr">
        <is>
          <t>art. 66 CLT — 11h</t>
        </is>
      </c>
      <c r="F162" s="165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Kozak</t>
        </is>
      </c>
      <c r="B163" s="113" t="inlineStr">
        <is>
          <t>24h</t>
        </is>
      </c>
      <c r="C163" s="160" t="inlineStr">
        <is>
          <t>19/04</t>
        </is>
      </c>
      <c r="D163" s="68" t="inlineStr">
        <is>
          <t>N 19/04 → T 20/04: 6h de descanso (soma 18h)</t>
        </is>
      </c>
      <c r="E163" s="113" t="inlineStr">
        <is>
          <t>art. 66 CLT — 11h</t>
        </is>
      </c>
      <c r="F163" s="165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Roberta</t>
        </is>
      </c>
      <c r="B164" s="113" t="inlineStr">
        <is>
          <t>36h</t>
        </is>
      </c>
      <c r="C164" s="160" t="inlineStr">
        <is>
          <t>19/04</t>
        </is>
      </c>
      <c r="D164" s="68" t="inlineStr">
        <is>
          <t>N 19/04 → T 20/04: 6h de descanso (soma 18h)</t>
        </is>
      </c>
      <c r="E164" s="113" t="inlineStr">
        <is>
          <t>art. 66 CLT — 11h</t>
        </is>
      </c>
      <c r="F164" s="165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Ricardo</t>
        </is>
      </c>
      <c r="B165" s="113" t="inlineStr">
        <is>
          <t>30h</t>
        </is>
      </c>
      <c r="C165" s="160" t="inlineStr">
        <is>
          <t>21/04</t>
        </is>
      </c>
      <c r="D165" s="68" t="inlineStr">
        <is>
          <t>N 21/04 → T 22/04: 6h de descanso (soma 18h)</t>
        </is>
      </c>
      <c r="E165" s="113" t="inlineStr">
        <is>
          <t>art. 66 CLT — 11h</t>
        </is>
      </c>
      <c r="F165" s="165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Raphael</t>
        </is>
      </c>
      <c r="B166" s="113" t="inlineStr">
        <is>
          <t>24h</t>
        </is>
      </c>
      <c r="C166" s="160" t="inlineStr">
        <is>
          <t>23/04</t>
        </is>
      </c>
      <c r="D166" s="68" t="inlineStr">
        <is>
          <t>N 23/04 → T 24/04: 6h de descanso (soma 18h)</t>
        </is>
      </c>
      <c r="E166" s="113" t="inlineStr">
        <is>
          <t>art. 66 CLT — 11h</t>
        </is>
      </c>
      <c r="F166" s="165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Stephanie</t>
        </is>
      </c>
      <c r="B167" s="113" t="inlineStr">
        <is>
          <t>administrativo</t>
        </is>
      </c>
      <c r="C167" s="160" t="inlineStr">
        <is>
          <t>25/04</t>
        </is>
      </c>
      <c r="D167" s="68" t="inlineStr">
        <is>
          <t>N 25/04 → T 26/04: 6h de descanso (soma 18h)</t>
        </is>
      </c>
      <c r="E167" s="113" t="inlineStr">
        <is>
          <t>art. 66 CLT — 11h</t>
        </is>
      </c>
      <c r="F167" s="165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JuCoutinho</t>
        </is>
      </c>
      <c r="B168" s="113" t="inlineStr">
        <is>
          <t>30h</t>
        </is>
      </c>
      <c r="C168" s="160" t="inlineStr">
        <is>
          <t>26/04</t>
        </is>
      </c>
      <c r="D168" s="68" t="inlineStr">
        <is>
          <t>N 26/04 → T 27/04: 6h de descanso (soma 18h)</t>
        </is>
      </c>
      <c r="E168" s="113" t="inlineStr">
        <is>
          <t>art. 66 CLT — 11h</t>
        </is>
      </c>
      <c r="F168" s="165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João</t>
        </is>
      </c>
      <c r="B169" s="113" t="inlineStr">
        <is>
          <t>30h</t>
        </is>
      </c>
      <c r="C169" s="160" t="inlineStr">
        <is>
          <t>28/04</t>
        </is>
      </c>
      <c r="D169" s="68" t="inlineStr">
        <is>
          <t>N 28/04 → T 29/04: 6h de descanso (soma 18h)</t>
        </is>
      </c>
      <c r="E169" s="113" t="inlineStr">
        <is>
          <t>art. 66 CLT — 11h</t>
        </is>
      </c>
      <c r="F169" s="165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João</t>
        </is>
      </c>
      <c r="B170" s="113" t="inlineStr">
        <is>
          <t>30h</t>
        </is>
      </c>
      <c r="C170" s="160" t="inlineStr">
        <is>
          <t>06/05</t>
        </is>
      </c>
      <c r="D170" s="68" t="inlineStr">
        <is>
          <t>N 06/05 → T 07/05: 6h de descanso (soma 18h)</t>
        </is>
      </c>
      <c r="E170" s="113" t="inlineStr">
        <is>
          <t>art. 66 CLT — 11h</t>
        </is>
      </c>
      <c r="F170" s="165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LuAlice</t>
        </is>
      </c>
      <c r="B171" s="113" t="inlineStr">
        <is>
          <t>36h</t>
        </is>
      </c>
      <c r="C171" s="160" t="inlineStr">
        <is>
          <t>07/05</t>
        </is>
      </c>
      <c r="D171" s="68" t="inlineStr">
        <is>
          <t>N 07/05 → T 08/05: 6h de descanso (soma 18h)</t>
        </is>
      </c>
      <c r="E171" s="113" t="inlineStr">
        <is>
          <t>art. 66 CLT — 11h</t>
        </is>
      </c>
      <c r="F171" s="165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MPinheiro</t>
        </is>
      </c>
      <c r="B172" s="113" t="inlineStr">
        <is>
          <t>administrativo</t>
        </is>
      </c>
      <c r="C172" s="160" t="inlineStr">
        <is>
          <t>07/05</t>
        </is>
      </c>
      <c r="D172" s="68" t="inlineStr">
        <is>
          <t>N 07/05 → T 08/05: 6h de descanso (soma 18h)</t>
        </is>
      </c>
      <c r="E172" s="113" t="inlineStr">
        <is>
          <t>art. 66 CLT — 11h</t>
        </is>
      </c>
      <c r="F172" s="165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Isabella</t>
        </is>
      </c>
      <c r="B173" s="113" t="inlineStr">
        <is>
          <t>36h</t>
        </is>
      </c>
      <c r="C173" s="160" t="inlineStr">
        <is>
          <t>10/05</t>
        </is>
      </c>
      <c r="D173" s="68" t="inlineStr">
        <is>
          <t>N 10/05 → T 11/05: 6h de descanso (soma 18h)</t>
        </is>
      </c>
      <c r="E173" s="113" t="inlineStr">
        <is>
          <t>art. 66 CLT — 11h</t>
        </is>
      </c>
      <c r="F173" s="165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JuCoutinho</t>
        </is>
      </c>
      <c r="B174" s="113" t="inlineStr">
        <is>
          <t>30h</t>
        </is>
      </c>
      <c r="C174" s="160" t="inlineStr">
        <is>
          <t>12/05</t>
        </is>
      </c>
      <c r="D174" s="68" t="inlineStr">
        <is>
          <t>N 12/05 → T 13/05: 6h de descanso (soma 18h)</t>
        </is>
      </c>
      <c r="E174" s="113" t="inlineStr">
        <is>
          <t>art. 66 CLT — 11h</t>
        </is>
      </c>
      <c r="F174" s="165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Raphael</t>
        </is>
      </c>
      <c r="B175" s="113" t="inlineStr">
        <is>
          <t>24h</t>
        </is>
      </c>
      <c r="C175" s="160" t="inlineStr">
        <is>
          <t>13/05</t>
        </is>
      </c>
      <c r="D175" s="68" t="inlineStr">
        <is>
          <t>N 13/05 → T 14/05: 6h de descanso (soma 18h)</t>
        </is>
      </c>
      <c r="E175" s="113" t="inlineStr">
        <is>
          <t>art. 66 CLT — 11h</t>
        </is>
      </c>
      <c r="F175" s="165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Roberta</t>
        </is>
      </c>
      <c r="B176" s="113" t="inlineStr">
        <is>
          <t>36h</t>
        </is>
      </c>
      <c r="C176" s="160" t="inlineStr">
        <is>
          <t>19/05</t>
        </is>
      </c>
      <c r="D176" s="68" t="inlineStr">
        <is>
          <t>N 19/05 → T 20/05: 6h de descanso (soma 18h)</t>
        </is>
      </c>
      <c r="E176" s="113" t="inlineStr">
        <is>
          <t>art. 66 CLT — 11h</t>
        </is>
      </c>
      <c r="F176" s="165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João</t>
        </is>
      </c>
      <c r="B177" s="113" t="inlineStr">
        <is>
          <t>30h</t>
        </is>
      </c>
      <c r="C177" s="160" t="inlineStr">
        <is>
          <t>20/05</t>
        </is>
      </c>
      <c r="D177" s="68" t="inlineStr">
        <is>
          <t>N 20/05 → T 21/05: 6h de descanso (soma 18h)</t>
        </is>
      </c>
      <c r="E177" s="113" t="inlineStr">
        <is>
          <t>art. 66 CLT — 11h</t>
        </is>
      </c>
      <c r="F177" s="165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JuCoutinho</t>
        </is>
      </c>
      <c r="B178" s="113" t="inlineStr">
        <is>
          <t>30h</t>
        </is>
      </c>
      <c r="C178" s="160" t="inlineStr">
        <is>
          <t>26/05</t>
        </is>
      </c>
      <c r="D178" s="68" t="inlineStr">
        <is>
          <t>N 26/05 → T 27/05: 6h de descanso (soma 18h)</t>
        </is>
      </c>
      <c r="E178" s="113" t="inlineStr">
        <is>
          <t>art. 66 CLT — 11h</t>
        </is>
      </c>
      <c r="F178" s="165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Aline</t>
        </is>
      </c>
      <c r="B179" s="113" t="inlineStr">
        <is>
          <t>36h</t>
        </is>
      </c>
      <c r="C179" s="160" t="inlineStr">
        <is>
          <t>31/05</t>
        </is>
      </c>
      <c r="D179" s="68" t="inlineStr">
        <is>
          <t>N 31/05 → T 01/06: 6h de descanso (soma 18h)</t>
        </is>
      </c>
      <c r="E179" s="113" t="inlineStr">
        <is>
          <t>art. 66 CLT — 11h</t>
        </is>
      </c>
      <c r="F179" s="165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MPinheiro</t>
        </is>
      </c>
      <c r="B180" s="113" t="inlineStr">
        <is>
          <t>administrativo</t>
        </is>
      </c>
      <c r="C180" s="160" t="inlineStr">
        <is>
          <t>01/06</t>
        </is>
      </c>
      <c r="D180" s="68" t="inlineStr">
        <is>
          <t>N 01/06 → T 02/06: 6h de descanso (soma 18h)</t>
        </is>
      </c>
      <c r="E180" s="113" t="inlineStr">
        <is>
          <t>art. 66 CLT — 11h</t>
        </is>
      </c>
      <c r="F180" s="165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Aline</t>
        </is>
      </c>
      <c r="B181" s="113" t="inlineStr">
        <is>
          <t>36h</t>
        </is>
      </c>
      <c r="C181" s="160" t="inlineStr">
        <is>
          <t>02/06</t>
        </is>
      </c>
      <c r="D181" s="68" t="inlineStr">
        <is>
          <t>N 02/06 → T 03/06: 6h de descanso (soma 18h)</t>
        </is>
      </c>
      <c r="E181" s="113" t="inlineStr">
        <is>
          <t>art. 66 CLT — 11h</t>
        </is>
      </c>
      <c r="F181" s="165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Isabella</t>
        </is>
      </c>
      <c r="B182" s="113" t="inlineStr">
        <is>
          <t>36h</t>
        </is>
      </c>
      <c r="C182" s="160" t="inlineStr">
        <is>
          <t>07/06</t>
        </is>
      </c>
      <c r="D182" s="68" t="inlineStr">
        <is>
          <t>N 07/06 → T 08/06: 6h de descanso (soma 18h)</t>
        </is>
      </c>
      <c r="E182" s="113" t="inlineStr">
        <is>
          <t>art. 66 CLT — 11h</t>
        </is>
      </c>
      <c r="F182" s="165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13" t="inlineStr">
        <is>
          <t>30h</t>
        </is>
      </c>
      <c r="C183" s="160" t="inlineStr">
        <is>
          <t>08/06</t>
        </is>
      </c>
      <c r="D183" s="68" t="inlineStr">
        <is>
          <t>N 08/06 → T 09/06: 6h de descanso (soma 18h)</t>
        </is>
      </c>
      <c r="E183" s="113" t="inlineStr">
        <is>
          <t>art. 66 CLT — 11h</t>
        </is>
      </c>
      <c r="F183" s="165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Roberta</t>
        </is>
      </c>
      <c r="B184" s="113" t="inlineStr">
        <is>
          <t>36h</t>
        </is>
      </c>
      <c r="C184" s="160" t="inlineStr">
        <is>
          <t>14/06</t>
        </is>
      </c>
      <c r="D184" s="68" t="inlineStr">
        <is>
          <t>N 14/06 → T 15/06: 6h de descanso (soma 18h)</t>
        </is>
      </c>
      <c r="E184" s="113" t="inlineStr">
        <is>
          <t>art. 66 CLT — 11h</t>
        </is>
      </c>
      <c r="F184" s="165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Raphael</t>
        </is>
      </c>
      <c r="B185" s="113" t="inlineStr">
        <is>
          <t>24h</t>
        </is>
      </c>
      <c r="C185" s="160" t="inlineStr">
        <is>
          <t>15/06</t>
        </is>
      </c>
      <c r="D185" s="68" t="inlineStr">
        <is>
          <t>N 15/06 → T 16/06: 6h de descanso (soma 18h)</t>
        </is>
      </c>
      <c r="E185" s="113" t="inlineStr">
        <is>
          <t>art. 66 CLT — 11h</t>
        </is>
      </c>
      <c r="F185" s="165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Roberta</t>
        </is>
      </c>
      <c r="B186" s="113" t="inlineStr">
        <is>
          <t>36h</t>
        </is>
      </c>
      <c r="C186" s="160" t="inlineStr">
        <is>
          <t>18/06</t>
        </is>
      </c>
      <c r="D186" s="68" t="inlineStr">
        <is>
          <t>N 18/06 → T 19/06: 6h de descanso (soma 18h)</t>
        </is>
      </c>
      <c r="E186" s="113" t="inlineStr">
        <is>
          <t>art. 66 CLT — 11h</t>
        </is>
      </c>
      <c r="F186" s="165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13" t="inlineStr">
        <is>
          <t>30h</t>
        </is>
      </c>
      <c r="C187" s="160" t="inlineStr">
        <is>
          <t>21/06</t>
        </is>
      </c>
      <c r="D187" s="68" t="inlineStr">
        <is>
          <t>N 21/06 → T 22/06: 6h de descanso (soma 18h)</t>
        </is>
      </c>
      <c r="E187" s="113" t="inlineStr">
        <is>
          <t>art. 66 CLT — 11h</t>
        </is>
      </c>
      <c r="F187" s="165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LeLemos</t>
        </is>
      </c>
      <c r="B188" s="113" t="inlineStr">
        <is>
          <t>30h</t>
        </is>
      </c>
      <c r="C188" s="160" t="inlineStr">
        <is>
          <t>22/06</t>
        </is>
      </c>
      <c r="D188" s="68" t="inlineStr">
        <is>
          <t>N 22/06 → T 23/06: 6h de descanso (soma 18h)</t>
        </is>
      </c>
      <c r="E188" s="113" t="inlineStr">
        <is>
          <t>art. 66 CLT — 11h</t>
        </is>
      </c>
      <c r="F188" s="165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MPinheiro</t>
        </is>
      </c>
      <c r="B189" s="113" t="inlineStr">
        <is>
          <t>administrativo</t>
        </is>
      </c>
      <c r="C189" s="160" t="inlineStr">
        <is>
          <t>22/06</t>
        </is>
      </c>
      <c r="D189" s="68" t="inlineStr">
        <is>
          <t>N 22/06 → T 23/06: 6h de descanso (soma 18h)</t>
        </is>
      </c>
      <c r="E189" s="113" t="inlineStr">
        <is>
          <t>art. 66 CLT — 11h</t>
        </is>
      </c>
      <c r="F189" s="165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JuCoutinho</t>
        </is>
      </c>
      <c r="B190" s="113" t="inlineStr">
        <is>
          <t>30h</t>
        </is>
      </c>
      <c r="C190" s="160" t="inlineStr">
        <is>
          <t>29/06</t>
        </is>
      </c>
      <c r="D190" s="68" t="inlineStr">
        <is>
          <t>N 29/06 → T 30/06: 6h de descanso (soma 18h)</t>
        </is>
      </c>
      <c r="E190" s="113" t="inlineStr">
        <is>
          <t>art. 66 CLT — 11h</t>
        </is>
      </c>
      <c r="F190" s="165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Aline</t>
        </is>
      </c>
      <c r="B191" s="113" t="inlineStr">
        <is>
          <t>36h</t>
        </is>
      </c>
      <c r="C191" s="160" t="inlineStr">
        <is>
          <t>30/06</t>
        </is>
      </c>
      <c r="D191" s="68" t="inlineStr">
        <is>
          <t>N 30/06 → T 01/07: 6h de descanso (soma 18h)</t>
        </is>
      </c>
      <c r="E191" s="113" t="inlineStr">
        <is>
          <t>art. 66 CLT — 11h</t>
        </is>
      </c>
      <c r="F191" s="165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JuIsaac</t>
        </is>
      </c>
      <c r="B192" s="113" t="inlineStr">
        <is>
          <t>administrativo</t>
        </is>
      </c>
      <c r="C192" s="160" t="inlineStr">
        <is>
          <t>30/06</t>
        </is>
      </c>
      <c r="D192" s="68" t="inlineStr">
        <is>
          <t>N 30/06 → T 01/07: 6h de descanso (soma 18h)</t>
        </is>
      </c>
      <c r="E192" s="113" t="inlineStr">
        <is>
          <t>art. 66 CLT — 11h</t>
        </is>
      </c>
      <c r="F192" s="165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Isabella</t>
        </is>
      </c>
      <c r="B193" s="113" t="inlineStr">
        <is>
          <t>36h</t>
        </is>
      </c>
      <c r="C193" s="160" t="inlineStr">
        <is>
          <t>05/07</t>
        </is>
      </c>
      <c r="D193" s="68" t="inlineStr">
        <is>
          <t>N 05/07 → T 06/07: 6h de descanso (soma 18h)</t>
        </is>
      </c>
      <c r="E193" s="113" t="inlineStr">
        <is>
          <t>art. 66 CLT — 11h</t>
        </is>
      </c>
      <c r="F193" s="165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Roberta</t>
        </is>
      </c>
      <c r="B194" s="113" t="inlineStr">
        <is>
          <t>36h</t>
        </is>
      </c>
      <c r="C194" s="160" t="inlineStr">
        <is>
          <t>08/07</t>
        </is>
      </c>
      <c r="D194" s="68" t="inlineStr">
        <is>
          <t>N 08/07 → T 09/07: 6h de descanso (soma 18h)</t>
        </is>
      </c>
      <c r="E194" s="113" t="inlineStr">
        <is>
          <t>art. 66 CLT — 11h</t>
        </is>
      </c>
      <c r="F194" s="165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Amanda</t>
        </is>
      </c>
      <c r="B195" s="113" t="inlineStr">
        <is>
          <t>30h</t>
        </is>
      </c>
      <c r="C195" s="160" t="inlineStr">
        <is>
          <t>09/07</t>
        </is>
      </c>
      <c r="D195" s="68" t="inlineStr">
        <is>
          <t>N 09/07 → T 10/07: 6h de descanso (soma 18h)</t>
        </is>
      </c>
      <c r="E195" s="113" t="inlineStr">
        <is>
          <t>art. 66 CLT — 11h</t>
        </is>
      </c>
      <c r="F195" s="165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13" t="inlineStr">
        <is>
          <t>administrativo</t>
        </is>
      </c>
      <c r="C196" s="160" t="inlineStr">
        <is>
          <t>09/07</t>
        </is>
      </c>
      <c r="D196" s="68" t="inlineStr">
        <is>
          <t>N 09/07 → T 10/07: 6h de descanso (soma 18h)</t>
        </is>
      </c>
      <c r="E196" s="113" t="inlineStr">
        <is>
          <t>art. 66 CLT — 11h</t>
        </is>
      </c>
      <c r="F196" s="165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João</t>
        </is>
      </c>
      <c r="B197" s="113" t="inlineStr">
        <is>
          <t>30h</t>
        </is>
      </c>
      <c r="C197" s="160" t="inlineStr">
        <is>
          <t>19/07</t>
        </is>
      </c>
      <c r="D197" s="68" t="inlineStr">
        <is>
          <t>N 19/07 → T 20/07: 6h de descanso (soma 18h)</t>
        </is>
      </c>
      <c r="E197" s="113" t="inlineStr">
        <is>
          <t>art. 66 CLT — 11h</t>
        </is>
      </c>
      <c r="F197" s="165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Aline</t>
        </is>
      </c>
      <c r="B198" s="113" t="inlineStr">
        <is>
          <t>36h</t>
        </is>
      </c>
      <c r="C198" s="160" t="inlineStr">
        <is>
          <t>22/07</t>
        </is>
      </c>
      <c r="D198" s="68" t="inlineStr">
        <is>
          <t>N 22/07 → T 23/07: 6h de descanso (soma 18h)</t>
        </is>
      </c>
      <c r="E198" s="113" t="inlineStr">
        <is>
          <t>art. 66 CLT — 11h</t>
        </is>
      </c>
      <c r="F198" s="165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IsaRibeiro</t>
        </is>
      </c>
      <c r="B199" s="113" t="inlineStr">
        <is>
          <t>24h</t>
        </is>
      </c>
      <c r="C199" s="160" t="inlineStr">
        <is>
          <t>25/07</t>
        </is>
      </c>
      <c r="D199" s="68" t="inlineStr">
        <is>
          <t>N 25/07 → T 26/07: 6h de descanso (soma 18h)</t>
        </is>
      </c>
      <c r="E199" s="113" t="inlineStr">
        <is>
          <t>art. 66 CLT — 11h</t>
        </is>
      </c>
      <c r="F199" s="165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LuAlice</t>
        </is>
      </c>
      <c r="B200" s="113" t="inlineStr">
        <is>
          <t>36h</t>
        </is>
      </c>
      <c r="C200" s="160" t="inlineStr">
        <is>
          <t>28/07</t>
        </is>
      </c>
      <c r="D200" s="68" t="inlineStr">
        <is>
          <t>N 28/07 → T 29/07: 6h de descanso (soma 18h)</t>
        </is>
      </c>
      <c r="E200" s="113" t="inlineStr">
        <is>
          <t>art. 66 CLT — 11h</t>
        </is>
      </c>
      <c r="F200" s="165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13" t="inlineStr">
        <is>
          <t>administrativo</t>
        </is>
      </c>
      <c r="C201" s="160" t="inlineStr">
        <is>
          <t>30/07</t>
        </is>
      </c>
      <c r="D201" s="68" t="inlineStr">
        <is>
          <t>N 30/07 → T 31/07: 6h de descanso (soma 18h)</t>
        </is>
      </c>
      <c r="E201" s="113" t="inlineStr">
        <is>
          <t>art. 66 CLT — 11h</t>
        </is>
      </c>
      <c r="F201" s="165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Beatriz</t>
        </is>
      </c>
      <c r="B202" s="113" t="inlineStr">
        <is>
          <t>24h</t>
        </is>
      </c>
      <c r="C202" s="160" t="inlineStr">
        <is>
          <t>02/08</t>
        </is>
      </c>
      <c r="D202" s="68" t="inlineStr">
        <is>
          <t>N 02/08 → T 03/08: 6h de descanso (soma 18h)</t>
        </is>
      </c>
      <c r="E202" s="113" t="inlineStr">
        <is>
          <t>art. 66 CLT — 11h</t>
        </is>
      </c>
      <c r="F202" s="165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Isabella</t>
        </is>
      </c>
      <c r="B203" s="113" t="inlineStr">
        <is>
          <t>36h</t>
        </is>
      </c>
      <c r="C203" s="160" t="inlineStr">
        <is>
          <t>02/08</t>
        </is>
      </c>
      <c r="D203" s="68" t="inlineStr">
        <is>
          <t>N 02/08 → T 03/08: 6h de descanso (soma 18h)</t>
        </is>
      </c>
      <c r="E203" s="113" t="inlineStr">
        <is>
          <t>art. 66 CLT — 11h</t>
        </is>
      </c>
      <c r="F203" s="165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MPinheiro</t>
        </is>
      </c>
      <c r="B204" s="113" t="inlineStr">
        <is>
          <t>administrativo</t>
        </is>
      </c>
      <c r="C204" s="160" t="inlineStr">
        <is>
          <t>09/08</t>
        </is>
      </c>
      <c r="D204" s="68" t="inlineStr">
        <is>
          <t>N 09/08 → T 10/08: 6h de descanso (soma 18h)</t>
        </is>
      </c>
      <c r="E204" s="113" t="inlineStr">
        <is>
          <t>art. 66 CLT — 11h</t>
        </is>
      </c>
      <c r="F204" s="165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Roberta</t>
        </is>
      </c>
      <c r="B205" s="113" t="inlineStr">
        <is>
          <t>36h</t>
        </is>
      </c>
      <c r="C205" s="160" t="inlineStr">
        <is>
          <t>09/08</t>
        </is>
      </c>
      <c r="D205" s="68" t="inlineStr">
        <is>
          <t>N 09/08 → T 10/08: 6h de descanso (soma 18h)</t>
        </is>
      </c>
      <c r="E205" s="113" t="inlineStr">
        <is>
          <t>art. 66 CLT — 11h</t>
        </is>
      </c>
      <c r="F205" s="165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Ricardo</t>
        </is>
      </c>
      <c r="B206" s="113" t="inlineStr">
        <is>
          <t>30h</t>
        </is>
      </c>
      <c r="C206" s="160" t="inlineStr">
        <is>
          <t>11/08</t>
        </is>
      </c>
      <c r="D206" s="68" t="inlineStr">
        <is>
          <t>N 11/08 → T 12/08: 6h de descanso (soma 18h)</t>
        </is>
      </c>
      <c r="E206" s="113" t="inlineStr">
        <is>
          <t>art. 66 CLT — 11h</t>
        </is>
      </c>
      <c r="F206" s="165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Danielle</t>
        </is>
      </c>
      <c r="B207" s="113" t="inlineStr">
        <is>
          <t>36h</t>
        </is>
      </c>
      <c r="C207" s="160" t="inlineStr">
        <is>
          <t>13/08</t>
        </is>
      </c>
      <c r="D207" s="68" t="inlineStr">
        <is>
          <t>N 13/08 → T 14/08: 6h de descanso (soma 18h)</t>
        </is>
      </c>
      <c r="E207" s="113" t="inlineStr">
        <is>
          <t>art. 66 CLT — 11h</t>
        </is>
      </c>
      <c r="F207" s="165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Danielle</t>
        </is>
      </c>
      <c r="B208" s="113" t="inlineStr">
        <is>
          <t>36h</t>
        </is>
      </c>
      <c r="C208" s="160" t="inlineStr">
        <is>
          <t>15/08</t>
        </is>
      </c>
      <c r="D208" s="68" t="inlineStr">
        <is>
          <t>N 15/08 → T 16/08: 6h de descanso (soma 18h)</t>
        </is>
      </c>
      <c r="E208" s="113" t="inlineStr">
        <is>
          <t>art. 66 CLT — 11h</t>
        </is>
      </c>
      <c r="F208" s="165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Aline</t>
        </is>
      </c>
      <c r="B209" s="113" t="inlineStr">
        <is>
          <t>36h</t>
        </is>
      </c>
      <c r="C209" s="160" t="inlineStr">
        <is>
          <t>16/08</t>
        </is>
      </c>
      <c r="D209" s="68" t="inlineStr">
        <is>
          <t>N 16/08 → T 17/08: 6h de descanso (soma 18h)</t>
        </is>
      </c>
      <c r="E209" s="113" t="inlineStr">
        <is>
          <t>art. 66 CLT — 11h</t>
        </is>
      </c>
      <c r="F209" s="165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João</t>
        </is>
      </c>
      <c r="B210" s="113" t="inlineStr">
        <is>
          <t>30h</t>
        </is>
      </c>
      <c r="C210" s="160" t="inlineStr">
        <is>
          <t>19/08</t>
        </is>
      </c>
      <c r="D210" s="68" t="inlineStr">
        <is>
          <t>N 19/08 → T 20/08: 6h de descanso (soma 18h)</t>
        </is>
      </c>
      <c r="E210" s="113" t="inlineStr">
        <is>
          <t>art. 66 CLT — 11h</t>
        </is>
      </c>
      <c r="F210" s="165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Raylander</t>
        </is>
      </c>
      <c r="B211" s="113" t="inlineStr">
        <is>
          <t>30h</t>
        </is>
      </c>
      <c r="C211" s="160" t="inlineStr">
        <is>
          <t>24/08</t>
        </is>
      </c>
      <c r="D211" s="68" t="inlineStr">
        <is>
          <t>N 24/08 → T 25/08: 6h de descanso (soma 18h)</t>
        </is>
      </c>
      <c r="E211" s="113" t="inlineStr">
        <is>
          <t>art. 66 CLT — 11h</t>
        </is>
      </c>
      <c r="F211" s="165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LuAlice</t>
        </is>
      </c>
      <c r="B212" s="113" t="inlineStr">
        <is>
          <t>36h</t>
        </is>
      </c>
      <c r="C212" s="160" t="inlineStr">
        <is>
          <t>25/08</t>
        </is>
      </c>
      <c r="D212" s="68" t="inlineStr">
        <is>
          <t>N 25/08 → T 26/08: 6h de descanso (soma 18h)</t>
        </is>
      </c>
      <c r="E212" s="113" t="inlineStr">
        <is>
          <t>art. 66 CLT — 11h</t>
        </is>
      </c>
      <c r="F212" s="165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LuAlice</t>
        </is>
      </c>
      <c r="B213" s="113" t="inlineStr">
        <is>
          <t>36h</t>
        </is>
      </c>
      <c r="C213" s="160" t="inlineStr">
        <is>
          <t>27/08</t>
        </is>
      </c>
      <c r="D213" s="68" t="inlineStr">
        <is>
          <t>N 27/08 → T 28/08: 6h de descanso (soma 18h)</t>
        </is>
      </c>
      <c r="E213" s="113" t="inlineStr">
        <is>
          <t>art. 66 CLT — 11h</t>
        </is>
      </c>
      <c r="F213" s="165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Pedro</t>
        </is>
      </c>
      <c r="B214" s="113" t="inlineStr">
        <is>
          <t>24h</t>
        </is>
      </c>
      <c r="C214" s="160" t="inlineStr">
        <is>
          <t>27/08</t>
        </is>
      </c>
      <c r="D214" s="68" t="inlineStr">
        <is>
          <t>N 27/08 → T 28/08: 6h de descanso (soma 18h)</t>
        </is>
      </c>
      <c r="E214" s="113" t="inlineStr">
        <is>
          <t>art. 66 CLT — 11h</t>
        </is>
      </c>
      <c r="F214" s="165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Mayana</t>
        </is>
      </c>
      <c r="B215" s="113" t="inlineStr">
        <is>
          <t>36h</t>
        </is>
      </c>
      <c r="C215" s="160" t="inlineStr">
        <is>
          <t>29/08</t>
        </is>
      </c>
      <c r="D215" s="68" t="inlineStr">
        <is>
          <t>N 29/08 → T 30/08: 6h de descanso (soma 18h)</t>
        </is>
      </c>
      <c r="E215" s="113" t="inlineStr">
        <is>
          <t>art. 66 CLT — 11h</t>
        </is>
      </c>
      <c r="F215" s="165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Aline</t>
        </is>
      </c>
      <c r="B216" s="113" t="inlineStr">
        <is>
          <t>36h</t>
        </is>
      </c>
      <c r="C216" s="160" t="inlineStr">
        <is>
          <t>30/08</t>
        </is>
      </c>
      <c r="D216" s="68" t="inlineStr">
        <is>
          <t>N 30/08 → T 31/08: 6h de descanso (soma 18h)</t>
        </is>
      </c>
      <c r="E216" s="113" t="inlineStr">
        <is>
          <t>art. 66 CLT — 11h</t>
        </is>
      </c>
      <c r="F216" s="165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MPinheiro</t>
        </is>
      </c>
      <c r="B217" s="113" t="inlineStr">
        <is>
          <t>administrativo</t>
        </is>
      </c>
      <c r="C217" s="160" t="inlineStr">
        <is>
          <t>30/08</t>
        </is>
      </c>
      <c r="D217" s="68" t="inlineStr">
        <is>
          <t>N 30/08 → T 31/08: 6h de descanso (soma 18h)</t>
        </is>
      </c>
      <c r="E217" s="113" t="inlineStr">
        <is>
          <t>art. 66 CLT — 11h</t>
        </is>
      </c>
      <c r="F217" s="165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Pedro</t>
        </is>
      </c>
      <c r="B218" s="113" t="inlineStr">
        <is>
          <t>24h</t>
        </is>
      </c>
      <c r="C218" s="160" t="inlineStr">
        <is>
          <t>31/08</t>
        </is>
      </c>
      <c r="D218" s="68" t="inlineStr">
        <is>
          <t>N 31/08 → T 01/09: 6h de descanso (soma 18h)</t>
        </is>
      </c>
      <c r="E218" s="113" t="inlineStr">
        <is>
          <t>art. 66 CLT — 11h</t>
        </is>
      </c>
      <c r="F218" s="165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Yuji</t>
        </is>
      </c>
      <c r="B219" s="113" t="inlineStr">
        <is>
          <t>24h</t>
        </is>
      </c>
      <c r="C219" s="160" t="inlineStr">
        <is>
          <t>01/09</t>
        </is>
      </c>
      <c r="D219" s="68" t="inlineStr">
        <is>
          <t>N 01/09 → T 02/09: 6h de descanso (soma 18h)</t>
        </is>
      </c>
      <c r="E219" s="113" t="inlineStr">
        <is>
          <t>art. 66 CLT — 11h</t>
        </is>
      </c>
      <c r="F219" s="165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Roberta</t>
        </is>
      </c>
      <c r="B220" s="113" t="inlineStr">
        <is>
          <t>36h</t>
        </is>
      </c>
      <c r="C220" s="160" t="inlineStr">
        <is>
          <t>02/09</t>
        </is>
      </c>
      <c r="D220" s="68" t="inlineStr">
        <is>
          <t>N 02/09 → T 03/09: 6h de descanso (soma 18h)</t>
        </is>
      </c>
      <c r="E220" s="113" t="inlineStr">
        <is>
          <t>art. 66 CLT — 11h</t>
        </is>
      </c>
      <c r="F220" s="165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Joaquim</t>
        </is>
      </c>
      <c r="B221" s="113" t="inlineStr">
        <is>
          <t>24h</t>
        </is>
      </c>
      <c r="C221" s="160" t="inlineStr">
        <is>
          <t>04/09</t>
        </is>
      </c>
      <c r="D221" s="68" t="inlineStr">
        <is>
          <t>N 04/09 → T 05/09: 6h de descanso (soma 18h)</t>
        </is>
      </c>
      <c r="E221" s="113" t="inlineStr">
        <is>
          <t>art. 66 CLT — 11h</t>
        </is>
      </c>
      <c r="F221" s="165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Isabella</t>
        </is>
      </c>
      <c r="B222" s="113" t="inlineStr">
        <is>
          <t>36h</t>
        </is>
      </c>
      <c r="C222" s="160" t="inlineStr">
        <is>
          <t>06/09</t>
        </is>
      </c>
      <c r="D222" s="68" t="inlineStr">
        <is>
          <t>N 06/09 → T 07/09: 6h de descanso (soma 18h)</t>
        </is>
      </c>
      <c r="E222" s="113" t="inlineStr">
        <is>
          <t>art. 66 CLT — 11h</t>
        </is>
      </c>
      <c r="F222" s="165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Aline</t>
        </is>
      </c>
      <c r="B223" s="113" t="inlineStr">
        <is>
          <t>36h</t>
        </is>
      </c>
      <c r="C223" s="160" t="inlineStr">
        <is>
          <t>08/09</t>
        </is>
      </c>
      <c r="D223" s="68" t="inlineStr">
        <is>
          <t>N 08/09 → T 09/09: 6h de descanso (soma 18h)</t>
        </is>
      </c>
      <c r="E223" s="113" t="inlineStr">
        <is>
          <t>art. 66 CLT — 11h</t>
        </is>
      </c>
      <c r="F223" s="165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LuAlice</t>
        </is>
      </c>
      <c r="B224" s="113" t="inlineStr">
        <is>
          <t>36h</t>
        </is>
      </c>
      <c r="C224" s="160" t="inlineStr">
        <is>
          <t>10/09</t>
        </is>
      </c>
      <c r="D224" s="68" t="inlineStr">
        <is>
          <t>N 10/09 → T 11/09: 6h de descanso (soma 18h)</t>
        </is>
      </c>
      <c r="E224" s="113" t="inlineStr">
        <is>
          <t>art. 66 CLT — 11h</t>
        </is>
      </c>
      <c r="F224" s="165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João</t>
        </is>
      </c>
      <c r="B225" s="113" t="inlineStr">
        <is>
          <t>30h</t>
        </is>
      </c>
      <c r="C225" s="160" t="inlineStr">
        <is>
          <t>13/09</t>
        </is>
      </c>
      <c r="D225" s="68" t="inlineStr">
        <is>
          <t>N 13/09 → T 14/09: 6h de descanso (soma 18h)</t>
        </is>
      </c>
      <c r="E225" s="113" t="inlineStr">
        <is>
          <t>art. 66 CLT — 11h</t>
        </is>
      </c>
      <c r="F225" s="165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Pedro</t>
        </is>
      </c>
      <c r="B226" s="113" t="inlineStr">
        <is>
          <t>24h</t>
        </is>
      </c>
      <c r="C226" s="160" t="inlineStr">
        <is>
          <t>15/09</t>
        </is>
      </c>
      <c r="D226" s="68" t="inlineStr">
        <is>
          <t>N 15/09 → T 16/09: 6h de descanso (soma 18h)</t>
        </is>
      </c>
      <c r="E226" s="113" t="inlineStr">
        <is>
          <t>art. 66 CLT — 11h</t>
        </is>
      </c>
      <c r="F226" s="165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Roberta</t>
        </is>
      </c>
      <c r="B227" s="113" t="inlineStr">
        <is>
          <t>36h</t>
        </is>
      </c>
      <c r="C227" s="160" t="inlineStr">
        <is>
          <t>17/09</t>
        </is>
      </c>
      <c r="D227" s="68" t="inlineStr">
        <is>
          <t>N 17/09 → T 18/09: 6h de descanso (soma 18h)</t>
        </is>
      </c>
      <c r="E227" s="113" t="inlineStr">
        <is>
          <t>art. 66 CLT — 11h</t>
        </is>
      </c>
      <c r="F227" s="165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CaAbreu</t>
        </is>
      </c>
      <c r="B228" s="113" t="inlineStr">
        <is>
          <t>36h</t>
        </is>
      </c>
      <c r="C228" s="160" t="inlineStr">
        <is>
          <t>20/09</t>
        </is>
      </c>
      <c r="D228" s="68" t="inlineStr">
        <is>
          <t>N 20/09 → T 21/09: 6h de descanso (soma 18h)</t>
        </is>
      </c>
      <c r="E228" s="113" t="inlineStr">
        <is>
          <t>art. 66 CLT — 11h</t>
        </is>
      </c>
      <c r="F228" s="165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Aline</t>
        </is>
      </c>
      <c r="B229" s="113" t="inlineStr">
        <is>
          <t>36h</t>
        </is>
      </c>
      <c r="C229" s="160" t="inlineStr">
        <is>
          <t>21/09</t>
        </is>
      </c>
      <c r="D229" s="68" t="inlineStr">
        <is>
          <t>N 21/09 → T 22/09: 6h de descanso (soma 18h)</t>
        </is>
      </c>
      <c r="E229" s="113" t="inlineStr">
        <is>
          <t>art. 66 CLT — 11h</t>
        </is>
      </c>
      <c r="F229" s="165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JuCoutinho</t>
        </is>
      </c>
      <c r="B230" s="113" t="inlineStr">
        <is>
          <t>30h</t>
        </is>
      </c>
      <c r="C230" s="160" t="inlineStr">
        <is>
          <t>27/09</t>
        </is>
      </c>
      <c r="D230" s="68" t="inlineStr">
        <is>
          <t>N 27/09 → T 28/09: 6h de descanso (soma 18h)</t>
        </is>
      </c>
      <c r="E230" s="113" t="inlineStr">
        <is>
          <t>art. 66 CLT — 11h</t>
        </is>
      </c>
      <c r="F230" s="165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Raylander</t>
        </is>
      </c>
      <c r="B231" s="113" t="inlineStr">
        <is>
          <t>30h</t>
        </is>
      </c>
      <c r="C231" s="160" t="inlineStr">
        <is>
          <t>01/10</t>
        </is>
      </c>
      <c r="D231" s="68" t="inlineStr">
        <is>
          <t>N 01/10 → T 02/10: 6h de descanso (soma 18h)</t>
        </is>
      </c>
      <c r="E231" s="113" t="inlineStr">
        <is>
          <t>art. 66 CLT — 11h</t>
        </is>
      </c>
      <c r="F231" s="165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Aline</t>
        </is>
      </c>
      <c r="B232" s="113" t="inlineStr">
        <is>
          <t>36h</t>
        </is>
      </c>
      <c r="C232" s="160" t="inlineStr">
        <is>
          <t>02/10</t>
        </is>
      </c>
      <c r="D232" s="68" t="inlineStr">
        <is>
          <t>N 02/10 → T 03/10: 6h de descanso (soma 18h)</t>
        </is>
      </c>
      <c r="E232" s="113" t="inlineStr">
        <is>
          <t>art. 66 CLT — 11h</t>
        </is>
      </c>
      <c r="F232" s="165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Isabella</t>
        </is>
      </c>
      <c r="B233" s="113" t="inlineStr">
        <is>
          <t>36h</t>
        </is>
      </c>
      <c r="C233" s="160" t="inlineStr">
        <is>
          <t>04/10</t>
        </is>
      </c>
      <c r="D233" s="68" t="inlineStr">
        <is>
          <t>N 04/10 → T 05/10: 6h de descanso (soma 18h)</t>
        </is>
      </c>
      <c r="E233" s="113" t="inlineStr">
        <is>
          <t>art. 66 CLT — 11h</t>
        </is>
      </c>
      <c r="F233" s="165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Roberta</t>
        </is>
      </c>
      <c r="B234" s="113" t="inlineStr">
        <is>
          <t>36h</t>
        </is>
      </c>
      <c r="C234" s="160" t="inlineStr">
        <is>
          <t>04/10</t>
        </is>
      </c>
      <c r="D234" s="68" t="inlineStr">
        <is>
          <t>N 04/10 → T 05/10: 6h de descanso (soma 18h)</t>
        </is>
      </c>
      <c r="E234" s="113" t="inlineStr">
        <is>
          <t>art. 66 CLT — 11h</t>
        </is>
      </c>
      <c r="F234" s="165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Pedro</t>
        </is>
      </c>
      <c r="B235" s="113" t="inlineStr">
        <is>
          <t>24h</t>
        </is>
      </c>
      <c r="C235" s="160" t="inlineStr">
        <is>
          <t>06/10</t>
        </is>
      </c>
      <c r="D235" s="68" t="inlineStr">
        <is>
          <t>N 06/10 → T 07/10: 6h de descanso (soma 18h)</t>
        </is>
      </c>
      <c r="E235" s="113" t="inlineStr">
        <is>
          <t>art. 66 CLT — 11h</t>
        </is>
      </c>
      <c r="F235" s="165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Raylander</t>
        </is>
      </c>
      <c r="B236" s="113" t="inlineStr">
        <is>
          <t>30h</t>
        </is>
      </c>
      <c r="C236" s="160" t="inlineStr">
        <is>
          <t>10/10</t>
        </is>
      </c>
      <c r="D236" s="68" t="inlineStr">
        <is>
          <t>N 10/10 → T 11/10: 6h de descanso (soma 18h)</t>
        </is>
      </c>
      <c r="E236" s="113" t="inlineStr">
        <is>
          <t>art. 66 CLT — 11h</t>
        </is>
      </c>
      <c r="F236" s="165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13" t="inlineStr">
        <is>
          <t>30h</t>
        </is>
      </c>
      <c r="C237" s="160" t="inlineStr">
        <is>
          <t>14/10</t>
        </is>
      </c>
      <c r="D237" s="68" t="inlineStr">
        <is>
          <t>N 14/10 → T 15/10: 6h de descanso (soma 18h)</t>
        </is>
      </c>
      <c r="E237" s="113" t="inlineStr">
        <is>
          <t>art. 66 CLT — 11h</t>
        </is>
      </c>
      <c r="F237" s="165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81" t="inlineStr">
        <is>
          <t>Rosana</t>
        </is>
      </c>
      <c r="B238" s="113" t="inlineStr">
        <is>
          <t>30h</t>
        </is>
      </c>
      <c r="C238" s="160" t="inlineStr">
        <is>
          <t>17/10</t>
        </is>
      </c>
      <c r="D238" s="68" t="inlineStr">
        <is>
          <t>N 17/10 → T 18/10: 6h de descanso (soma 18h)</t>
        </is>
      </c>
      <c r="E238" s="113" t="inlineStr">
        <is>
          <t>art. 66 CLT — 11h</t>
        </is>
      </c>
      <c r="F238" s="165" t="inlineStr">
        <is>
          <t>REGISTRO</t>
        </is>
      </c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81" t="inlineStr">
        <is>
          <t>Roberta</t>
        </is>
      </c>
      <c r="B239" s="113" t="inlineStr">
        <is>
          <t>36h</t>
        </is>
      </c>
      <c r="C239" s="160" t="inlineStr">
        <is>
          <t>20/10</t>
        </is>
      </c>
      <c r="D239" s="68" t="inlineStr">
        <is>
          <t>N 20/10 → T 21/10: 6h de descanso (soma 18h)</t>
        </is>
      </c>
      <c r="E239" s="113" t="inlineStr">
        <is>
          <t>art. 66 CLT — 11h</t>
        </is>
      </c>
      <c r="F239" s="165" t="inlineStr">
        <is>
          <t>REGISTRO</t>
        </is>
      </c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81" t="inlineStr">
        <is>
          <t>Pedro</t>
        </is>
      </c>
      <c r="B240" s="113" t="inlineStr">
        <is>
          <t>24h</t>
        </is>
      </c>
      <c r="C240" s="160" t="inlineStr">
        <is>
          <t>25/10</t>
        </is>
      </c>
      <c r="D240" s="68" t="inlineStr">
        <is>
          <t>N 25/10 → T 26/10: 6h de descanso (soma 18h)</t>
        </is>
      </c>
      <c r="E240" s="113" t="inlineStr">
        <is>
          <t>art. 66 CLT — 11h</t>
        </is>
      </c>
      <c r="F240" s="165" t="inlineStr">
        <is>
          <t>REGISTRO</t>
        </is>
      </c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>
      <c r="A241" s="81" t="inlineStr">
        <is>
          <t>João</t>
        </is>
      </c>
      <c r="B241" s="113" t="inlineStr">
        <is>
          <t>30h</t>
        </is>
      </c>
      <c r="C241" s="160" t="inlineStr">
        <is>
          <t>28/10</t>
        </is>
      </c>
      <c r="D241" s="68" t="inlineStr">
        <is>
          <t>N 28/10 → T 29/10: 6h de descanso (soma 18h)</t>
        </is>
      </c>
      <c r="E241" s="113" t="inlineStr">
        <is>
          <t>art. 66 CLT — 11h</t>
        </is>
      </c>
      <c r="F241" s="165" t="inlineStr">
        <is>
          <t>REGISTRO</t>
        </is>
      </c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81" t="inlineStr">
        <is>
          <t>CaAbreu</t>
        </is>
      </c>
      <c r="B242" s="113" t="inlineStr">
        <is>
          <t>36h</t>
        </is>
      </c>
      <c r="C242" s="160" t="inlineStr">
        <is>
          <t>31/10</t>
        </is>
      </c>
      <c r="D242" s="68" t="inlineStr">
        <is>
          <t>N 31/10 → T 01/11: 6h de descanso (soma 18h)</t>
        </is>
      </c>
      <c r="E242" s="113" t="inlineStr">
        <is>
          <t>art. 66 CLT — 11h</t>
        </is>
      </c>
      <c r="F242" s="165" t="inlineStr">
        <is>
          <t>REGISTRO</t>
        </is>
      </c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</row>
    <row r="245">
      <c r="A245" s="158" t="inlineStr">
        <is>
          <t>ADICIONAL NOTURNO — horas em 22h–05h, por pessoa e mês</t>
        </is>
      </c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</row>
    <row r="246" ht="24" customHeight="1">
      <c r="A246" s="83" t="inlineStr">
        <is>
          <t>Insumo da folha: a hora noturna vale 52min30s e o adicional é de no mínimo 20% (art. 73 CLT). A noite de 19–07h cai inteira dentro da janela nas 7 horas entre 22h e 05h.</t>
        </is>
      </c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</row>
    <row r="248">
      <c r="A248" s="159" t="inlineStr">
        <is>
          <t>Médico</t>
        </is>
      </c>
      <c r="B248" s="146" t="inlineStr">
        <is>
          <t>JAN</t>
        </is>
      </c>
      <c r="C248" s="146" t="inlineStr">
        <is>
          <t>FEV</t>
        </is>
      </c>
      <c r="D248" s="146" t="inlineStr">
        <is>
          <t>MAR</t>
        </is>
      </c>
      <c r="E248" s="146" t="inlineStr">
        <is>
          <t>ABR</t>
        </is>
      </c>
      <c r="F248" s="146" t="inlineStr">
        <is>
          <t>MAI</t>
        </is>
      </c>
      <c r="G248" s="146" t="inlineStr">
        <is>
          <t>JUN</t>
        </is>
      </c>
      <c r="H248" s="146" t="inlineStr">
        <is>
          <t>JUL</t>
        </is>
      </c>
      <c r="I248" s="146" t="inlineStr">
        <is>
          <t>AGO</t>
        </is>
      </c>
      <c r="J248" s="146" t="inlineStr">
        <is>
          <t>SET</t>
        </is>
      </c>
      <c r="K248" s="146" t="inlineStr">
        <is>
          <t>OUT</t>
        </is>
      </c>
      <c r="L248" s="146" t="inlineStr">
        <is>
          <t>NOV</t>
        </is>
      </c>
      <c r="M248" s="146" t="inlineStr">
        <is>
          <t>DEZ</t>
        </is>
      </c>
      <c r="N248" s="166" t="inlineStr">
        <is>
          <t>Ano</t>
        </is>
      </c>
    </row>
    <row r="249">
      <c r="A249" s="84" t="inlineStr">
        <is>
          <t>MSalomão</t>
        </is>
      </c>
      <c r="B249" s="120" t="n">
        <v>14</v>
      </c>
      <c r="C249" s="120" t="n">
        <v>7</v>
      </c>
      <c r="D249" s="120" t="n">
        <v>21</v>
      </c>
      <c r="E249" s="120" t="n">
        <v>14</v>
      </c>
      <c r="F249" s="120" t="n">
        <v>14</v>
      </c>
      <c r="G249" s="120" t="n">
        <v>28</v>
      </c>
      <c r="H249" s="120" t="n">
        <v>14</v>
      </c>
      <c r="I249" s="120" t="n">
        <v>14</v>
      </c>
      <c r="J249" s="120" t="n">
        <v>14</v>
      </c>
      <c r="K249" s="120" t="n">
        <v>14</v>
      </c>
      <c r="L249" s="39" t="n"/>
      <c r="M249" s="39" t="n"/>
      <c r="N249" s="154" t="n">
        <v>154</v>
      </c>
    </row>
    <row r="250">
      <c r="A250" s="84" t="inlineStr">
        <is>
          <t>Vinicius</t>
        </is>
      </c>
      <c r="B250" s="120" t="n">
        <v>14</v>
      </c>
      <c r="C250" s="120" t="n">
        <v>14</v>
      </c>
      <c r="D250" s="120" t="n">
        <v>14</v>
      </c>
      <c r="E250" s="120" t="n">
        <v>7</v>
      </c>
      <c r="F250" s="120" t="n">
        <v>21</v>
      </c>
      <c r="G250" s="120" t="n">
        <v>14</v>
      </c>
      <c r="H250" s="120" t="n">
        <v>7</v>
      </c>
      <c r="I250" s="120" t="n">
        <v>7</v>
      </c>
      <c r="J250" s="120" t="n">
        <v>7</v>
      </c>
      <c r="K250" s="120" t="n">
        <v>14</v>
      </c>
      <c r="L250" s="39" t="n"/>
      <c r="M250" s="39" t="n"/>
      <c r="N250" s="154" t="n">
        <v>119</v>
      </c>
    </row>
    <row r="251">
      <c r="A251" s="84" t="inlineStr">
        <is>
          <t>Amelio</t>
        </is>
      </c>
      <c r="B251" s="120" t="n">
        <v>28</v>
      </c>
      <c r="C251" s="39" t="n"/>
      <c r="D251" s="39" t="n"/>
      <c r="E251" s="120" t="n">
        <v>7</v>
      </c>
      <c r="F251" s="39" t="n"/>
      <c r="G251" s="39" t="n"/>
      <c r="H251" s="39" t="n"/>
      <c r="I251" s="39" t="n"/>
      <c r="J251" s="120" t="n">
        <v>14</v>
      </c>
      <c r="K251" s="39" t="n"/>
      <c r="L251" s="39" t="n"/>
      <c r="M251" s="39" t="n"/>
      <c r="N251" s="154" t="n">
        <v>49</v>
      </c>
    </row>
    <row r="252">
      <c r="A252" s="84" t="inlineStr">
        <is>
          <t>Murilo</t>
        </is>
      </c>
      <c r="B252" s="120" t="n">
        <v>17</v>
      </c>
      <c r="C252" s="120" t="n">
        <v>14</v>
      </c>
      <c r="D252" s="120" t="n">
        <v>14</v>
      </c>
      <c r="E252" s="120" t="n">
        <v>14</v>
      </c>
      <c r="F252" s="120" t="n">
        <v>7</v>
      </c>
      <c r="G252" s="120" t="n">
        <v>14</v>
      </c>
      <c r="H252" s="39" t="n"/>
      <c r="I252" s="39" t="n"/>
      <c r="J252" s="39" t="n"/>
      <c r="K252" s="120" t="n">
        <v>21</v>
      </c>
      <c r="L252" s="39" t="n"/>
      <c r="M252" s="39" t="n"/>
      <c r="N252" s="154" t="n">
        <v>101</v>
      </c>
    </row>
    <row r="253">
      <c r="A253" s="84" t="inlineStr">
        <is>
          <t>Aline</t>
        </is>
      </c>
      <c r="B253" s="120" t="n">
        <v>49</v>
      </c>
      <c r="C253" s="120" t="n">
        <v>49</v>
      </c>
      <c r="D253" s="120" t="n">
        <v>49</v>
      </c>
      <c r="E253" s="120" t="n">
        <v>56</v>
      </c>
      <c r="F253" s="120" t="n">
        <v>49</v>
      </c>
      <c r="G253" s="120" t="n">
        <v>28</v>
      </c>
      <c r="H253" s="120" t="n">
        <v>49</v>
      </c>
      <c r="I253" s="120" t="n">
        <v>49</v>
      </c>
      <c r="J253" s="120" t="n">
        <v>35</v>
      </c>
      <c r="K253" s="120" t="n">
        <v>35</v>
      </c>
      <c r="L253" s="39" t="n"/>
      <c r="M253" s="39" t="n"/>
      <c r="N253" s="154" t="n">
        <v>448</v>
      </c>
    </row>
    <row r="254">
      <c r="A254" s="84" t="inlineStr">
        <is>
          <t>CaAbreu</t>
        </is>
      </c>
      <c r="B254" s="120" t="n">
        <v>14</v>
      </c>
      <c r="C254" s="39" t="n"/>
      <c r="D254" s="120" t="n">
        <v>7</v>
      </c>
      <c r="E254" s="120" t="n">
        <v>14</v>
      </c>
      <c r="F254" s="39" t="n"/>
      <c r="G254" s="120" t="n">
        <v>7</v>
      </c>
      <c r="H254" s="120" t="n">
        <v>7</v>
      </c>
      <c r="I254" s="120" t="n">
        <v>14</v>
      </c>
      <c r="J254" s="120" t="n">
        <v>14</v>
      </c>
      <c r="K254" s="120" t="n">
        <v>7</v>
      </c>
      <c r="L254" s="39" t="n"/>
      <c r="M254" s="39" t="n"/>
      <c r="N254" s="154" t="n">
        <v>84</v>
      </c>
    </row>
    <row r="255">
      <c r="A255" s="84" t="inlineStr">
        <is>
          <t>Danielle</t>
        </is>
      </c>
      <c r="B255" s="120" t="n">
        <v>73</v>
      </c>
      <c r="C255" s="120" t="n">
        <v>84</v>
      </c>
      <c r="D255" s="120" t="n">
        <v>91</v>
      </c>
      <c r="E255" s="120" t="n">
        <v>91</v>
      </c>
      <c r="F255" s="120" t="n">
        <v>91</v>
      </c>
      <c r="G255" s="120" t="n">
        <v>42</v>
      </c>
      <c r="H255" s="120" t="n">
        <v>98</v>
      </c>
      <c r="I255" s="120" t="n">
        <v>35</v>
      </c>
      <c r="J255" s="120" t="n">
        <v>91</v>
      </c>
      <c r="K255" s="120" t="n">
        <v>91</v>
      </c>
      <c r="L255" s="39" t="n"/>
      <c r="M255" s="39" t="n"/>
      <c r="N255" s="154" t="n">
        <v>787</v>
      </c>
    </row>
    <row r="256">
      <c r="A256" s="84" t="inlineStr">
        <is>
          <t>Fabiula</t>
        </is>
      </c>
      <c r="B256" s="120" t="n">
        <v>84</v>
      </c>
      <c r="C256" s="120" t="n">
        <v>84</v>
      </c>
      <c r="D256" s="120" t="n">
        <v>98</v>
      </c>
      <c r="E256" s="120" t="n">
        <v>91</v>
      </c>
      <c r="F256" s="120" t="n">
        <v>49</v>
      </c>
      <c r="G256" s="120" t="n">
        <v>91</v>
      </c>
      <c r="H256" s="120" t="n">
        <v>84</v>
      </c>
      <c r="I256" s="120" t="n">
        <v>84</v>
      </c>
      <c r="J256" s="120" t="n">
        <v>98</v>
      </c>
      <c r="K256" s="120" t="n">
        <v>84</v>
      </c>
      <c r="L256" s="120" t="n">
        <v>7</v>
      </c>
      <c r="M256" s="39" t="n"/>
      <c r="N256" s="154" t="n">
        <v>854</v>
      </c>
    </row>
    <row r="257">
      <c r="A257" s="84" t="inlineStr">
        <is>
          <t>Isabella</t>
        </is>
      </c>
      <c r="B257" s="120" t="n">
        <v>21</v>
      </c>
      <c r="C257" s="120" t="n">
        <v>28</v>
      </c>
      <c r="D257" s="120" t="n">
        <v>35</v>
      </c>
      <c r="E257" s="120" t="n">
        <v>14</v>
      </c>
      <c r="F257" s="120" t="n">
        <v>21</v>
      </c>
      <c r="G257" s="120" t="n">
        <v>42</v>
      </c>
      <c r="H257" s="120" t="n">
        <v>35</v>
      </c>
      <c r="I257" s="120" t="n">
        <v>14</v>
      </c>
      <c r="J257" s="120" t="n">
        <v>7</v>
      </c>
      <c r="K257" s="120" t="n">
        <v>28</v>
      </c>
      <c r="L257" s="39" t="n"/>
      <c r="M257" s="39" t="n"/>
      <c r="N257" s="154" t="n">
        <v>245</v>
      </c>
    </row>
    <row r="258">
      <c r="A258" s="84" t="inlineStr">
        <is>
          <t>JuBrito</t>
        </is>
      </c>
      <c r="B258" s="120" t="n">
        <v>7</v>
      </c>
      <c r="C258" s="120" t="n">
        <v>7</v>
      </c>
      <c r="D258" s="120" t="n">
        <v>14</v>
      </c>
      <c r="E258" s="120" t="n">
        <v>7</v>
      </c>
      <c r="F258" s="120" t="n">
        <v>14</v>
      </c>
      <c r="G258" s="120" t="n">
        <v>14</v>
      </c>
      <c r="H258" s="120" t="n">
        <v>7</v>
      </c>
      <c r="I258" s="39" t="n"/>
      <c r="J258" s="120" t="n">
        <v>7</v>
      </c>
      <c r="K258" s="120" t="n">
        <v>7</v>
      </c>
      <c r="L258" s="39" t="n"/>
      <c r="M258" s="39" t="n"/>
      <c r="N258" s="154" t="n">
        <v>84</v>
      </c>
    </row>
    <row r="259">
      <c r="A259" s="84" t="inlineStr">
        <is>
          <t>Mayana</t>
        </is>
      </c>
      <c r="B259" s="120" t="n">
        <v>21</v>
      </c>
      <c r="C259" s="120" t="n">
        <v>28</v>
      </c>
      <c r="D259" s="120" t="n">
        <v>14</v>
      </c>
      <c r="E259" s="120" t="n">
        <v>14</v>
      </c>
      <c r="F259" s="120" t="n">
        <v>7</v>
      </c>
      <c r="G259" s="120" t="n">
        <v>21</v>
      </c>
      <c r="H259" s="120" t="n">
        <v>21</v>
      </c>
      <c r="I259" s="120" t="n">
        <v>14</v>
      </c>
      <c r="J259" s="120" t="n">
        <v>28</v>
      </c>
      <c r="K259" s="120" t="n">
        <v>21</v>
      </c>
      <c r="L259" s="39" t="n"/>
      <c r="M259" s="39" t="n"/>
      <c r="N259" s="154" t="n">
        <v>189</v>
      </c>
    </row>
    <row r="260">
      <c r="A260" s="84" t="inlineStr">
        <is>
          <t>Neyde</t>
        </is>
      </c>
      <c r="B260" s="120" t="n">
        <v>91</v>
      </c>
      <c r="C260" s="120" t="n">
        <v>77</v>
      </c>
      <c r="D260" s="120" t="n">
        <v>105</v>
      </c>
      <c r="E260" s="120" t="n">
        <v>91</v>
      </c>
      <c r="F260" s="120" t="n">
        <v>84</v>
      </c>
      <c r="G260" s="120" t="n">
        <v>49</v>
      </c>
      <c r="H260" s="120" t="n">
        <v>98</v>
      </c>
      <c r="I260" s="120" t="n">
        <v>91</v>
      </c>
      <c r="J260" s="120" t="n">
        <v>105</v>
      </c>
      <c r="K260" s="120" t="n">
        <v>42</v>
      </c>
      <c r="L260" s="39" t="n"/>
      <c r="M260" s="39" t="n"/>
      <c r="N260" s="154" t="n">
        <v>833</v>
      </c>
    </row>
    <row r="261">
      <c r="A261" s="84" t="inlineStr">
        <is>
          <t>Roberta</t>
        </is>
      </c>
      <c r="B261" s="120" t="n">
        <v>7</v>
      </c>
      <c r="C261" s="120" t="n">
        <v>56</v>
      </c>
      <c r="D261" s="120" t="n">
        <v>49</v>
      </c>
      <c r="E261" s="120" t="n">
        <v>49</v>
      </c>
      <c r="F261" s="120" t="n">
        <v>56</v>
      </c>
      <c r="G261" s="120" t="n">
        <v>56</v>
      </c>
      <c r="H261" s="120" t="n">
        <v>14</v>
      </c>
      <c r="I261" s="120" t="n">
        <v>42</v>
      </c>
      <c r="J261" s="120" t="n">
        <v>63</v>
      </c>
      <c r="K261" s="120" t="n">
        <v>35</v>
      </c>
      <c r="L261" s="120" t="n">
        <v>7</v>
      </c>
      <c r="M261" s="39" t="n"/>
      <c r="N261" s="154" t="n">
        <v>434</v>
      </c>
    </row>
    <row r="262">
      <c r="A262" s="84" t="inlineStr">
        <is>
          <t>LuAlice</t>
        </is>
      </c>
      <c r="B262" s="120" t="n">
        <v>70</v>
      </c>
      <c r="C262" s="120" t="n">
        <v>28</v>
      </c>
      <c r="D262" s="120" t="n">
        <v>56</v>
      </c>
      <c r="E262" s="120" t="n">
        <v>77</v>
      </c>
      <c r="F262" s="120" t="n">
        <v>70</v>
      </c>
      <c r="G262" s="120" t="n">
        <v>66</v>
      </c>
      <c r="H262" s="120" t="n">
        <v>91</v>
      </c>
      <c r="I262" s="120" t="n">
        <v>77</v>
      </c>
      <c r="J262" s="120" t="n">
        <v>84</v>
      </c>
      <c r="K262" s="120" t="n">
        <v>91</v>
      </c>
      <c r="L262" s="39" t="n"/>
      <c r="M262" s="39" t="n"/>
      <c r="N262" s="154" t="n">
        <v>710</v>
      </c>
    </row>
    <row r="263">
      <c r="A263" s="84" t="inlineStr">
        <is>
          <t>Amanda</t>
        </is>
      </c>
      <c r="B263" s="120" t="n">
        <v>24</v>
      </c>
      <c r="C263" s="120" t="n">
        <v>7</v>
      </c>
      <c r="D263" s="120" t="n">
        <v>42</v>
      </c>
      <c r="E263" s="120" t="n">
        <v>21</v>
      </c>
      <c r="F263" s="120" t="n">
        <v>21</v>
      </c>
      <c r="G263" s="120" t="n">
        <v>14</v>
      </c>
      <c r="H263" s="120" t="n">
        <v>21</v>
      </c>
      <c r="I263" s="120" t="n">
        <v>35</v>
      </c>
      <c r="J263" s="120" t="n">
        <v>21</v>
      </c>
      <c r="K263" s="120" t="n">
        <v>14</v>
      </c>
      <c r="L263" s="39" t="n"/>
      <c r="M263" s="39" t="n"/>
      <c r="N263" s="154" t="n">
        <v>220</v>
      </c>
    </row>
    <row r="264">
      <c r="A264" s="84" t="inlineStr">
        <is>
          <t>Fernando</t>
        </is>
      </c>
      <c r="B264" s="120" t="n">
        <v>28</v>
      </c>
      <c r="C264" s="120" t="n">
        <v>28</v>
      </c>
      <c r="D264" s="120" t="n">
        <v>35</v>
      </c>
      <c r="E264" s="120" t="n">
        <v>35</v>
      </c>
      <c r="F264" s="120" t="n">
        <v>28</v>
      </c>
      <c r="G264" s="120" t="n">
        <v>28</v>
      </c>
      <c r="H264" s="120" t="n">
        <v>28</v>
      </c>
      <c r="I264" s="120" t="n">
        <v>35</v>
      </c>
      <c r="J264" s="120" t="n">
        <v>21</v>
      </c>
      <c r="K264" s="120" t="n">
        <v>35</v>
      </c>
      <c r="L264" s="39" t="n"/>
      <c r="M264" s="39" t="n"/>
      <c r="N264" s="154" t="n">
        <v>301</v>
      </c>
    </row>
    <row r="265">
      <c r="A265" s="84" t="inlineStr">
        <is>
          <t>João</t>
        </is>
      </c>
      <c r="B265" s="120" t="n">
        <v>49</v>
      </c>
      <c r="C265" s="120" t="n">
        <v>56</v>
      </c>
      <c r="D265" s="120" t="n">
        <v>35</v>
      </c>
      <c r="E265" s="120" t="n">
        <v>63</v>
      </c>
      <c r="F265" s="120" t="n">
        <v>56</v>
      </c>
      <c r="G265" s="120" t="n">
        <v>35</v>
      </c>
      <c r="H265" s="120" t="n">
        <v>56</v>
      </c>
      <c r="I265" s="120" t="n">
        <v>49</v>
      </c>
      <c r="J265" s="120" t="n">
        <v>14</v>
      </c>
      <c r="K265" s="120" t="n">
        <v>35</v>
      </c>
      <c r="L265" s="120" t="n">
        <v>7</v>
      </c>
      <c r="M265" s="39" t="n"/>
      <c r="N265" s="154" t="n">
        <v>455</v>
      </c>
    </row>
    <row r="266">
      <c r="A266" s="84" t="inlineStr">
        <is>
          <t>JuCoutinho</t>
        </is>
      </c>
      <c r="B266" s="120" t="n">
        <v>14</v>
      </c>
      <c r="C266" s="120" t="n">
        <v>14</v>
      </c>
      <c r="D266" s="120" t="n">
        <v>42</v>
      </c>
      <c r="E266" s="120" t="n">
        <v>56</v>
      </c>
      <c r="F266" s="120" t="n">
        <v>28</v>
      </c>
      <c r="G266" s="120" t="n">
        <v>21</v>
      </c>
      <c r="H266" s="120" t="n">
        <v>21</v>
      </c>
      <c r="I266" s="120" t="n">
        <v>21</v>
      </c>
      <c r="J266" s="120" t="n">
        <v>7</v>
      </c>
      <c r="K266" s="120" t="n">
        <v>21</v>
      </c>
      <c r="L266" s="39" t="n"/>
      <c r="M266" s="39" t="n"/>
      <c r="N266" s="154" t="n">
        <v>245</v>
      </c>
    </row>
    <row r="267">
      <c r="A267" s="84" t="inlineStr">
        <is>
          <t>LeLemos</t>
        </is>
      </c>
      <c r="B267" s="120" t="n">
        <v>35</v>
      </c>
      <c r="C267" s="120" t="n">
        <v>21</v>
      </c>
      <c r="D267" s="120" t="n">
        <v>7</v>
      </c>
      <c r="E267" s="39" t="n"/>
      <c r="F267" s="120" t="n">
        <v>21</v>
      </c>
      <c r="G267" s="120" t="n">
        <v>35</v>
      </c>
      <c r="H267" s="120" t="n">
        <v>14</v>
      </c>
      <c r="I267" s="120" t="n">
        <v>14</v>
      </c>
      <c r="J267" s="120" t="n">
        <v>14</v>
      </c>
      <c r="K267" s="120" t="n">
        <v>21</v>
      </c>
      <c r="L267" s="39" t="n"/>
      <c r="M267" s="39" t="n"/>
      <c r="N267" s="154" t="n">
        <v>182</v>
      </c>
    </row>
    <row r="268">
      <c r="A268" s="84" t="inlineStr">
        <is>
          <t>Leomara</t>
        </is>
      </c>
      <c r="B268" s="39" t="n"/>
      <c r="C268" s="39" t="n"/>
      <c r="D268" s="39" t="n"/>
      <c r="E268" s="39" t="n"/>
      <c r="F268" s="39" t="n"/>
      <c r="G268" s="39" t="n"/>
      <c r="H268" s="120" t="n">
        <v>14</v>
      </c>
      <c r="I268" s="120" t="n">
        <v>14</v>
      </c>
      <c r="J268" s="120" t="n">
        <v>7</v>
      </c>
      <c r="K268" s="120" t="n">
        <v>7</v>
      </c>
      <c r="L268" s="39" t="n"/>
      <c r="M268" s="39" t="n"/>
      <c r="N268" s="154" t="n">
        <v>42</v>
      </c>
    </row>
    <row r="269">
      <c r="A269" s="84" t="inlineStr">
        <is>
          <t>Marilia</t>
        </is>
      </c>
      <c r="B269" s="120" t="n">
        <v>7</v>
      </c>
      <c r="C269" s="39" t="n"/>
      <c r="D269" s="120" t="n">
        <v>7</v>
      </c>
      <c r="E269" s="120" t="n">
        <v>7</v>
      </c>
      <c r="F269" s="120" t="n">
        <v>7</v>
      </c>
      <c r="G269" s="39" t="n"/>
      <c r="H269" s="120" t="n">
        <v>7</v>
      </c>
      <c r="I269" s="120" t="n">
        <v>7</v>
      </c>
      <c r="J269" s="120" t="n">
        <v>7</v>
      </c>
      <c r="K269" s="120" t="n">
        <v>7</v>
      </c>
      <c r="L269" s="39" t="n"/>
      <c r="M269" s="39" t="n"/>
      <c r="N269" s="154" t="n">
        <v>56</v>
      </c>
    </row>
    <row r="270">
      <c r="A270" s="84" t="inlineStr">
        <is>
          <t>Raylander</t>
        </is>
      </c>
      <c r="B270" s="120" t="n">
        <v>49</v>
      </c>
      <c r="C270" s="120" t="n">
        <v>28</v>
      </c>
      <c r="D270" s="120" t="n">
        <v>28</v>
      </c>
      <c r="E270" s="120" t="n">
        <v>49</v>
      </c>
      <c r="F270" s="120" t="n">
        <v>28</v>
      </c>
      <c r="G270" s="120" t="n">
        <v>49</v>
      </c>
      <c r="H270" s="120" t="n">
        <v>35</v>
      </c>
      <c r="I270" s="120" t="n">
        <v>49</v>
      </c>
      <c r="J270" s="120" t="n">
        <v>28</v>
      </c>
      <c r="K270" s="120" t="n">
        <v>42</v>
      </c>
      <c r="L270" s="39" t="n"/>
      <c r="M270" s="39" t="n"/>
      <c r="N270" s="154" t="n">
        <v>385</v>
      </c>
    </row>
    <row r="271">
      <c r="A271" s="84" t="inlineStr">
        <is>
          <t>Ricardo</t>
        </is>
      </c>
      <c r="B271" s="120" t="n">
        <v>24</v>
      </c>
      <c r="C271" s="120" t="n">
        <v>21</v>
      </c>
      <c r="D271" s="120" t="n">
        <v>14</v>
      </c>
      <c r="E271" s="120" t="n">
        <v>7</v>
      </c>
      <c r="F271" s="120" t="n">
        <v>49</v>
      </c>
      <c r="G271" s="120" t="n">
        <v>28</v>
      </c>
      <c r="H271" s="120" t="n">
        <v>35</v>
      </c>
      <c r="I271" s="120" t="n">
        <v>35</v>
      </c>
      <c r="J271" s="120" t="n">
        <v>21</v>
      </c>
      <c r="K271" s="120" t="n">
        <v>21</v>
      </c>
      <c r="L271" s="39" t="n"/>
      <c r="M271" s="39" t="n"/>
      <c r="N271" s="154" t="n">
        <v>255</v>
      </c>
    </row>
    <row r="272">
      <c r="A272" s="84" t="inlineStr">
        <is>
          <t>Rosana</t>
        </is>
      </c>
      <c r="B272" s="120" t="n">
        <v>14</v>
      </c>
      <c r="C272" s="120" t="n">
        <v>21</v>
      </c>
      <c r="D272" s="120" t="n">
        <v>14</v>
      </c>
      <c r="E272" s="120" t="n">
        <v>7</v>
      </c>
      <c r="F272" s="120" t="n">
        <v>49</v>
      </c>
      <c r="G272" s="120" t="n">
        <v>28</v>
      </c>
      <c r="H272" s="120" t="n">
        <v>7</v>
      </c>
      <c r="I272" s="120" t="n">
        <v>35</v>
      </c>
      <c r="J272" s="120" t="n">
        <v>14</v>
      </c>
      <c r="K272" s="120" t="n">
        <v>14</v>
      </c>
      <c r="L272" s="39" t="n"/>
      <c r="M272" s="39" t="n"/>
      <c r="N272" s="154" t="n">
        <v>203</v>
      </c>
    </row>
    <row r="273">
      <c r="A273" s="84" t="inlineStr">
        <is>
          <t>AnaSeverino</t>
        </is>
      </c>
      <c r="B273" s="39" t="n"/>
      <c r="C273" s="39" t="n"/>
      <c r="D273" s="39" t="n"/>
      <c r="E273" s="39" t="n"/>
      <c r="F273" s="120" t="n">
        <v>21</v>
      </c>
      <c r="G273" s="120" t="n">
        <v>35</v>
      </c>
      <c r="H273" s="39" t="n"/>
      <c r="I273" s="120" t="n">
        <v>35</v>
      </c>
      <c r="J273" s="120" t="n">
        <v>49</v>
      </c>
      <c r="K273" s="120" t="n">
        <v>28</v>
      </c>
      <c r="L273" s="39" t="n"/>
      <c r="M273" s="39" t="n"/>
      <c r="N273" s="154" t="n">
        <v>168</v>
      </c>
    </row>
    <row r="274">
      <c r="A274" s="84" t="inlineStr">
        <is>
          <t>Anna</t>
        </is>
      </c>
      <c r="B274" s="120" t="n">
        <v>14</v>
      </c>
      <c r="C274" s="120" t="n">
        <v>21</v>
      </c>
      <c r="D274" s="120" t="n">
        <v>14</v>
      </c>
      <c r="E274" s="120" t="n">
        <v>21</v>
      </c>
      <c r="F274" s="120" t="n">
        <v>14</v>
      </c>
      <c r="G274" s="120" t="n">
        <v>21</v>
      </c>
      <c r="H274" s="120" t="n">
        <v>14</v>
      </c>
      <c r="I274" s="120" t="n">
        <v>14</v>
      </c>
      <c r="J274" s="120" t="n">
        <v>21</v>
      </c>
      <c r="K274" s="120" t="n">
        <v>21</v>
      </c>
      <c r="L274" s="39" t="n"/>
      <c r="M274" s="39" t="n"/>
      <c r="N274" s="154" t="n">
        <v>175</v>
      </c>
    </row>
    <row r="275">
      <c r="A275" s="84" t="inlineStr">
        <is>
          <t>Ariadne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39" t="n"/>
      <c r="K275" s="120" t="n">
        <v>14</v>
      </c>
      <c r="L275" s="120" t="n">
        <v>7</v>
      </c>
      <c r="M275" s="39" t="n"/>
      <c r="N275" s="154" t="n">
        <v>21</v>
      </c>
    </row>
    <row r="276">
      <c r="A276" s="84" t="inlineStr">
        <is>
          <t>Beatriz</t>
        </is>
      </c>
      <c r="B276" s="120" t="n">
        <v>14</v>
      </c>
      <c r="C276" s="120" t="n">
        <v>7</v>
      </c>
      <c r="D276" s="120" t="n">
        <v>14</v>
      </c>
      <c r="E276" s="120" t="n">
        <v>14</v>
      </c>
      <c r="F276" s="39" t="n"/>
      <c r="G276" s="120" t="n">
        <v>14</v>
      </c>
      <c r="H276" s="120" t="n">
        <v>7</v>
      </c>
      <c r="I276" s="120" t="n">
        <v>14</v>
      </c>
      <c r="J276" s="39" t="n"/>
      <c r="K276" s="120" t="n">
        <v>7</v>
      </c>
      <c r="L276" s="39" t="n"/>
      <c r="M276" s="39" t="n"/>
      <c r="N276" s="154" t="n">
        <v>91</v>
      </c>
    </row>
    <row r="277">
      <c r="A277" s="84" t="inlineStr">
        <is>
          <t>Bruna</t>
        </is>
      </c>
      <c r="B277" s="120" t="n">
        <v>21</v>
      </c>
      <c r="C277" s="120" t="n">
        <v>21</v>
      </c>
      <c r="D277" s="120" t="n">
        <v>28</v>
      </c>
      <c r="E277" s="120" t="n">
        <v>7</v>
      </c>
      <c r="F277" s="120" t="n">
        <v>35</v>
      </c>
      <c r="G277" s="120" t="n">
        <v>28</v>
      </c>
      <c r="H277" s="120" t="n">
        <v>7</v>
      </c>
      <c r="I277" s="120" t="n">
        <v>7</v>
      </c>
      <c r="J277" s="120" t="n">
        <v>28</v>
      </c>
      <c r="K277" s="120" t="n">
        <v>28</v>
      </c>
      <c r="L277" s="39" t="n"/>
      <c r="M277" s="39" t="n"/>
      <c r="N277" s="154" t="n">
        <v>210</v>
      </c>
    </row>
    <row r="278">
      <c r="A278" s="84" t="inlineStr">
        <is>
          <t>Constantino</t>
        </is>
      </c>
      <c r="B278" s="120" t="n">
        <v>34</v>
      </c>
      <c r="C278" s="120" t="n">
        <v>63</v>
      </c>
      <c r="D278" s="120" t="n">
        <v>63</v>
      </c>
      <c r="E278" s="120" t="n">
        <v>63</v>
      </c>
      <c r="F278" s="120" t="n">
        <v>56</v>
      </c>
      <c r="G278" s="120" t="n">
        <v>56</v>
      </c>
      <c r="H278" s="120" t="n">
        <v>35</v>
      </c>
      <c r="I278" s="120" t="n">
        <v>63</v>
      </c>
      <c r="J278" s="120" t="n">
        <v>56</v>
      </c>
      <c r="K278" s="120" t="n">
        <v>63</v>
      </c>
      <c r="L278" s="39" t="n"/>
      <c r="M278" s="39" t="n"/>
      <c r="N278" s="154" t="n">
        <v>552</v>
      </c>
    </row>
    <row r="279">
      <c r="A279" s="84" t="inlineStr">
        <is>
          <t>DebMatias</t>
        </is>
      </c>
      <c r="B279" s="120" t="n">
        <v>7</v>
      </c>
      <c r="C279" s="39" t="n"/>
      <c r="D279" s="120" t="n">
        <v>7</v>
      </c>
      <c r="E279" s="39" t="n"/>
      <c r="F279" s="120" t="n">
        <v>7</v>
      </c>
      <c r="G279" s="39" t="n"/>
      <c r="H279" s="120" t="n">
        <v>14</v>
      </c>
      <c r="I279" s="39" t="n"/>
      <c r="J279" s="120" t="n">
        <v>7</v>
      </c>
      <c r="K279" s="120" t="n">
        <v>7</v>
      </c>
      <c r="L279" s="39" t="n"/>
      <c r="M279" s="39" t="n"/>
      <c r="N279" s="154" t="n">
        <v>49</v>
      </c>
    </row>
    <row r="280">
      <c r="A280" s="84" t="inlineStr">
        <is>
          <t>Denise</t>
        </is>
      </c>
      <c r="B280" s="120" t="n">
        <v>14</v>
      </c>
      <c r="C280" s="120" t="n">
        <v>7</v>
      </c>
      <c r="D280" s="120" t="n">
        <v>7</v>
      </c>
      <c r="E280" s="120" t="n">
        <v>14</v>
      </c>
      <c r="F280" s="120" t="n">
        <v>7</v>
      </c>
      <c r="G280" s="39" t="n"/>
      <c r="H280" s="120" t="n">
        <v>21</v>
      </c>
      <c r="I280" s="120" t="n">
        <v>7</v>
      </c>
      <c r="J280" s="120" t="n">
        <v>14</v>
      </c>
      <c r="K280" s="120" t="n">
        <v>21</v>
      </c>
      <c r="L280" s="39" t="n"/>
      <c r="M280" s="39" t="n"/>
      <c r="N280" s="154" t="n">
        <v>112</v>
      </c>
    </row>
    <row r="281">
      <c r="A281" s="84" t="inlineStr">
        <is>
          <t>Ernesto</t>
        </is>
      </c>
      <c r="B281" s="120" t="n">
        <v>14</v>
      </c>
      <c r="C281" s="120" t="n">
        <v>7</v>
      </c>
      <c r="D281" s="120" t="n">
        <v>21</v>
      </c>
      <c r="E281" s="120" t="n">
        <v>28</v>
      </c>
      <c r="F281" s="120" t="n">
        <v>28</v>
      </c>
      <c r="G281" s="120" t="n">
        <v>28</v>
      </c>
      <c r="H281" s="120" t="n">
        <v>21</v>
      </c>
      <c r="I281" s="120" t="n">
        <v>28</v>
      </c>
      <c r="J281" s="120" t="n">
        <v>28</v>
      </c>
      <c r="K281" s="120" t="n">
        <v>21</v>
      </c>
      <c r="L281" s="39" t="n"/>
      <c r="M281" s="39" t="n"/>
      <c r="N281" s="154" t="n">
        <v>224</v>
      </c>
    </row>
    <row r="282">
      <c r="A282" s="84" t="inlineStr">
        <is>
          <t>Grayce</t>
        </is>
      </c>
      <c r="B282" s="39" t="n"/>
      <c r="C282" s="120" t="n">
        <v>21</v>
      </c>
      <c r="D282" s="120" t="n">
        <v>21</v>
      </c>
      <c r="E282" s="120" t="n">
        <v>28</v>
      </c>
      <c r="F282" s="120" t="n">
        <v>28</v>
      </c>
      <c r="G282" s="120" t="n">
        <v>28</v>
      </c>
      <c r="H282" s="120" t="n">
        <v>21</v>
      </c>
      <c r="I282" s="120" t="n">
        <v>35</v>
      </c>
      <c r="J282" s="120" t="n">
        <v>35</v>
      </c>
      <c r="K282" s="120" t="n">
        <v>28</v>
      </c>
      <c r="L282" s="39" t="n"/>
      <c r="M282" s="39" t="n"/>
      <c r="N282" s="154" t="n">
        <v>245</v>
      </c>
    </row>
    <row r="283">
      <c r="A283" s="84" t="inlineStr">
        <is>
          <t>Heloa</t>
        </is>
      </c>
      <c r="B283" s="39" t="n"/>
      <c r="C283" s="39" t="n"/>
      <c r="D283" s="39" t="n"/>
      <c r="E283" s="39" t="n"/>
      <c r="F283" s="39" t="n"/>
      <c r="G283" s="39" t="n"/>
      <c r="H283" s="39" t="n"/>
      <c r="I283" s="120" t="n">
        <v>7</v>
      </c>
      <c r="J283" s="39" t="n"/>
      <c r="K283" s="120" t="n">
        <v>7</v>
      </c>
      <c r="L283" s="39" t="n"/>
      <c r="M283" s="39" t="n"/>
      <c r="N283" s="154" t="n">
        <v>14</v>
      </c>
    </row>
    <row r="284">
      <c r="A284" s="84" t="inlineStr">
        <is>
          <t>Iggor</t>
        </is>
      </c>
      <c r="B284" s="120" t="n">
        <v>7</v>
      </c>
      <c r="C284" s="120" t="n">
        <v>7</v>
      </c>
      <c r="D284" s="120" t="n">
        <v>7</v>
      </c>
      <c r="E284" s="120" t="n">
        <v>7</v>
      </c>
      <c r="F284" s="39" t="n"/>
      <c r="G284" s="120" t="n">
        <v>7</v>
      </c>
      <c r="H284" s="39" t="n"/>
      <c r="I284" s="120" t="n">
        <v>7</v>
      </c>
      <c r="J284" s="39" t="n"/>
      <c r="K284" s="120" t="n">
        <v>7</v>
      </c>
      <c r="L284" s="39" t="n"/>
      <c r="M284" s="39" t="n"/>
      <c r="N284" s="154" t="n">
        <v>49</v>
      </c>
    </row>
    <row r="285">
      <c r="A285" s="84" t="inlineStr">
        <is>
          <t>IsaRibeiro</t>
        </is>
      </c>
      <c r="B285" s="120" t="n">
        <v>7</v>
      </c>
      <c r="C285" s="120" t="n">
        <v>14</v>
      </c>
      <c r="D285" s="120" t="n">
        <v>21</v>
      </c>
      <c r="E285" s="120" t="n">
        <v>7</v>
      </c>
      <c r="F285" s="120" t="n">
        <v>14</v>
      </c>
      <c r="G285" s="120" t="n">
        <v>21</v>
      </c>
      <c r="H285" s="120" t="n">
        <v>28</v>
      </c>
      <c r="I285" s="120" t="n">
        <v>14</v>
      </c>
      <c r="J285" s="120" t="n">
        <v>28</v>
      </c>
      <c r="K285" s="120" t="n">
        <v>35</v>
      </c>
      <c r="L285" s="39" t="n"/>
      <c r="M285" s="39" t="n"/>
      <c r="N285" s="154" t="n">
        <v>189</v>
      </c>
    </row>
    <row r="286">
      <c r="A286" s="84" t="inlineStr">
        <is>
          <t>Jaqueline</t>
        </is>
      </c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120" t="n">
        <v>7</v>
      </c>
      <c r="L286" s="39" t="n"/>
      <c r="M286" s="39" t="n"/>
      <c r="N286" s="154" t="n">
        <v>7</v>
      </c>
    </row>
    <row r="287">
      <c r="A287" s="84" t="inlineStr">
        <is>
          <t>Joaquim</t>
        </is>
      </c>
      <c r="B287" s="120" t="n">
        <v>63</v>
      </c>
      <c r="C287" s="120" t="n">
        <v>56</v>
      </c>
      <c r="D287" s="120" t="n">
        <v>28</v>
      </c>
      <c r="E287" s="120" t="n">
        <v>56</v>
      </c>
      <c r="F287" s="120" t="n">
        <v>63</v>
      </c>
      <c r="G287" s="120" t="n">
        <v>63</v>
      </c>
      <c r="H287" s="120" t="n">
        <v>52</v>
      </c>
      <c r="I287" s="120" t="n">
        <v>35</v>
      </c>
      <c r="J287" s="120" t="n">
        <v>56</v>
      </c>
      <c r="K287" s="120" t="n">
        <v>63</v>
      </c>
      <c r="L287" s="39" t="n"/>
      <c r="M287" s="39" t="n"/>
      <c r="N287" s="154" t="n">
        <v>535</v>
      </c>
    </row>
    <row r="288">
      <c r="A288" s="84" t="inlineStr">
        <is>
          <t>JuliaFig</t>
        </is>
      </c>
      <c r="B288" s="120" t="n">
        <v>49</v>
      </c>
      <c r="C288" s="120" t="n">
        <v>42</v>
      </c>
      <c r="D288" s="120" t="n">
        <v>70</v>
      </c>
      <c r="E288" s="120" t="n">
        <v>28</v>
      </c>
      <c r="F288" s="120" t="n">
        <v>49</v>
      </c>
      <c r="G288" s="120" t="n">
        <v>70</v>
      </c>
      <c r="H288" s="120" t="n">
        <v>49</v>
      </c>
      <c r="I288" s="120" t="n">
        <v>56</v>
      </c>
      <c r="J288" s="120" t="n">
        <v>49</v>
      </c>
      <c r="K288" s="120" t="n">
        <v>49</v>
      </c>
      <c r="L288" s="39" t="n"/>
      <c r="M288" s="39" t="n"/>
      <c r="N288" s="154" t="n">
        <v>511</v>
      </c>
    </row>
    <row r="289">
      <c r="A289" s="84" t="inlineStr">
        <is>
          <t>Kozak</t>
        </is>
      </c>
      <c r="B289" s="120" t="n">
        <v>35</v>
      </c>
      <c r="C289" s="120" t="n">
        <v>42</v>
      </c>
      <c r="D289" s="120" t="n">
        <v>14</v>
      </c>
      <c r="E289" s="120" t="n">
        <v>56</v>
      </c>
      <c r="F289" s="120" t="n">
        <v>63</v>
      </c>
      <c r="G289" s="120" t="n">
        <v>56</v>
      </c>
      <c r="H289" s="120" t="n">
        <v>63</v>
      </c>
      <c r="I289" s="120" t="n">
        <v>63</v>
      </c>
      <c r="J289" s="120" t="n">
        <v>56</v>
      </c>
      <c r="K289" s="120" t="n">
        <v>28</v>
      </c>
      <c r="L289" s="39" t="n"/>
      <c r="M289" s="39" t="n"/>
      <c r="N289" s="154" t="n">
        <v>476</v>
      </c>
    </row>
    <row r="290">
      <c r="A290" s="84" t="inlineStr">
        <is>
          <t>Laura</t>
        </is>
      </c>
      <c r="B290" s="39" t="n"/>
      <c r="C290" s="39" t="n"/>
      <c r="D290" s="39" t="n"/>
      <c r="E290" s="120" t="n">
        <v>7</v>
      </c>
      <c r="F290" s="39" t="n"/>
      <c r="G290" s="39" t="n"/>
      <c r="H290" s="39" t="n"/>
      <c r="I290" s="39" t="n"/>
      <c r="J290" s="39" t="n"/>
      <c r="K290" s="120" t="n">
        <v>7</v>
      </c>
      <c r="L290" s="39" t="n"/>
      <c r="M290" s="39" t="n"/>
      <c r="N290" s="154" t="n">
        <v>14</v>
      </c>
    </row>
    <row r="291">
      <c r="A291" s="84" t="inlineStr">
        <is>
          <t>Leticia</t>
        </is>
      </c>
      <c r="B291" s="120" t="n">
        <v>7</v>
      </c>
      <c r="C291" s="39" t="n"/>
      <c r="D291" s="39" t="n"/>
      <c r="E291" s="120" t="n">
        <v>7</v>
      </c>
      <c r="F291" s="39" t="n"/>
      <c r="G291" s="120" t="n">
        <v>7</v>
      </c>
      <c r="H291" s="39" t="n"/>
      <c r="I291" s="120" t="n">
        <v>7</v>
      </c>
      <c r="J291" s="39" t="n"/>
      <c r="K291" s="39" t="n"/>
      <c r="L291" s="39" t="n"/>
      <c r="M291" s="39" t="n"/>
      <c r="N291" s="154" t="n">
        <v>28</v>
      </c>
    </row>
    <row r="292">
      <c r="A292" s="84" t="inlineStr">
        <is>
          <t>LuCosta</t>
        </is>
      </c>
      <c r="B292" s="120" t="n">
        <v>49</v>
      </c>
      <c r="C292" s="120" t="n">
        <v>42</v>
      </c>
      <c r="D292" s="120" t="n">
        <v>28</v>
      </c>
      <c r="E292" s="120" t="n">
        <v>63</v>
      </c>
      <c r="F292" s="120" t="n">
        <v>21</v>
      </c>
      <c r="G292" s="120" t="n">
        <v>42</v>
      </c>
      <c r="H292" s="120" t="n">
        <v>56</v>
      </c>
      <c r="I292" s="120" t="n">
        <v>63</v>
      </c>
      <c r="J292" s="120" t="n">
        <v>42</v>
      </c>
      <c r="K292" s="120" t="n">
        <v>56</v>
      </c>
      <c r="L292" s="39" t="n"/>
      <c r="M292" s="39" t="n"/>
      <c r="N292" s="154" t="n">
        <v>462</v>
      </c>
    </row>
    <row r="293">
      <c r="A293" s="84" t="inlineStr">
        <is>
          <t>Marcia</t>
        </is>
      </c>
      <c r="B293" s="120" t="n">
        <v>28</v>
      </c>
      <c r="C293" s="120" t="n">
        <v>28</v>
      </c>
      <c r="D293" s="120" t="n">
        <v>28</v>
      </c>
      <c r="E293" s="120" t="n">
        <v>21</v>
      </c>
      <c r="F293" s="120" t="n">
        <v>28</v>
      </c>
      <c r="G293" s="120" t="n">
        <v>28</v>
      </c>
      <c r="H293" s="120" t="n">
        <v>35</v>
      </c>
      <c r="I293" s="120" t="n">
        <v>14</v>
      </c>
      <c r="J293" s="120" t="n">
        <v>21</v>
      </c>
      <c r="K293" s="120" t="n">
        <v>35</v>
      </c>
      <c r="L293" s="39" t="n"/>
      <c r="M293" s="39" t="n"/>
      <c r="N293" s="154" t="n">
        <v>266</v>
      </c>
    </row>
    <row r="294">
      <c r="A294" s="84" t="inlineStr">
        <is>
          <t>MayWobido</t>
        </is>
      </c>
      <c r="B294" s="39" t="n"/>
      <c r="C294" s="39" t="n"/>
      <c r="D294" s="39" t="n"/>
      <c r="E294" s="39" t="n"/>
      <c r="F294" s="120" t="n">
        <v>21</v>
      </c>
      <c r="G294" s="120" t="n">
        <v>56</v>
      </c>
      <c r="H294" s="120" t="n">
        <v>35</v>
      </c>
      <c r="I294" s="120" t="n">
        <v>70</v>
      </c>
      <c r="J294" s="120" t="n">
        <v>63</v>
      </c>
      <c r="K294" s="120" t="n">
        <v>56</v>
      </c>
      <c r="L294" s="39" t="n"/>
      <c r="M294" s="39" t="n"/>
      <c r="N294" s="154" t="n">
        <v>301</v>
      </c>
    </row>
    <row r="295">
      <c r="A295" s="84" t="inlineStr">
        <is>
          <t>Melara</t>
        </is>
      </c>
      <c r="B295" s="120" t="n">
        <v>17</v>
      </c>
      <c r="C295" s="120" t="n">
        <v>7</v>
      </c>
      <c r="D295" s="120" t="n">
        <v>28</v>
      </c>
      <c r="E295" s="120" t="n">
        <v>14</v>
      </c>
      <c r="F295" s="120" t="n">
        <v>21</v>
      </c>
      <c r="G295" s="120" t="n">
        <v>7</v>
      </c>
      <c r="H295" s="120" t="n">
        <v>28</v>
      </c>
      <c r="I295" s="120" t="n">
        <v>28</v>
      </c>
      <c r="J295" s="120" t="n">
        <v>56</v>
      </c>
      <c r="K295" s="120" t="n">
        <v>49</v>
      </c>
      <c r="L295" s="39" t="n"/>
      <c r="M295" s="39" t="n"/>
      <c r="N295" s="154" t="n">
        <v>255</v>
      </c>
    </row>
    <row r="296">
      <c r="A296" s="84" t="inlineStr">
        <is>
          <t>Moabe</t>
        </is>
      </c>
      <c r="B296" s="120" t="n">
        <v>14</v>
      </c>
      <c r="C296" s="120" t="n">
        <v>7</v>
      </c>
      <c r="D296" s="120" t="n">
        <v>7</v>
      </c>
      <c r="E296" s="39" t="n"/>
      <c r="F296" s="120" t="n">
        <v>21</v>
      </c>
      <c r="G296" s="120" t="n">
        <v>14</v>
      </c>
      <c r="H296" s="39" t="n"/>
      <c r="I296" s="120" t="n">
        <v>21</v>
      </c>
      <c r="J296" s="120" t="n">
        <v>21</v>
      </c>
      <c r="K296" s="120" t="n">
        <v>7</v>
      </c>
      <c r="L296" s="39" t="n"/>
      <c r="M296" s="39" t="n"/>
      <c r="N296" s="154" t="n">
        <v>112</v>
      </c>
    </row>
    <row r="297">
      <c r="A297" s="84" t="inlineStr">
        <is>
          <t>Nishioka</t>
        </is>
      </c>
      <c r="B297" s="120" t="n">
        <v>21</v>
      </c>
      <c r="C297" s="120" t="n">
        <v>21</v>
      </c>
      <c r="D297" s="120" t="n">
        <v>14</v>
      </c>
      <c r="E297" s="120" t="n">
        <v>7</v>
      </c>
      <c r="F297" s="120" t="n">
        <v>42</v>
      </c>
      <c r="G297" s="120" t="n">
        <v>28</v>
      </c>
      <c r="H297" s="120" t="n">
        <v>28</v>
      </c>
      <c r="I297" s="120" t="n">
        <v>35</v>
      </c>
      <c r="J297" s="120" t="n">
        <v>21</v>
      </c>
      <c r="K297" s="120" t="n">
        <v>28</v>
      </c>
      <c r="L297" s="39" t="n"/>
      <c r="M297" s="39" t="n"/>
      <c r="N297" s="154" t="n">
        <v>245</v>
      </c>
    </row>
    <row r="298">
      <c r="A298" s="84" t="inlineStr">
        <is>
          <t>Patricia</t>
        </is>
      </c>
      <c r="B298" s="120" t="n">
        <v>21</v>
      </c>
      <c r="C298" s="39" t="n"/>
      <c r="D298" s="120" t="n">
        <v>7</v>
      </c>
      <c r="E298" s="39" t="n"/>
      <c r="F298" s="120" t="n">
        <v>7</v>
      </c>
      <c r="G298" s="39" t="n"/>
      <c r="H298" s="120" t="n">
        <v>7</v>
      </c>
      <c r="I298" s="120" t="n">
        <v>7</v>
      </c>
      <c r="J298" s="39" t="n"/>
      <c r="K298" s="120" t="n">
        <v>14</v>
      </c>
      <c r="L298" s="39" t="n"/>
      <c r="M298" s="39" t="n"/>
      <c r="N298" s="154" t="n">
        <v>63</v>
      </c>
    </row>
    <row r="299">
      <c r="A299" s="84" t="inlineStr">
        <is>
          <t>Pedro</t>
        </is>
      </c>
      <c r="B299" s="120" t="n">
        <v>56</v>
      </c>
      <c r="C299" s="120" t="n">
        <v>56</v>
      </c>
      <c r="D299" s="120" t="n">
        <v>56</v>
      </c>
      <c r="E299" s="120" t="n">
        <v>77</v>
      </c>
      <c r="F299" s="120" t="n">
        <v>56</v>
      </c>
      <c r="G299" s="120" t="n">
        <v>28</v>
      </c>
      <c r="H299" s="120" t="n">
        <v>63</v>
      </c>
      <c r="I299" s="120" t="n">
        <v>49</v>
      </c>
      <c r="J299" s="120" t="n">
        <v>28</v>
      </c>
      <c r="K299" s="120" t="n">
        <v>49</v>
      </c>
      <c r="L299" s="39" t="n"/>
      <c r="M299" s="39" t="n"/>
      <c r="N299" s="154" t="n">
        <v>518</v>
      </c>
    </row>
    <row r="300">
      <c r="A300" s="84" t="inlineStr">
        <is>
          <t>Pjamile</t>
        </is>
      </c>
      <c r="B300" s="120" t="n">
        <v>21</v>
      </c>
      <c r="C300" s="39" t="n"/>
      <c r="D300" s="39" t="n"/>
      <c r="E300" s="39" t="n"/>
      <c r="F300" s="120" t="n">
        <v>14</v>
      </c>
      <c r="G300" s="120" t="n">
        <v>7</v>
      </c>
      <c r="H300" s="120" t="n">
        <v>28</v>
      </c>
      <c r="I300" s="39" t="n"/>
      <c r="J300" s="120" t="n">
        <v>7</v>
      </c>
      <c r="K300" s="120" t="n">
        <v>14</v>
      </c>
      <c r="L300" s="39" t="n"/>
      <c r="M300" s="39" t="n"/>
      <c r="N300" s="154" t="n">
        <v>91</v>
      </c>
    </row>
    <row r="301">
      <c r="A301" s="84" t="inlineStr">
        <is>
          <t>Raphael</t>
        </is>
      </c>
      <c r="B301" s="120" t="n">
        <v>35</v>
      </c>
      <c r="C301" s="120" t="n">
        <v>56</v>
      </c>
      <c r="D301" s="120" t="n">
        <v>49</v>
      </c>
      <c r="E301" s="120" t="n">
        <v>42</v>
      </c>
      <c r="F301" s="120" t="n">
        <v>42</v>
      </c>
      <c r="G301" s="120" t="n">
        <v>42</v>
      </c>
      <c r="H301" s="120" t="n">
        <v>49</v>
      </c>
      <c r="I301" s="120" t="n">
        <v>56</v>
      </c>
      <c r="J301" s="120" t="n">
        <v>42</v>
      </c>
      <c r="K301" s="120" t="n">
        <v>70</v>
      </c>
      <c r="L301" s="39" t="n"/>
      <c r="M301" s="39" t="n"/>
      <c r="N301" s="154" t="n">
        <v>483</v>
      </c>
    </row>
    <row r="302">
      <c r="A302" s="84" t="inlineStr">
        <is>
          <t>Raquel</t>
        </is>
      </c>
      <c r="B302" s="120" t="n">
        <v>35</v>
      </c>
      <c r="C302" s="120" t="n">
        <v>28</v>
      </c>
      <c r="D302" s="120" t="n">
        <v>21</v>
      </c>
      <c r="E302" s="120" t="n">
        <v>35</v>
      </c>
      <c r="F302" s="120" t="n">
        <v>28</v>
      </c>
      <c r="G302" s="120" t="n">
        <v>21</v>
      </c>
      <c r="H302" s="120" t="n">
        <v>14</v>
      </c>
      <c r="I302" s="120" t="n">
        <v>14</v>
      </c>
      <c r="J302" s="120" t="n">
        <v>21</v>
      </c>
      <c r="K302" s="120" t="n">
        <v>7</v>
      </c>
      <c r="L302" s="39" t="n"/>
      <c r="M302" s="39" t="n"/>
      <c r="N302" s="154" t="n">
        <v>224</v>
      </c>
    </row>
    <row r="303">
      <c r="A303" s="84" t="inlineStr">
        <is>
          <t>Thamyres</t>
        </is>
      </c>
      <c r="B303" s="120" t="n">
        <v>14</v>
      </c>
      <c r="C303" s="120" t="n">
        <v>35</v>
      </c>
      <c r="D303" s="120" t="n">
        <v>28</v>
      </c>
      <c r="E303" s="120" t="n">
        <v>35</v>
      </c>
      <c r="F303" s="120" t="n">
        <v>7</v>
      </c>
      <c r="G303" s="120" t="n">
        <v>7</v>
      </c>
      <c r="H303" s="120" t="n">
        <v>7</v>
      </c>
      <c r="I303" s="120" t="n">
        <v>7</v>
      </c>
      <c r="J303" s="120" t="n">
        <v>7</v>
      </c>
      <c r="K303" s="120" t="n">
        <v>7</v>
      </c>
      <c r="L303" s="39" t="n"/>
      <c r="M303" s="39" t="n"/>
      <c r="N303" s="154" t="n">
        <v>154</v>
      </c>
    </row>
    <row r="304">
      <c r="A304" s="84" t="inlineStr">
        <is>
          <t>Vanessa</t>
        </is>
      </c>
      <c r="B304" s="120" t="n">
        <v>7</v>
      </c>
      <c r="C304" s="120" t="n">
        <v>7</v>
      </c>
      <c r="D304" s="120" t="n">
        <v>14</v>
      </c>
      <c r="E304" s="39" t="n"/>
      <c r="F304" s="120" t="n">
        <v>7</v>
      </c>
      <c r="G304" s="120" t="n">
        <v>7</v>
      </c>
      <c r="H304" s="120" t="n">
        <v>7</v>
      </c>
      <c r="I304" s="120" t="n">
        <v>14</v>
      </c>
      <c r="J304" s="120" t="n">
        <v>14</v>
      </c>
      <c r="K304" s="120" t="n">
        <v>14</v>
      </c>
      <c r="L304" s="39" t="n"/>
      <c r="M304" s="39" t="n"/>
      <c r="N304" s="154" t="n">
        <v>91</v>
      </c>
    </row>
    <row r="305">
      <c r="A305" s="84" t="inlineStr">
        <is>
          <t>Yuji</t>
        </is>
      </c>
      <c r="B305" s="120" t="n">
        <v>7</v>
      </c>
      <c r="C305" s="120" t="n">
        <v>21</v>
      </c>
      <c r="D305" s="120" t="n">
        <v>28</v>
      </c>
      <c r="E305" s="120" t="n">
        <v>35</v>
      </c>
      <c r="F305" s="120" t="n">
        <v>14</v>
      </c>
      <c r="G305" s="120" t="n">
        <v>21</v>
      </c>
      <c r="H305" s="120" t="n">
        <v>35</v>
      </c>
      <c r="I305" s="120" t="n">
        <v>14</v>
      </c>
      <c r="J305" s="120" t="n">
        <v>21</v>
      </c>
      <c r="K305" s="120" t="n">
        <v>14</v>
      </c>
      <c r="L305" s="120" t="n">
        <v>7</v>
      </c>
      <c r="M305" s="39" t="n"/>
      <c r="N305" s="154" t="n">
        <v>217</v>
      </c>
    </row>
    <row r="306">
      <c r="A306" s="84" t="inlineStr">
        <is>
          <t>JuIsaac</t>
        </is>
      </c>
      <c r="B306" s="120" t="n">
        <v>7</v>
      </c>
      <c r="C306" s="39" t="n"/>
      <c r="D306" s="120" t="n">
        <v>14</v>
      </c>
      <c r="E306" s="120" t="n">
        <v>14</v>
      </c>
      <c r="F306" s="120" t="n">
        <v>7</v>
      </c>
      <c r="G306" s="120" t="n">
        <v>21</v>
      </c>
      <c r="H306" s="120" t="n">
        <v>7</v>
      </c>
      <c r="I306" s="39" t="n"/>
      <c r="J306" s="39" t="n"/>
      <c r="K306" s="39" t="n"/>
      <c r="L306" s="39" t="n"/>
      <c r="M306" s="39" t="n"/>
      <c r="N306" s="154" t="n">
        <v>70</v>
      </c>
    </row>
    <row r="307">
      <c r="A307" s="84" t="inlineStr">
        <is>
          <t>Stephanie</t>
        </is>
      </c>
      <c r="B307" s="39" t="n"/>
      <c r="C307" s="120" t="n">
        <v>14</v>
      </c>
      <c r="D307" s="39" t="n"/>
      <c r="E307" s="120" t="n">
        <v>14</v>
      </c>
      <c r="F307" s="39" t="n"/>
      <c r="G307" s="120" t="n">
        <v>14</v>
      </c>
      <c r="H307" s="39" t="n"/>
      <c r="I307" s="39" t="n"/>
      <c r="J307" s="39" t="n"/>
      <c r="K307" s="39" t="n"/>
      <c r="L307" s="39" t="n"/>
      <c r="M307" s="39" t="n"/>
      <c r="N307" s="154" t="n">
        <v>42</v>
      </c>
    </row>
    <row r="308">
      <c r="A308" s="84" t="inlineStr">
        <is>
          <t>MPinheiro</t>
        </is>
      </c>
      <c r="B308" s="120" t="n">
        <v>21</v>
      </c>
      <c r="C308" s="120" t="n">
        <v>28</v>
      </c>
      <c r="D308" s="120" t="n">
        <v>56</v>
      </c>
      <c r="E308" s="120" t="n">
        <v>14</v>
      </c>
      <c r="F308" s="120" t="n">
        <v>28</v>
      </c>
      <c r="G308" s="120" t="n">
        <v>49</v>
      </c>
      <c r="H308" s="120" t="n">
        <v>42</v>
      </c>
      <c r="I308" s="120" t="n">
        <v>42</v>
      </c>
      <c r="J308" s="39" t="n"/>
      <c r="K308" s="39" t="n"/>
      <c r="L308" s="39" t="n"/>
      <c r="M308" s="39" t="n"/>
      <c r="N308" s="154" t="n">
        <v>280</v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</row>
  </sheetData>
  <mergeCells count="4">
    <mergeCell ref="A101:F101"/>
    <mergeCell ref="A246:F246"/>
    <mergeCell ref="A18:F18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7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8" t="inlineStr">
        <is>
          <t>Sexta-noite 16/10</t>
        </is>
      </c>
      <c r="B5" s="169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8" t="inlineStr">
        <is>
          <t>Kozak</t>
        </is>
      </c>
      <c r="B6" s="170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8" t="inlineStr">
        <is>
          <t>Murilo</t>
        </is>
      </c>
      <c r="B7" s="170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8" t="inlineStr">
        <is>
          <t>MayWobido</t>
        </is>
      </c>
      <c r="B8" s="169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8" t="inlineStr">
        <is>
          <t>Grayce</t>
        </is>
      </c>
      <c r="B9" s="169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8" t="inlineStr">
        <is>
          <t>IsaRibeiro</t>
        </is>
      </c>
      <c r="B10" s="169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8" t="inlineStr">
        <is>
          <t>Danielle</t>
        </is>
      </c>
      <c r="B11" s="169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8" t="inlineStr">
        <is>
          <t>Constantino</t>
        </is>
      </c>
      <c r="B12" s="169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8" t="inlineStr">
        <is>
          <t>Anna</t>
        </is>
      </c>
      <c r="B13" s="169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8" t="inlineStr">
        <is>
          <t>MSalomão</t>
        </is>
      </c>
      <c r="B14" s="169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8" t="inlineStr">
        <is>
          <t>Aline</t>
        </is>
      </c>
      <c r="B15" s="169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8" t="inlineStr">
        <is>
          <t>JuBrito</t>
        </is>
      </c>
      <c r="B16" s="170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8" t="inlineStr">
        <is>
          <t>JuliaFig</t>
        </is>
      </c>
      <c r="B17" s="170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8" t="inlineStr">
        <is>
          <t>Amelio</t>
        </is>
      </c>
      <c r="B18" s="170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8" t="inlineStr">
        <is>
          <t>Thamyres</t>
        </is>
      </c>
      <c r="B19" s="170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8" t="inlineStr">
        <is>
          <t>Rosana</t>
        </is>
      </c>
      <c r="B20" s="170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8" t="inlineStr">
        <is>
          <t>LuCosta</t>
        </is>
      </c>
      <c r="B21" s="170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8" t="inlineStr">
        <is>
          <t>Fabiula</t>
        </is>
      </c>
      <c r="B22" s="170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8" t="inlineStr">
        <is>
          <t>48 convocações</t>
        </is>
      </c>
      <c r="B23" s="169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8" t="inlineStr">
        <is>
          <t>Laura + Moabe</t>
        </is>
      </c>
      <c r="B24" s="169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8" t="inlineStr">
        <is>
          <t>Ariadne ∥ Raylander</t>
        </is>
      </c>
      <c r="B25" s="170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77264"/>
    <outlinePr summaryBelow="1" summaryRight="1"/>
    <pageSetUpPr/>
  </sheetPr>
  <dimension ref="A1:E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70 convocações da remontagem de 18/08, sob as regras novas (rotina só manhã em dia útil e nunca FDS · teto de 44h/semana · compromissos de setembro). Critério público: entra primeiro quem está mais abaixo do próprio alvo. Impedimento com motivo declarado é intocável. Toda convocação gera CRÉDITO no mês seguinte.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Beatriz</t>
        </is>
      </c>
      <c r="B6" s="171" t="n">
        <v>4</v>
      </c>
      <c r="C6" s="135" t="inlineStr">
        <is>
          <t>10/sáb T · 23/sex T · 24/sáb T · 30/sex T</t>
        </is>
      </c>
      <c r="D6" s="172" t="inlineStr">
        <is>
          <t>prioridade nas preferências</t>
        </is>
      </c>
      <c r="E6" s="39" t="n"/>
    </row>
    <row r="7">
      <c r="A7" s="81" t="inlineStr">
        <is>
          <t>Bruna</t>
        </is>
      </c>
      <c r="B7" s="171" t="n">
        <v>4</v>
      </c>
      <c r="C7" s="135" t="inlineStr">
        <is>
          <t>01/qui T · 02/sex T · 06/ter T · 18/dom T</t>
        </is>
      </c>
      <c r="D7" s="172" t="inlineStr">
        <is>
          <t>prioridade nas preferências</t>
        </is>
      </c>
      <c r="E7" s="39" t="n"/>
    </row>
    <row r="8">
      <c r="A8" s="81" t="inlineStr">
        <is>
          <t>IsaRibeiro</t>
        </is>
      </c>
      <c r="B8" s="171" t="n">
        <v>4</v>
      </c>
      <c r="C8" s="135" t="inlineStr">
        <is>
          <t>06/ter T · 20/ter T · 22/qui N · 28/qua N</t>
        </is>
      </c>
      <c r="D8" s="172" t="inlineStr">
        <is>
          <t>prioridade nas preferências</t>
        </is>
      </c>
      <c r="E8" s="39" t="n"/>
    </row>
    <row r="9">
      <c r="A9" s="81" t="inlineStr">
        <is>
          <t>Jaqueline</t>
        </is>
      </c>
      <c r="B9" s="171" t="n">
        <v>4</v>
      </c>
      <c r="C9" s="135" t="inlineStr">
        <is>
          <t>01/qui T · 02/sex T · 10/sáb T · 18/dom T</t>
        </is>
      </c>
      <c r="D9" s="172" t="inlineStr">
        <is>
          <t>prioridade nas preferências</t>
        </is>
      </c>
      <c r="E9" s="39" t="n"/>
    </row>
    <row r="10">
      <c r="A10" s="81" t="inlineStr">
        <is>
          <t>Moabe</t>
        </is>
      </c>
      <c r="B10" s="171" t="n">
        <v>4</v>
      </c>
      <c r="C10" s="135" t="inlineStr">
        <is>
          <t>01/qui T · 10/sáb T · 11/dom M · 18/dom M</t>
        </is>
      </c>
      <c r="D10" s="172" t="inlineStr">
        <is>
          <t>prioridade nas preferências</t>
        </is>
      </c>
      <c r="E10" s="39" t="n"/>
    </row>
    <row r="11">
      <c r="A11" s="81" t="inlineStr">
        <is>
          <t>Raphael</t>
        </is>
      </c>
      <c r="B11" s="171" t="n">
        <v>4</v>
      </c>
      <c r="C11" s="135" t="inlineStr">
        <is>
          <t>02/sex T · 04/dom N · 10/sáb N · 25/dom N</t>
        </is>
      </c>
      <c r="D11" s="172" t="inlineStr">
        <is>
          <t>prioridade nas preferências</t>
        </is>
      </c>
      <c r="E11" s="39" t="n"/>
    </row>
    <row r="12">
      <c r="A12" s="81" t="inlineStr">
        <is>
          <t>DebMatias</t>
        </is>
      </c>
      <c r="B12" s="171" t="n">
        <v>3</v>
      </c>
      <c r="C12" s="135" t="inlineStr">
        <is>
          <t>02/sex T · 09/sex T · 10/sáb T</t>
        </is>
      </c>
      <c r="D12" s="172" t="inlineStr">
        <is>
          <t>prioridade nas preferências</t>
        </is>
      </c>
      <c r="E12" s="39" t="n"/>
    </row>
    <row r="13">
      <c r="A13" s="81" t="inlineStr">
        <is>
          <t>João</t>
        </is>
      </c>
      <c r="B13" s="171" t="n">
        <v>3</v>
      </c>
      <c r="C13" s="135" t="inlineStr">
        <is>
          <t>09/sex T · 16/sex T · 22/qui T</t>
        </is>
      </c>
      <c r="D13" s="172" t="inlineStr">
        <is>
          <t>prioridade nas preferências</t>
        </is>
      </c>
      <c r="E13" s="39" t="n"/>
    </row>
    <row r="14">
      <c r="A14" s="81" t="inlineStr">
        <is>
          <t>JuBrito</t>
        </is>
      </c>
      <c r="B14" s="171" t="n">
        <v>3</v>
      </c>
      <c r="C14" s="135" t="inlineStr">
        <is>
          <t>02/sex M (set) · 04/dom T · 18/dom T</t>
        </is>
      </c>
      <c r="D14" s="172" t="inlineStr">
        <is>
          <t>prioridade nas preferências</t>
        </is>
      </c>
      <c r="E14" s="39" t="n"/>
    </row>
    <row r="15">
      <c r="A15" s="81" t="inlineStr">
        <is>
          <t>Kariny</t>
        </is>
      </c>
      <c r="B15" s="171" t="n">
        <v>3</v>
      </c>
      <c r="C15" s="135" t="inlineStr">
        <is>
          <t>05/seg T · 20/ter T · 31/sáb T</t>
        </is>
      </c>
      <c r="D15" s="172" t="inlineStr">
        <is>
          <t>prioridade nas preferências</t>
        </is>
      </c>
      <c r="E15" s="39" t="n"/>
    </row>
    <row r="16">
      <c r="A16" s="81" t="inlineStr">
        <is>
          <t>Pedro</t>
        </is>
      </c>
      <c r="B16" s="171" t="n">
        <v>3</v>
      </c>
      <c r="C16" s="135" t="inlineStr">
        <is>
          <t>04/dom T (set) · 09/sex T · 20/ter T</t>
        </is>
      </c>
      <c r="D16" s="172" t="inlineStr">
        <is>
          <t>prioridade nas preferências</t>
        </is>
      </c>
      <c r="E16" s="39" t="n"/>
    </row>
    <row r="17">
      <c r="A17" s="81" t="inlineStr">
        <is>
          <t>Raylander</t>
        </is>
      </c>
      <c r="B17" s="171" t="n">
        <v>3</v>
      </c>
      <c r="C17" s="135" t="inlineStr">
        <is>
          <t>02/sex N (set) · 23/sex T · 31/sáb T</t>
        </is>
      </c>
      <c r="D17" s="172" t="inlineStr">
        <is>
          <t>prioridade nas preferências</t>
        </is>
      </c>
      <c r="E17" s="39" t="n"/>
    </row>
    <row r="18">
      <c r="A18" s="81" t="inlineStr">
        <is>
          <t>Ricardo</t>
        </is>
      </c>
      <c r="B18" s="171" t="n">
        <v>3</v>
      </c>
      <c r="C18" s="135" t="inlineStr">
        <is>
          <t>09/sex T · 24/sáb T · 30/sex T</t>
        </is>
      </c>
      <c r="D18" s="172" t="inlineStr">
        <is>
          <t>prioridade nas preferências</t>
        </is>
      </c>
      <c r="E18" s="39" t="n"/>
    </row>
    <row r="19">
      <c r="A19" s="81" t="inlineStr">
        <is>
          <t>Anna</t>
        </is>
      </c>
      <c r="B19" s="173" t="n">
        <v>2</v>
      </c>
      <c r="C19" s="135" t="inlineStr">
        <is>
          <t>10/sáb N · 24/sáb T</t>
        </is>
      </c>
      <c r="D19" s="172" t="inlineStr">
        <is>
          <t>prioridade nas preferências</t>
        </is>
      </c>
      <c r="E19" s="39" t="n"/>
    </row>
    <row r="20">
      <c r="A20" s="81" t="inlineStr">
        <is>
          <t>JuCoutinho</t>
        </is>
      </c>
      <c r="B20" s="173" t="n">
        <v>2</v>
      </c>
      <c r="C20" s="135" t="inlineStr">
        <is>
          <t>05/seg T · 31/sáb N</t>
        </is>
      </c>
      <c r="D20" s="172" t="inlineStr">
        <is>
          <t>prioridade nas preferências</t>
        </is>
      </c>
      <c r="E20" s="39" t="n"/>
    </row>
    <row r="21">
      <c r="A21" s="81" t="inlineStr">
        <is>
          <t>Marilia</t>
        </is>
      </c>
      <c r="B21" s="173" t="n">
        <v>2</v>
      </c>
      <c r="C21" s="135" t="inlineStr">
        <is>
          <t>01/qui T · 31/sáb T</t>
        </is>
      </c>
      <c r="D21" s="172" t="inlineStr">
        <is>
          <t>prioridade nas preferências</t>
        </is>
      </c>
      <c r="E21" s="39" t="n"/>
    </row>
    <row r="22">
      <c r="A22" s="81" t="inlineStr">
        <is>
          <t>MayWobido</t>
        </is>
      </c>
      <c r="B22" s="173" t="n">
        <v>2</v>
      </c>
      <c r="C22" s="135" t="inlineStr">
        <is>
          <t>16/sex T · 23/sex T</t>
        </is>
      </c>
      <c r="D22" s="172" t="inlineStr">
        <is>
          <t>prioridade nas preferências</t>
        </is>
      </c>
      <c r="E22" s="39" t="n"/>
    </row>
    <row r="23">
      <c r="A23" s="81" t="inlineStr">
        <is>
          <t>Nishioka</t>
        </is>
      </c>
      <c r="B23" s="173" t="n">
        <v>2</v>
      </c>
      <c r="C23" s="135" t="inlineStr">
        <is>
          <t>02/sex T · 09/sex T</t>
        </is>
      </c>
      <c r="D23" s="172" t="inlineStr">
        <is>
          <t>prioridade nas preferências</t>
        </is>
      </c>
      <c r="E23" s="39" t="n"/>
    </row>
    <row r="24">
      <c r="A24" s="81" t="inlineStr">
        <is>
          <t>Patricia</t>
        </is>
      </c>
      <c r="B24" s="173" t="n">
        <v>2</v>
      </c>
      <c r="C24" s="135" t="inlineStr">
        <is>
          <t>11/dom T · 16/sex T</t>
        </is>
      </c>
      <c r="D24" s="172" t="inlineStr">
        <is>
          <t>prioridade nas preferências</t>
        </is>
      </c>
      <c r="E24" s="39" t="n"/>
    </row>
    <row r="25">
      <c r="A25" s="81" t="inlineStr">
        <is>
          <t>Roberta</t>
        </is>
      </c>
      <c r="B25" s="173" t="n">
        <v>2</v>
      </c>
      <c r="C25" s="135" t="inlineStr">
        <is>
          <t>11/dom T · 30/sex T</t>
        </is>
      </c>
      <c r="D25" s="172" t="inlineStr">
        <is>
          <t>prioridade nas preferências</t>
        </is>
      </c>
      <c r="E25" s="39" t="n"/>
    </row>
    <row r="26">
      <c r="A26" s="81" t="inlineStr">
        <is>
          <t>Amanda</t>
        </is>
      </c>
      <c r="B26" s="173" t="n">
        <v>1</v>
      </c>
      <c r="C26" s="135" t="inlineStr">
        <is>
          <t>16/sex T</t>
        </is>
      </c>
      <c r="D26" s="172" t="inlineStr">
        <is>
          <t>prioridade nas preferências</t>
        </is>
      </c>
      <c r="E26" s="39" t="n"/>
    </row>
    <row r="27">
      <c r="A27" s="81" t="inlineStr">
        <is>
          <t>Denise</t>
        </is>
      </c>
      <c r="B27" s="173" t="n">
        <v>1</v>
      </c>
      <c r="C27" s="135" t="inlineStr">
        <is>
          <t>31/sáb N</t>
        </is>
      </c>
      <c r="D27" s="172" t="inlineStr">
        <is>
          <t>prioridade nas preferências</t>
        </is>
      </c>
      <c r="E27" s="39" t="n"/>
    </row>
    <row r="28">
      <c r="A28" s="81" t="inlineStr">
        <is>
          <t>Fernando</t>
        </is>
      </c>
      <c r="B28" s="173" t="n">
        <v>1</v>
      </c>
      <c r="C28" s="135" t="inlineStr">
        <is>
          <t>25/dom M</t>
        </is>
      </c>
      <c r="D28" s="172" t="inlineStr">
        <is>
          <t>prioridade nas preferências</t>
        </is>
      </c>
      <c r="E28" s="39" t="n"/>
    </row>
    <row r="29">
      <c r="A29" s="81" t="inlineStr">
        <is>
          <t>Isabella</t>
        </is>
      </c>
      <c r="B29" s="173" t="n">
        <v>1</v>
      </c>
      <c r="C29" s="135" t="inlineStr">
        <is>
          <t>18/dom M</t>
        </is>
      </c>
      <c r="D29" s="172" t="inlineStr">
        <is>
          <t>prioridade nas preferências</t>
        </is>
      </c>
      <c r="E29" s="39" t="n"/>
    </row>
    <row r="30">
      <c r="A30" s="81" t="inlineStr">
        <is>
          <t>LeLemos</t>
        </is>
      </c>
      <c r="B30" s="173" t="n">
        <v>1</v>
      </c>
      <c r="C30" s="135" t="inlineStr">
        <is>
          <t>22/qui T</t>
        </is>
      </c>
      <c r="D30" s="172" t="inlineStr">
        <is>
          <t>prioridade nas preferências</t>
        </is>
      </c>
      <c r="E30" s="39" t="n"/>
    </row>
    <row r="31">
      <c r="A31" s="81" t="inlineStr">
        <is>
          <t>Leomara</t>
        </is>
      </c>
      <c r="B31" s="173" t="n">
        <v>1</v>
      </c>
      <c r="C31" s="135" t="inlineStr">
        <is>
          <t>07/qua N</t>
        </is>
      </c>
      <c r="D31" s="172" t="inlineStr">
        <is>
          <t>prioridade nas preferências</t>
        </is>
      </c>
      <c r="E31" s="39" t="n"/>
    </row>
    <row r="32">
      <c r="A32" s="81" t="inlineStr">
        <is>
          <t>Leticia</t>
        </is>
      </c>
      <c r="B32" s="173" t="n">
        <v>1</v>
      </c>
      <c r="C32" s="135" t="inlineStr">
        <is>
          <t>18/dom T</t>
        </is>
      </c>
      <c r="D32" s="172" t="inlineStr">
        <is>
          <t>prioridade nas preferências</t>
        </is>
      </c>
      <c r="E32" s="39" t="n"/>
    </row>
    <row r="33">
      <c r="A33" s="81" t="inlineStr">
        <is>
          <t>LuCosta</t>
        </is>
      </c>
      <c r="B33" s="173" t="n">
        <v>1</v>
      </c>
      <c r="C33" s="135" t="inlineStr">
        <is>
          <t>25/dom T</t>
        </is>
      </c>
      <c r="D33" s="172" t="inlineStr">
        <is>
          <t>prioridade nas preferências</t>
        </is>
      </c>
      <c r="E33" s="39" t="n"/>
    </row>
    <row r="34">
      <c r="A34" s="81" t="inlineStr">
        <is>
          <t>Pjamile</t>
        </is>
      </c>
      <c r="B34" s="173" t="n">
        <v>1</v>
      </c>
      <c r="C34" s="135" t="inlineStr">
        <is>
          <t>18/dom M</t>
        </is>
      </c>
      <c r="D34" s="172" t="inlineStr">
        <is>
          <t>prioridade nas preferências</t>
        </is>
      </c>
      <c r="E34" s="39" t="n"/>
    </row>
    <row r="35">
      <c r="A35" s="81" t="inlineStr">
        <is>
          <t>Thamyres</t>
        </is>
      </c>
      <c r="B35" s="173" t="n">
        <v>1</v>
      </c>
      <c r="C35" s="135" t="inlineStr">
        <is>
          <t>31/sáb T</t>
        </is>
      </c>
      <c r="D35" s="172" t="inlineStr">
        <is>
          <t>prioridade nas preferências</t>
        </is>
      </c>
      <c r="E35" s="39" t="n"/>
    </row>
    <row r="36">
      <c r="A36" s="81" t="inlineStr">
        <is>
          <t>Vanessa</t>
        </is>
      </c>
      <c r="B36" s="173" t="n">
        <v>1</v>
      </c>
      <c r="C36" s="135" t="inlineStr">
        <is>
          <t>09/sex T</t>
        </is>
      </c>
      <c r="D36" s="172" t="inlineStr">
        <is>
          <t>prioridade nas preferências</t>
        </is>
      </c>
      <c r="E36" s="39" t="n"/>
    </row>
    <row r="37">
      <c r="A37" s="39" t="n"/>
      <c r="B37" s="39" t="n"/>
      <c r="C37" s="39" t="n"/>
      <c r="D37" s="39" t="n"/>
      <c r="E37" s="39" t="n"/>
    </row>
    <row r="38">
      <c r="A38" s="40" t="inlineStr">
        <is>
          <t>Ajustes do feriado 12/10</t>
        </is>
      </c>
      <c r="B38" s="39" t="n"/>
      <c r="C38" s="39" t="n"/>
      <c r="D38" s="39" t="n"/>
      <c r="E38" s="39" t="n"/>
    </row>
    <row r="39" ht="26" customHeight="1">
      <c r="A39" s="81" t="inlineStr">
        <is>
          <t>Pabdo</t>
        </is>
      </c>
      <c r="B39" s="174" t="inlineStr">
        <is>
          <t>12/10 M</t>
        </is>
      </c>
      <c r="C39" s="135" t="inlineStr">
        <is>
          <t>feriado 12/10: fez 1 de 7 feriados em 2026 — é quem mais deve feriado na rotina (critério do doc §3.4)</t>
        </is>
      </c>
      <c r="D39" s="175" t="n"/>
      <c r="E39" s="39" t="n"/>
    </row>
    <row r="40" ht="26" customHeight="1">
      <c r="A40" s="81" t="inlineStr">
        <is>
          <t>Amelio</t>
        </is>
      </c>
      <c r="B40" s="174" t="inlineStr">
        <is>
          <t>12/10 M</t>
        </is>
      </c>
      <c r="C40" s="135" t="inlineStr">
        <is>
          <t>feriado 12/10: fez 3 de 7 · manhã respeita o atestado que o proíbe de noturnos</t>
        </is>
      </c>
      <c r="D40" s="175" t="n"/>
      <c r="E40" s="39" t="n"/>
    </row>
    <row r="41" ht="26" customHeight="1">
      <c r="A41" s="81" t="inlineStr">
        <is>
          <t>Milena</t>
        </is>
      </c>
      <c r="B41" s="174" t="inlineStr">
        <is>
          <t>12/10 M</t>
        </is>
      </c>
      <c r="C41" s="135" t="inlineStr">
        <is>
          <t>feriado 12/10: fez 5 de 7 · rotina de manhã, como nos outros sete feriados do ano</t>
        </is>
      </c>
      <c r="D41" s="175" t="n"/>
      <c r="E41" s="39" t="n"/>
    </row>
    <row r="42" ht="26" customHeight="1">
      <c r="A42" s="81" t="inlineStr">
        <is>
          <t>Murilo</t>
        </is>
      </c>
      <c r="B42" s="174" t="inlineStr">
        <is>
          <t>12/10 M</t>
        </is>
      </c>
      <c r="C42" s="135" t="inlineStr">
        <is>
          <t>feriado 12/10: fez 6 de 7 · manhã é a rotina onco dele</t>
        </is>
      </c>
      <c r="D42" s="175" t="n"/>
      <c r="E42" s="39" t="n"/>
    </row>
    <row r="43">
      <c r="A43" s="39" t="n"/>
      <c r="B43" s="39" t="n"/>
      <c r="C43" s="39" t="n"/>
      <c r="D43" s="39" t="n"/>
      <c r="E43" s="39" t="n"/>
    </row>
    <row r="44">
      <c r="A44" s="40" t="inlineStr">
        <is>
          <t>Quem da rotina folga o feriado, e por quê</t>
        </is>
      </c>
      <c r="B44" s="39" t="n"/>
      <c r="C44" s="39" t="n"/>
      <c r="D44" s="39" t="n"/>
      <c r="E44" s="39" t="n"/>
    </row>
    <row r="45" ht="26" customHeight="1">
      <c r="A45" s="81" t="inlineStr">
        <is>
          <t>MSalomão</t>
        </is>
      </c>
      <c r="B45" s="175" t="n"/>
      <c r="C45" s="135" t="inlineStr">
        <is>
          <t>PEDIDO INDIVIDUAL atendido — ela pediu a manhã do feriado livre para si (entendimento corrigido em 18/08: o pedido nunca foi para o grupo)</t>
        </is>
      </c>
      <c r="D45" s="175" t="n"/>
      <c r="E45" s="39" t="n"/>
    </row>
    <row r="46" ht="26" customHeight="1">
      <c r="A46" s="81" t="inlineStr">
        <is>
          <t>Fred</t>
        </is>
      </c>
      <c r="B46" s="175" t="n"/>
      <c r="C46" s="135" t="inlineStr">
        <is>
          <t>fez os 7 feriados de 2026 — pelo critério do doc §3.4, a prioridade de folga é dele</t>
        </is>
      </c>
      <c r="D46" s="175" t="n"/>
      <c r="E46" s="39" t="n"/>
    </row>
    <row r="47" ht="26" customHeight="1">
      <c r="A47" s="81" t="inlineStr">
        <is>
          <t>DebAlves</t>
        </is>
      </c>
      <c r="B47" s="175" t="n"/>
      <c r="C47" s="135" t="inlineStr">
        <is>
          <t>fez 5 de 7 feriados e a cobertura do dia já fecha sem ela (o bloqueio 42/42/36, motivo original, foi revogado em 18/08)</t>
        </is>
      </c>
      <c r="D47" s="175" t="n"/>
      <c r="E47" s="39" t="n"/>
    </row>
    <row r="48" ht="26" customHeight="1">
      <c r="A48" s="81" t="inlineStr">
        <is>
          <t>Vinicius</t>
        </is>
      </c>
      <c r="B48" s="175" t="n"/>
      <c r="C48" s="135" t="inlineStr">
        <is>
          <t>férias 12–26/10</t>
        </is>
      </c>
      <c r="D48" s="175" t="n"/>
      <c r="E48" s="39" t="n"/>
    </row>
    <row r="49">
      <c r="A49" s="39" t="n"/>
      <c r="B49" s="39" t="n"/>
      <c r="C49" s="39" t="n"/>
      <c r="D49" s="39" t="n"/>
      <c r="E49" s="39" t="n"/>
    </row>
    <row r="50">
      <c r="A50" s="176" t="inlineStr">
        <is>
          <t>Registro das decisões</t>
        </is>
      </c>
      <c r="B50" s="39" t="n"/>
      <c r="C50" s="39" t="n"/>
      <c r="D50" s="39" t="n"/>
      <c r="E50" s="39" t="n"/>
    </row>
    <row r="51" ht="58" customHeight="1">
      <c r="A51" s="81" t="inlineStr">
        <is>
          <t>Pedido da MSalomão</t>
        </is>
      </c>
      <c r="B51" s="177" t="inlineStr">
        <is>
          <t>ATENDIDO — e só dela</t>
        </is>
      </c>
      <c r="C51" s="135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51" s="175" t="n"/>
      <c r="E51" s="39" t="n"/>
    </row>
    <row r="52" ht="58" customHeight="1">
      <c r="A52" s="81" t="inlineStr">
        <is>
          <t>Aprovação da dra. Selma</t>
        </is>
      </c>
      <c r="B52" s="177" t="inlineStr">
        <is>
          <t>NÃO NECESSÁRIA</t>
        </is>
      </c>
      <c r="C52" s="135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52" s="175" t="n"/>
      <c r="E52" s="39" t="n"/>
    </row>
    <row r="53" ht="58" customHeight="1">
      <c r="A53" s="81" t="inlineStr">
        <is>
          <t>Compromissos de setembro — pendências</t>
        </is>
      </c>
      <c r="B53" s="177" t="inlineStr">
        <is>
          <t>3 pessoas</t>
        </is>
      </c>
      <c r="C53" s="135" t="inlineStr">
        <is>
          <t>Ernesto (S1 para 24h): NÃO EXECUTÁVEL — a paridade 15/15 autoral dele é fds 09/11 e 23/25, e a S1 parcial não tem quarta; precisa de decisão da escalista. Leomara e Pedro: completados até 18h de 24h — o restante não tem slot dentro das janelas declaradas. Danielle, JuBrito, Heloá e Fabiula: cumpridos.</t>
        </is>
      </c>
      <c r="D53" s="175" t="n"/>
      <c r="E53" s="39" t="n"/>
    </row>
    <row r="54" ht="58" customHeight="1">
      <c r="A54" s="81" t="inlineStr">
        <is>
          <t>Cortes por teto de 44h/semana</t>
        </is>
      </c>
      <c r="B54" s="177" t="inlineStr">
        <is>
          <t>13 cortes</t>
        </is>
      </c>
      <c r="C54" s="135" t="inlineStr">
        <is>
          <t>Preferências autorais que passavam de 44h na mesma semana (art. 7º XIII) perderam o excedente — a lei ganha da preferência. Casos: Fabiula (2), IsaRibeiro (2), Kariny (2), Beatriz, CaAbreu, Danielle, LeLemos, Mayana, Raylander, Yuji. O corte escolhe o turno mais tardio da semana que não seja compromisso de S1.</t>
        </is>
      </c>
      <c r="D54" s="175" t="n"/>
      <c r="E54" s="39" t="n"/>
    </row>
    <row r="55" ht="58" customHeight="1">
      <c r="A55" s="81" t="inlineStr">
        <is>
          <t>Equidade de FDS — caso Raphael</t>
        </is>
      </c>
      <c r="B55" s="177" t="inlineStr">
        <is>
          <t>+30h sobre o alvo</t>
        </is>
      </c>
      <c r="C55" s="135" t="inlineStr">
        <is>
          <t>O preenchimento das noites de fim de semana concentrou no Raphael (60h contra alvo de 30h): ele é dos únicos elegíveis e livres para noite de sábado e domingo. Duas passadas de justiça não acharam para quem transferir. Vira crédito/compensação em novembro, como a contagem anual sempre tratou.</t>
        </is>
      </c>
      <c r="D55" s="175" t="n"/>
      <c r="E55" s="39" t="n"/>
    </row>
    <row r="56" ht="58" customHeight="1">
      <c r="A56" s="81" t="inlineStr">
        <is>
          <t>Buracos remanescentes</t>
        </is>
      </c>
      <c r="B56" s="177" t="inlineStr">
        <is>
          <t>18/10 (domingo)</t>
        </is>
      </c>
      <c r="C56" s="135" t="inlineStr">
        <is>
          <t>Tarde 7 de 8 e noite 6 de 7 — sem candidato elegível dentro das janelas declaradas, mesmo relaxando cota. Opções da escalista: troca negociada, convocação fora das janelas declaradas, ou aceitar (6 era o mínimo antigo).</t>
        </is>
      </c>
      <c r="D56" s="175" t="n"/>
      <c r="E56" s="39" t="n"/>
    </row>
    <row r="57" ht="58" customHeight="1">
      <c r="A57" s="81" t="inlineStr">
        <is>
          <t>Preferências atropeladas neste ajuste</t>
        </is>
      </c>
      <c r="B57" s="177" t="inlineStr">
        <is>
          <t>4 pessoas</t>
        </is>
      </c>
      <c r="C57" s="135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57" s="175" t="n"/>
      <c r="E57" s="39" t="n"/>
    </row>
    <row r="58">
      <c r="A58" s="39" t="n"/>
      <c r="B58" s="39" t="n"/>
      <c r="C58" s="39" t="n"/>
      <c r="D58" s="39" t="n"/>
      <c r="E58" s="39" t="n"/>
    </row>
    <row r="59">
      <c r="A59" s="39" t="n"/>
      <c r="B59" s="39" t="n"/>
      <c r="C59" s="39" t="n"/>
      <c r="D59" s="39" t="n"/>
      <c r="E59" s="39" t="n"/>
    </row>
    <row r="60">
      <c r="A60" s="39" t="n"/>
      <c r="B60" s="39" t="n"/>
      <c r="C60" s="39" t="n"/>
      <c r="D60" s="39" t="n"/>
      <c r="E60" s="39" t="n"/>
    </row>
  </sheetData>
  <mergeCells count="16">
    <mergeCell ref="C46:D46"/>
    <mergeCell ref="C47:D47"/>
    <mergeCell ref="C54:D54"/>
    <mergeCell ref="C51:D51"/>
    <mergeCell ref="C41:D41"/>
    <mergeCell ref="C42:D42"/>
    <mergeCell ref="C57:D57"/>
    <mergeCell ref="C55:D55"/>
    <mergeCell ref="C45:D45"/>
    <mergeCell ref="C40:D40"/>
    <mergeCell ref="C52:D52"/>
    <mergeCell ref="C53:D53"/>
    <mergeCell ref="C48:D48"/>
    <mergeCell ref="C56:D56"/>
    <mergeCell ref="C39:D39"/>
    <mergeCell ref="A2:E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8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9" t="inlineStr">
        <is>
          <t>Mês</t>
        </is>
      </c>
      <c r="B4" s="179" t="inlineStr">
        <is>
          <t>Alertas 18h</t>
        </is>
      </c>
      <c r="C4" s="179" t="inlineStr">
        <is>
          <t>Buracos</t>
        </is>
      </c>
      <c r="D4" s="179" t="inlineStr">
        <is>
          <t>Dias completos</t>
        </is>
      </c>
      <c r="E4" s="179" t="inlineStr">
        <is>
          <t>Manhã</t>
        </is>
      </c>
      <c r="F4" s="179" t="inlineStr">
        <is>
          <t>Tarde</t>
        </is>
      </c>
      <c r="G4" s="179" t="inlineStr">
        <is>
          <t>Noite</t>
        </is>
      </c>
      <c r="H4" s="179" t="inlineStr">
        <is>
          <t>Noites</t>
        </is>
      </c>
      <c r="I4" s="179" t="inlineStr">
        <is>
          <t>Horas noturnas</t>
        </is>
      </c>
      <c r="J4" s="179" t="inlineStr">
        <is>
          <t>Fora da meta</t>
        </is>
      </c>
    </row>
    <row r="5">
      <c r="A5" s="32" t="inlineStr">
        <is>
          <t>JAN</t>
        </is>
      </c>
      <c r="B5" s="180">
        <f>IF(COUNTA(JAN!$I$8:$AM$73)&gt;0,SUM(JAN!$AZ$8:$AZ$73),"")</f>
        <v/>
      </c>
      <c r="C5" s="180">
        <f>IF(COUNTA(JAN!$I$8:$AM$73)&gt;0,SUM(JAN!$I$78:$AM$78)+SUM(JAN!$I$79:$AM$79)+SUM(JAN!$I$80:$AM$80),"")</f>
        <v/>
      </c>
      <c r="D5" s="180">
        <f>IF(COUNTA(JAN!$I$8:$AM$73)&gt;0,SUMPRODUCT((JAN!$I$78:$AM$78+JAN!$I$79:$AM$79+JAN!$I$80:$AM$80=0)*(JAN!$I$78:$AM$78&lt;&gt;"")),"")</f>
        <v/>
      </c>
      <c r="E5" s="181">
        <f>IF(COUNTA(JAN!$I$8:$AM$73)&gt;0,IFERROR(AVERAGEIF(JAN!$I$75:$AM$75,"&gt;0"),0),"")</f>
        <v/>
      </c>
      <c r="F5" s="181">
        <f>IF(COUNTA(JAN!$I$8:$AM$73)&gt;0,IFERROR(AVERAGEIF(JAN!$I$76:$AM$76,"&gt;0"),0),"")</f>
        <v/>
      </c>
      <c r="G5" s="181">
        <f>IF(COUNTA(JAN!$I$8:$AM$73)&gt;0,IFERROR(AVERAGEIF(JAN!$I$77:$AM$77,"&gt;0"),0),"")</f>
        <v/>
      </c>
      <c r="H5" s="180">
        <f>IF(COUNTA(JAN!$I$8:$AM$73)&gt;0,COUNTIF(JAN!$I$8:$AM$73,"N"),"")</f>
        <v/>
      </c>
      <c r="I5" s="180">
        <f>IF(COUNTA(JAN!$I$8:$AM$73)&gt;0,COUNTIF(JAN!$I$8:$AM$73,"N")*7+COUNTIF(JAN!$I$8:$AM$73,"NT")*3,"")</f>
        <v/>
      </c>
      <c r="J5" s="180">
        <f>IF(COUNTA(JAN!$I$8:$AM$73)&gt;0,SUMPRODUCT(--(ABS(JAN!$AY$8:$AY$73)&gt;12)),"")</f>
        <v/>
      </c>
    </row>
    <row r="6">
      <c r="A6" s="32" t="inlineStr">
        <is>
          <t>FEV</t>
        </is>
      </c>
      <c r="B6" s="180">
        <f>IF(COUNTA(FEV!$I$8:$AM$73)&gt;0,SUM(FEV!$AZ$8:$AZ$73),"")</f>
        <v/>
      </c>
      <c r="C6" s="180">
        <f>IF(COUNTA(FEV!$I$8:$AM$73)&gt;0,SUM(FEV!$I$78:$AM$78)+SUM(FEV!$I$79:$AM$79)+SUM(FEV!$I$80:$AM$80),"")</f>
        <v/>
      </c>
      <c r="D6" s="180">
        <f>IF(COUNTA(FEV!$I$8:$AM$73)&gt;0,SUMPRODUCT((FEV!$I$78:$AM$78+FEV!$I$79:$AM$79+FEV!$I$80:$AM$80=0)*(FEV!$I$78:$AM$78&lt;&gt;"")),"")</f>
        <v/>
      </c>
      <c r="E6" s="181">
        <f>IF(COUNTA(FEV!$I$8:$AM$73)&gt;0,IFERROR(AVERAGEIF(FEV!$I$75:$AM$75,"&gt;0"),0),"")</f>
        <v/>
      </c>
      <c r="F6" s="181">
        <f>IF(COUNTA(FEV!$I$8:$AM$73)&gt;0,IFERROR(AVERAGEIF(FEV!$I$76:$AM$76,"&gt;0"),0),"")</f>
        <v/>
      </c>
      <c r="G6" s="181">
        <f>IF(COUNTA(FEV!$I$8:$AM$73)&gt;0,IFERROR(AVERAGEIF(FEV!$I$77:$AM$77,"&gt;0"),0),"")</f>
        <v/>
      </c>
      <c r="H6" s="180">
        <f>IF(COUNTA(FEV!$I$8:$AM$73)&gt;0,COUNTIF(FEV!$I$8:$AM$73,"N"),"")</f>
        <v/>
      </c>
      <c r="I6" s="180">
        <f>IF(COUNTA(FEV!$I$8:$AM$73)&gt;0,COUNTIF(FEV!$I$8:$AM$73,"N")*7+COUNTIF(FEV!$I$8:$AM$73,"NT")*3,"")</f>
        <v/>
      </c>
      <c r="J6" s="180">
        <f>IF(COUNTA(FEV!$I$8:$AM$73)&gt;0,SUMPRODUCT(--(ABS(FEV!$AY$8:$AY$73)&gt;12)),"")</f>
        <v/>
      </c>
    </row>
    <row r="7">
      <c r="A7" s="32" t="inlineStr">
        <is>
          <t>MAR</t>
        </is>
      </c>
      <c r="B7" s="180">
        <f>IF(COUNTA(MAR!$I$8:$AM$73)&gt;0,SUM(MAR!$AZ$8:$AZ$73),"")</f>
        <v/>
      </c>
      <c r="C7" s="180">
        <f>IF(COUNTA(MAR!$I$8:$AM$73)&gt;0,SUM(MAR!$I$78:$AM$78)+SUM(MAR!$I$79:$AM$79)+SUM(MAR!$I$80:$AM$80),"")</f>
        <v/>
      </c>
      <c r="D7" s="180">
        <f>IF(COUNTA(MAR!$I$8:$AM$73)&gt;0,SUMPRODUCT((MAR!$I$78:$AM$78+MAR!$I$79:$AM$79+MAR!$I$80:$AM$80=0)*(MAR!$I$78:$AM$78&lt;&gt;"")),"")</f>
        <v/>
      </c>
      <c r="E7" s="181">
        <f>IF(COUNTA(MAR!$I$8:$AM$73)&gt;0,IFERROR(AVERAGEIF(MAR!$I$75:$AM$75,"&gt;0"),0),"")</f>
        <v/>
      </c>
      <c r="F7" s="181">
        <f>IF(COUNTA(MAR!$I$8:$AM$73)&gt;0,IFERROR(AVERAGEIF(MAR!$I$76:$AM$76,"&gt;0"),0),"")</f>
        <v/>
      </c>
      <c r="G7" s="181">
        <f>IF(COUNTA(MAR!$I$8:$AM$73)&gt;0,IFERROR(AVERAGEIF(MAR!$I$77:$AM$77,"&gt;0"),0),"")</f>
        <v/>
      </c>
      <c r="H7" s="180">
        <f>IF(COUNTA(MAR!$I$8:$AM$73)&gt;0,COUNTIF(MAR!$I$8:$AM$73,"N"),"")</f>
        <v/>
      </c>
      <c r="I7" s="180">
        <f>IF(COUNTA(MAR!$I$8:$AM$73)&gt;0,COUNTIF(MAR!$I$8:$AM$73,"N")*7+COUNTIF(MAR!$I$8:$AM$73,"NT")*3,"")</f>
        <v/>
      </c>
      <c r="J7" s="180">
        <f>IF(COUNTA(MAR!$I$8:$AM$73)&gt;0,SUMPRODUCT(--(ABS(MAR!$AY$8:$AY$73)&gt;12)),"")</f>
        <v/>
      </c>
    </row>
    <row r="8">
      <c r="A8" s="32" t="inlineStr">
        <is>
          <t>ABR</t>
        </is>
      </c>
      <c r="B8" s="180">
        <f>IF(COUNTA(ABR!$I$8:$AM$73)&gt;0,SUM(ABR!$AZ$8:$AZ$73),"")</f>
        <v/>
      </c>
      <c r="C8" s="180">
        <f>IF(COUNTA(ABR!$I$8:$AM$73)&gt;0,SUM(ABR!$I$78:$AM$78)+SUM(ABR!$I$79:$AM$79)+SUM(ABR!$I$80:$AM$80),"")</f>
        <v/>
      </c>
      <c r="D8" s="180">
        <f>IF(COUNTA(ABR!$I$8:$AM$73)&gt;0,SUMPRODUCT((ABR!$I$78:$AM$78+ABR!$I$79:$AM$79+ABR!$I$80:$AM$80=0)*(ABR!$I$78:$AM$78&lt;&gt;"")),"")</f>
        <v/>
      </c>
      <c r="E8" s="181">
        <f>IF(COUNTA(ABR!$I$8:$AM$73)&gt;0,IFERROR(AVERAGEIF(ABR!$I$75:$AM$75,"&gt;0"),0),"")</f>
        <v/>
      </c>
      <c r="F8" s="181">
        <f>IF(COUNTA(ABR!$I$8:$AM$73)&gt;0,IFERROR(AVERAGEIF(ABR!$I$76:$AM$76,"&gt;0"),0),"")</f>
        <v/>
      </c>
      <c r="G8" s="181">
        <f>IF(COUNTA(ABR!$I$8:$AM$73)&gt;0,IFERROR(AVERAGEIF(ABR!$I$77:$AM$77,"&gt;0"),0),"")</f>
        <v/>
      </c>
      <c r="H8" s="180">
        <f>IF(COUNTA(ABR!$I$8:$AM$73)&gt;0,COUNTIF(ABR!$I$8:$AM$73,"N"),"")</f>
        <v/>
      </c>
      <c r="I8" s="180">
        <f>IF(COUNTA(ABR!$I$8:$AM$73)&gt;0,COUNTIF(ABR!$I$8:$AM$73,"N")*7+COUNTIF(ABR!$I$8:$AM$73,"NT")*3,"")</f>
        <v/>
      </c>
      <c r="J8" s="180">
        <f>IF(COUNTA(ABR!$I$8:$AM$73)&gt;0,SUMPRODUCT(--(ABS(ABR!$AY$8:$AY$73)&gt;12)),"")</f>
        <v/>
      </c>
    </row>
    <row r="9">
      <c r="A9" s="32" t="inlineStr">
        <is>
          <t>MAI</t>
        </is>
      </c>
      <c r="B9" s="180">
        <f>IF(COUNTA(MAI!$I$8:$AM$73)&gt;0,SUM(MAI!$AZ$8:$AZ$73),"")</f>
        <v/>
      </c>
      <c r="C9" s="180">
        <f>IF(COUNTA(MAI!$I$8:$AM$73)&gt;0,SUM(MAI!$I$78:$AM$78)+SUM(MAI!$I$79:$AM$79)+SUM(MAI!$I$80:$AM$80),"")</f>
        <v/>
      </c>
      <c r="D9" s="180">
        <f>IF(COUNTA(MAI!$I$8:$AM$73)&gt;0,SUMPRODUCT((MAI!$I$78:$AM$78+MAI!$I$79:$AM$79+MAI!$I$80:$AM$80=0)*(MAI!$I$78:$AM$78&lt;&gt;"")),"")</f>
        <v/>
      </c>
      <c r="E9" s="181">
        <f>IF(COUNTA(MAI!$I$8:$AM$73)&gt;0,IFERROR(AVERAGEIF(MAI!$I$75:$AM$75,"&gt;0"),0),"")</f>
        <v/>
      </c>
      <c r="F9" s="181">
        <f>IF(COUNTA(MAI!$I$8:$AM$73)&gt;0,IFERROR(AVERAGEIF(MAI!$I$76:$AM$76,"&gt;0"),0),"")</f>
        <v/>
      </c>
      <c r="G9" s="181">
        <f>IF(COUNTA(MAI!$I$8:$AM$73)&gt;0,IFERROR(AVERAGEIF(MAI!$I$77:$AM$77,"&gt;0"),0),"")</f>
        <v/>
      </c>
      <c r="H9" s="180">
        <f>IF(COUNTA(MAI!$I$8:$AM$73)&gt;0,COUNTIF(MAI!$I$8:$AM$73,"N"),"")</f>
        <v/>
      </c>
      <c r="I9" s="180">
        <f>IF(COUNTA(MAI!$I$8:$AM$73)&gt;0,COUNTIF(MAI!$I$8:$AM$73,"N")*7+COUNTIF(MAI!$I$8:$AM$73,"NT")*3,"")</f>
        <v/>
      </c>
      <c r="J9" s="180">
        <f>IF(COUNTA(MAI!$I$8:$AM$73)&gt;0,SUMPRODUCT(--(ABS(MAI!$AY$8:$AY$73)&gt;12)),"")</f>
        <v/>
      </c>
    </row>
    <row r="10">
      <c r="A10" s="32" t="inlineStr">
        <is>
          <t>JUN</t>
        </is>
      </c>
      <c r="B10" s="180">
        <f>IF(COUNTA(JUN!$I$8:$AM$73)&gt;0,SUM(JUN!$AZ$8:$AZ$73),"")</f>
        <v/>
      </c>
      <c r="C10" s="180">
        <f>IF(COUNTA(JUN!$I$8:$AM$73)&gt;0,SUM(JUN!$I$78:$AM$78)+SUM(JUN!$I$79:$AM$79)+SUM(JUN!$I$80:$AM$80),"")</f>
        <v/>
      </c>
      <c r="D10" s="180">
        <f>IF(COUNTA(JUN!$I$8:$AM$73)&gt;0,SUMPRODUCT((JUN!$I$78:$AM$78+JUN!$I$79:$AM$79+JUN!$I$80:$AM$80=0)*(JUN!$I$78:$AM$78&lt;&gt;"")),"")</f>
        <v/>
      </c>
      <c r="E10" s="181">
        <f>IF(COUNTA(JUN!$I$8:$AM$73)&gt;0,IFERROR(AVERAGEIF(JUN!$I$75:$AM$75,"&gt;0"),0),"")</f>
        <v/>
      </c>
      <c r="F10" s="181">
        <f>IF(COUNTA(JUN!$I$8:$AM$73)&gt;0,IFERROR(AVERAGEIF(JUN!$I$76:$AM$76,"&gt;0"),0),"")</f>
        <v/>
      </c>
      <c r="G10" s="181">
        <f>IF(COUNTA(JUN!$I$8:$AM$73)&gt;0,IFERROR(AVERAGEIF(JUN!$I$77:$AM$77,"&gt;0"),0),"")</f>
        <v/>
      </c>
      <c r="H10" s="180">
        <f>IF(COUNTA(JUN!$I$8:$AM$73)&gt;0,COUNTIF(JUN!$I$8:$AM$73,"N"),"")</f>
        <v/>
      </c>
      <c r="I10" s="180">
        <f>IF(COUNTA(JUN!$I$8:$AM$73)&gt;0,COUNTIF(JUN!$I$8:$AM$73,"N")*7+COUNTIF(JUN!$I$8:$AM$73,"NT")*3,"")</f>
        <v/>
      </c>
      <c r="J10" s="180">
        <f>IF(COUNTA(JUN!$I$8:$AM$73)&gt;0,SUMPRODUCT(--(ABS(JUN!$AY$8:$AY$73)&gt;12)),"")</f>
        <v/>
      </c>
    </row>
    <row r="11">
      <c r="A11" s="32" t="inlineStr">
        <is>
          <t>JUL</t>
        </is>
      </c>
      <c r="B11" s="180">
        <f>IF(COUNTA(JUL!$I$8:$AM$73)&gt;0,SUM(JUL!$AZ$8:$AZ$73),"")</f>
        <v/>
      </c>
      <c r="C11" s="180">
        <f>IF(COUNTA(JUL!$I$8:$AM$73)&gt;0,SUM(JUL!$I$78:$AM$78)+SUM(JUL!$I$79:$AM$79)+SUM(JUL!$I$80:$AM$80),"")</f>
        <v/>
      </c>
      <c r="D11" s="180">
        <f>IF(COUNTA(JUL!$I$8:$AM$73)&gt;0,SUMPRODUCT((JUL!$I$78:$AM$78+JUL!$I$79:$AM$79+JUL!$I$80:$AM$80=0)*(JUL!$I$78:$AM$78&lt;&gt;"")),"")</f>
        <v/>
      </c>
      <c r="E11" s="181">
        <f>IF(COUNTA(JUL!$I$8:$AM$73)&gt;0,IFERROR(AVERAGEIF(JUL!$I$75:$AM$75,"&gt;0"),0),"")</f>
        <v/>
      </c>
      <c r="F11" s="181">
        <f>IF(COUNTA(JUL!$I$8:$AM$73)&gt;0,IFERROR(AVERAGEIF(JUL!$I$76:$AM$76,"&gt;0"),0),"")</f>
        <v/>
      </c>
      <c r="G11" s="181">
        <f>IF(COUNTA(JUL!$I$8:$AM$73)&gt;0,IFERROR(AVERAGEIF(JUL!$I$77:$AM$77,"&gt;0"),0),"")</f>
        <v/>
      </c>
      <c r="H11" s="180">
        <f>IF(COUNTA(JUL!$I$8:$AM$73)&gt;0,COUNTIF(JUL!$I$8:$AM$73,"N"),"")</f>
        <v/>
      </c>
      <c r="I11" s="180">
        <f>IF(COUNTA(JUL!$I$8:$AM$73)&gt;0,COUNTIF(JUL!$I$8:$AM$73,"N")*7+COUNTIF(JUL!$I$8:$AM$73,"NT")*3,"")</f>
        <v/>
      </c>
      <c r="J11" s="180">
        <f>IF(COUNTA(JUL!$I$8:$AM$73)&gt;0,SUMPRODUCT(--(ABS(JUL!$AY$8:$AY$73)&gt;12)),"")</f>
        <v/>
      </c>
    </row>
    <row r="12">
      <c r="A12" s="32" t="inlineStr">
        <is>
          <t>AGO</t>
        </is>
      </c>
      <c r="B12" s="180">
        <f>IF(COUNTA(AGO!$I$8:$AM$73)&gt;0,SUM(AGO!$AZ$8:$AZ$73),"")</f>
        <v/>
      </c>
      <c r="C12" s="180">
        <f>IF(COUNTA(AGO!$I$8:$AM$73)&gt;0,SUM(AGO!$I$78:$AM$78)+SUM(AGO!$I$79:$AM$79)+SUM(AGO!$I$80:$AM$80),"")</f>
        <v/>
      </c>
      <c r="D12" s="180">
        <f>IF(COUNTA(AGO!$I$8:$AM$73)&gt;0,SUMPRODUCT((AGO!$I$78:$AM$78+AGO!$I$79:$AM$79+AGO!$I$80:$AM$80=0)*(AGO!$I$78:$AM$78&lt;&gt;"")),"")</f>
        <v/>
      </c>
      <c r="E12" s="181">
        <f>IF(COUNTA(AGO!$I$8:$AM$73)&gt;0,IFERROR(AVERAGEIF(AGO!$I$75:$AM$75,"&gt;0"),0),"")</f>
        <v/>
      </c>
      <c r="F12" s="181">
        <f>IF(COUNTA(AGO!$I$8:$AM$73)&gt;0,IFERROR(AVERAGEIF(AGO!$I$76:$AM$76,"&gt;0"),0),"")</f>
        <v/>
      </c>
      <c r="G12" s="181">
        <f>IF(COUNTA(AGO!$I$8:$AM$73)&gt;0,IFERROR(AVERAGEIF(AGO!$I$77:$AM$77,"&gt;0"),0),"")</f>
        <v/>
      </c>
      <c r="H12" s="180">
        <f>IF(COUNTA(AGO!$I$8:$AM$73)&gt;0,COUNTIF(AGO!$I$8:$AM$73,"N"),"")</f>
        <v/>
      </c>
      <c r="I12" s="180">
        <f>IF(COUNTA(AGO!$I$8:$AM$73)&gt;0,COUNTIF(AGO!$I$8:$AM$73,"N")*7+COUNTIF(AGO!$I$8:$AM$73,"NT")*3,"")</f>
        <v/>
      </c>
      <c r="J12" s="180">
        <f>IF(COUNTA(AGO!$I$8:$AM$73)&gt;0,SUMPRODUCT(--(ABS(AGO!$AY$8:$AY$73)&gt;12)),"")</f>
        <v/>
      </c>
    </row>
    <row r="13">
      <c r="A13" s="32" t="inlineStr">
        <is>
          <t>SET</t>
        </is>
      </c>
      <c r="B13" s="180">
        <f>IF(COUNTA(SET!$I$8:$AM$73)&gt;0,SUM(SET!$AZ$8:$AZ$73),"")</f>
        <v/>
      </c>
      <c r="C13" s="180">
        <f>IF(COUNTA(SET!$I$8:$AM$73)&gt;0,SUM(SET!$I$78:$AM$78)+SUM(SET!$I$79:$AM$79)+SUM(SET!$I$80:$AM$80),"")</f>
        <v/>
      </c>
      <c r="D13" s="180">
        <f>IF(COUNTA(SET!$I$8:$AM$73)&gt;0,SUMPRODUCT((SET!$I$78:$AM$78+SET!$I$79:$AM$79+SET!$I$80:$AM$80=0)*(SET!$I$78:$AM$78&lt;&gt;"")),"")</f>
        <v/>
      </c>
      <c r="E13" s="181">
        <f>IF(COUNTA(SET!$I$8:$AM$73)&gt;0,IFERROR(AVERAGEIF(SET!$I$75:$AM$75,"&gt;0"),0),"")</f>
        <v/>
      </c>
      <c r="F13" s="181">
        <f>IF(COUNTA(SET!$I$8:$AM$73)&gt;0,IFERROR(AVERAGEIF(SET!$I$76:$AM$76,"&gt;0"),0),"")</f>
        <v/>
      </c>
      <c r="G13" s="181">
        <f>IF(COUNTA(SET!$I$8:$AM$73)&gt;0,IFERROR(AVERAGEIF(SET!$I$77:$AM$77,"&gt;0"),0),"")</f>
        <v/>
      </c>
      <c r="H13" s="180">
        <f>IF(COUNTA(SET!$I$8:$AM$73)&gt;0,COUNTIF(SET!$I$8:$AM$73,"N"),"")</f>
        <v/>
      </c>
      <c r="I13" s="180">
        <f>IF(COUNTA(SET!$I$8:$AM$73)&gt;0,COUNTIF(SET!$I$8:$AM$73,"N")*7+COUNTIF(SET!$I$8:$AM$73,"NT")*3,"")</f>
        <v/>
      </c>
      <c r="J13" s="180">
        <f>IF(COUNTA(SET!$I$8:$AM$73)&gt;0,SUMPRODUCT(--(ABS(SET!$AY$8:$AY$73)&gt;12)),"")</f>
        <v/>
      </c>
    </row>
    <row r="14">
      <c r="A14" s="32" t="inlineStr">
        <is>
          <t>OUT</t>
        </is>
      </c>
      <c r="B14" s="180">
        <f>IF(COUNTA(OUT!$I$8:$AM$73)&gt;0,SUM(OUT!$AZ$8:$AZ$73),"")</f>
        <v/>
      </c>
      <c r="C14" s="180">
        <f>IF(COUNTA(OUT!$I$8:$AM$73)&gt;0,SUM(OUT!$I$78:$AM$78)+SUM(OUT!$I$79:$AM$79)+SUM(OUT!$I$80:$AM$80),"")</f>
        <v/>
      </c>
      <c r="D14" s="180">
        <f>IF(COUNTA(OUT!$I$8:$AM$73)&gt;0,SUMPRODUCT((OUT!$I$78:$AM$78+OUT!$I$79:$AM$79+OUT!$I$80:$AM$80=0)*(OUT!$I$78:$AM$78&lt;&gt;"")),"")</f>
        <v/>
      </c>
      <c r="E14" s="181">
        <f>IF(COUNTA(OUT!$I$8:$AM$73)&gt;0,IFERROR(AVERAGEIF(OUT!$I$75:$AM$75,"&gt;0"),0),"")</f>
        <v/>
      </c>
      <c r="F14" s="181">
        <f>IF(COUNTA(OUT!$I$8:$AM$73)&gt;0,IFERROR(AVERAGEIF(OUT!$I$76:$AM$76,"&gt;0"),0),"")</f>
        <v/>
      </c>
      <c r="G14" s="181">
        <f>IF(COUNTA(OUT!$I$8:$AM$73)&gt;0,IFERROR(AVERAGEIF(OUT!$I$77:$AM$77,"&gt;0"),0),"")</f>
        <v/>
      </c>
      <c r="H14" s="180">
        <f>IF(COUNTA(OUT!$I$8:$AM$73)&gt;0,COUNTIF(OUT!$I$8:$AM$73,"N"),"")</f>
        <v/>
      </c>
      <c r="I14" s="180">
        <f>IF(COUNTA(OUT!$I$8:$AM$73)&gt;0,COUNTIF(OUT!$I$8:$AM$73,"N")*7+COUNTIF(OUT!$I$8:$AM$73,"NT")*3,"")</f>
        <v/>
      </c>
      <c r="J14" s="180">
        <f>IF(COUNTA(OUT!$I$8:$AM$73)&gt;0,SUMPRODUCT(--(ABS(OUT!$AY$8:$AY$73)&gt;12)),"")</f>
        <v/>
      </c>
    </row>
    <row r="15">
      <c r="A15" s="32" t="inlineStr">
        <is>
          <t>NOV</t>
        </is>
      </c>
      <c r="B15" s="180">
        <f>IF(COUNTA(NOV!$I$8:$AM$73)&gt;0,SUM(NOV!$AZ$8:$AZ$73),"")</f>
        <v/>
      </c>
      <c r="C15" s="180">
        <f>IF(COUNTA(NOV!$I$8:$AM$73)&gt;0,SUM(NOV!$I$78:$AM$78)+SUM(NOV!$I$79:$AM$79)+SUM(NOV!$I$80:$AM$80),"")</f>
        <v/>
      </c>
      <c r="D15" s="180">
        <f>IF(COUNTA(NOV!$I$8:$AM$73)&gt;0,SUMPRODUCT((NOV!$I$78:$AM$78+NOV!$I$79:$AM$79+NOV!$I$80:$AM$80=0)*(NOV!$I$78:$AM$78&lt;&gt;"")),"")</f>
        <v/>
      </c>
      <c r="E15" s="181">
        <f>IF(COUNTA(NOV!$I$8:$AM$73)&gt;0,IFERROR(AVERAGEIF(NOV!$I$75:$AM$75,"&gt;0"),0),"")</f>
        <v/>
      </c>
      <c r="F15" s="181">
        <f>IF(COUNTA(NOV!$I$8:$AM$73)&gt;0,IFERROR(AVERAGEIF(NOV!$I$76:$AM$76,"&gt;0"),0),"")</f>
        <v/>
      </c>
      <c r="G15" s="181">
        <f>IF(COUNTA(NOV!$I$8:$AM$73)&gt;0,IFERROR(AVERAGEIF(NOV!$I$77:$AM$77,"&gt;0"),0),"")</f>
        <v/>
      </c>
      <c r="H15" s="180">
        <f>IF(COUNTA(NOV!$I$8:$AM$73)&gt;0,COUNTIF(NOV!$I$8:$AM$73,"N"),"")</f>
        <v/>
      </c>
      <c r="I15" s="180">
        <f>IF(COUNTA(NOV!$I$8:$AM$73)&gt;0,COUNTIF(NOV!$I$8:$AM$73,"N")*7+COUNTIF(NOV!$I$8:$AM$73,"NT")*3,"")</f>
        <v/>
      </c>
      <c r="J15" s="180">
        <f>IF(COUNTA(NOV!$I$8:$AM$73)&gt;0,SUMPRODUCT(--(ABS(NOV!$AY$8:$AY$73)&gt;12)),"")</f>
        <v/>
      </c>
    </row>
    <row r="16">
      <c r="A16" s="32" t="inlineStr">
        <is>
          <t>DEZ</t>
        </is>
      </c>
      <c r="B16" s="180">
        <f>IF(COUNTA(DEZ!$I$8:$AM$73)&gt;0,SUM(DEZ!$AZ$8:$AZ$73),"")</f>
        <v/>
      </c>
      <c r="C16" s="180">
        <f>IF(COUNTA(DEZ!$I$8:$AM$73)&gt;0,SUM(DEZ!$I$78:$AM$78)+SUM(DEZ!$I$79:$AM$79)+SUM(DEZ!$I$80:$AM$80),"")</f>
        <v/>
      </c>
      <c r="D16" s="180">
        <f>IF(COUNTA(DEZ!$I$8:$AM$73)&gt;0,SUMPRODUCT((DEZ!$I$78:$AM$78+DEZ!$I$79:$AM$79+DEZ!$I$80:$AM$80=0)*(DEZ!$I$78:$AM$78&lt;&gt;"")),"")</f>
        <v/>
      </c>
      <c r="E16" s="181">
        <f>IF(COUNTA(DEZ!$I$8:$AM$73)&gt;0,IFERROR(AVERAGEIF(DEZ!$I$75:$AM$75,"&gt;0"),0),"")</f>
        <v/>
      </c>
      <c r="F16" s="181">
        <f>IF(COUNTA(DEZ!$I$8:$AM$73)&gt;0,IFERROR(AVERAGEIF(DEZ!$I$76:$AM$76,"&gt;0"),0),"")</f>
        <v/>
      </c>
      <c r="G16" s="181">
        <f>IF(COUNTA(DEZ!$I$8:$AM$73)&gt;0,IFERROR(AVERAGEIF(DEZ!$I$77:$AM$77,"&gt;0"),0),"")</f>
        <v/>
      </c>
      <c r="H16" s="180">
        <f>IF(COUNTA(DEZ!$I$8:$AM$73)&gt;0,COUNTIF(DEZ!$I$8:$AM$73,"N"),"")</f>
        <v/>
      </c>
      <c r="I16" s="180">
        <f>IF(COUNTA(DEZ!$I$8:$AM$73)&gt;0,COUNTIF(DEZ!$I$8:$AM$73,"N")*7+COUNTIF(DEZ!$I$8:$AM$73,"NT")*3,"")</f>
        <v/>
      </c>
      <c r="J16" s="180">
        <f>IF(COUNTA(DEZ!$I$8:$AM$73)&gt;0,SUMPRODUCT(--(ABS(DEZ!$AY$8:$AY$73)&gt;12)),"")</f>
        <v/>
      </c>
    </row>
    <row r="20">
      <c r="A20" s="182" t="inlineStr">
        <is>
          <t>Distribuição do saldo · Outubro</t>
        </is>
      </c>
    </row>
    <row r="21">
      <c r="A21" s="183" t="inlineStr">
        <is>
          <t>Faixa</t>
        </is>
      </c>
      <c r="B21" s="184" t="inlineStr">
        <is>
          <t>Devendo</t>
        </is>
      </c>
      <c r="C21" s="184" t="inlineStr">
        <is>
          <t>A mais</t>
        </is>
      </c>
    </row>
    <row r="22">
      <c r="A22" s="185" t="inlineStr">
        <is>
          <t>−24h ou mais</t>
        </is>
      </c>
      <c r="B22" s="186">
        <f>COUNTIFS(OUT!$AY$8:$AY$73,"&lt;-24")</f>
        <v/>
      </c>
    </row>
    <row r="23">
      <c r="A23" s="185" t="inlineStr">
        <is>
          <t>−12 a −24h</t>
        </is>
      </c>
      <c r="B23" s="186">
        <f>COUNTIFS(OUT!$AY$8:$AY$73,"&gt;=-24",OUT!$AY$8:$AY$73,"&lt;-12")</f>
        <v/>
      </c>
    </row>
    <row r="24">
      <c r="A24" s="185" t="inlineStr">
        <is>
          <t>−1 a −12h</t>
        </is>
      </c>
      <c r="B24" s="186">
        <f>COUNTIFS(OUT!$AY$8:$AY$73,"&gt;=-12",OUT!$AY$8:$AY$73,"&lt;0")</f>
        <v/>
      </c>
    </row>
    <row r="25">
      <c r="A25" s="185" t="inlineStr">
        <is>
          <t>na meta</t>
        </is>
      </c>
      <c r="B25" s="186">
        <f>COUNTIFS(OUT!$AY$8:$AY$73,"=0")</f>
        <v/>
      </c>
    </row>
    <row r="26">
      <c r="A26" s="185" t="inlineStr">
        <is>
          <t>+1 a +12h</t>
        </is>
      </c>
      <c r="C26" s="186">
        <f>COUNTIFS(OUT!$AY$8:$AY$73,"&gt;0",OUT!$AY$8:$AY$73,"&lt;=12")</f>
        <v/>
      </c>
    </row>
    <row r="27">
      <c r="A27" s="185" t="inlineStr">
        <is>
          <t>+12 a +24h</t>
        </is>
      </c>
      <c r="C27" s="186">
        <f>COUNTIFS(OUT!$AY$8:$AY$73,"&gt;12",OUT!$AY$8:$AY$73,"&lt;=24")</f>
        <v/>
      </c>
    </row>
    <row r="28">
      <c r="A28" s="185" t="inlineStr">
        <is>
          <t>+24h ou mais</t>
        </is>
      </c>
      <c r="C28" s="186">
        <f>COUNTIFS(OUT!$AY$8:$AY$73,"&gt;24")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2026-08-28T18:22:30Z</dcterms:created>
  <dcterms:modified xmlns:dcterms="http://purl.org/dc/terms/" xmlns:xsi="http://www.w3.org/2001/XMLSchema-instance" xsi:type="dcterms:W3CDTF">2026-08-28T18:22:47Z</dcterms:modified>
</cp:coreProperties>
</file>