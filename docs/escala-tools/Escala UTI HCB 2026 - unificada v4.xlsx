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CADASTR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JAN" sheetId="5" state="visible" r:id="rId5"/>
    <sheet xmlns:r="http://schemas.openxmlformats.org/officeDocument/2006/relationships" name="FEV" sheetId="6" state="visible" r:id="rId6"/>
    <sheet xmlns:r="http://schemas.openxmlformats.org/officeDocument/2006/relationships" name="MAR" sheetId="7" state="visible" r:id="rId7"/>
    <sheet xmlns:r="http://schemas.openxmlformats.org/officeDocument/2006/relationships" name="ABR" sheetId="8" state="visible" r:id="rId8"/>
    <sheet xmlns:r="http://schemas.openxmlformats.org/officeDocument/2006/relationships" name="MAI" sheetId="9" state="visible" r:id="rId9"/>
    <sheet xmlns:r="http://schemas.openxmlformats.org/officeDocument/2006/relationships" name="JUN" sheetId="10" state="visible" r:id="rId10"/>
    <sheet xmlns:r="http://schemas.openxmlformats.org/officeDocument/2006/relationships" name="JUL" sheetId="11" state="visible" r:id="rId11"/>
    <sheet xmlns:r="http://schemas.openxmlformats.org/officeDocument/2006/relationships" name="AGO" sheetId="12" state="visible" r:id="rId12"/>
    <sheet xmlns:r="http://schemas.openxmlformats.org/officeDocument/2006/relationships" name="SET" sheetId="13" state="visible" r:id="rId13"/>
    <sheet xmlns:r="http://schemas.openxmlformats.org/officeDocument/2006/relationships" name="OUT" sheetId="14" state="visible" r:id="rId14"/>
    <sheet xmlns:r="http://schemas.openxmlformats.org/officeDocument/2006/relationships" name="NOV" sheetId="15" state="visible" r:id="rId15"/>
    <sheet xmlns:r="http://schemas.openxmlformats.org/officeDocument/2006/relationships" name="DEZ" sheetId="16" state="visible" r:id="rId16"/>
    <sheet xmlns:r="http://schemas.openxmlformats.org/officeDocument/2006/relationships" name="PAINEL ANO" sheetId="17" state="visible" r:id="rId17"/>
    <sheet xmlns:r="http://schemas.openxmlformats.org/officeDocument/2006/relationships" name="SENIOR" sheetId="18" state="visible" r:id="rId18"/>
    <sheet xmlns:r="http://schemas.openxmlformats.org/officeDocument/2006/relationships" name="VALIDADOR" sheetId="19" state="visible" r:id="rId19"/>
    <sheet xmlns:r="http://schemas.openxmlformats.org/officeDocument/2006/relationships" name="ATENDIMENTO" sheetId="20" state="visible" r:id="rId20"/>
    <sheet xmlns:r="http://schemas.openxmlformats.org/officeDocument/2006/relationships" name="CONVOCAÇÕES" sheetId="21" state="visible" r:id="rId21"/>
    <sheet xmlns:r="http://schemas.openxmlformats.org/officeDocument/2006/relationships" name="DADOS DASH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5">
    <font>
      <name val="Calibri"/>
      <family val="2"/>
      <color theme="1"/>
      <sz val="11"/>
      <scheme val="minor"/>
    </font>
    <font>
      <name val="Helvetica Neue"/>
      <b val="1"/>
      <color rgb="005A4E8C"/>
      <sz val="15"/>
    </font>
    <font>
      <name val="Helvetica Neue"/>
      <b val="1"/>
      <color rgb="005A4E8C"/>
      <sz val="11"/>
    </font>
    <font>
      <name val="Helvetica Neue"/>
      <color rgb="003A2E2A"/>
      <sz val="10"/>
    </font>
    <font>
      <name val="Helvetica Neue"/>
      <color rgb="006B5C56"/>
      <sz val="10"/>
    </font>
    <font>
      <name val="Helvetica Neue"/>
      <b val="1"/>
      <color rgb="00FFFFFF"/>
      <sz val="9"/>
    </font>
    <font>
      <name val="Helvetica Neue"/>
      <b val="1"/>
      <color rgb="003A2E2A"/>
      <sz val="10"/>
    </font>
    <font>
      <name val="Helvetica Neue"/>
      <b val="1"/>
      <color rgb="00FFFFFF"/>
      <sz val="10"/>
    </font>
    <font>
      <name val="Helvetica Neue"/>
      <color rgb="006B5C56"/>
      <sz val="9"/>
    </font>
    <font>
      <name val="Helvetica Neue"/>
      <color rgb="00C77264"/>
      <sz val="10"/>
    </font>
    <font>
      <name val="Helvetica Neue"/>
      <color rgb="009A8A82"/>
      <sz val="9"/>
    </font>
    <font>
      <name val="Helvetica Neue"/>
      <b val="1"/>
      <color rgb="003A2E2A"/>
      <sz val="9"/>
    </font>
    <font>
      <name val="Helvetica Neue"/>
      <color rgb="003A2E2A"/>
      <sz val="9"/>
    </font>
    <font>
      <name val="Helvetica Neue"/>
      <b val="1"/>
      <color rgb="00C77264"/>
      <sz val="10"/>
    </font>
    <font>
      <name val="Helvetica Neue"/>
      <b val="1"/>
      <color rgb="009A8A82"/>
      <sz val="9"/>
    </font>
    <font>
      <name val="Helvetica Neue"/>
      <i val="1"/>
      <color rgb="009A8A82"/>
      <sz val="9"/>
    </font>
    <font>
      <name val="Helvetica Neue"/>
      <b val="1"/>
      <color rgb="005A4E8C"/>
      <sz val="14"/>
    </font>
    <font>
      <name val="Helvetica Neue"/>
      <b val="1"/>
      <color rgb="00FFFFFF"/>
      <sz val="8"/>
    </font>
    <font>
      <name val="Helvetica Neue"/>
      <color rgb="009A8A82"/>
      <sz val="8"/>
    </font>
    <font>
      <name val="Helvetica Neue"/>
      <color rgb="00C77264"/>
      <sz val="8"/>
    </font>
    <font>
      <name val="Helvetica Neue"/>
      <color rgb="006B5C56"/>
      <sz val="8"/>
    </font>
    <font>
      <name val="Helvetica Neue"/>
      <color rgb="003A2E2A"/>
      <sz val="8"/>
    </font>
    <font>
      <name val="Helvetica Neue"/>
      <b val="1"/>
      <color rgb="003A2E2A"/>
      <sz val="8"/>
    </font>
    <font>
      <name val="Helvetica Neue"/>
      <b val="1"/>
      <color rgb="005A4E8C"/>
      <sz val="9"/>
    </font>
    <font>
      <name val="Helvetica Neue"/>
      <b val="1"/>
      <color rgb="00C77264"/>
      <sz val="9"/>
    </font>
    <font>
      <name val="Helvetica Neue"/>
      <b val="1"/>
      <color rgb="00C77264"/>
      <sz val="8"/>
    </font>
    <font>
      <name val="Helvetica Neue"/>
      <b val="1"/>
      <color rgb="005A4E8C"/>
      <sz val="10"/>
    </font>
    <font>
      <name val="Helvetica Neue"/>
      <b val="1"/>
      <color rgb="00C77264"/>
      <sz val="13"/>
    </font>
    <font>
      <name val="Helvetica Neue"/>
      <b val="1"/>
      <color rgb="005A4E8C"/>
      <sz val="12"/>
    </font>
    <font>
      <name val="Helvetica Neue"/>
      <i val="1"/>
      <color rgb="006B5C56"/>
      <sz val="9"/>
    </font>
    <font>
      <name val="Helvetica Neue"/>
      <b val="1"/>
      <color rgb="005A4E8C"/>
      <sz val="8"/>
    </font>
    <font>
      <name val="Helvetica Neue"/>
      <b val="1"/>
      <color rgb="00C77264"/>
      <sz val="12"/>
    </font>
    <font>
      <name val="Helvetica Neue"/>
      <b val="1"/>
      <color rgb="006B5C56"/>
      <sz val="12"/>
    </font>
    <font>
      <name val="Helvetica Neue"/>
      <b val="1"/>
      <color rgb="006B5C56"/>
      <sz val="8"/>
    </font>
    <font>
      <name val="Helvetica Neue"/>
      <i val="1"/>
      <color rgb="006B5C56"/>
      <sz val="10"/>
    </font>
    <font>
      <name val="Helvetica Neue"/>
      <b val="1"/>
      <color rgb="005A6E50"/>
      <sz val="9"/>
    </font>
    <font>
      <name val="Helvetica Neue"/>
      <color rgb="005A6E50"/>
      <sz val="8"/>
    </font>
    <font>
      <name val="Helvetica Neue"/>
      <b val="1"/>
      <color rgb="006B5C56"/>
      <sz val="10"/>
    </font>
    <font>
      <name val="Nunito"/>
      <b val="1"/>
      <color rgb="005A4E8C"/>
      <sz val="11"/>
    </font>
    <font>
      <name val="Nunito"/>
      <i val="1"/>
      <color rgb="009A8A82"/>
      <sz val="9"/>
    </font>
    <font>
      <name val="Nunito"/>
      <b val="1"/>
      <color rgb="00FFFFFF"/>
      <sz val="9"/>
    </font>
    <font>
      <name val="Nunito"/>
      <b val="1"/>
      <color rgb="003A2E2A"/>
      <sz val="9"/>
    </font>
    <font>
      <name val="Nunito"/>
      <color rgb="006B5C56"/>
      <sz val="9"/>
    </font>
    <font>
      <name val="Nunito"/>
      <b val="1"/>
      <color rgb="005A4E8C"/>
      <sz val="10"/>
    </font>
    <font>
      <name val="Nunito"/>
      <color rgb="003A2E2A"/>
      <sz val="9"/>
    </font>
    <font>
      <name val="Caveat"/>
      <color rgb="00A299CB"/>
      <sz val="13"/>
    </font>
    <font>
      <name val="Fraunces"/>
      <b val="1"/>
      <color rgb="003A2E2A"/>
      <sz val="22"/>
    </font>
    <font>
      <name val="Fraunces"/>
      <b val="1"/>
      <color rgb="005A4E8C"/>
      <sz val="12"/>
    </font>
    <font>
      <name val="Nunito"/>
      <b val="1"/>
      <color rgb="009A8A82"/>
      <sz val="8"/>
    </font>
    <font>
      <name val="Fraunces"/>
      <b val="1"/>
      <color rgb="005A4E8C"/>
      <sz val="40"/>
    </font>
    <font>
      <name val="Nunito"/>
      <color rgb="009A8A82"/>
      <sz val="8"/>
    </font>
    <font>
      <name val="Fraunces"/>
      <b val="1"/>
      <color rgb="005A4E8C"/>
      <sz val="26"/>
    </font>
    <font>
      <name val="Fraunces"/>
      <b val="1"/>
      <color rgb="00C77264"/>
      <sz val="26"/>
    </font>
    <font>
      <name val="Nunito"/>
      <i val="1"/>
      <color rgb="006B5C56"/>
      <sz val="9"/>
    </font>
    <font>
      <name val="Nunito"/>
      <b val="1"/>
      <color rgb="00FFFFFF"/>
      <sz val="8"/>
    </font>
  </fonts>
  <fills count="21">
    <fill>
      <patternFill/>
    </fill>
    <fill>
      <patternFill patternType="gray125"/>
    </fill>
    <fill>
      <patternFill patternType="solid">
        <fgColor rgb="005A4E8C"/>
      </patternFill>
    </fill>
    <fill>
      <patternFill patternType="solid">
        <fgColor rgb="00FBF1E1"/>
      </patternFill>
    </fill>
    <fill>
      <patternFill patternType="solid">
        <fgColor rgb="00EAF2F9"/>
      </patternFill>
    </fill>
    <fill>
      <patternFill patternType="solid">
        <fgColor rgb="00E8C79A"/>
      </patternFill>
    </fill>
    <fill>
      <patternFill patternType="solid">
        <fgColor rgb="00A299CB"/>
      </patternFill>
    </fill>
    <fill>
      <patternFill patternType="solid">
        <fgColor rgb="00FAEAF2"/>
      </patternFill>
    </fill>
    <fill>
      <patternFill patternType="solid">
        <fgColor rgb="00EBE8E5"/>
      </patternFill>
    </fill>
    <fill>
      <patternFill patternType="solid">
        <fgColor rgb="00E8F6F8"/>
      </patternFill>
    </fill>
    <fill>
      <patternFill patternType="solid">
        <fgColor rgb="00F1EFE0"/>
      </patternFill>
    </fill>
    <fill>
      <patternFill patternType="solid">
        <fgColor rgb="00FFFAF3"/>
      </patternFill>
    </fill>
    <fill>
      <patternFill patternType="solid">
        <fgColor rgb="009AD8E1"/>
      </patternFill>
    </fill>
    <fill>
      <patternFill patternType="solid">
        <fgColor rgb="00A4D498"/>
      </patternFill>
    </fill>
    <fill>
      <patternFill patternType="solid">
        <fgColor rgb="00E79BC4"/>
      </patternFill>
    </fill>
    <fill>
      <patternFill patternType="solid">
        <fgColor rgb="00ECF6E7"/>
      </patternFill>
    </fill>
    <fill>
      <patternFill patternType="solid">
        <fgColor rgb="00ECEAF4"/>
      </patternFill>
    </fill>
    <fill>
      <patternFill patternType="solid">
        <fgColor rgb="00C77264"/>
      </patternFill>
    </fill>
    <fill>
      <patternFill patternType="solid">
        <fgColor rgb="00FBE9E5"/>
      </patternFill>
    </fill>
    <fill>
      <patternFill patternType="solid">
        <fgColor rgb="00E7A59C"/>
      </patternFill>
    </fill>
    <fill>
      <patternFill patternType="solid">
        <fgColor rgb="00FAF3E8"/>
      </patternFill>
    </fill>
  </fills>
  <borders count="21">
    <border>
      <left/>
      <right/>
      <top/>
      <bottom/>
      <diagonal/>
    </border>
    <border>
      <left style="thin">
        <color rgb="00EBE8E5"/>
      </left>
      <right style="thin">
        <color rgb="00EBE8E5"/>
      </right>
      <top style="thin">
        <color rgb="00EBE8E5"/>
      </top>
      <bottom style="thin">
        <color rgb="00EBE8E5"/>
      </bottom>
    </border>
    <border>
      <bottom style="thin">
        <color rgb="00DAD3CD"/>
      </bottom>
    </border>
    <border>
      <left style="thin">
        <color rgb="00EBE8E5"/>
      </left>
      <top style="thin">
        <color rgb="00EBE8E5"/>
      </top>
    </border>
    <border>
      <top style="thin">
        <color rgb="00EBE8E5"/>
      </top>
    </border>
    <border>
      <right style="thin">
        <color rgb="00EBE8E5"/>
      </right>
      <top style="thin">
        <color rgb="00EBE8E5"/>
      </top>
    </border>
    <border>
      <left style="thin">
        <color rgb="00EBE8E5"/>
      </left>
    </border>
    <border/>
    <border>
      <right style="thin">
        <color rgb="00EBE8E5"/>
      </right>
    </border>
    <border>
      <left style="thin">
        <color rgb="00EBE8E5"/>
      </left>
      <bottom style="thin">
        <color rgb="00EBE8E5"/>
      </bottom>
    </border>
    <border>
      <bottom style="thin">
        <color rgb="00EBE8E5"/>
      </bottom>
    </border>
    <border>
      <right style="thin">
        <color rgb="00EBE8E5"/>
      </right>
      <bottom style="thin">
        <color rgb="00EBE8E5"/>
      </bottom>
    </border>
    <border>
      <left style="thin">
        <color rgb="00EBE8E5"/>
      </left>
      <right style="thin">
        <color rgb="00EBE8E5"/>
      </right>
      <top style="thin">
        <color rgb="00EBE8E5"/>
      </top>
    </border>
    <border>
      <left/>
      <right/>
      <top style="thin">
        <color rgb="00EBE8E5"/>
      </top>
      <bottom/>
      <diagonal/>
    </border>
    <border>
      <left/>
      <right style="thin">
        <color rgb="00EBE8E5"/>
      </right>
      <top style="thin">
        <color rgb="00EBE8E5"/>
      </top>
      <bottom/>
      <diagonal/>
    </border>
    <border>
      <left style="thin">
        <color rgb="00EBE8E5"/>
      </left>
      <right style="thin">
        <color rgb="00EBE8E5"/>
      </right>
    </border>
    <border>
      <left style="thin">
        <color rgb="00EBE8E5"/>
      </left>
      <right/>
      <top/>
      <bottom/>
      <diagonal/>
    </border>
    <border>
      <left/>
      <right style="thin">
        <color rgb="00EBE8E5"/>
      </right>
      <top/>
      <bottom/>
      <diagonal/>
    </border>
    <border>
      <left style="thin">
        <color rgb="00EBE8E5"/>
      </left>
      <right style="thin">
        <color rgb="00EBE8E5"/>
      </right>
      <bottom style="thin">
        <color rgb="00EBE8E5"/>
      </bottom>
    </border>
    <border>
      <left/>
      <right/>
      <top/>
      <bottom style="thin">
        <color rgb="00EBE8E5"/>
      </bottom>
      <diagonal/>
    </border>
    <border>
      <left/>
      <right style="thin">
        <color rgb="00EBE8E5"/>
      </right>
      <top/>
      <bottom style="thin">
        <color rgb="00EBE8E5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7" fillId="0" borderId="0" applyAlignment="1" pivotButton="0" quotePrefix="0" xfId="0">
      <alignment horizontal="left" vertical="center"/>
    </xf>
    <xf numFmtId="0" fontId="48" fillId="16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8" fillId="20" borderId="12" applyAlignment="1" pivotButton="0" quotePrefix="0" xfId="0">
      <alignment horizontal="center" vertical="center"/>
    </xf>
    <xf numFmtId="0" fontId="48" fillId="18" borderId="12" applyAlignment="1" pivotButton="0" quotePrefix="0" xfId="0">
      <alignment horizontal="center" vertical="center"/>
    </xf>
    <xf numFmtId="0" fontId="48" fillId="3" borderId="12" applyAlignment="1" pivotButton="0" quotePrefix="0" xfId="0">
      <alignment horizontal="center" vertical="center"/>
    </xf>
    <xf numFmtId="0" fontId="48" fillId="9" borderId="12" applyAlignment="1" pivotButton="0" quotePrefix="0" xfId="0">
      <alignment horizontal="center" vertical="center"/>
    </xf>
    <xf numFmtId="1" fontId="49" fillId="16" borderId="15" applyAlignment="1" pivotButton="0" quotePrefix="0" xfId="0">
      <alignment horizontal="center" vertical="center"/>
    </xf>
    <xf numFmtId="0" fontId="0" fillId="0" borderId="17" pivotButton="0" quotePrefix="0" xfId="0"/>
    <xf numFmtId="0" fontId="51" fillId="20" borderId="15" applyAlignment="1" pivotButton="0" quotePrefix="0" xfId="0">
      <alignment horizontal="center" vertical="center"/>
    </xf>
    <xf numFmtId="1" fontId="52" fillId="18" borderId="15" applyAlignment="1" pivotButton="0" quotePrefix="0" xfId="0">
      <alignment horizontal="center" vertical="center"/>
    </xf>
    <xf numFmtId="1" fontId="51" fillId="20" borderId="15" applyAlignment="1" pivotButton="0" quotePrefix="0" xfId="0">
      <alignment horizontal="center" vertical="center"/>
    </xf>
    <xf numFmtId="1" fontId="51" fillId="3" borderId="15" applyAlignment="1" pivotButton="0" quotePrefix="0" xfId="0">
      <alignment horizontal="center" vertical="center"/>
    </xf>
    <xf numFmtId="1" fontId="51" fillId="9" borderId="15" applyAlignment="1" pivotButton="0" quotePrefix="0" xfId="0">
      <alignment horizontal="center" vertical="center"/>
    </xf>
    <xf numFmtId="0" fontId="0" fillId="0" borderId="16" pivotButton="0" quotePrefix="0" xfId="0"/>
    <xf numFmtId="0" fontId="50" fillId="16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50" fillId="20" borderId="18" applyAlignment="1" pivotButton="0" quotePrefix="0" xfId="0">
      <alignment horizontal="center" vertical="center" wrapText="1"/>
    </xf>
    <xf numFmtId="0" fontId="50" fillId="18" borderId="18" applyAlignment="1" pivotButton="0" quotePrefix="0" xfId="0">
      <alignment horizontal="center" vertical="center" wrapText="1"/>
    </xf>
    <xf numFmtId="0" fontId="50" fillId="3" borderId="18" applyAlignment="1" pivotButton="0" quotePrefix="0" xfId="0">
      <alignment horizontal="center" vertical="center" wrapText="1"/>
    </xf>
    <xf numFmtId="0" fontId="50" fillId="9" borderId="18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/>
    </xf>
    <xf numFmtId="0" fontId="54" fillId="2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1" fontId="42" fillId="0" borderId="10" applyAlignment="1" pivotButton="0" quotePrefix="0" xfId="0">
      <alignment horizontal="center"/>
    </xf>
    <xf numFmtId="164" fontId="42" fillId="0" borderId="10" applyAlignment="1" pivotButton="0" quotePrefix="0" xfId="0">
      <alignment horizontal="center"/>
    </xf>
    <xf numFmtId="0" fontId="41" fillId="20" borderId="0" applyAlignment="1" pivotButton="0" quotePrefix="0" xfId="0">
      <alignment horizontal="left" vertical="center"/>
    </xf>
    <xf numFmtId="1" fontId="42" fillId="20" borderId="10" applyAlignment="1" pivotButton="0" quotePrefix="0" xfId="0">
      <alignment horizontal="center"/>
    </xf>
    <xf numFmtId="164" fontId="42" fillId="20" borderId="1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3" borderId="0" applyAlignment="1" pivotButton="0" quotePrefix="0" xfId="0">
      <alignment horizontal="center"/>
    </xf>
    <xf numFmtId="0" fontId="4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6" fillId="13" borderId="0" applyAlignment="1" pivotButton="0" quotePrefix="0" xfId="0">
      <alignment horizontal="center"/>
    </xf>
    <xf numFmtId="0" fontId="6" fillId="14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15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/>
    </xf>
    <xf numFmtId="0" fontId="12" fillId="3" borderId="1" applyAlignment="1" pivotButton="0" quotePrefix="0" xfId="0">
      <alignment vertical="top"/>
    </xf>
    <xf numFmtId="0" fontId="12" fillId="11" borderId="1" applyAlignment="1" pivotButton="0" quotePrefix="0" xfId="0">
      <alignment vertical="top"/>
    </xf>
    <xf numFmtId="0" fontId="12" fillId="8" borderId="1" applyAlignment="1" pivotButton="0" quotePrefix="0" xfId="0">
      <alignment vertical="top"/>
    </xf>
    <xf numFmtId="0" fontId="13" fillId="0" borderId="0" pivotButton="0" quotePrefix="0" xfId="0"/>
    <xf numFmtId="0" fontId="14" fillId="0" borderId="0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5" fillId="0" borderId="0" applyAlignment="1" pivotButton="0" quotePrefix="0" xfId="0">
      <alignment vertical="top" wrapText="1"/>
    </xf>
    <xf numFmtId="0" fontId="11" fillId="0" borderId="1" pivotButton="0" quotePrefix="0" xfId="0"/>
    <xf numFmtId="0" fontId="12" fillId="0" borderId="1" pivotButton="0" quotePrefix="0" xfId="0"/>
    <xf numFmtId="0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8" fillId="0" borderId="0" pivotButton="0" quotePrefix="0" xfId="0"/>
    <xf numFmtId="0" fontId="8" fillId="18" borderId="0" pivotButton="0" quotePrefix="0" xfId="0"/>
    <xf numFmtId="0" fontId="8" fillId="10" borderId="0" pivotButton="0" quotePrefix="0" xfId="0"/>
    <xf numFmtId="0" fontId="8" fillId="9" borderId="0" pivotButton="0" quotePrefix="0" xfId="0"/>
    <xf numFmtId="0" fontId="8" fillId="11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5" fillId="19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16" borderId="0" applyAlignment="1" pivotButton="0" quotePrefix="0" xfId="0">
      <alignment horizontal="center"/>
    </xf>
    <xf numFmtId="0" fontId="17" fillId="17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17" borderId="0" applyAlignment="1" pivotButton="0" quotePrefix="0" xfId="0">
      <alignment horizontal="center" wrapText="1"/>
    </xf>
    <xf numFmtId="0" fontId="12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" fontId="20" fillId="0" borderId="1" applyAlignment="1" pivotButton="0" quotePrefix="0" xfId="0">
      <alignment horizontal="center"/>
    </xf>
    <xf numFmtId="1" fontId="22" fillId="0" borderId="1" applyAlignment="1" pivotButton="0" quotePrefix="0" xfId="0">
      <alignment horizontal="center"/>
    </xf>
    <xf numFmtId="1" fontId="21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23" fillId="0" borderId="0" pivotButton="0" quotePrefix="0" xfId="0"/>
    <xf numFmtId="0" fontId="20" fillId="0" borderId="0" applyAlignment="1" pivotButton="0" quotePrefix="0" xfId="0">
      <alignment horizontal="center"/>
    </xf>
    <xf numFmtId="0" fontId="24" fillId="0" borderId="0" pivotButton="0" quotePrefix="0" xfId="0"/>
    <xf numFmtId="0" fontId="25" fillId="0" borderId="0" applyAlignment="1" pivotButton="0" quotePrefix="0" xfId="0">
      <alignment horizontal="center"/>
    </xf>
    <xf numFmtId="0" fontId="0" fillId="8" borderId="0" pivotButton="0" quotePrefix="0" xfId="0"/>
    <xf numFmtId="0" fontId="11" fillId="7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1" fillId="14" borderId="1" applyAlignment="1" pivotButton="0" quotePrefix="0" xfId="0">
      <alignment horizontal="center"/>
    </xf>
    <xf numFmtId="0" fontId="26" fillId="0" borderId="0" pivotButton="0" quotePrefix="0" xfId="0"/>
    <xf numFmtId="0" fontId="22" fillId="16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0" fontId="22" fillId="9" borderId="0" applyAlignment="1" pivotButton="0" quotePrefix="0" xfId="0">
      <alignment horizontal="center"/>
    </xf>
    <xf numFmtId="0" fontId="22" fillId="3" borderId="0" applyAlignment="1" pivotButton="0" quotePrefix="0" xfId="0">
      <alignment horizontal="center"/>
    </xf>
    <xf numFmtId="0" fontId="22" fillId="18" borderId="0" applyAlignment="1" pivotButton="0" quotePrefix="0" xfId="0">
      <alignment horizontal="center"/>
    </xf>
    <xf numFmtId="0" fontId="18" fillId="0" borderId="0" pivotButton="0" quotePrefix="0" xfId="0"/>
    <xf numFmtId="1" fontId="20" fillId="0" borderId="0" applyAlignment="1" pivotButton="0" quotePrefix="0" xfId="0">
      <alignment horizontal="center"/>
    </xf>
    <xf numFmtId="1" fontId="22" fillId="11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7" fillId="3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2" fillId="0" borderId="0" pivotButton="0" quotePrefix="0" xfId="0"/>
    <xf numFmtId="0" fontId="21" fillId="0" borderId="1" applyAlignment="1" pivotButton="0" quotePrefix="0" xfId="0">
      <alignment horizontal="center"/>
    </xf>
    <xf numFmtId="0" fontId="28" fillId="0" borderId="0" pivotButton="0" quotePrefix="0" xfId="0"/>
    <xf numFmtId="0" fontId="29" fillId="0" borderId="0" applyAlignment="1" pivotButton="0" quotePrefix="0" xfId="0">
      <alignment vertical="top" wrapText="1"/>
    </xf>
    <xf numFmtId="0" fontId="17" fillId="2" borderId="0" pivotButton="0" quotePrefix="0" xfId="0"/>
    <xf numFmtId="0" fontId="18" fillId="0" borderId="1" pivotButton="0" quotePrefix="0" xfId="0"/>
    <xf numFmtId="0" fontId="20" fillId="0" borderId="1" pivotButton="0" quotePrefix="0" xfId="0"/>
    <xf numFmtId="0" fontId="30" fillId="0" borderId="1" pivotButton="0" quotePrefix="0" xfId="0"/>
    <xf numFmtId="0" fontId="31" fillId="0" borderId="0" pivotButton="0" quotePrefix="0" xfId="0"/>
    <xf numFmtId="0" fontId="25" fillId="0" borderId="1" pivotButton="0" quotePrefix="0" xfId="0"/>
    <xf numFmtId="0" fontId="32" fillId="0" borderId="0" pivotButton="0" quotePrefix="0" xfId="0"/>
    <xf numFmtId="0" fontId="33" fillId="0" borderId="1" pivotButton="0" quotePrefix="0" xfId="0"/>
    <xf numFmtId="0" fontId="17" fillId="17" borderId="0" pivotButton="0" quotePrefix="0" xfId="0"/>
    <xf numFmtId="0" fontId="34" fillId="0" borderId="0" pivotButton="0" quotePrefix="0" xfId="0"/>
    <xf numFmtId="0" fontId="6" fillId="0" borderId="1" pivotButton="0" quotePrefix="0" xfId="0"/>
    <xf numFmtId="0" fontId="24" fillId="0" borderId="1" pivotButton="0" quotePrefix="0" xfId="0"/>
    <xf numFmtId="0" fontId="35" fillId="0" borderId="1" pivotButton="0" quotePrefix="0" xfId="0"/>
    <xf numFmtId="0" fontId="13" fillId="0" borderId="1" applyAlignment="1" pivotButton="0" quotePrefix="0" xfId="0">
      <alignment horizontal="center"/>
    </xf>
    <xf numFmtId="0" fontId="20" fillId="0" borderId="1" applyAlignment="1" pivotButton="0" quotePrefix="0" xfId="0">
      <alignment vertical="top" wrapText="1"/>
    </xf>
    <xf numFmtId="0" fontId="36" fillId="0" borderId="1" pivotButton="0" quotePrefix="0" xfId="0"/>
    <xf numFmtId="0" fontId="37" fillId="0" borderId="1" applyAlignment="1" pivotButton="0" quotePrefix="0" xfId="0">
      <alignment horizontal="center"/>
    </xf>
    <xf numFmtId="0" fontId="38" fillId="0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center" vertical="center" wrapText="1"/>
    </xf>
    <xf numFmtId="1" fontId="42" fillId="0" borderId="0" applyAlignment="1" pivotButton="0" quotePrefix="0" xfId="0">
      <alignment horizontal="center"/>
    </xf>
    <xf numFmtId="164" fontId="42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Helvetica Neue"/>
        <b val="1"/>
        <color rgb="00FFFFFF"/>
        <sz val="8"/>
      </font>
      <fill>
        <patternFill patternType="solid">
          <bgColor rgb="00E7A5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colo ritmo</author>
  </authors>
  <commentList>
    <comment ref="C2" authorId="0" shapeId="0">
      <text>
        <t>Confraternização — feriado.
Escala como qui: a lotação exigida NÃO cai.</t>
      </text>
    </comment>
  </commentList>
</comments>
</file>

<file path=xl/comments/comment2.xml><?xml version="1.0" encoding="utf-8"?>
<comments xmlns="http://schemas.openxmlformats.org/spreadsheetml/2006/main">
  <authors>
    <author>colo ritmo</author>
  </authors>
  <commentList>
    <comment ref="R2" authorId="0" shapeId="0">
      <text>
        <t>Carnaval — feriado.
Escala como seg: a lotação exigida NÃO cai.</t>
      </text>
    </comment>
    <comment ref="S2" authorId="0" shapeId="0">
      <text>
        <t>Carnaval — feriado.
Escala como ter: a lotação exigida NÃO cai.</t>
      </text>
    </comment>
  </commentList>
</comments>
</file>

<file path=xl/comments/comment3.xml><?xml version="1.0" encoding="utf-8"?>
<comments xmlns="http://schemas.openxmlformats.org/spreadsheetml/2006/main">
  <authors>
    <author>colo ritmo</author>
  </authors>
  <commentList>
    <comment ref="E2" authorId="0" shapeId="0">
      <text>
        <t>Paixão — feriado.
Escala como sex: a lotação exigida NÃO cai.</t>
      </text>
    </comment>
    <comment ref="W2" authorId="0" shapeId="0">
      <text>
        <t>Tiradentes — feriado.
Escala como ter: a lotação exigida NÃO cai.</t>
      </text>
    </comment>
  </commentList>
</comments>
</file>

<file path=xl/comments/comment4.xml><?xml version="1.0" encoding="utf-8"?>
<comments xmlns="http://schemas.openxmlformats.org/spreadsheetml/2006/main">
  <authors>
    <author>colo ritmo</author>
  </authors>
  <commentList>
    <comment ref="C2" authorId="0" shapeId="0">
      <text>
        <t>Dia do Trabalhador — feriado.
Escala como sex: a lotação exigida NÃO cai.</t>
      </text>
    </comment>
  </commentList>
</comments>
</file>

<file path=xl/comments/comment5.xml><?xml version="1.0" encoding="utf-8"?>
<comments xmlns="http://schemas.openxmlformats.org/spreadsheetml/2006/main">
  <authors>
    <author>colo ritmo</author>
  </authors>
  <commentList>
    <comment ref="F2" authorId="0" shapeId="0">
      <text>
        <t>Corpus Christi — feriado.
Escala como qui: a lotação exigida NÃO cai.</t>
      </text>
    </comment>
  </commentList>
</comments>
</file>

<file path=xl/comments/comment6.xml><?xml version="1.0" encoding="utf-8"?>
<comments xmlns="http://schemas.openxmlformats.org/spreadsheetml/2006/main">
  <authors>
    <author>colo ritmo</author>
  </authors>
  <commentList>
    <comment ref="I2" authorId="0" shapeId="0">
      <text>
        <t>Independência — feriado.
Escala como seg: a lotação exigida NÃO cai.</t>
      </text>
    </comment>
  </commentList>
</comments>
</file>

<file path=xl/comments/comment7.xml><?xml version="1.0" encoding="utf-8"?>
<comments xmlns="http://schemas.openxmlformats.org/spreadsheetml/2006/main">
  <authors>
    <author>colo ritmo</author>
  </authors>
  <commentList>
    <comment ref="N2" authorId="0" shapeId="0">
      <text>
        <t>N. Sra. Aparecida — feriado.
Escala como seg: a lotação exigida NÃO cai.</t>
      </text>
    </comment>
  </commentList>
</comments>
</file>

<file path=xl/comments/comment8.xml><?xml version="1.0" encoding="utf-8"?>
<comments xmlns="http://schemas.openxmlformats.org/spreadsheetml/2006/main">
  <authors>
    <author>colo ritmo</author>
  </authors>
  <commentList>
    <comment ref="D2" authorId="0" shapeId="0">
      <text>
        <t>Finados — feriado.
Escala como seg: a lotação exigida NÃO cai.</t>
      </text>
    </comment>
    <comment ref="Q2" authorId="0" shapeId="0">
      <text>
        <t>Proclamação da República — feriado.
Escala como dom: a lotação exigida NÃO cai.</t>
      </text>
    </comment>
    <comment ref="V2" authorId="0" shapeId="0">
      <text>
        <t>Consciência Negra — feriado.
Escala como sex: a lotação exigida NÃO cai.</t>
      </text>
    </comment>
  </commentList>
</comments>
</file>

<file path=xl/comments/comment9.xml><?xml version="1.0" encoding="utf-8"?>
<comments xmlns="http://schemas.openxmlformats.org/spreadsheetml/2006/main">
  <authors>
    <author>colo ritmo</author>
  </authors>
  <commentList>
    <comment ref="AA2" authorId="0" shapeId="0">
      <text>
        <t>Natal — feriado.
Escala como sex: a lotação exigida NÃO cai.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5A4E8C"/>
    <outlinePr summaryBelow="1" summaryRight="1"/>
    <pageSetUpPr/>
  </sheetPr>
  <dimension ref="B2:N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" customWidth="1" min="15" max="15"/>
  </cols>
  <sheetData>
    <row r="1" ht="8" customHeight="1"/>
    <row r="2" ht="22" customHeight="1">
      <c r="B2" s="1" t="inlineStr">
        <is>
          <t>colo ritmo · hospital da criança de brasília</t>
        </is>
      </c>
    </row>
    <row r="3" ht="30" customHeight="1">
      <c r="B3" s="2" t="inlineStr">
        <is>
          <t>painel da escala · outubro de 2026</t>
        </is>
      </c>
    </row>
    <row r="4" ht="10" customHeight="1"/>
    <row r="5" ht="16" customHeight="1">
      <c r="B5" s="3" t="inlineStr">
        <is>
          <t>toda contagem aqui é fórmula das abas mensais — digitou um código na escala, este painel se refaz sozinho.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8" ht="20" customHeight="1">
      <c r="B8" s="5" t="inlineStr">
        <is>
          <t>o mês que vai publicar · outubro</t>
        </is>
      </c>
    </row>
    <row r="9" ht="14" customHeight="1">
      <c r="B9" s="6" t="inlineStr">
        <is>
          <t>BURACOS DE COBERTURA NO MÊS</t>
        </is>
      </c>
      <c r="C9" s="7" t="n"/>
      <c r="D9" s="8" t="n"/>
      <c r="E9" s="9" t="inlineStr">
        <is>
          <t>DIAS COMPLETOS</t>
        </is>
      </c>
      <c r="F9" s="8" t="n"/>
      <c r="G9" s="10" t="inlineStr">
        <is>
          <t>ALERTAS DE 18H</t>
        </is>
      </c>
      <c r="H9" s="8" t="n"/>
      <c r="I9" s="9" t="inlineStr">
        <is>
          <t>FORA DA META</t>
        </is>
      </c>
      <c r="J9" s="8" t="n"/>
      <c r="K9" s="11" t="inlineStr">
        <is>
          <t>CONVOCAÇÕES</t>
        </is>
      </c>
      <c r="L9" s="8" t="n"/>
      <c r="M9" s="12" t="inlineStr">
        <is>
          <t>HORAS NOTURNAS</t>
        </is>
      </c>
      <c r="N9" s="8" t="n"/>
    </row>
    <row r="10" ht="20" customHeight="1">
      <c r="B10" s="13">
        <f>IF(COUNTA(OUT!$C$8:$AG$73)&gt;0,SUM(OUT!$C$78:$AG$78)+SUM(OUT!$C$79:$AG$79)+SUM(OUT!$C$80:$AG$80),"")</f>
        <v/>
      </c>
      <c r="D10" s="14" t="n"/>
      <c r="E10" s="15">
        <f>IF(COUNTA(OUT!$C$8:$AG$73)&gt;0,SUMPRODUCT((OUT!$C$78:$AG$78+OUT!$C$79:$AG$79+OUT!$C$80:$AG$80=0)*(OUT!$C$78:$AG$78&lt;&gt;"")),"")&amp;"/"&amp;COUNT(OUT!$C$2:$AG$2)</f>
        <v/>
      </c>
      <c r="F10" s="14" t="n"/>
      <c r="G10" s="16">
        <f>SUM(OUT!$AN$8:$AN$73)</f>
        <v/>
      </c>
      <c r="H10" s="14" t="n"/>
      <c r="I10" s="17">
        <f>SUMPRODUCT(--(ABS(OUT!$AM$8:$AM$73)&gt;12))</f>
        <v/>
      </c>
      <c r="J10" s="14" t="n"/>
      <c r="K10" s="18">
        <f>IFERROR(SUM(CONVOCAÇÕES!$B$6:$B$60),0)</f>
        <v/>
      </c>
      <c r="L10" s="14" t="n"/>
      <c r="M10" s="19">
        <f>COUNTIF(OUT!$C$8:$AG$73,"N")*7+COUNTIF(OUT!$C$8:$AG$73,"NT")*3</f>
        <v/>
      </c>
      <c r="N10" s="14" t="n"/>
    </row>
    <row r="11" ht="20" customHeight="1">
      <c r="B11" s="20" t="n"/>
      <c r="D11" s="14" t="n"/>
      <c r="E11" s="20" t="n"/>
      <c r="F11" s="14" t="n"/>
      <c r="G11" s="20" t="n"/>
      <c r="H11" s="14" t="n"/>
      <c r="I11" s="20" t="n"/>
      <c r="J11" s="14" t="n"/>
      <c r="K11" s="20" t="n"/>
      <c r="L11" s="14" t="n"/>
      <c r="M11" s="20" t="n"/>
      <c r="N11" s="14" t="n"/>
    </row>
    <row r="12" ht="26" customHeight="1">
      <c r="B12" s="21" t="inlineStr">
        <is>
          <t>soma de tudo que falta pro mínimo, somando os três turnos e os 31 dias</t>
        </is>
      </c>
      <c r="C12" s="22" t="n"/>
      <c r="D12" s="23" t="n"/>
      <c r="E12" s="24" t="inlineStr">
        <is>
          <t>dias em que os três turnos bateram o mínimo</t>
        </is>
      </c>
      <c r="F12" s="23" t="n"/>
      <c r="G12" s="25" t="inlineStr">
        <is>
          <t>o alvo é zero · art. 66 CLT</t>
        </is>
      </c>
      <c r="H12" s="23" t="n"/>
      <c r="I12" s="24" t="inlineStr">
        <is>
          <t>pessoas com mais de 12h de desvio, pra cima ou pra baixo</t>
        </is>
      </c>
      <c r="J12" s="23" t="n"/>
      <c r="K12" s="26" t="inlineStr">
        <is>
          <t>entraram fora da própria preferência · geram crédito</t>
        </is>
      </c>
      <c r="L12" s="23" t="n"/>
      <c r="M12" s="27" t="inlineStr">
        <is>
          <t>janela 22h–05h · insumo do adicional noturno</t>
        </is>
      </c>
      <c r="N12" s="23" t="n"/>
    </row>
    <row r="14" ht="24" customHeight="1">
      <c r="B14" s="5" t="inlineStr">
        <is>
          <t>o ano · para comparar</t>
        </is>
      </c>
    </row>
    <row r="15">
      <c r="B15" s="28" t="inlineStr">
        <is>
          <t>as regras duras apertaram junto com a mudança de abril, e funcionou: os alertas de 18h caíram de ~15 por mês para ~2.</t>
        </is>
      </c>
    </row>
    <row r="17">
      <c r="B17" s="29" t="inlineStr">
        <is>
          <t>mês</t>
        </is>
      </c>
      <c r="C17" s="29" t="inlineStr">
        <is>
          <t>alertas 18h</t>
        </is>
      </c>
      <c r="D17" s="29" t="inlineStr">
        <is>
          <t>buracos</t>
        </is>
      </c>
      <c r="E17" s="29" t="inlineStr">
        <is>
          <t>dias completos</t>
        </is>
      </c>
      <c r="F17" s="29" t="inlineStr">
        <is>
          <t>manhã</t>
        </is>
      </c>
      <c r="G17" s="29" t="inlineStr">
        <is>
          <t>tarde</t>
        </is>
      </c>
      <c r="H17" s="29" t="inlineStr">
        <is>
          <t>noite</t>
        </is>
      </c>
      <c r="I17" s="29" t="inlineStr">
        <is>
          <t>horas noturnas</t>
        </is>
      </c>
    </row>
    <row r="18">
      <c r="B18" s="30" t="inlineStr">
        <is>
          <t>jan</t>
        </is>
      </c>
      <c r="C18" s="31">
        <f>'DADOS DASH'!B5</f>
        <v/>
      </c>
      <c r="D18" s="31">
        <f>'DADOS DASH'!C5</f>
        <v/>
      </c>
      <c r="E18" s="31">
        <f>'DADOS DASH'!D5</f>
        <v/>
      </c>
      <c r="F18" s="32">
        <f>'DADOS DASH'!E5</f>
        <v/>
      </c>
      <c r="G18" s="32">
        <f>'DADOS DASH'!F5</f>
        <v/>
      </c>
      <c r="H18" s="32">
        <f>'DADOS DASH'!G5</f>
        <v/>
      </c>
      <c r="I18" s="31">
        <f>'DADOS DASH'!I5</f>
        <v/>
      </c>
    </row>
    <row r="19">
      <c r="B19" s="33" t="inlineStr">
        <is>
          <t>fev</t>
        </is>
      </c>
      <c r="C19" s="34">
        <f>'DADOS DASH'!B6</f>
        <v/>
      </c>
      <c r="D19" s="34">
        <f>'DADOS DASH'!C6</f>
        <v/>
      </c>
      <c r="E19" s="34">
        <f>'DADOS DASH'!D6</f>
        <v/>
      </c>
      <c r="F19" s="35">
        <f>'DADOS DASH'!E6</f>
        <v/>
      </c>
      <c r="G19" s="35">
        <f>'DADOS DASH'!F6</f>
        <v/>
      </c>
      <c r="H19" s="35">
        <f>'DADOS DASH'!G6</f>
        <v/>
      </c>
      <c r="I19" s="34">
        <f>'DADOS DASH'!I6</f>
        <v/>
      </c>
    </row>
    <row r="20">
      <c r="B20" s="30" t="inlineStr">
        <is>
          <t>mar</t>
        </is>
      </c>
      <c r="C20" s="31">
        <f>'DADOS DASH'!B7</f>
        <v/>
      </c>
      <c r="D20" s="31">
        <f>'DADOS DASH'!C7</f>
        <v/>
      </c>
      <c r="E20" s="31">
        <f>'DADOS DASH'!D7</f>
        <v/>
      </c>
      <c r="F20" s="32">
        <f>'DADOS DASH'!E7</f>
        <v/>
      </c>
      <c r="G20" s="32">
        <f>'DADOS DASH'!F7</f>
        <v/>
      </c>
      <c r="H20" s="32">
        <f>'DADOS DASH'!G7</f>
        <v/>
      </c>
      <c r="I20" s="31">
        <f>'DADOS DASH'!I7</f>
        <v/>
      </c>
    </row>
    <row r="21">
      <c r="B21" s="33" t="inlineStr">
        <is>
          <t>abr</t>
        </is>
      </c>
      <c r="C21" s="34">
        <f>'DADOS DASH'!B8</f>
        <v/>
      </c>
      <c r="D21" s="34">
        <f>'DADOS DASH'!C8</f>
        <v/>
      </c>
      <c r="E21" s="34">
        <f>'DADOS DASH'!D8</f>
        <v/>
      </c>
      <c r="F21" s="35">
        <f>'DADOS DASH'!E8</f>
        <v/>
      </c>
      <c r="G21" s="35">
        <f>'DADOS DASH'!F8</f>
        <v/>
      </c>
      <c r="H21" s="35">
        <f>'DADOS DASH'!G8</f>
        <v/>
      </c>
      <c r="I21" s="34">
        <f>'DADOS DASH'!I8</f>
        <v/>
      </c>
    </row>
    <row r="22">
      <c r="B22" s="30" t="inlineStr">
        <is>
          <t>mai</t>
        </is>
      </c>
      <c r="C22" s="31">
        <f>'DADOS DASH'!B9</f>
        <v/>
      </c>
      <c r="D22" s="31">
        <f>'DADOS DASH'!C9</f>
        <v/>
      </c>
      <c r="E22" s="31">
        <f>'DADOS DASH'!D9</f>
        <v/>
      </c>
      <c r="F22" s="32">
        <f>'DADOS DASH'!E9</f>
        <v/>
      </c>
      <c r="G22" s="32">
        <f>'DADOS DASH'!F9</f>
        <v/>
      </c>
      <c r="H22" s="32">
        <f>'DADOS DASH'!G9</f>
        <v/>
      </c>
      <c r="I22" s="31">
        <f>'DADOS DASH'!I9</f>
        <v/>
      </c>
    </row>
    <row r="23">
      <c r="B23" s="33" t="inlineStr">
        <is>
          <t>jun</t>
        </is>
      </c>
      <c r="C23" s="34">
        <f>'DADOS DASH'!B10</f>
        <v/>
      </c>
      <c r="D23" s="34">
        <f>'DADOS DASH'!C10</f>
        <v/>
      </c>
      <c r="E23" s="34">
        <f>'DADOS DASH'!D10</f>
        <v/>
      </c>
      <c r="F23" s="35">
        <f>'DADOS DASH'!E10</f>
        <v/>
      </c>
      <c r="G23" s="35">
        <f>'DADOS DASH'!F10</f>
        <v/>
      </c>
      <c r="H23" s="35">
        <f>'DADOS DASH'!G10</f>
        <v/>
      </c>
      <c r="I23" s="34">
        <f>'DADOS DASH'!I10</f>
        <v/>
      </c>
    </row>
    <row r="24">
      <c r="B24" s="30" t="inlineStr">
        <is>
          <t>jul</t>
        </is>
      </c>
      <c r="C24" s="31">
        <f>'DADOS DASH'!B11</f>
        <v/>
      </c>
      <c r="D24" s="31">
        <f>'DADOS DASH'!C11</f>
        <v/>
      </c>
      <c r="E24" s="31">
        <f>'DADOS DASH'!D11</f>
        <v/>
      </c>
      <c r="F24" s="32">
        <f>'DADOS DASH'!E11</f>
        <v/>
      </c>
      <c r="G24" s="32">
        <f>'DADOS DASH'!F11</f>
        <v/>
      </c>
      <c r="H24" s="32">
        <f>'DADOS DASH'!G11</f>
        <v/>
      </c>
      <c r="I24" s="31">
        <f>'DADOS DASH'!I11</f>
        <v/>
      </c>
    </row>
    <row r="25">
      <c r="B25" s="33" t="inlineStr">
        <is>
          <t>ago</t>
        </is>
      </c>
      <c r="C25" s="34">
        <f>'DADOS DASH'!B12</f>
        <v/>
      </c>
      <c r="D25" s="34">
        <f>'DADOS DASH'!C12</f>
        <v/>
      </c>
      <c r="E25" s="34">
        <f>'DADOS DASH'!D12</f>
        <v/>
      </c>
      <c r="F25" s="35">
        <f>'DADOS DASH'!E12</f>
        <v/>
      </c>
      <c r="G25" s="35">
        <f>'DADOS DASH'!F12</f>
        <v/>
      </c>
      <c r="H25" s="35">
        <f>'DADOS DASH'!G12</f>
        <v/>
      </c>
      <c r="I25" s="34">
        <f>'DADOS DASH'!I12</f>
        <v/>
      </c>
    </row>
    <row r="26">
      <c r="B26" s="30" t="inlineStr">
        <is>
          <t>set</t>
        </is>
      </c>
      <c r="C26" s="31">
        <f>'DADOS DASH'!B13</f>
        <v/>
      </c>
      <c r="D26" s="31">
        <f>'DADOS DASH'!C13</f>
        <v/>
      </c>
      <c r="E26" s="31">
        <f>'DADOS DASH'!D13</f>
        <v/>
      </c>
      <c r="F26" s="32">
        <f>'DADOS DASH'!E13</f>
        <v/>
      </c>
      <c r="G26" s="32">
        <f>'DADOS DASH'!F13</f>
        <v/>
      </c>
      <c r="H26" s="32">
        <f>'DADOS DASH'!G13</f>
        <v/>
      </c>
      <c r="I26" s="31">
        <f>'DADOS DASH'!I13</f>
        <v/>
      </c>
    </row>
    <row r="27">
      <c r="B27" s="33" t="inlineStr">
        <is>
          <t>out</t>
        </is>
      </c>
      <c r="C27" s="34">
        <f>'DADOS DASH'!B14</f>
        <v/>
      </c>
      <c r="D27" s="34">
        <f>'DADOS DASH'!C14</f>
        <v/>
      </c>
      <c r="E27" s="34">
        <f>'DADOS DASH'!D14</f>
        <v/>
      </c>
      <c r="F27" s="35">
        <f>'DADOS DASH'!E14</f>
        <v/>
      </c>
      <c r="G27" s="35">
        <f>'DADOS DASH'!F14</f>
        <v/>
      </c>
      <c r="H27" s="35">
        <f>'DADOS DASH'!G14</f>
        <v/>
      </c>
      <c r="I27" s="34">
        <f>'DADOS DASH'!I14</f>
        <v/>
      </c>
    </row>
    <row r="28">
      <c r="B28" s="30" t="inlineStr">
        <is>
          <t>nov</t>
        </is>
      </c>
      <c r="C28" s="31">
        <f>'DADOS DASH'!B15</f>
        <v/>
      </c>
      <c r="D28" s="31">
        <f>'DADOS DASH'!C15</f>
        <v/>
      </c>
      <c r="E28" s="31">
        <f>'DADOS DASH'!D15</f>
        <v/>
      </c>
      <c r="F28" s="32">
        <f>'DADOS DASH'!E15</f>
        <v/>
      </c>
      <c r="G28" s="32">
        <f>'DADOS DASH'!F15</f>
        <v/>
      </c>
      <c r="H28" s="32">
        <f>'DADOS DASH'!G15</f>
        <v/>
      </c>
      <c r="I28" s="31">
        <f>'DADOS DASH'!I15</f>
        <v/>
      </c>
    </row>
    <row r="29">
      <c r="B29" s="33" t="inlineStr">
        <is>
          <t>dez</t>
        </is>
      </c>
      <c r="C29" s="34">
        <f>'DADOS DASH'!B16</f>
        <v/>
      </c>
      <c r="D29" s="34">
        <f>'DADOS DASH'!C16</f>
        <v/>
      </c>
      <c r="E29" s="34">
        <f>'DADOS DASH'!D16</f>
        <v/>
      </c>
      <c r="F29" s="35">
        <f>'DADOS DASH'!E16</f>
        <v/>
      </c>
      <c r="G29" s="35">
        <f>'DADOS DASH'!F16</f>
        <v/>
      </c>
      <c r="H29" s="35">
        <f>'DADOS DASH'!G16</f>
        <v/>
      </c>
      <c r="I29" s="34">
        <f>'DADOS DASH'!I16</f>
        <v/>
      </c>
    </row>
  </sheetData>
  <mergeCells count="22">
    <mergeCell ref="E12:F12"/>
    <mergeCell ref="G12:H12"/>
    <mergeCell ref="K9:L9"/>
    <mergeCell ref="M9:N9"/>
    <mergeCell ref="B5:H5"/>
    <mergeCell ref="I10:J11"/>
    <mergeCell ref="B9:D9"/>
    <mergeCell ref="K10:L11"/>
    <mergeCell ref="B3:H3"/>
    <mergeCell ref="E9:F9"/>
    <mergeCell ref="B15:J15"/>
    <mergeCell ref="I12:J12"/>
    <mergeCell ref="K12:L12"/>
    <mergeCell ref="M12:N12"/>
    <mergeCell ref="B2:N2"/>
    <mergeCell ref="B10:D11"/>
    <mergeCell ref="E10:F11"/>
    <mergeCell ref="G10:H11"/>
    <mergeCell ref="M10:N11"/>
    <mergeCell ref="B12:D12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9BC4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6" t="inlineStr">
        <is>
          <t>escala UTI HCB · 2026 — planilha unificada v4</t>
        </is>
      </c>
    </row>
    <row r="3">
      <c r="A3" s="37" t="inlineStr">
        <is>
          <t>o que é</t>
        </is>
      </c>
    </row>
    <row r="4">
      <c r="A4" s="38" t="inlineStr"/>
      <c r="B4" s="39" t="inlineStr">
        <is>
          <t>O ano inteiro num arquivo: 12 abas mensais com a escala real, o painel comparativo do ano, a tradução pros códigos do Senior e o validador das regras que são lei. Tudo o que é contagem é fórmula — digitou o código na aba do mês, a cobertura, a carga horária, o saldo e os alertas se refazem sozinhos.</t>
        </is>
      </c>
    </row>
    <row r="6">
      <c r="A6" s="37" t="inlineStr">
        <is>
          <t>legenda dos códigos</t>
        </is>
      </c>
    </row>
    <row r="7">
      <c r="A7" s="40" t="inlineStr">
        <is>
          <t>código</t>
        </is>
      </c>
      <c r="B7" s="40" t="inlineStr">
        <is>
          <t>turno</t>
        </is>
      </c>
      <c r="C7" s="40" t="inlineStr">
        <is>
          <t>horário</t>
        </is>
      </c>
      <c r="D7" s="40" t="inlineStr">
        <is>
          <t>horas</t>
        </is>
      </c>
      <c r="E7" s="40" t="inlineStr">
        <is>
          <t>Senior</t>
        </is>
      </c>
    </row>
    <row r="8">
      <c r="A8" s="41" t="inlineStr">
        <is>
          <t>M</t>
        </is>
      </c>
      <c r="B8" s="42" t="inlineStr">
        <is>
          <t>manhã</t>
        </is>
      </c>
      <c r="C8" s="42" t="inlineStr">
        <is>
          <t>07–13h</t>
        </is>
      </c>
      <c r="D8" s="42" t="n">
        <v>6</v>
      </c>
      <c r="E8" s="42" t="inlineStr">
        <is>
          <t>2</t>
        </is>
      </c>
    </row>
    <row r="9">
      <c r="A9" s="43" t="inlineStr">
        <is>
          <t>T</t>
        </is>
      </c>
      <c r="B9" s="42" t="inlineStr">
        <is>
          <t>tarde</t>
        </is>
      </c>
      <c r="C9" s="42" t="inlineStr">
        <is>
          <t>13–19h</t>
        </is>
      </c>
      <c r="D9" s="42" t="n">
        <v>6</v>
      </c>
      <c r="E9" s="42" t="inlineStr">
        <is>
          <t>239</t>
        </is>
      </c>
    </row>
    <row r="10">
      <c r="A10" s="44" t="inlineStr">
        <is>
          <t>D</t>
        </is>
      </c>
      <c r="B10" s="42" t="inlineStr">
        <is>
          <t>dia 12h</t>
        </is>
      </c>
      <c r="C10" s="42" t="inlineStr">
        <is>
          <t>07–19h</t>
        </is>
      </c>
      <c r="D10" s="42" t="n">
        <v>12</v>
      </c>
      <c r="E10" s="42" t="inlineStr">
        <is>
          <t>40</t>
        </is>
      </c>
    </row>
    <row r="11">
      <c r="A11" s="45" t="inlineStr">
        <is>
          <t>N</t>
        </is>
      </c>
      <c r="B11" s="42" t="inlineStr">
        <is>
          <t>noite 12h</t>
        </is>
      </c>
      <c r="C11" s="42" t="inlineStr">
        <is>
          <t>19–07h</t>
        </is>
      </c>
      <c r="D11" s="42" t="n">
        <v>12</v>
      </c>
      <c r="E11" s="42" t="inlineStr">
        <is>
          <t>41</t>
        </is>
      </c>
    </row>
    <row r="12">
      <c r="A12" s="46" t="inlineStr">
        <is>
          <t>NT</t>
        </is>
      </c>
      <c r="B12" s="42" t="inlineStr">
        <is>
          <t>noitinha</t>
        </is>
      </c>
      <c r="C12" s="42" t="inlineStr">
        <is>
          <t>19–01h</t>
        </is>
      </c>
      <c r="D12" s="42" t="n">
        <v>6</v>
      </c>
      <c r="E12" s="42" t="inlineStr">
        <is>
          <t>349</t>
        </is>
      </c>
    </row>
    <row r="13">
      <c r="A13" s="47" t="inlineStr">
        <is>
          <t>C</t>
        </is>
      </c>
      <c r="B13" s="42" t="inlineStr">
        <is>
          <t>10h chefia</t>
        </is>
      </c>
      <c r="C13" s="42" t="inlineStr">
        <is>
          <t>8–12 + 13–19h</t>
        </is>
      </c>
      <c r="D13" s="42" t="n">
        <v>10</v>
      </c>
      <c r="E13" s="42" t="inlineStr">
        <is>
          <t>47</t>
        </is>
      </c>
    </row>
    <row r="14">
      <c r="A14" s="48" t="inlineStr">
        <is>
          <t>A</t>
        </is>
      </c>
      <c r="B14" s="42" t="inlineStr">
        <is>
          <t>administrativo</t>
        </is>
      </c>
      <c r="C14" s="42" t="inlineStr">
        <is>
          <t>8h diurno</t>
        </is>
      </c>
      <c r="D14" s="42" t="n">
        <v>8</v>
      </c>
      <c r="E14" s="42" t="inlineStr">
        <is>
          <t>11</t>
        </is>
      </c>
    </row>
    <row r="15">
      <c r="A15" s="49" t="inlineStr">
        <is>
          <t>J</t>
        </is>
      </c>
      <c r="B15" s="42" t="inlineStr">
        <is>
          <t>5h Janaina</t>
        </is>
      </c>
      <c r="C15" s="42" t="inlineStr">
        <is>
          <t>08–13h</t>
        </is>
      </c>
      <c r="D15" s="42" t="n">
        <v>5</v>
      </c>
      <c r="E15" s="42" t="inlineStr">
        <is>
          <t>78</t>
        </is>
      </c>
    </row>
    <row r="16">
      <c r="A16" s="50" t="inlineStr">
        <is>
          <t>E</t>
        </is>
      </c>
      <c r="B16" s="42" t="inlineStr">
        <is>
          <t>4h CEP</t>
        </is>
      </c>
      <c r="C16" s="42" t="inlineStr">
        <is>
          <t>08–12h</t>
        </is>
      </c>
      <c r="D16" s="42" t="n">
        <v>4</v>
      </c>
      <c r="E16" s="42" t="inlineStr">
        <is>
          <t>6</t>
        </is>
      </c>
    </row>
    <row r="17">
      <c r="A17" s="51" t="inlineStr">
        <is>
          <t>P</t>
        </is>
      </c>
      <c r="B17" s="42" t="inlineStr">
        <is>
          <t>paliativo</t>
        </is>
      </c>
      <c r="C17" s="42" t="inlineStr">
        <is>
          <t>07–13h</t>
        </is>
      </c>
      <c r="D17" s="42" t="n">
        <v>6</v>
      </c>
      <c r="E17" s="42" t="inlineStr">
        <is>
          <t>—</t>
        </is>
      </c>
    </row>
    <row r="18">
      <c r="A18" s="51" t="inlineStr">
        <is>
          <t>R</t>
        </is>
      </c>
      <c r="B18" s="42" t="inlineStr">
        <is>
          <t>CRO</t>
        </is>
      </c>
      <c r="C18" s="42" t="inlineStr">
        <is>
          <t>13–19h</t>
        </is>
      </c>
      <c r="D18" s="42" t="n">
        <v>6</v>
      </c>
      <c r="E18" s="42" t="inlineStr">
        <is>
          <t>—</t>
        </is>
      </c>
    </row>
    <row r="19">
      <c r="A19" s="52" t="inlineStr">
        <is>
          <t>FE</t>
        </is>
      </c>
      <c r="B19" s="42" t="inlineStr">
        <is>
          <t>férias</t>
        </is>
      </c>
      <c r="C19" s="42" t="inlineStr">
        <is>
          <t>—</t>
        </is>
      </c>
      <c r="D19" s="42" t="inlineStr">
        <is>
          <t>—</t>
        </is>
      </c>
      <c r="E19" s="42" t="inlineStr">
        <is>
          <t>Férias</t>
        </is>
      </c>
    </row>
    <row r="20">
      <c r="A20" s="53" t="inlineStr">
        <is>
          <t>LM</t>
        </is>
      </c>
      <c r="B20" s="42" t="inlineStr">
        <is>
          <t>licença</t>
        </is>
      </c>
      <c r="C20" s="42" t="inlineStr">
        <is>
          <t>—</t>
        </is>
      </c>
      <c r="D20" s="42" t="inlineStr">
        <is>
          <t>—</t>
        </is>
      </c>
      <c r="E20" s="42" t="inlineStr">
        <is>
          <t>LM</t>
        </is>
      </c>
    </row>
    <row r="21">
      <c r="A21" s="54" t="inlineStr">
        <is>
          <t>AB</t>
        </is>
      </c>
      <c r="B21" s="42" t="inlineStr">
        <is>
          <t>abono niver</t>
        </is>
      </c>
      <c r="C21" s="42" t="inlineStr">
        <is>
          <t>—</t>
        </is>
      </c>
      <c r="D21" s="42" t="inlineStr">
        <is>
          <t>—</t>
        </is>
      </c>
      <c r="E21" s="42" t="inlineStr">
        <is>
          <t>—</t>
        </is>
      </c>
    </row>
    <row r="22">
      <c r="A22" s="38" t="inlineStr">
        <is>
          <t>antigos</t>
        </is>
      </c>
      <c r="B22" s="39" t="inlineStr">
        <is>
          <t>Até abril de 2026 os códigos eram outros: 110 = M (manhã) · 82 = D (dia 12h) · 83 = N (noite 12h) · 10 = J (5h, virou 78). A mudança de abril passou a usar 2/40/41.</t>
        </is>
      </c>
    </row>
    <row r="24">
      <c r="A24" s="37" t="inlineStr">
        <is>
          <t>as abas</t>
        </is>
      </c>
    </row>
    <row r="25">
      <c r="A25" s="55" t="inlineStr">
        <is>
          <t>CADASTRO</t>
        </is>
      </c>
      <c r="B25" s="39" t="inlineStr">
        <is>
          <t>quem é quem: carga horária, restrições duras, sexta-noite e fds extra. É a fonte dos nomes de todas as abas mensais.</t>
        </is>
      </c>
    </row>
    <row r="26">
      <c r="A26" s="55" t="inlineStr">
        <is>
          <t>CONFIG</t>
        </is>
      </c>
      <c r="B26" s="39" t="inlineStr">
        <is>
          <t>as regras como dado: cobertura mínima, cota de fds em mês com férias, tabela de códigos e as regras duras com o artigo da CLF. Mudou aqui, mudou na planilha toda.</t>
        </is>
      </c>
    </row>
    <row r="27">
      <c r="A27" s="55" t="inlineStr">
        <is>
          <t>JAN a DEZ</t>
        </is>
      </c>
      <c r="B27" s="39" t="inlineStr">
        <is>
          <t>a escala: matriz médico × dia. No rodapé, a lotação de cada turno em cada dia e quanto falta pro mínimo. À direita, por pessoa: carga do mês, fds, sexta-noite, feriado, meta, saldo e os dois alertas de jornada.</t>
        </is>
      </c>
    </row>
    <row r="28">
      <c r="A28" s="55" t="inlineStr">
        <is>
          <t>PAINEL ANO</t>
        </is>
      </c>
      <c r="B28" s="39" t="inlineStr">
        <is>
          <t>o comparativo do ano: saldo, fds, sexta-noite e feriado de cada pessoa mês a mês, com acumulado. Onde existe a contagem manual antiga, ela aparece ao lado pra conferência.</t>
        </is>
      </c>
    </row>
    <row r="29">
      <c r="A29" s="55" t="inlineStr">
        <is>
          <t>SENIOR</t>
        </is>
      </c>
      <c r="B29" s="39" t="inlineStr">
        <is>
          <t>escolha o mês em B1 e a matriz inteira sai traduzida nos códigos do RH, pronta pra lançar.</t>
        </is>
      </c>
    </row>
    <row r="30">
      <c r="A30" s="55" t="inlineStr">
        <is>
          <t>VALIDADOR</t>
        </is>
      </c>
      <c r="B30" s="39" t="inlineStr">
        <is>
          <t>o que fere regra dura, separado em ESTRUTURAL (é a forma do contrato, decisão de política) e PONTUAL (erro daquele mês).</t>
        </is>
      </c>
    </row>
    <row r="31">
      <c r="A31" s="55" t="inlineStr">
        <is>
          <t>ATENDIMENTO / CONVOCAÇÕES</t>
        </is>
      </c>
      <c r="B31" s="39" t="inlineStr">
        <is>
          <t>o mês vivo: o que foi atendido de cada pedido e por quê, e quem foi convocado fora da preferência, com o critério público.</t>
        </is>
      </c>
    </row>
    <row r="33">
      <c r="A33" s="37" t="inlineStr">
        <is>
          <t>de onde vem cada mês — leia antes de comparar</t>
        </is>
      </c>
    </row>
    <row r="34">
      <c r="A34" s="41" t="inlineStr">
        <is>
          <t>JAN</t>
        </is>
      </c>
      <c r="B34" s="56" t="inlineStr">
        <is>
          <t>reconstruído da grade 'ESCALA FINAL JANEIRO 2026' — a grade começa no dia 2</t>
        </is>
      </c>
    </row>
    <row r="35">
      <c r="A35" s="57" t="inlineStr">
        <is>
          <t>FEV</t>
        </is>
      </c>
      <c r="B35" s="56" t="inlineStr">
        <is>
          <t>códigos Senior (códigos antigos 110/82/83)</t>
        </is>
      </c>
    </row>
    <row r="36">
      <c r="A36" s="57" t="inlineStr">
        <is>
          <t>MAR</t>
        </is>
      </c>
      <c r="B36" s="56" t="inlineStr">
        <is>
          <t>códigos Senior (códigos antigos 110/82/83)</t>
        </is>
      </c>
    </row>
    <row r="37">
      <c r="A37" s="57" t="inlineStr">
        <is>
          <t>ABR</t>
        </is>
      </c>
      <c r="B37" s="56" t="inlineStr">
        <is>
          <t>códigos Senior — mudança de abril: passa a 2/40/41</t>
        </is>
      </c>
    </row>
    <row r="38">
      <c r="A38" s="41" t="inlineStr">
        <is>
          <t>MAI</t>
        </is>
      </c>
      <c r="B38" s="56" t="inlineStr">
        <is>
          <t>reconstruído da grade; dias 1–2 vêm do arquivo de abril; DIA 3 NÃO EXISTE em nenhum arquivo</t>
        </is>
      </c>
    </row>
    <row r="39">
      <c r="A39" s="41" t="inlineStr">
        <is>
          <t>JUN</t>
        </is>
      </c>
      <c r="B39" s="56" t="inlineStr">
        <is>
          <t>reconstruído da grade 'Escala junho - UTI HCB'</t>
        </is>
      </c>
    </row>
    <row r="40">
      <c r="A40" s="57" t="inlineStr">
        <is>
          <t>JUL</t>
        </is>
      </c>
      <c r="B40" s="56" t="inlineStr">
        <is>
          <t>códigos Senior</t>
        </is>
      </c>
    </row>
    <row r="41">
      <c r="A41" s="57" t="inlineStr">
        <is>
          <t>AGO</t>
        </is>
      </c>
      <c r="B41" s="56" t="inlineStr">
        <is>
          <t>códigos Senior</t>
        </is>
      </c>
    </row>
    <row r="42">
      <c r="A42" s="57" t="inlineStr">
        <is>
          <t>SET</t>
        </is>
      </c>
      <c r="B42" s="56" t="inlineStr">
        <is>
          <t>códigos Senior</t>
        </is>
      </c>
    </row>
    <row r="43">
      <c r="A43" s="58" t="inlineStr">
        <is>
          <t>OUT</t>
        </is>
      </c>
      <c r="B43" s="56" t="inlineStr">
        <is>
          <t>escala montada pelo escala_out_v3.py — cobertura 100%, 48 convocações por critério público</t>
        </is>
      </c>
    </row>
    <row r="44">
      <c r="A44" s="48" t="inlineStr">
        <is>
          <t>NOV</t>
        </is>
      </c>
      <c r="B44" s="56" t="inlineStr">
        <is>
          <t>a montar</t>
        </is>
      </c>
    </row>
    <row r="45">
      <c r="A45" s="48" t="inlineStr">
        <is>
          <t>DEZ</t>
        </is>
      </c>
      <c r="B45" s="56" t="inlineStr">
        <is>
          <t>a montar</t>
        </is>
      </c>
    </row>
    <row r="47">
      <c r="A47" s="38" t="inlineStr">
        <is>
          <t>atenção</t>
        </is>
      </c>
      <c r="B47" s="59" t="inlineStr">
        <is>
          <t>Meses reconstruídos da grade têm FIDELIDADE MENOR: a grade lista nomes por turno, não códigos. 10h de chefia (47), 4h de CEP (6) e 5h da Janaina (78) aparecem só como nome na coluna da manhã e entram como manhã de 6h — a carga horária desses meses fica subestimada pra chefia. Manhã+tarde no mesmo dia foi lido como 12h dia. Anotações BHN (dispensa) foram excluídas; BHP conta.</t>
        </is>
      </c>
    </row>
    <row r="49">
      <c r="A49" s="37" t="inlineStr">
        <is>
          <t>o que ainda falta</t>
        </is>
      </c>
    </row>
    <row r="50">
      <c r="A50" s="38" t="inlineStr">
        <is>
          <t>·</t>
        </is>
      </c>
      <c r="B50" s="39" t="inlineStr">
        <is>
          <t>Maio dia 3 não existe em nenhum arquivo recebido — a coluna fica vazia.</t>
        </is>
      </c>
    </row>
    <row r="51">
      <c r="A51" s="38" t="inlineStr">
        <is>
          <t>·</t>
        </is>
      </c>
      <c r="B51" s="39" t="inlineStr">
        <is>
          <t>Janeiro começa no dia 2: a grade recebida não tem o dia 1º.</t>
        </is>
      </c>
    </row>
    <row r="52">
      <c r="A52" s="38" t="inlineStr">
        <is>
          <t>·</t>
        </is>
      </c>
      <c r="B52" s="39" t="inlineStr">
        <is>
          <t>Junho e janeiro não têm arquivo de códigos Senior; foram reconstruídos da grade.</t>
        </is>
      </c>
    </row>
    <row r="53">
      <c r="A53" s="38" t="inlineStr">
        <is>
          <t>·</t>
        </is>
      </c>
      <c r="B53" s="39" t="inlineStr">
        <is>
          <t>Novembro e dezembro estão em branco, prontos pra montar.</t>
        </is>
      </c>
    </row>
    <row r="54">
      <c r="A54" s="38" t="inlineStr">
        <is>
          <t>·</t>
        </is>
      </c>
      <c r="B54" s="39" t="inlineStr">
        <is>
          <t>Dois códigos órfãos no histórico: 23 (Isabella 23/08) e 3 (Laura 02/08) — não constam em nenhuma legenda; ficaram de fora.</t>
        </is>
      </c>
    </row>
    <row r="55">
      <c r="A55" s="38" t="inlineStr">
        <is>
          <t>·</t>
        </is>
      </c>
      <c r="B55" s="39" t="inlineStr">
        <is>
          <t>A coluna 18h⚠ compara cada dia com o seguinte DENTRO do mês. Uma noite no último dia do mês emendando a manhã do dia 1º do mês seguinte não é pega pela coluna — a aba VALIDADOR pega, porque olha o ano inteiro sem parar na virada.</t>
        </is>
      </c>
    </row>
    <row r="56">
      <c r="A56" s="38" t="inlineStr">
        <is>
          <t>·</t>
        </is>
      </c>
      <c r="B56" s="39" t="inlineStr">
        <is>
          <t>O seletor de mês da aba SENIOR usa INDIRECT, que só resolve com o arquivo aberto no Excel ou no Google Sheets — em pré-visualização de e-mail ou no Drive sem abrir, a matriz aparece vazia. Abrir e escolher o mês em B1 resolve.</t>
        </is>
      </c>
    </row>
  </sheetData>
  <mergeCells count="29">
    <mergeCell ref="B40:H40"/>
    <mergeCell ref="B55:H55"/>
    <mergeCell ref="B30:H30"/>
    <mergeCell ref="B51:H51"/>
    <mergeCell ref="B37:H37"/>
    <mergeCell ref="B45:H45"/>
    <mergeCell ref="B36:H36"/>
    <mergeCell ref="B50:H50"/>
    <mergeCell ref="B26:H26"/>
    <mergeCell ref="B41:H41"/>
    <mergeCell ref="B35:H35"/>
    <mergeCell ref="B4:H4"/>
    <mergeCell ref="B47:H47"/>
    <mergeCell ref="B54:H54"/>
    <mergeCell ref="B25:H25"/>
    <mergeCell ref="B31:H31"/>
    <mergeCell ref="B22:H22"/>
    <mergeCell ref="B27:H27"/>
    <mergeCell ref="B56:H56"/>
    <mergeCell ref="B52:H52"/>
    <mergeCell ref="B43:H43"/>
    <mergeCell ref="B39:H39"/>
    <mergeCell ref="B42:H42"/>
    <mergeCell ref="B44:H44"/>
    <mergeCell ref="B53:H53"/>
    <mergeCell ref="B38:H38"/>
    <mergeCell ref="B29:H29"/>
    <mergeCell ref="B34:H34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D8E1"/>
    <outlinePr summaryBelow="1" summaryRight="1"/>
    <pageSetUpPr/>
  </sheetPr>
  <dimension ref="A1:H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" customWidth="1" min="3" max="3"/>
    <col width="15" customWidth="1" min="4" max="4"/>
    <col width="58" customWidth="1" min="5" max="5"/>
    <col width="16" customWidth="1" min="6" max="6"/>
    <col width="14" customWidth="1" min="7" max="7"/>
    <col width="52" customWidth="1" min="8" max="8"/>
  </cols>
  <sheetData>
    <row r="1">
      <c r="A1" s="36" t="inlineStr">
        <is>
          <t>cadastro · quem é quem</t>
        </is>
      </c>
      <c r="D1" s="60" t="inlineStr">
        <is>
          <t>66 pessoas ativas</t>
        </is>
      </c>
    </row>
    <row r="3">
      <c r="A3" s="61" t="inlineStr">
        <is>
          <t>médico</t>
        </is>
      </c>
      <c r="B3" s="61" t="inlineStr">
        <is>
          <t>nome completo</t>
        </is>
      </c>
      <c r="C3" s="61" t="inlineStr">
        <is>
          <t>CH</t>
        </is>
      </c>
      <c r="D3" s="61" t="inlineStr">
        <is>
          <t>grupo</t>
        </is>
      </c>
      <c r="E3" s="61" t="inlineStr">
        <is>
          <t>restrições duras</t>
        </is>
      </c>
      <c r="F3" s="61" t="inlineStr">
        <is>
          <t>sexta-noite</t>
        </is>
      </c>
      <c r="G3" s="61" t="inlineStr">
        <is>
          <t>fds extra</t>
        </is>
      </c>
      <c r="H3" s="61" t="inlineStr">
        <is>
          <t>observações</t>
        </is>
      </c>
    </row>
    <row r="4" ht="26" customHeight="1">
      <c r="A4" s="62" t="inlineStr">
        <is>
          <t>Fred</t>
        </is>
      </c>
      <c r="B4" s="63" t="inlineStr">
        <is>
          <t>Frederico Pires</t>
        </is>
      </c>
      <c r="C4" s="63" t="n">
        <v>36</v>
      </c>
      <c r="D4" s="64" t="inlineStr">
        <is>
          <t>chefia</t>
        </is>
      </c>
      <c r="E4" s="65" t="inlineStr">
        <is>
          <t>seg+ter 10h chefia; qua+qui manhã</t>
        </is>
      </c>
      <c r="F4" s="63" t="inlineStr">
        <is>
          <t>não</t>
        </is>
      </c>
      <c r="G4" s="63" t="inlineStr">
        <is>
          <t>não</t>
        </is>
      </c>
      <c r="H4" s="65" t="inlineStr">
        <is>
          <t>CH zerada nas contagens de plantão</t>
        </is>
      </c>
    </row>
    <row r="5" ht="26" customHeight="1">
      <c r="A5" s="62" t="inlineStr">
        <is>
          <t>Milena</t>
        </is>
      </c>
      <c r="B5" s="63" t="inlineStr">
        <is>
          <t>Milena</t>
        </is>
      </c>
      <c r="C5" s="63" t="n">
        <v>36</v>
      </c>
      <c r="D5" s="64" t="inlineStr">
        <is>
          <t>chefia</t>
        </is>
      </c>
      <c r="E5" s="65" t="inlineStr">
        <is>
          <t>seg/ter/qua manhã; qui 10h chefia</t>
        </is>
      </c>
      <c r="F5" s="63" t="inlineStr">
        <is>
          <t>não</t>
        </is>
      </c>
      <c r="G5" s="63" t="inlineStr">
        <is>
          <t>não</t>
        </is>
      </c>
      <c r="H5" s="65" t="inlineStr"/>
    </row>
    <row r="6" ht="26" customHeight="1">
      <c r="A6" s="62" t="inlineStr">
        <is>
          <t>Pabdo</t>
        </is>
      </c>
      <c r="B6" s="63" t="inlineStr">
        <is>
          <t>Paula Abdo</t>
        </is>
      </c>
      <c r="C6" s="63" t="n">
        <v>36</v>
      </c>
      <c r="D6" s="64" t="inlineStr">
        <is>
          <t>chefia</t>
        </is>
      </c>
      <c r="E6" s="65" t="inlineStr">
        <is>
          <t>rotina/coordenação</t>
        </is>
      </c>
      <c r="F6" s="63" t="inlineStr">
        <is>
          <t>não</t>
        </is>
      </c>
      <c r="G6" s="63" t="inlineStr">
        <is>
          <t>não</t>
        </is>
      </c>
      <c r="H6" s="65" t="inlineStr">
        <is>
          <t>aniversário 29/10, sem folga</t>
        </is>
      </c>
    </row>
    <row r="7" ht="26" customHeight="1">
      <c r="A7" s="62" t="inlineStr">
        <is>
          <t>MSalomão</t>
        </is>
      </c>
      <c r="B7" s="63" t="inlineStr">
        <is>
          <t>Marina Salomão</t>
        </is>
      </c>
      <c r="C7" s="63" t="n">
        <v>40</v>
      </c>
      <c r="D7" s="64" t="inlineStr">
        <is>
          <t>chefia</t>
        </is>
      </c>
      <c r="E7" s="65" t="inlineStr">
        <is>
          <t>manhãs seg–sex; PROIBIDO dom noite emendando (18h invertido) → sáb noite; NÃO sexta tarde</t>
        </is>
      </c>
      <c r="F7" s="63" t="inlineStr">
        <is>
          <t>não</t>
        </is>
      </c>
      <c r="G7" s="63" t="inlineStr">
        <is>
          <t>não</t>
        </is>
      </c>
      <c r="H7" s="65" t="inlineStr">
        <is>
          <t>bloqueio 42/42/36 · rodízio fds 15/15 com Vinicius, contínuo no ano · abre outubro com 42h</t>
        </is>
      </c>
    </row>
    <row r="8" ht="26" customHeight="1">
      <c r="A8" s="62" t="inlineStr">
        <is>
          <t>DebAlves</t>
        </is>
      </c>
      <c r="B8" s="63" t="inlineStr">
        <is>
          <t>Deborah Alves</t>
        </is>
      </c>
      <c r="C8" s="63" t="n">
        <v>40</v>
      </c>
      <c r="D8" s="64" t="inlineStr">
        <is>
          <t>chefia</t>
        </is>
      </c>
      <c r="E8" s="65" t="inlineStr">
        <is>
          <t>manhãs seg–sex + tardes p/ completar (ter, senão qui)</t>
        </is>
      </c>
      <c r="F8" s="63" t="inlineStr">
        <is>
          <t>não</t>
        </is>
      </c>
      <c r="G8" s="63" t="inlineStr">
        <is>
          <t>não</t>
        </is>
      </c>
      <c r="H8" s="65" t="inlineStr">
        <is>
          <t>bloqueio 42/42/36 · cota fds 24h</t>
        </is>
      </c>
    </row>
    <row r="9" ht="26" customHeight="1">
      <c r="A9" s="62" t="inlineStr">
        <is>
          <t>Vinicius</t>
        </is>
      </c>
      <c r="B9" s="63" t="inlineStr">
        <is>
          <t>Vinicius Bezerra</t>
        </is>
      </c>
      <c r="C9" s="63" t="n">
        <v>36</v>
      </c>
      <c r="D9" s="64" t="inlineStr">
        <is>
          <t>chefia</t>
        </is>
      </c>
      <c r="E9" s="65" t="inlineStr">
        <is>
          <t>manhãs seg–sex + fds 15/15 com MSalomão</t>
        </is>
      </c>
      <c r="F9" s="63" t="inlineStr">
        <is>
          <t>não</t>
        </is>
      </c>
      <c r="G9" s="63" t="inlineStr">
        <is>
          <t>sim</t>
        </is>
      </c>
      <c r="H9" s="65" t="inlineStr">
        <is>
          <t>bloqueio 30/42 · FÉRIAS 12–26/10</t>
        </is>
      </c>
    </row>
    <row r="10" ht="26" customHeight="1">
      <c r="A10" s="62" t="inlineStr">
        <is>
          <t>Amelio</t>
        </is>
      </c>
      <c r="B10" s="63" t="inlineStr">
        <is>
          <t>Fernanda Amelio</t>
        </is>
      </c>
      <c r="C10" s="63" t="n">
        <v>36</v>
      </c>
      <c r="D10" s="64" t="inlineStr">
        <is>
          <t>chefia</t>
        </is>
      </c>
      <c r="E10" s="65" t="inlineStr">
        <is>
          <t>SEM NOTURNOS (atestado desde abr/25); seg–sex manhãs</t>
        </is>
      </c>
      <c r="F10" s="63" t="inlineStr">
        <is>
          <t>não</t>
        </is>
      </c>
      <c r="G10" s="63" t="inlineStr">
        <is>
          <t>não</t>
        </is>
      </c>
      <c r="H10" s="65" t="inlineStr">
        <is>
          <t>fora 24–31/10 (BHN)</t>
        </is>
      </c>
    </row>
    <row r="11" ht="26" customHeight="1">
      <c r="A11" s="62" t="inlineStr">
        <is>
          <t>Murilo</t>
        </is>
      </c>
      <c r="B11" s="63" t="inlineStr">
        <is>
          <t>Murilo</t>
        </is>
      </c>
      <c r="C11" s="63" t="n">
        <v>36</v>
      </c>
      <c r="D11" s="64" t="inlineStr">
        <is>
          <t>rotina</t>
        </is>
      </c>
      <c r="E11" s="65" t="inlineStr">
        <is>
          <t>rotina onco manhãs; fds 15/15 sábado noturno</t>
        </is>
      </c>
      <c r="F11" s="63" t="inlineStr">
        <is>
          <t>não</t>
        </is>
      </c>
      <c r="G11" s="63" t="inlineStr">
        <is>
          <t>não</t>
        </is>
      </c>
      <c r="H11" s="65" t="inlineStr">
        <is>
          <t>voltou de licença</t>
        </is>
      </c>
    </row>
    <row r="12" ht="26" customHeight="1">
      <c r="A12" s="62" t="inlineStr">
        <is>
          <t>Janaina</t>
        </is>
      </c>
      <c r="B12" s="63" t="inlineStr">
        <is>
          <t>Janaina Rabelo</t>
        </is>
      </c>
      <c r="C12" s="63" t="n">
        <v>30</v>
      </c>
      <c r="D12" s="66" t="inlineStr">
        <is>
          <t>30h</t>
        </is>
      </c>
      <c r="E12" s="65" t="inlineStr">
        <is>
          <t>SÓ 8–13h (código 78); sem noturnos; seg–sáb</t>
        </is>
      </c>
      <c r="F12" s="63" t="inlineStr">
        <is>
          <t>não</t>
        </is>
      </c>
      <c r="G12" s="63" t="inlineStr">
        <is>
          <t>não</t>
        </is>
      </c>
      <c r="H12" s="65" t="inlineStr">
        <is>
          <t>é sempre a 10ª da manhã de sábado; NUNCA domingo</t>
        </is>
      </c>
    </row>
    <row r="13" ht="26" customHeight="1">
      <c r="A13" s="62" t="inlineStr">
        <is>
          <t>Aline</t>
        </is>
      </c>
      <c r="B13" s="63" t="inlineStr">
        <is>
          <t>Aline Saliba</t>
        </is>
      </c>
      <c r="C13" s="63" t="n">
        <v>40</v>
      </c>
      <c r="D13" s="67" t="inlineStr">
        <is>
          <t>36h</t>
        </is>
      </c>
      <c r="E13" s="65" t="inlineStr">
        <is>
          <t>CEP 4h: 1ª terça manhã do mês; demais semanas seg ou qui</t>
        </is>
      </c>
      <c r="F13" s="63" t="inlineStr">
        <is>
          <t>não</t>
        </is>
      </c>
      <c r="G13" s="63" t="inlineStr">
        <is>
          <t>sim</t>
        </is>
      </c>
      <c r="H13" s="65" t="inlineStr">
        <is>
          <t>36 assist + 4 CEP · FÉRIAS 19/10–02/11</t>
        </is>
      </c>
    </row>
    <row r="14" ht="26" customHeight="1">
      <c r="A14" s="62" t="inlineStr">
        <is>
          <t>CaAbreu</t>
        </is>
      </c>
      <c r="B14" s="63" t="inlineStr">
        <is>
          <t>Camila Abreu</t>
        </is>
      </c>
      <c r="C14" s="63" t="n">
        <v>36</v>
      </c>
      <c r="D14" s="67" t="inlineStr">
        <is>
          <t>36h</t>
        </is>
      </c>
      <c r="E14" s="65" t="inlineStr">
        <is>
          <t>fixa qua dia (+seg dia); NÃO qui noite</t>
        </is>
      </c>
      <c r="F14" s="63" t="inlineStr">
        <is>
          <t>não</t>
        </is>
      </c>
      <c r="G14" s="63" t="inlineStr">
        <is>
          <t>sim</t>
        </is>
      </c>
      <c r="H14" s="65" t="inlineStr"/>
    </row>
    <row r="15" ht="26" customHeight="1">
      <c r="A15" s="62" t="inlineStr">
        <is>
          <t>Danielle</t>
        </is>
      </c>
      <c r="B15" s="63" t="inlineStr">
        <is>
          <t>Danielle Tanajura</t>
        </is>
      </c>
      <c r="C15" s="63" t="n">
        <v>36</v>
      </c>
      <c r="D15" s="67" t="inlineStr">
        <is>
          <t>36h</t>
        </is>
      </c>
      <c r="E15" s="65" t="inlineStr">
        <is>
          <t>fixa qua noite (+qui noite); só noites</t>
        </is>
      </c>
      <c r="F15" s="63" t="inlineStr">
        <is>
          <t>não</t>
        </is>
      </c>
      <c r="G15" s="63" t="inlineStr">
        <is>
          <t>não</t>
        </is>
      </c>
      <c r="H15" s="65" t="inlineStr">
        <is>
          <t>não lançar sexta-noite (já fez muitas)</t>
        </is>
      </c>
    </row>
    <row r="16" ht="26" customHeight="1">
      <c r="A16" s="62" t="inlineStr">
        <is>
          <t>Fabiula</t>
        </is>
      </c>
      <c r="B16" s="63" t="inlineStr">
        <is>
          <t>Fabiula Czameski</t>
        </is>
      </c>
      <c r="C16" s="63" t="n">
        <v>36</v>
      </c>
      <c r="D16" s="67" t="inlineStr">
        <is>
          <t>36h</t>
        </is>
      </c>
      <c r="E16" s="65" t="inlineStr">
        <is>
          <t>só noites; ter/qua/qui alternando com ter/qua/dom</t>
        </is>
      </c>
      <c r="F16" s="63" t="inlineStr">
        <is>
          <t>sim</t>
        </is>
      </c>
      <c r="G16" s="63" t="inlineStr">
        <is>
          <t>não</t>
        </is>
      </c>
      <c r="H16" s="65" t="inlineStr"/>
    </row>
    <row r="17" ht="26" customHeight="1">
      <c r="A17" s="62" t="inlineStr">
        <is>
          <t>Isabella</t>
        </is>
      </c>
      <c r="B17" s="63" t="inlineStr">
        <is>
          <t>Isabella Mazzaro</t>
        </is>
      </c>
      <c r="C17" s="63" t="n">
        <v>36</v>
      </c>
      <c r="D17" s="67" t="inlineStr">
        <is>
          <t>36h</t>
        </is>
      </c>
      <c r="E17" s="65" t="inlineStr">
        <is>
          <t>fixo sex dia; NÃO qua noite, NÃO qui noite; evitar sáb noite</t>
        </is>
      </c>
      <c r="F17" s="63" t="inlineStr">
        <is>
          <t>sim</t>
        </is>
      </c>
      <c r="G17" s="63" t="inlineStr">
        <is>
          <t>não</t>
        </is>
      </c>
      <c r="H17" s="65" t="inlineStr">
        <is>
          <t>INVERTEU em out: não pode mais sextas</t>
        </is>
      </c>
    </row>
    <row r="18" ht="26" customHeight="1">
      <c r="A18" s="62" t="inlineStr">
        <is>
          <t>JuBrito</t>
        </is>
      </c>
      <c r="B18" s="63" t="inlineStr">
        <is>
          <t>Julliana Brito</t>
        </is>
      </c>
      <c r="C18" s="63" t="n">
        <v>30</v>
      </c>
      <c r="D18" s="66" t="inlineStr">
        <is>
          <t>30h</t>
        </is>
      </c>
      <c r="E18" s="65" t="inlineStr">
        <is>
          <t>fixa ter dia, qua manhã, qui dia, sex manhã; NÃO segundas (Sobradinho)</t>
        </is>
      </c>
      <c r="F18" s="63" t="inlineStr">
        <is>
          <t>não</t>
        </is>
      </c>
      <c r="G18" s="63" t="inlineStr">
        <is>
          <t>não</t>
        </is>
      </c>
      <c r="H18" s="65" t="inlineStr">
        <is>
          <t>CH 30h CONFIRMADO (era 36) · +6h fds a cada 2 meses · não quer o feriado 12/10</t>
        </is>
      </c>
    </row>
    <row r="19" ht="26" customHeight="1">
      <c r="A19" s="62" t="inlineStr">
        <is>
          <t>Kariny</t>
        </is>
      </c>
      <c r="B19" s="63" t="inlineStr">
        <is>
          <t>Fernanda Kariny</t>
        </is>
      </c>
      <c r="C19" s="63" t="n">
        <v>36</v>
      </c>
      <c r="D19" s="67" t="inlineStr">
        <is>
          <t>36h</t>
        </is>
      </c>
      <c r="E19" s="65" t="inlineStr">
        <is>
          <t>fixa seg/ter/qui dia; NÃO quartas; 6h avulsa só de manhã</t>
        </is>
      </c>
      <c r="F19" s="63" t="inlineStr">
        <is>
          <t>não</t>
        </is>
      </c>
      <c r="G19" s="63" t="inlineStr">
        <is>
          <t>não</t>
        </is>
      </c>
      <c r="H19" s="65" t="inlineStr">
        <is>
          <t>repouso 09–12/10 (procedimento)</t>
        </is>
      </c>
    </row>
    <row r="20" ht="26" customHeight="1">
      <c r="A20" s="62" t="inlineStr">
        <is>
          <t>Mayana</t>
        </is>
      </c>
      <c r="B20" s="63" t="inlineStr">
        <is>
          <t>Mayana Leal</t>
        </is>
      </c>
      <c r="C20" s="63" t="n">
        <v>36</v>
      </c>
      <c r="D20" s="67" t="inlineStr">
        <is>
          <t>36h</t>
        </is>
      </c>
      <c r="E20" s="65" t="inlineStr">
        <is>
          <t>fixa ter dia, qui dia; NÃO seg/qua/sex tarde</t>
        </is>
      </c>
      <c r="F20" s="63" t="inlineStr">
        <is>
          <t>não</t>
        </is>
      </c>
      <c r="G20" s="63" t="inlineStr">
        <is>
          <t>não</t>
        </is>
      </c>
      <c r="H20" s="65" t="inlineStr"/>
    </row>
    <row r="21" ht="26" customHeight="1">
      <c r="A21" s="62" t="inlineStr">
        <is>
          <t>Neyde</t>
        </is>
      </c>
      <c r="B21" s="63" t="inlineStr">
        <is>
          <t>Neyde Brito</t>
        </is>
      </c>
      <c r="C21" s="63" t="n">
        <v>36</v>
      </c>
      <c r="D21" s="67" t="inlineStr">
        <is>
          <t>36h</t>
        </is>
      </c>
      <c r="E21" s="65" t="inlineStr">
        <is>
          <t>fixa ter+qua noite + 1º/3º/4º dom noite; NÃO qui/sex/sáb noite (HMIB)</t>
        </is>
      </c>
      <c r="F21" s="63" t="inlineStr">
        <is>
          <t>não</t>
        </is>
      </c>
      <c r="G21" s="63" t="inlineStr">
        <is>
          <t>sim</t>
        </is>
      </c>
      <c r="H21" s="65" t="inlineStr">
        <is>
          <t>férias 19/10 + 15 dias</t>
        </is>
      </c>
    </row>
    <row r="22" ht="26" customHeight="1">
      <c r="A22" s="62" t="inlineStr">
        <is>
          <t>Roberta</t>
        </is>
      </c>
      <c r="B22" s="63" t="inlineStr">
        <is>
          <t>Roberta Iglesias</t>
        </is>
      </c>
      <c r="C22" s="63" t="n">
        <v>36</v>
      </c>
      <c r="D22" s="67" t="inlineStr">
        <is>
          <t>36h</t>
        </is>
      </c>
      <c r="E22" s="65" t="inlineStr">
        <is>
          <t>coringa</t>
        </is>
      </c>
      <c r="F22" s="63" t="inlineStr">
        <is>
          <t>não</t>
        </is>
      </c>
      <c r="G22" s="63" t="inlineStr">
        <is>
          <t>sim</t>
        </is>
      </c>
      <c r="H22" s="65" t="inlineStr"/>
    </row>
    <row r="23" ht="26" customHeight="1">
      <c r="A23" s="62" t="inlineStr">
        <is>
          <t>LuAlice</t>
        </is>
      </c>
      <c r="B23" s="63" t="inlineStr">
        <is>
          <t>Luciana Alice</t>
        </is>
      </c>
      <c r="C23" s="63" t="n">
        <v>36</v>
      </c>
      <c r="D23" s="67" t="inlineStr">
        <is>
          <t>36h</t>
        </is>
      </c>
      <c r="E23" s="65" t="inlineStr">
        <is>
          <t>fixa ter+qui noite, sáb noite no fds; SÓ noturnos (+tardes CRO)</t>
        </is>
      </c>
      <c r="F23" s="63" t="inlineStr">
        <is>
          <t>sim</t>
        </is>
      </c>
      <c r="G23" s="63" t="inlineStr">
        <is>
          <t>não</t>
        </is>
      </c>
      <c r="H23" s="65" t="inlineStr">
        <is>
          <t>NUNCA lançar banco de horas · 36h temporária, 12h/mês CRO · não lançar sextas 02 e 30/10 N</t>
        </is>
      </c>
    </row>
    <row r="24" ht="26" customHeight="1">
      <c r="A24" s="62" t="inlineStr">
        <is>
          <t>Amanda</t>
        </is>
      </c>
      <c r="B24" s="63" t="inlineStr">
        <is>
          <t>Amanda Braga</t>
        </is>
      </c>
      <c r="C24" s="63" t="n">
        <v>30</v>
      </c>
      <c r="D24" s="66" t="inlineStr">
        <is>
          <t>30h</t>
        </is>
      </c>
      <c r="E24" s="65" t="inlineStr">
        <is>
          <t>alterna qui noite / qua dia</t>
        </is>
      </c>
      <c r="F24" s="63" t="inlineStr">
        <is>
          <t>sim</t>
        </is>
      </c>
      <c r="G24" s="63" t="inlineStr">
        <is>
          <t>sim</t>
        </is>
      </c>
      <c r="H24" s="65" t="inlineStr">
        <is>
          <t>férias até ~12/10 · NÃO escalar fds extra em outubro (fez horas a mais em set)</t>
        </is>
      </c>
    </row>
    <row r="25" ht="26" customHeight="1">
      <c r="A25" s="62" t="inlineStr">
        <is>
          <t>Fernando</t>
        </is>
      </c>
      <c r="B25" s="63" t="inlineStr">
        <is>
          <t>Fernando Filardi</t>
        </is>
      </c>
      <c r="C25" s="63" t="n">
        <v>30</v>
      </c>
      <c r="D25" s="66" t="inlineStr">
        <is>
          <t>30h</t>
        </is>
      </c>
      <c r="E25" s="65" t="inlineStr">
        <is>
          <t>fixo seg noite, qua+qui manhã, sáb manhã</t>
        </is>
      </c>
      <c r="F25" s="63" t="inlineStr">
        <is>
          <t>não</t>
        </is>
      </c>
      <c r="G25" s="63" t="inlineStr">
        <is>
          <t>não</t>
        </is>
      </c>
      <c r="H25" s="65" t="inlineStr">
        <is>
          <t>troca sáb 17/10 → dom 04/10 manhã; oferece sexta-noite 23/10</t>
        </is>
      </c>
    </row>
    <row r="26" ht="26" customHeight="1">
      <c r="A26" s="62" t="inlineStr">
        <is>
          <t>João</t>
        </is>
      </c>
      <c r="B26" s="63" t="inlineStr">
        <is>
          <t>João</t>
        </is>
      </c>
      <c r="C26" s="63" t="n">
        <v>30</v>
      </c>
      <c r="D26" s="66" t="inlineStr">
        <is>
          <t>30h</t>
        </is>
      </c>
      <c r="E26" s="65" t="inlineStr">
        <is>
          <t>NÃO manhãs, NÃO segundas, NÃO sábados; ter/qui/sex tarde + qua noite</t>
        </is>
      </c>
      <c r="F26" s="63" t="inlineStr">
        <is>
          <t>não</t>
        </is>
      </c>
      <c r="G26" s="63" t="inlineStr">
        <is>
          <t>não</t>
        </is>
      </c>
      <c r="H26" s="65" t="inlineStr">
        <is>
          <t>extrapola fds · férias até ~06/10</t>
        </is>
      </c>
    </row>
    <row r="27" ht="26" customHeight="1">
      <c r="A27" s="62" t="inlineStr">
        <is>
          <t>JuCoutinho</t>
        </is>
      </c>
      <c r="B27" s="63" t="inlineStr">
        <is>
          <t>Juliana Coutinho</t>
        </is>
      </c>
      <c r="C27" s="63" t="n">
        <v>30</v>
      </c>
      <c r="D27" s="66" t="inlineStr">
        <is>
          <t>30h</t>
        </is>
      </c>
      <c r="E27" s="65" t="inlineStr">
        <is>
          <t>fixa qua diurno, sextas manhãs; NÃO qui dia</t>
        </is>
      </c>
      <c r="F27" s="63" t="inlineStr">
        <is>
          <t>não</t>
        </is>
      </c>
      <c r="G27" s="63" t="inlineStr">
        <is>
          <t>não</t>
        </is>
      </c>
      <c r="H27" s="65" t="inlineStr">
        <is>
          <t>prefere 6h em vez de 12h</t>
        </is>
      </c>
    </row>
    <row r="28" ht="26" customHeight="1">
      <c r="A28" s="62" t="inlineStr">
        <is>
          <t>LeLemos</t>
        </is>
      </c>
      <c r="B28" s="63" t="inlineStr">
        <is>
          <t>Leticia Lemos</t>
        </is>
      </c>
      <c r="C28" s="63" t="n">
        <v>30</v>
      </c>
      <c r="D28" s="66" t="inlineStr">
        <is>
          <t>30h</t>
        </is>
      </c>
      <c r="E28" s="65" t="inlineStr">
        <is>
          <t>seg dia ↔ seg noite alternando</t>
        </is>
      </c>
      <c r="F28" s="63" t="inlineStr">
        <is>
          <t>1/mês</t>
        </is>
      </c>
      <c r="G28" s="63" t="inlineStr">
        <is>
          <t>sim</t>
        </is>
      </c>
      <c r="H28" s="65" t="inlineStr">
        <is>
          <t>férias até 05/10</t>
        </is>
      </c>
    </row>
    <row r="29" ht="26" customHeight="1">
      <c r="A29" s="62" t="inlineStr">
        <is>
          <t>Leomara</t>
        </is>
      </c>
      <c r="B29" s="63" t="inlineStr">
        <is>
          <t>Leomara</t>
        </is>
      </c>
      <c r="C29" s="63" t="n">
        <v>24</v>
      </c>
      <c r="D29" s="68" t="inlineStr">
        <is>
          <t>24h</t>
        </is>
      </c>
      <c r="E29" s="65" t="inlineStr">
        <is>
          <t>só seg/ter manhã, qua noite, sex dia/noite, fds; evitar 2 noturnos/semana</t>
        </is>
      </c>
      <c r="F29" s="63" t="inlineStr">
        <is>
          <t>não</t>
        </is>
      </c>
      <c r="G29" s="63" t="inlineStr">
        <is>
          <t>não</t>
        </is>
      </c>
      <c r="H29" s="65" t="inlineStr">
        <is>
          <t>24h desde ago</t>
        </is>
      </c>
    </row>
    <row r="30" ht="26" customHeight="1">
      <c r="A30" s="62" t="inlineStr">
        <is>
          <t>Marilia</t>
        </is>
      </c>
      <c r="B30" s="63" t="inlineStr">
        <is>
          <t>Marilia</t>
        </is>
      </c>
      <c r="C30" s="63" t="n">
        <v>30</v>
      </c>
      <c r="D30" s="66" t="inlineStr">
        <is>
          <t>30h</t>
        </is>
      </c>
      <c r="E30" s="65" t="inlineStr">
        <is>
          <t>ter dia ↔ qua dia 15/15; sexta só manhã; NÃO segundas (Luzia)</t>
        </is>
      </c>
      <c r="F30" s="63" t="inlineStr">
        <is>
          <t>não</t>
        </is>
      </c>
      <c r="G30" s="63" t="inlineStr">
        <is>
          <t>não</t>
        </is>
      </c>
      <c r="H30" s="65" t="inlineStr">
        <is>
          <t>pediu a sexta-noite dela em out (16/10) em vez de nov</t>
        </is>
      </c>
    </row>
    <row r="31" ht="26" customHeight="1">
      <c r="A31" s="62" t="inlineStr">
        <is>
          <t>Raylander</t>
        </is>
      </c>
      <c r="B31" s="63" t="inlineStr">
        <is>
          <t>Daniel Raylander</t>
        </is>
      </c>
      <c r="C31" s="63" t="n">
        <v>30</v>
      </c>
      <c r="D31" s="66" t="inlineStr">
        <is>
          <t>30h</t>
        </is>
      </c>
      <c r="E31" s="65" t="inlineStr">
        <is>
          <t>NÃO seg tarde, qui manhã, sex dia (faculdade); aceita noturnos seguidos</t>
        </is>
      </c>
      <c r="F31" s="63" t="inlineStr">
        <is>
          <t>não</t>
        </is>
      </c>
      <c r="G31" s="63" t="inlineStr">
        <is>
          <t>SIM obrigatório</t>
        </is>
      </c>
      <c r="H31" s="65" t="inlineStr">
        <is>
          <t>casado com Ariadne — nunca no mesmo turno</t>
        </is>
      </c>
    </row>
    <row r="32" ht="26" customHeight="1">
      <c r="A32" s="62" t="inlineStr">
        <is>
          <t>Ricardo</t>
        </is>
      </c>
      <c r="B32" s="63" t="inlineStr">
        <is>
          <t>Ricardo</t>
        </is>
      </c>
      <c r="C32" s="63" t="n">
        <v>30</v>
      </c>
      <c r="D32" s="66" t="inlineStr">
        <is>
          <t>30h</t>
        </is>
      </c>
      <c r="E32" s="65" t="inlineStr">
        <is>
          <t>fixo ter noite (sai da fixa quando faz SN/fds)</t>
        </is>
      </c>
      <c r="F32" s="63" t="inlineStr">
        <is>
          <t>não</t>
        </is>
      </c>
      <c r="G32" s="63" t="inlineStr">
        <is>
          <t>sim</t>
        </is>
      </c>
      <c r="H32" s="65" t="inlineStr">
        <is>
          <t>escalar junto com Nishioka</t>
        </is>
      </c>
    </row>
    <row r="33" ht="26" customHeight="1">
      <c r="A33" s="62" t="inlineStr">
        <is>
          <t>Rosana</t>
        </is>
      </c>
      <c r="B33" s="63" t="inlineStr">
        <is>
          <t>Rosana</t>
        </is>
      </c>
      <c r="C33" s="63" t="n">
        <v>30</v>
      </c>
      <c r="D33" s="66" t="inlineStr">
        <is>
          <t>30h</t>
        </is>
      </c>
      <c r="E33" s="65" t="inlineStr">
        <is>
          <t>só manhãs e noites/noitinhas (mãe em quimio): SEM tardes, SEM 12h diurnas</t>
        </is>
      </c>
      <c r="F33" s="63" t="inlineStr">
        <is>
          <t>não</t>
        </is>
      </c>
      <c r="G33" s="63" t="inlineStr">
        <is>
          <t>não</t>
        </is>
      </c>
      <c r="H33" s="65" t="inlineStr">
        <is>
          <t>férias até ~12/10</t>
        </is>
      </c>
    </row>
    <row r="34" ht="26" customHeight="1">
      <c r="A34" s="62" t="inlineStr">
        <is>
          <t>AnaSeverino</t>
        </is>
      </c>
      <c r="B34" s="63" t="inlineStr">
        <is>
          <t>Ana Severino</t>
        </is>
      </c>
      <c r="C34" s="63" t="n">
        <v>24</v>
      </c>
      <c r="D34" s="68" t="inlineStr">
        <is>
          <t>24h</t>
        </is>
      </c>
      <c r="E34" s="65" t="inlineStr">
        <is>
          <t>seg (M/dia/N) ou qui noite; NÃO tardes</t>
        </is>
      </c>
      <c r="F34" s="63" t="inlineStr">
        <is>
          <t>não</t>
        </is>
      </c>
      <c r="G34" s="63" t="inlineStr">
        <is>
          <t>sim</t>
        </is>
      </c>
      <c r="H34" s="65" t="inlineStr"/>
    </row>
    <row r="35" ht="26" customHeight="1">
      <c r="A35" s="62" t="inlineStr">
        <is>
          <t>Anna</t>
        </is>
      </c>
      <c r="B35" s="63" t="inlineStr">
        <is>
          <t>Anna Jorge</t>
        </is>
      </c>
      <c r="C35" s="63" t="n">
        <v>24</v>
      </c>
      <c r="D35" s="68" t="inlineStr">
        <is>
          <t>24h</t>
        </is>
      </c>
      <c r="E35" s="65" t="inlineStr">
        <is>
          <t>NÃO seg manhã/noite, ter tarde, qui inteiro, sex tarde, dom noite</t>
        </is>
      </c>
      <c r="F35" s="63" t="inlineStr">
        <is>
          <t>não</t>
        </is>
      </c>
      <c r="G35" s="63" t="inlineStr">
        <is>
          <t>não</t>
        </is>
      </c>
      <c r="H35" s="65" t="inlineStr">
        <is>
          <t>habitual seg/qua tarde</t>
        </is>
      </c>
    </row>
    <row r="36" ht="26" customHeight="1">
      <c r="A36" s="62" t="inlineStr">
        <is>
          <t>Ariadne</t>
        </is>
      </c>
      <c r="B36" s="63" t="inlineStr">
        <is>
          <t>Ariadne</t>
        </is>
      </c>
      <c r="C36" s="63" t="n">
        <v>24</v>
      </c>
      <c r="D36" s="68" t="inlineStr">
        <is>
          <t>24h</t>
        </is>
      </c>
      <c r="E36" s="65" t="inlineStr">
        <is>
          <t>casada com Raylander — NUNCA no mesmo turno</t>
        </is>
      </c>
      <c r="F36" s="63" t="inlineStr">
        <is>
          <t>não</t>
        </is>
      </c>
      <c r="G36" s="63" t="inlineStr">
        <is>
          <t>não</t>
        </is>
      </c>
      <c r="H36" s="65" t="inlineStr">
        <is>
          <t>volta de licença 26/10, CH passa a 24h</t>
        </is>
      </c>
    </row>
    <row r="37" ht="26" customHeight="1">
      <c r="A37" s="62" t="inlineStr">
        <is>
          <t>Beatriz</t>
        </is>
      </c>
      <c r="B37" s="63" t="inlineStr">
        <is>
          <t>Beatriz</t>
        </is>
      </c>
      <c r="C37" s="63" t="n">
        <v>24</v>
      </c>
      <c r="D37" s="68" t="inlineStr">
        <is>
          <t>24h</t>
        </is>
      </c>
      <c r="E37" s="65" t="inlineStr">
        <is>
          <t>mora parte em SP; manda blocos de indisponibilidade</t>
        </is>
      </c>
      <c r="F37" s="63" t="inlineStr">
        <is>
          <t>sim</t>
        </is>
      </c>
      <c r="G37" s="63" t="inlineStr">
        <is>
          <t>não</t>
        </is>
      </c>
      <c r="H37" s="65" t="inlineStr"/>
    </row>
    <row r="38" ht="26" customHeight="1">
      <c r="A38" s="62" t="inlineStr">
        <is>
          <t>Bruna</t>
        </is>
      </c>
      <c r="B38" s="63" t="inlineStr">
        <is>
          <t>Bruna</t>
        </is>
      </c>
      <c r="C38" s="63" t="n">
        <v>24</v>
      </c>
      <c r="D38" s="68" t="inlineStr">
        <is>
          <t>24h</t>
        </is>
      </c>
      <c r="E38" s="65" t="inlineStr">
        <is>
          <t>habitual terças (dia ou noite)</t>
        </is>
      </c>
      <c r="F38" s="63" t="inlineStr">
        <is>
          <t>não</t>
        </is>
      </c>
      <c r="G38" s="63" t="inlineStr">
        <is>
          <t>não</t>
        </is>
      </c>
      <c r="H38" s="65" t="inlineStr">
        <is>
          <t>férias a partir de 19/10</t>
        </is>
      </c>
    </row>
    <row r="39" ht="26" customHeight="1">
      <c r="A39" s="62" t="inlineStr">
        <is>
          <t>Constantino</t>
        </is>
      </c>
      <c r="B39" s="63" t="inlineStr">
        <is>
          <t>Fernanda Constantino</t>
        </is>
      </c>
      <c r="C39" s="63" t="n">
        <v>24</v>
      </c>
      <c r="D39" s="68" t="inlineStr">
        <is>
          <t>24h</t>
        </is>
      </c>
      <c r="E39" s="65" t="inlineStr">
        <is>
          <t>seg noite OU ter noite, qui noite; NÃO quartas; evitar noites consecutivas</t>
        </is>
      </c>
      <c r="F39" s="63" t="inlineStr">
        <is>
          <t>não</t>
        </is>
      </c>
      <c r="G39" s="63" t="inlineStr">
        <is>
          <t>sim</t>
        </is>
      </c>
      <c r="H39" s="65" t="inlineStr">
        <is>
          <t>trabalhou 07/09 → folgar 12/10; não escalar fds 10–11</t>
        </is>
      </c>
    </row>
    <row r="40" ht="26" customHeight="1">
      <c r="A40" s="62" t="inlineStr">
        <is>
          <t>DebMatias</t>
        </is>
      </c>
      <c r="B40" s="63" t="inlineStr">
        <is>
          <t>Debora Matias</t>
        </is>
      </c>
      <c r="C40" s="63" t="n">
        <v>24</v>
      </c>
      <c r="D40" s="68" t="inlineStr">
        <is>
          <t>24h</t>
        </is>
      </c>
      <c r="E40" s="65" t="inlineStr">
        <is>
          <t>ter/qua/sex dia (não toda sexta); noturno só ter noite</t>
        </is>
      </c>
      <c r="F40" s="63" t="inlineStr">
        <is>
          <t>não</t>
        </is>
      </c>
      <c r="G40" s="63" t="inlineStr">
        <is>
          <t>não</t>
        </is>
      </c>
      <c r="H40" s="65" t="inlineStr"/>
    </row>
    <row r="41" ht="26" customHeight="1">
      <c r="A41" s="62" t="inlineStr">
        <is>
          <t>Denise</t>
        </is>
      </c>
      <c r="B41" s="63" t="inlineStr">
        <is>
          <t>Denise</t>
        </is>
      </c>
      <c r="C41" s="63" t="n">
        <v>24</v>
      </c>
      <c r="D41" s="68" t="inlineStr">
        <is>
          <t>24h</t>
        </is>
      </c>
      <c r="E41" s="65" t="inlineStr">
        <is>
          <t>fixa seg/ter/qui manhã; NÃO tardes; evitar 2 noturnos/semana</t>
        </is>
      </c>
      <c r="F41" s="63" t="inlineStr">
        <is>
          <t>não</t>
        </is>
      </c>
      <c r="G41" s="63" t="inlineStr">
        <is>
          <t>não</t>
        </is>
      </c>
      <c r="H41" s="65" t="inlineStr"/>
    </row>
    <row r="42" ht="26" customHeight="1">
      <c r="A42" s="62" t="inlineStr">
        <is>
          <t>Ernesto</t>
        </is>
      </c>
      <c r="B42" s="63" t="inlineStr">
        <is>
          <t>Carlos Ernesto</t>
        </is>
      </c>
      <c r="C42" s="63" t="n">
        <v>24</v>
      </c>
      <c r="D42" s="68" t="inlineStr">
        <is>
          <t>24h</t>
        </is>
      </c>
      <c r="E42" s="65" t="inlineStr">
        <is>
          <t>qua diurno, sex noite 15/15, dom noite 15/15; seg/ter/qui NÃO</t>
        </is>
      </c>
      <c r="F42" s="63" t="inlineStr">
        <is>
          <t>sim estrutural</t>
        </is>
      </c>
      <c r="G42" s="63" t="inlineStr">
        <is>
          <t>não</t>
        </is>
      </c>
      <c r="H42" s="65" t="inlineStr">
        <is>
          <t>e-mail novo: dr.carlos.ernesto.pediatra@gmail.com</t>
        </is>
      </c>
    </row>
    <row r="43" ht="26" customHeight="1">
      <c r="A43" s="62" t="inlineStr">
        <is>
          <t>Grayce</t>
        </is>
      </c>
      <c r="B43" s="63" t="inlineStr">
        <is>
          <t>Grayce Maya</t>
        </is>
      </c>
      <c r="C43" s="63" t="n">
        <v>24</v>
      </c>
      <c r="D43" s="68" t="inlineStr">
        <is>
          <t>24h</t>
        </is>
      </c>
      <c r="E43" s="65" t="inlineStr">
        <is>
          <t>ter noite + qui dia; NÃO quartas; não lançar 6h avulsas (preferir 12h)</t>
        </is>
      </c>
      <c r="F43" s="63" t="inlineStr">
        <is>
          <t>não</t>
        </is>
      </c>
      <c r="G43" s="63" t="inlineStr">
        <is>
          <t>não</t>
        </is>
      </c>
      <c r="H43" s="65" t="inlineStr">
        <is>
          <t>aniversário 19/10, sem pedido de abono</t>
        </is>
      </c>
    </row>
    <row r="44" ht="26" customHeight="1">
      <c r="A44" s="62" t="inlineStr">
        <is>
          <t>Heloa</t>
        </is>
      </c>
      <c r="B44" s="63" t="inlineStr">
        <is>
          <t>Heloa</t>
        </is>
      </c>
      <c r="C44" s="63" t="n">
        <v>24</v>
      </c>
      <c r="D44" s="68" t="inlineStr">
        <is>
          <t>24h</t>
        </is>
      </c>
      <c r="E44" s="65" t="inlineStr">
        <is>
          <t>manhãs/tardes, quase sem noturno</t>
        </is>
      </c>
      <c r="F44" s="63" t="inlineStr">
        <is>
          <t>não</t>
        </is>
      </c>
      <c r="G44" s="63" t="inlineStr">
        <is>
          <t>não</t>
        </is>
      </c>
      <c r="H44" s="65" t="inlineStr">
        <is>
          <t>voltou de licença 29/07</t>
        </is>
      </c>
    </row>
    <row r="45" ht="26" customHeight="1">
      <c r="A45" s="62" t="inlineStr">
        <is>
          <t>Iggor</t>
        </is>
      </c>
      <c r="B45" s="63" t="inlineStr">
        <is>
          <t>Iggor Almeida</t>
        </is>
      </c>
      <c r="C45" s="63" t="n">
        <v>24</v>
      </c>
      <c r="D45" s="68" t="inlineStr">
        <is>
          <t>24h</t>
        </is>
      </c>
      <c r="E45" s="65" t="inlineStr">
        <is>
          <t>fixo qua dia; NÃO qui tarde/noite</t>
        </is>
      </c>
      <c r="F45" s="63" t="inlineStr">
        <is>
          <t>não</t>
        </is>
      </c>
      <c r="G45" s="63" t="inlineStr">
        <is>
          <t>não</t>
        </is>
      </c>
      <c r="H45" s="65" t="inlineStr">
        <is>
          <t>reivindica a sexta-noite 23/10</t>
        </is>
      </c>
    </row>
    <row r="46" ht="26" customHeight="1">
      <c r="A46" s="62" t="inlineStr">
        <is>
          <t>IsaRibeiro</t>
        </is>
      </c>
      <c r="B46" s="63" t="inlineStr">
        <is>
          <t>Isabela Ribeiro</t>
        </is>
      </c>
      <c r="C46" s="63" t="n">
        <v>24</v>
      </c>
      <c r="D46" s="68" t="inlineStr">
        <is>
          <t>24h</t>
        </is>
      </c>
      <c r="E46" s="65" t="inlineStr">
        <is>
          <t>coringa</t>
        </is>
      </c>
      <c r="F46" s="63" t="inlineStr">
        <is>
          <t>não</t>
        </is>
      </c>
      <c r="G46" s="63" t="inlineStr">
        <is>
          <t>não</t>
        </is>
      </c>
      <c r="H46" s="65" t="inlineStr"/>
    </row>
    <row r="47" ht="26" customHeight="1">
      <c r="A47" s="62" t="inlineStr">
        <is>
          <t>Jaqueline</t>
        </is>
      </c>
      <c r="B47" s="63" t="inlineStr">
        <is>
          <t>Jaqueline</t>
        </is>
      </c>
      <c r="C47" s="63" t="n">
        <v>24</v>
      </c>
      <c r="D47" s="68" t="inlineStr">
        <is>
          <t>24h</t>
        </is>
      </c>
      <c r="E47" s="65" t="inlineStr"/>
      <c r="F47" s="63" t="inlineStr">
        <is>
          <t>não</t>
        </is>
      </c>
      <c r="G47" s="63" t="inlineStr">
        <is>
          <t>não</t>
        </is>
      </c>
      <c r="H47" s="65" t="inlineStr">
        <is>
          <t>voltou de licença · CH 24h</t>
        </is>
      </c>
    </row>
    <row r="48" ht="26" customHeight="1">
      <c r="A48" s="62" t="inlineStr">
        <is>
          <t>Joaquim</t>
        </is>
      </c>
      <c r="B48" s="63" t="inlineStr">
        <is>
          <t>Joaquim</t>
        </is>
      </c>
      <c r="C48" s="63" t="n">
        <v>24</v>
      </c>
      <c r="D48" s="68" t="inlineStr">
        <is>
          <t>24h</t>
        </is>
      </c>
      <c r="E48" s="65" t="inlineStr">
        <is>
          <t>fixo seg noturno + qui/sáb noite; SÓ noturnos; NÃO ter/qua/dom noite</t>
        </is>
      </c>
      <c r="F48" s="63" t="inlineStr">
        <is>
          <t>2/mês voluntário</t>
        </is>
      </c>
      <c r="G48" s="63" t="inlineStr">
        <is>
          <t>não</t>
        </is>
      </c>
      <c r="H48" s="65" t="inlineStr">
        <is>
          <t>cota fds 24h · sem sexta-noite este mês (excepcional)</t>
        </is>
      </c>
    </row>
    <row r="49" ht="26" customHeight="1">
      <c r="A49" s="62" t="inlineStr">
        <is>
          <t>JuliaFig</t>
        </is>
      </c>
      <c r="B49" s="63" t="inlineStr">
        <is>
          <t>Julia Figueiredo</t>
        </is>
      </c>
      <c r="C49" s="63" t="n">
        <v>24</v>
      </c>
      <c r="D49" s="68" t="inlineStr">
        <is>
          <t>24h</t>
        </is>
      </c>
      <c r="E49" s="65" t="inlineStr">
        <is>
          <t>seg/ter manhã OU noite (pref. noite); NÃO tarde, qua noite, qui, sex; sem 18h invertido</t>
        </is>
      </c>
      <c r="F49" s="63" t="inlineStr">
        <is>
          <t>sim</t>
        </is>
      </c>
      <c r="G49" s="63" t="inlineStr">
        <is>
          <t>não</t>
        </is>
      </c>
      <c r="H49" s="65" t="inlineStr"/>
    </row>
    <row r="50" ht="26" customHeight="1">
      <c r="A50" s="62" t="inlineStr">
        <is>
          <t>Kozak</t>
        </is>
      </c>
      <c r="B50" s="63" t="inlineStr">
        <is>
          <t>Ana Kozak</t>
        </is>
      </c>
      <c r="C50" s="63" t="n">
        <v>24</v>
      </c>
      <c r="D50" s="68" t="inlineStr">
        <is>
          <t>24h</t>
        </is>
      </c>
      <c r="E50" s="65" t="inlineStr">
        <is>
          <t>fixa TODAS qui noite + sáb noite; NÃO manhãs úteis, NÃO sáb/dom dia (ICDF)</t>
        </is>
      </c>
      <c r="F50" s="63" t="inlineStr">
        <is>
          <t>só quando o marido não está de plantão</t>
        </is>
      </c>
      <c r="G50" s="63" t="inlineStr">
        <is>
          <t>não</t>
        </is>
      </c>
      <c r="H50" s="65" t="inlineStr">
        <is>
          <t>extrapola fds p/ fechar CH · FÉRIAS 05–19/10 · folga sáb 31/10 (niver da filha)</t>
        </is>
      </c>
    </row>
    <row r="51" ht="26" customHeight="1">
      <c r="A51" s="62" t="inlineStr">
        <is>
          <t>Laura</t>
        </is>
      </c>
      <c r="B51" s="63" t="inlineStr">
        <is>
          <t>Laura Haydee</t>
        </is>
      </c>
      <c r="C51" s="63" t="n">
        <v>24</v>
      </c>
      <c r="D51" s="68" t="inlineStr">
        <is>
          <t>24h</t>
        </is>
      </c>
      <c r="E51" s="65" t="inlineStr">
        <is>
          <t>praticamente só manhãs (inclusive fds); sem 12h, sem noturno</t>
        </is>
      </c>
      <c r="F51" s="63" t="inlineStr">
        <is>
          <t>não</t>
        </is>
      </c>
      <c r="G51" s="63" t="inlineStr">
        <is>
          <t>SIM obrigatório</t>
        </is>
      </c>
      <c r="H51" s="65" t="inlineStr">
        <is>
          <t>sem preferências enviadas em out — provisório</t>
        </is>
      </c>
    </row>
    <row r="52" ht="26" customHeight="1">
      <c r="A52" s="62" t="inlineStr">
        <is>
          <t>Leticia</t>
        </is>
      </c>
      <c r="B52" s="63" t="inlineStr">
        <is>
          <t>Letícia Café</t>
        </is>
      </c>
      <c r="C52" s="63" t="n">
        <v>24</v>
      </c>
      <c r="D52" s="68" t="inlineStr">
        <is>
          <t>24h</t>
        </is>
      </c>
      <c r="E52" s="65" t="inlineStr">
        <is>
          <t>fixa ter+qui dia; NÃO seg/qua/sex tarde; sem noturnos</t>
        </is>
      </c>
      <c r="F52" s="63" t="inlineStr">
        <is>
          <t>não</t>
        </is>
      </c>
      <c r="G52" s="63" t="inlineStr">
        <is>
          <t>não</t>
        </is>
      </c>
      <c r="H52" s="65" t="inlineStr">
        <is>
          <t>férias até ~06/10</t>
        </is>
      </c>
    </row>
    <row r="53" ht="26" customHeight="1">
      <c r="A53" s="62" t="inlineStr">
        <is>
          <t>LuCosta</t>
        </is>
      </c>
      <c r="B53" s="63" t="inlineStr">
        <is>
          <t>Luciana Costa</t>
        </is>
      </c>
      <c r="C53" s="63" t="n">
        <v>24</v>
      </c>
      <c r="D53" s="68" t="inlineStr">
        <is>
          <t>24h</t>
        </is>
      </c>
      <c r="E53" s="65" t="inlineStr">
        <is>
          <t>NÃO diurnos em dia útil; noites de semana + fds dia; sem 2 noites seguidas</t>
        </is>
      </c>
      <c r="F53" s="63" t="inlineStr">
        <is>
          <t>não</t>
        </is>
      </c>
      <c r="G53" s="63" t="inlineStr">
        <is>
          <t>não</t>
        </is>
      </c>
      <c r="H53" s="65" t="inlineStr"/>
    </row>
    <row r="54" ht="26" customHeight="1">
      <c r="A54" s="62" t="inlineStr">
        <is>
          <t>Marcia</t>
        </is>
      </c>
      <c r="B54" s="63" t="inlineStr">
        <is>
          <t>Marcia</t>
        </is>
      </c>
      <c r="C54" s="63" t="n">
        <v>24</v>
      </c>
      <c r="D54" s="68" t="inlineStr">
        <is>
          <t>24h</t>
        </is>
      </c>
      <c r="E54" s="65" t="inlineStr">
        <is>
          <t>sexta-noite fixa na 1ª semana; qua noite nas demais; completa com seg dia</t>
        </is>
      </c>
      <c r="F54" s="63" t="inlineStr">
        <is>
          <t>1ª semana</t>
        </is>
      </c>
      <c r="G54" s="63" t="inlineStr">
        <is>
          <t>não</t>
        </is>
      </c>
      <c r="H54" s="65" t="inlineStr"/>
    </row>
    <row r="55" ht="26" customHeight="1">
      <c r="A55" s="62" t="inlineStr">
        <is>
          <t>MayWobido</t>
        </is>
      </c>
      <c r="B55" s="63" t="inlineStr">
        <is>
          <t>Mayara Wobido</t>
        </is>
      </c>
      <c r="C55" s="63" t="n">
        <v>24</v>
      </c>
      <c r="D55" s="68" t="inlineStr">
        <is>
          <t>24h</t>
        </is>
      </c>
      <c r="E55" s="65" t="inlineStr">
        <is>
          <t>tardes e noites; NÃO seg noite, qua manhã; quer fixar qua noite</t>
        </is>
      </c>
      <c r="F55" s="63" t="inlineStr">
        <is>
          <t>sim</t>
        </is>
      </c>
      <c r="G55" s="63" t="inlineStr">
        <is>
          <t>obrigatório +6 fixo</t>
        </is>
      </c>
      <c r="H55" s="65" t="inlineStr">
        <is>
          <t>cota fds 30h · aniversário 31/10, quer o abono</t>
        </is>
      </c>
    </row>
    <row r="56" ht="26" customHeight="1">
      <c r="A56" s="62" t="inlineStr">
        <is>
          <t>Melara</t>
        </is>
      </c>
      <c r="B56" s="63" t="inlineStr">
        <is>
          <t>Luciana Melara</t>
        </is>
      </c>
      <c r="C56" s="63" t="n">
        <v>24</v>
      </c>
      <c r="D56" s="68" t="inlineStr">
        <is>
          <t>24h</t>
        </is>
      </c>
      <c r="E56" s="65" t="inlineStr">
        <is>
          <t>fixa TODOS os domingos (dia ou noite); NÃO 12h seguidas em dia útil</t>
        </is>
      </c>
      <c r="F56" s="63" t="inlineStr">
        <is>
          <t>≥2/mês por preferência</t>
        </is>
      </c>
      <c r="G56" s="63" t="inlineStr">
        <is>
          <t>não</t>
        </is>
      </c>
      <c r="H56" s="65" t="inlineStr">
        <is>
          <t>semana: 2 tardes ou noitinha</t>
        </is>
      </c>
    </row>
    <row r="57" ht="26" customHeight="1">
      <c r="A57" s="62" t="inlineStr">
        <is>
          <t>Moabe</t>
        </is>
      </c>
      <c r="B57" s="63" t="inlineStr">
        <is>
          <t>Moabe</t>
        </is>
      </c>
      <c r="C57" s="63" t="n">
        <v>24</v>
      </c>
      <c r="D57" s="68" t="inlineStr">
        <is>
          <t>24h</t>
        </is>
      </c>
      <c r="E57" s="65" t="inlineStr">
        <is>
          <t>fixa seg dia; NÃO ter dia (ICDF — conferir se é ter ou qua); NÃO 1º fds do mês (pós)</t>
        </is>
      </c>
      <c r="F57" s="63" t="inlineStr">
        <is>
          <t>não</t>
        </is>
      </c>
      <c r="G57" s="63" t="inlineStr">
        <is>
          <t>não</t>
        </is>
      </c>
      <c r="H57" s="65" t="inlineStr">
        <is>
          <t>sem preferências enviadas em out — provisório</t>
        </is>
      </c>
    </row>
    <row r="58" ht="26" customHeight="1">
      <c r="A58" s="62" t="inlineStr">
        <is>
          <t>Nishioka</t>
        </is>
      </c>
      <c r="B58" s="63" t="inlineStr">
        <is>
          <t>Laura Nishioka</t>
        </is>
      </c>
      <c r="C58" s="63" t="n">
        <v>24</v>
      </c>
      <c r="D58" s="68" t="inlineStr">
        <is>
          <t>24h</t>
        </is>
      </c>
      <c r="E58" s="65" t="inlineStr">
        <is>
          <t>fixo ter noite (sai quando faz SN/fds)</t>
        </is>
      </c>
      <c r="F58" s="63" t="inlineStr">
        <is>
          <t>não</t>
        </is>
      </c>
      <c r="G58" s="63" t="inlineStr">
        <is>
          <t>não</t>
        </is>
      </c>
      <c r="H58" s="65" t="inlineStr">
        <is>
          <t>escalar junto com Ricardo</t>
        </is>
      </c>
    </row>
    <row r="59" ht="26" customHeight="1">
      <c r="A59" s="62" t="inlineStr">
        <is>
          <t>Patricia</t>
        </is>
      </c>
      <c r="B59" s="63" t="inlineStr">
        <is>
          <t>Patricia Abreu</t>
        </is>
      </c>
      <c r="C59" s="63" t="n">
        <v>24</v>
      </c>
      <c r="D59" s="68" t="inlineStr">
        <is>
          <t>24h</t>
        </is>
      </c>
      <c r="E59" s="65" t="inlineStr">
        <is>
          <t>diurnos, habitual qui dia</t>
        </is>
      </c>
      <c r="F59" s="63" t="inlineStr">
        <is>
          <t>sim</t>
        </is>
      </c>
      <c r="G59" s="63" t="inlineStr">
        <is>
          <t>não</t>
        </is>
      </c>
      <c r="H59" s="65" t="inlineStr"/>
    </row>
    <row r="60" ht="26" customHeight="1">
      <c r="A60" s="62" t="inlineStr">
        <is>
          <t>Pedro</t>
        </is>
      </c>
      <c r="B60" s="63" t="inlineStr">
        <is>
          <t>Pedro</t>
        </is>
      </c>
      <c r="C60" s="63" t="n">
        <v>24</v>
      </c>
      <c r="D60" s="68" t="inlineStr">
        <is>
          <t>24h</t>
        </is>
      </c>
      <c r="E60" s="65" t="inlineStr">
        <is>
          <t>fixo seg noite, qua tarde, sex tarde; NÃO manhãs</t>
        </is>
      </c>
      <c r="F60" s="63" t="inlineStr">
        <is>
          <t>rodízio</t>
        </is>
      </c>
      <c r="G60" s="63" t="inlineStr">
        <is>
          <t>não</t>
        </is>
      </c>
      <c r="H60" s="65" t="inlineStr"/>
    </row>
    <row r="61" ht="26" customHeight="1">
      <c r="A61" s="62" t="inlineStr">
        <is>
          <t>Pjamile</t>
        </is>
      </c>
      <c r="B61" s="63" t="inlineStr">
        <is>
          <t>Paula Jamile</t>
        </is>
      </c>
      <c r="C61" s="63" t="n">
        <v>24</v>
      </c>
      <c r="D61" s="68" t="inlineStr">
        <is>
          <t>24h</t>
        </is>
      </c>
      <c r="E61" s="65" t="inlineStr">
        <is>
          <t>fixa qua dia + sex dia; NÃO seg, ter tarde, qui tarde</t>
        </is>
      </c>
      <c r="F61" s="63" t="inlineStr">
        <is>
          <t>não</t>
        </is>
      </c>
      <c r="G61" s="63" t="inlineStr">
        <is>
          <t>não</t>
        </is>
      </c>
      <c r="H61" s="65" t="inlineStr"/>
    </row>
    <row r="62" ht="26" customHeight="1">
      <c r="A62" s="62" t="inlineStr">
        <is>
          <t>Raphael</t>
        </is>
      </c>
      <c r="B62" s="63" t="inlineStr">
        <is>
          <t>Raphael Costa</t>
        </is>
      </c>
      <c r="C62" s="63" t="n">
        <v>24</v>
      </c>
      <c r="D62" s="68" t="inlineStr">
        <is>
          <t>24h</t>
        </is>
      </c>
      <c r="E62" s="65" t="inlineStr">
        <is>
          <t>NÃO manhãs seg–sex</t>
        </is>
      </c>
      <c r="F62" s="63" t="inlineStr">
        <is>
          <t>sim</t>
        </is>
      </c>
      <c r="G62" s="63" t="inlineStr">
        <is>
          <t>não</t>
        </is>
      </c>
      <c r="H62" s="65" t="inlineStr"/>
    </row>
    <row r="63" ht="26" customHeight="1">
      <c r="A63" s="62" t="inlineStr">
        <is>
          <t>Raquel</t>
        </is>
      </c>
      <c r="B63" s="63" t="inlineStr">
        <is>
          <t>Raquel Assis</t>
        </is>
      </c>
      <c r="C63" s="63" t="n">
        <v>24</v>
      </c>
      <c r="D63" s="68" t="inlineStr">
        <is>
          <t>24h</t>
        </is>
      </c>
      <c r="E63" s="65" t="inlineStr">
        <is>
          <t>CP seg+qua manhã; NÃO tardes, NÃO quintas; máx 1 noturno/semana</t>
        </is>
      </c>
      <c r="F63" s="63" t="inlineStr">
        <is>
          <t>1</t>
        </is>
      </c>
      <c r="G63" s="63" t="inlineStr">
        <is>
          <t>não</t>
        </is>
      </c>
      <c r="H63" s="65" t="inlineStr">
        <is>
          <t>12h CP + 12h plantão + 24h fds · férias 05–19/10</t>
        </is>
      </c>
    </row>
    <row r="64" ht="26" customHeight="1">
      <c r="A64" s="62" t="inlineStr">
        <is>
          <t>Thamyres</t>
        </is>
      </c>
      <c r="B64" s="63" t="inlineStr">
        <is>
          <t>Thamyres</t>
        </is>
      </c>
      <c r="C64" s="63" t="n">
        <v>24</v>
      </c>
      <c r="D64" s="68" t="inlineStr">
        <is>
          <t>24h</t>
        </is>
      </c>
      <c r="E64" s="65" t="inlineStr">
        <is>
          <t>MÁX 1 NOTURNO/MÊS (relatório médico); NÃO seg/ter, qui dia, dom noite</t>
        </is>
      </c>
      <c r="F64" s="63" t="inlineStr">
        <is>
          <t>não</t>
        </is>
      </c>
      <c r="G64" s="63" t="inlineStr">
        <is>
          <t>não</t>
        </is>
      </c>
      <c r="H64" s="65" t="inlineStr">
        <is>
          <t>fds em 12h emendadas</t>
        </is>
      </c>
    </row>
    <row r="65" ht="26" customHeight="1">
      <c r="A65" s="62" t="inlineStr">
        <is>
          <t>Vanessa</t>
        </is>
      </c>
      <c r="B65" s="63" t="inlineStr">
        <is>
          <t>Vanessa</t>
        </is>
      </c>
      <c r="C65" s="63" t="n">
        <v>24</v>
      </c>
      <c r="D65" s="68" t="inlineStr">
        <is>
          <t>24h</t>
        </is>
      </c>
      <c r="E65" s="65" t="inlineStr">
        <is>
          <t>fixa qua dia; máx 1 noturno/semana</t>
        </is>
      </c>
      <c r="F65" s="63" t="inlineStr">
        <is>
          <t>não</t>
        </is>
      </c>
      <c r="G65" s="63" t="inlineStr">
        <is>
          <t>não</t>
        </is>
      </c>
      <c r="H65" s="65" t="inlineStr"/>
    </row>
    <row r="66" ht="26" customHeight="1">
      <c r="A66" s="62" t="inlineStr">
        <is>
          <t>Yuji</t>
        </is>
      </c>
      <c r="B66" s="63" t="inlineStr">
        <is>
          <t>Henrique Yuji</t>
        </is>
      </c>
      <c r="C66" s="63" t="n">
        <v>24</v>
      </c>
      <c r="D66" s="68" t="inlineStr">
        <is>
          <t>24h</t>
        </is>
      </c>
      <c r="E66" s="65" t="inlineStr">
        <is>
          <t>NÃO seg e sex (dia+noite); ter/qua/qui ok; fds coringa de DOMINGOS (não pode sábados)</t>
        </is>
      </c>
      <c r="F66" s="63" t="inlineStr">
        <is>
          <t>não</t>
        </is>
      </c>
      <c r="G66" s="63" t="inlineStr">
        <is>
          <t>não</t>
        </is>
      </c>
      <c r="H66" s="65" t="inlineStr">
        <is>
          <t>licença-paternidade: DPP 09/10, 20 dias</t>
        </is>
      </c>
    </row>
    <row r="67" ht="26" customHeight="1">
      <c r="A67" s="62" t="inlineStr">
        <is>
          <t>JuIsaac</t>
        </is>
      </c>
      <c r="B67" s="63" t="inlineStr">
        <is>
          <t>Julia Isaac</t>
        </is>
      </c>
      <c r="C67" s="63" t="n">
        <v>40</v>
      </c>
      <c r="D67" s="69" t="inlineStr">
        <is>
          <t>administrativo</t>
        </is>
      </c>
      <c r="E67" s="65" t="inlineStr">
        <is>
          <t>código 11 diário</t>
        </is>
      </c>
      <c r="F67" s="63" t="inlineStr">
        <is>
          <t>não</t>
        </is>
      </c>
      <c r="G67" s="63" t="inlineStr">
        <is>
          <t>não</t>
        </is>
      </c>
      <c r="H67" s="65" t="inlineStr">
        <is>
          <t>não pega plantão</t>
        </is>
      </c>
    </row>
    <row r="68" ht="26" customHeight="1">
      <c r="A68" s="62" t="inlineStr">
        <is>
          <t>Stephanie</t>
        </is>
      </c>
      <c r="B68" s="63" t="inlineStr">
        <is>
          <t>Stephanie</t>
        </is>
      </c>
      <c r="C68" s="63" t="n">
        <v>40</v>
      </c>
      <c r="D68" s="69" t="inlineStr">
        <is>
          <t>administrativo</t>
        </is>
      </c>
      <c r="E68" s="65" t="inlineStr">
        <is>
          <t>código 11</t>
        </is>
      </c>
      <c r="F68" s="63" t="inlineStr">
        <is>
          <t>não</t>
        </is>
      </c>
      <c r="G68" s="63" t="inlineStr">
        <is>
          <t>não</t>
        </is>
      </c>
      <c r="H68" s="65" t="inlineStr">
        <is>
          <t>não pega plantão</t>
        </is>
      </c>
    </row>
    <row r="69" ht="26" customHeight="1">
      <c r="A69" s="62" t="inlineStr">
        <is>
          <t>MPinheiro</t>
        </is>
      </c>
      <c r="B69" s="63" t="inlineStr">
        <is>
          <t>Mariana Pinheiro</t>
        </is>
      </c>
      <c r="C69" s="63" t="n">
        <v>40</v>
      </c>
      <c r="D69" s="69" t="inlineStr">
        <is>
          <t>administrativo</t>
        </is>
      </c>
      <c r="E69" s="65" t="inlineStr"/>
      <c r="F69" s="63" t="inlineStr">
        <is>
          <t>não</t>
        </is>
      </c>
      <c r="G69" s="63" t="inlineStr">
        <is>
          <t>não</t>
        </is>
      </c>
      <c r="H69" s="65" t="inlineStr">
        <is>
          <t>não pega plantão desde ago</t>
        </is>
      </c>
    </row>
    <row r="71">
      <c r="A71" s="70" t="inlineStr">
        <is>
          <t>fora do roster</t>
        </is>
      </c>
    </row>
    <row r="72">
      <c r="A72" s="71" t="inlineStr">
        <is>
          <t>Dayana</t>
        </is>
      </c>
      <c r="B72" s="60" t="inlineStr">
        <is>
          <t>saiu do hospital (decisão registrada em 17/08/26)</t>
        </is>
      </c>
    </row>
    <row r="73">
      <c r="A73" s="71" t="inlineStr">
        <is>
          <t>Kairala</t>
        </is>
      </c>
      <c r="B73" s="60" t="inlineStr">
        <is>
          <t>Andréa Kairala — aparece só de fev a abr/26 no histórico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4D498"/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44" customWidth="1" min="6" max="6"/>
    <col width="44" customWidth="1" min="7" max="7"/>
  </cols>
  <sheetData>
    <row r="1">
      <c r="A1" s="36" t="inlineStr">
        <is>
          <t>config · as regras como dado</t>
        </is>
      </c>
      <c r="D1" s="60" t="inlineStr">
        <is>
          <t>mudou aqui, muda na planilha toda</t>
        </is>
      </c>
    </row>
    <row r="3">
      <c r="A3" s="40" t="inlineStr">
        <is>
          <t>em vigor · de out/26</t>
        </is>
      </c>
      <c r="B3" s="40" t="inlineStr">
        <is>
          <t>manhã</t>
        </is>
      </c>
      <c r="C3" s="40" t="inlineStr">
        <is>
          <t>tarde</t>
        </is>
      </c>
      <c r="D3" s="40" t="inlineStr">
        <is>
          <t>noite</t>
        </is>
      </c>
    </row>
    <row r="4">
      <c r="A4" s="55" t="inlineStr">
        <is>
          <t>útil</t>
        </is>
      </c>
      <c r="B4" s="72" t="n">
        <v>14</v>
      </c>
      <c r="C4" s="72" t="n">
        <v>10</v>
      </c>
      <c r="D4" s="72" t="n">
        <v>7</v>
      </c>
      <c r="F4" s="56" t="inlineStr">
        <is>
          <t>Regra da Mari de 13/08/26, vale da escala de outubro em diante. Substitui 11/8/7 e 9/7/6. A 10ª da manhã de sábado é sempre a Janaina (8–13h); ela nunca faz domingo. Feriado escala como o dia da semana em que cai.</t>
        </is>
      </c>
    </row>
    <row r="5">
      <c r="A5" s="55" t="inlineStr">
        <is>
          <t>sábado</t>
        </is>
      </c>
      <c r="B5" s="72" t="n">
        <v>10</v>
      </c>
      <c r="C5" s="72" t="n">
        <v>8</v>
      </c>
      <c r="D5" s="72" t="n">
        <v>7</v>
      </c>
    </row>
    <row r="6">
      <c r="A6" s="55" t="inlineStr">
        <is>
          <t>domingo</t>
        </is>
      </c>
      <c r="B6" s="72" t="n">
        <v>9</v>
      </c>
      <c r="C6" s="72" t="n">
        <v>8</v>
      </c>
      <c r="D6" s="72" t="n">
        <v>7</v>
      </c>
    </row>
    <row r="7"/>
    <row r="8">
      <c r="A8" s="40" t="inlineStr">
        <is>
          <t>até set/26 · histórico</t>
        </is>
      </c>
      <c r="B8" s="40" t="inlineStr">
        <is>
          <t>manhã</t>
        </is>
      </c>
      <c r="C8" s="40" t="inlineStr">
        <is>
          <t>tarde</t>
        </is>
      </c>
      <c r="D8" s="40" t="inlineStr">
        <is>
          <t>noite</t>
        </is>
      </c>
    </row>
    <row r="9">
      <c r="A9" s="42" t="inlineStr">
        <is>
          <t>útil</t>
        </is>
      </c>
      <c r="B9" s="73" t="n">
        <v>11</v>
      </c>
      <c r="C9" s="73" t="n">
        <v>8</v>
      </c>
      <c r="D9" s="73" t="n">
        <v>7</v>
      </c>
      <c r="F9" s="74" t="inlineStr">
        <is>
          <t>Os meses de janeiro a setembro são medidos por ESTA regra. Cobrar deles o mínimo novo seria exigir do passado uma regra que ainda não existia.</t>
        </is>
      </c>
    </row>
    <row r="10">
      <c r="A10" s="42" t="inlineStr">
        <is>
          <t>sábado</t>
        </is>
      </c>
      <c r="B10" s="73" t="n">
        <v>9</v>
      </c>
      <c r="C10" s="73" t="n">
        <v>7</v>
      </c>
      <c r="D10" s="73" t="n">
        <v>6</v>
      </c>
    </row>
    <row r="11">
      <c r="A11" s="42" t="inlineStr">
        <is>
          <t>domingo</t>
        </is>
      </c>
      <c r="B11" s="73" t="n">
        <v>9</v>
      </c>
      <c r="C11" s="73" t="n">
        <v>7</v>
      </c>
      <c r="D11" s="73" t="n">
        <v>6</v>
      </c>
    </row>
    <row r="13">
      <c r="A13" s="37" t="inlineStr">
        <is>
          <t>tabela de códigos</t>
        </is>
      </c>
    </row>
    <row r="14">
      <c r="A14" s="40" t="inlineStr">
        <is>
          <t>letra</t>
        </is>
      </c>
      <c r="B14" s="40" t="inlineStr">
        <is>
          <t>Senior</t>
        </is>
      </c>
      <c r="C14" s="40" t="inlineStr">
        <is>
          <t>horas</t>
        </is>
      </c>
      <c r="D14" s="40" t="inlineStr">
        <is>
          <t>conta manhã</t>
        </is>
      </c>
      <c r="E14" s="40" t="inlineStr">
        <is>
          <t>conta tarde</t>
        </is>
      </c>
      <c r="F14" s="40" t="inlineStr">
        <is>
          <t>conta noite</t>
        </is>
      </c>
      <c r="G14" s="40" t="inlineStr">
        <is>
          <t>turno</t>
        </is>
      </c>
    </row>
    <row r="15">
      <c r="A15" s="75" t="inlineStr">
        <is>
          <t>M</t>
        </is>
      </c>
      <c r="B15" s="76" t="inlineStr">
        <is>
          <t>2</t>
        </is>
      </c>
      <c r="C15" s="76" t="n">
        <v>6</v>
      </c>
      <c r="D15" s="76" t="n">
        <v>1</v>
      </c>
      <c r="E15" s="76" t="n">
        <v>0</v>
      </c>
      <c r="F15" s="76" t="n">
        <v>0</v>
      </c>
      <c r="G15" s="76" t="inlineStr">
        <is>
          <t>manhã · 07–13h</t>
        </is>
      </c>
    </row>
    <row r="16">
      <c r="A16" s="75" t="inlineStr">
        <is>
          <t>T</t>
        </is>
      </c>
      <c r="B16" s="76" t="inlineStr">
        <is>
          <t>239</t>
        </is>
      </c>
      <c r="C16" s="76" t="n">
        <v>6</v>
      </c>
      <c r="D16" s="76" t="n">
        <v>0</v>
      </c>
      <c r="E16" s="76" t="n">
        <v>1</v>
      </c>
      <c r="F16" s="76" t="n">
        <v>0</v>
      </c>
      <c r="G16" s="76" t="inlineStr">
        <is>
          <t>tarde · 13–19h</t>
        </is>
      </c>
    </row>
    <row r="17">
      <c r="A17" s="75" t="inlineStr">
        <is>
          <t>D</t>
        </is>
      </c>
      <c r="B17" s="76" t="inlineStr">
        <is>
          <t>40</t>
        </is>
      </c>
      <c r="C17" s="76" t="n">
        <v>12</v>
      </c>
      <c r="D17" s="76" t="n">
        <v>1</v>
      </c>
      <c r="E17" s="76" t="n">
        <v>1</v>
      </c>
      <c r="F17" s="76" t="n">
        <v>0</v>
      </c>
      <c r="G17" s="76" t="inlineStr">
        <is>
          <t>dia 12h · 07–19h</t>
        </is>
      </c>
    </row>
    <row r="18">
      <c r="A18" s="75" t="inlineStr">
        <is>
          <t>N</t>
        </is>
      </c>
      <c r="B18" s="76" t="inlineStr">
        <is>
          <t>41</t>
        </is>
      </c>
      <c r="C18" s="76" t="n">
        <v>12</v>
      </c>
      <c r="D18" s="76" t="n">
        <v>0</v>
      </c>
      <c r="E18" s="76" t="n">
        <v>0</v>
      </c>
      <c r="F18" s="76" t="n">
        <v>1</v>
      </c>
      <c r="G18" s="76" t="inlineStr">
        <is>
          <t>noite 12h · 19–07h</t>
        </is>
      </c>
    </row>
    <row r="19">
      <c r="A19" s="75" t="inlineStr">
        <is>
          <t>NT</t>
        </is>
      </c>
      <c r="B19" s="76" t="inlineStr">
        <is>
          <t>349</t>
        </is>
      </c>
      <c r="C19" s="76" t="n">
        <v>6</v>
      </c>
      <c r="D19" s="76" t="n">
        <v>0</v>
      </c>
      <c r="E19" s="76" t="n">
        <v>0</v>
      </c>
      <c r="F19" s="76" t="n">
        <v>1</v>
      </c>
      <c r="G19" s="76" t="inlineStr">
        <is>
          <t>noitinha · 19–01h</t>
        </is>
      </c>
    </row>
    <row r="20">
      <c r="A20" s="75" t="inlineStr">
        <is>
          <t>C</t>
        </is>
      </c>
      <c r="B20" s="76" t="inlineStr">
        <is>
          <t>47</t>
        </is>
      </c>
      <c r="C20" s="76" t="n">
        <v>10</v>
      </c>
      <c r="D20" s="76" t="n">
        <v>1</v>
      </c>
      <c r="E20" s="76" t="n">
        <v>1</v>
      </c>
      <c r="F20" s="76" t="n">
        <v>0</v>
      </c>
      <c r="G20" s="76" t="inlineStr">
        <is>
          <t>10h chefia · 8–12 + 13–19h</t>
        </is>
      </c>
    </row>
    <row r="21">
      <c r="A21" s="75" t="inlineStr">
        <is>
          <t>A</t>
        </is>
      </c>
      <c r="B21" s="76" t="inlineStr">
        <is>
          <t>11</t>
        </is>
      </c>
      <c r="C21" s="76" t="n">
        <v>8</v>
      </c>
      <c r="D21" s="76" t="n">
        <v>0</v>
      </c>
      <c r="E21" s="76" t="n">
        <v>0</v>
      </c>
      <c r="F21" s="76" t="n">
        <v>0</v>
      </c>
      <c r="G21" s="76" t="inlineStr">
        <is>
          <t>administrativo · 8h diurno</t>
        </is>
      </c>
    </row>
    <row r="22">
      <c r="A22" s="75" t="inlineStr">
        <is>
          <t>J</t>
        </is>
      </c>
      <c r="B22" s="76" t="inlineStr">
        <is>
          <t>78</t>
        </is>
      </c>
      <c r="C22" s="76" t="n">
        <v>5</v>
      </c>
      <c r="D22" s="76" t="n">
        <v>1</v>
      </c>
      <c r="E22" s="76" t="n">
        <v>0</v>
      </c>
      <c r="F22" s="76" t="n">
        <v>0</v>
      </c>
      <c r="G22" s="76" t="inlineStr">
        <is>
          <t>5h Janaina · 08–13h</t>
        </is>
      </c>
    </row>
    <row r="23">
      <c r="A23" s="75" t="inlineStr">
        <is>
          <t>E</t>
        </is>
      </c>
      <c r="B23" s="76" t="inlineStr">
        <is>
          <t>6</t>
        </is>
      </c>
      <c r="C23" s="76" t="n">
        <v>4</v>
      </c>
      <c r="D23" s="76" t="n">
        <v>1</v>
      </c>
      <c r="E23" s="76" t="n">
        <v>0</v>
      </c>
      <c r="F23" s="76" t="n">
        <v>0</v>
      </c>
      <c r="G23" s="76" t="inlineStr">
        <is>
          <t>4h CEP · 08–12h</t>
        </is>
      </c>
    </row>
    <row r="24">
      <c r="A24" s="75" t="inlineStr">
        <is>
          <t>P</t>
        </is>
      </c>
      <c r="B24" s="76" t="inlineStr"/>
      <c r="C24" s="76" t="n">
        <v>6</v>
      </c>
      <c r="D24" s="76" t="n">
        <v>0</v>
      </c>
      <c r="E24" s="76" t="n">
        <v>0</v>
      </c>
      <c r="F24" s="76" t="n">
        <v>0</v>
      </c>
      <c r="G24" s="76" t="inlineStr">
        <is>
          <t>paliativo · 07–13h</t>
        </is>
      </c>
    </row>
    <row r="25">
      <c r="A25" s="75" t="inlineStr">
        <is>
          <t>R</t>
        </is>
      </c>
      <c r="B25" s="76" t="inlineStr"/>
      <c r="C25" s="76" t="n">
        <v>6</v>
      </c>
      <c r="D25" s="76" t="n">
        <v>0</v>
      </c>
      <c r="E25" s="76" t="n">
        <v>0</v>
      </c>
      <c r="F25" s="76" t="n">
        <v>0</v>
      </c>
      <c r="G25" s="76" t="inlineStr">
        <is>
          <t>CRO · 13–19h</t>
        </is>
      </c>
    </row>
    <row r="26">
      <c r="A26" s="75" t="inlineStr">
        <is>
          <t>FE</t>
        </is>
      </c>
      <c r="B26" s="76" t="inlineStr">
        <is>
          <t>Férias</t>
        </is>
      </c>
      <c r="C26" s="76" t="n">
        <v>0</v>
      </c>
      <c r="D26" s="76" t="n">
        <v>0</v>
      </c>
      <c r="E26" s="76" t="n">
        <v>0</v>
      </c>
      <c r="F26" s="76" t="n">
        <v>0</v>
      </c>
      <c r="G26" s="76" t="inlineStr">
        <is>
          <t>férias · —</t>
        </is>
      </c>
    </row>
    <row r="27">
      <c r="A27" s="75" t="inlineStr">
        <is>
          <t>LM</t>
        </is>
      </c>
      <c r="B27" s="76" t="inlineStr">
        <is>
          <t>LM</t>
        </is>
      </c>
      <c r="C27" s="76" t="n">
        <v>0</v>
      </c>
      <c r="D27" s="76" t="n">
        <v>0</v>
      </c>
      <c r="E27" s="76" t="n">
        <v>0</v>
      </c>
      <c r="F27" s="76" t="n">
        <v>0</v>
      </c>
      <c r="G27" s="76" t="inlineStr">
        <is>
          <t>licença · —</t>
        </is>
      </c>
    </row>
    <row r="28">
      <c r="A28" s="75" t="inlineStr">
        <is>
          <t>AB</t>
        </is>
      </c>
      <c r="B28" s="76" t="inlineStr"/>
      <c r="C28" s="76" t="n">
        <v>0</v>
      </c>
      <c r="D28" s="76" t="n">
        <v>0</v>
      </c>
      <c r="E28" s="76" t="n">
        <v>0</v>
      </c>
      <c r="F28" s="76" t="n">
        <v>0</v>
      </c>
      <c r="G28" s="76" t="inlineStr">
        <is>
          <t>abono niver · —</t>
        </is>
      </c>
    </row>
    <row r="30">
      <c r="A30" s="37" t="inlineStr">
        <is>
          <t>cota de fds em mês com férias</t>
        </is>
      </c>
    </row>
    <row r="31">
      <c r="A31" s="40" t="inlineStr">
        <is>
          <t>CH semanal</t>
        </is>
      </c>
      <c r="B31" s="40" t="inlineStr">
        <is>
          <t>férias 2 sem</t>
        </is>
      </c>
      <c r="C31" s="40" t="inlineStr">
        <is>
          <t>férias 1 sem</t>
        </is>
      </c>
      <c r="D31" s="40" t="inlineStr">
        <is>
          <t>sem férias</t>
        </is>
      </c>
    </row>
    <row r="32">
      <c r="A32" s="77" t="n">
        <v>36</v>
      </c>
      <c r="B32" s="78" t="n">
        <v>24</v>
      </c>
      <c r="C32" s="78" t="n">
        <v>30</v>
      </c>
      <c r="D32" s="78" t="n">
        <v>36</v>
      </c>
    </row>
    <row r="33">
      <c r="A33" s="77" t="n">
        <v>30</v>
      </c>
      <c r="B33" s="78" t="n">
        <v>18</v>
      </c>
      <c r="C33" s="78" t="n">
        <v>24</v>
      </c>
      <c r="D33" s="78" t="n">
        <v>30</v>
      </c>
    </row>
    <row r="34">
      <c r="A34" s="77" t="n">
        <v>24</v>
      </c>
      <c r="B34" s="78" t="n">
        <v>12</v>
      </c>
      <c r="C34" s="78" t="n">
        <v>18</v>
      </c>
      <c r="D34" s="78" t="n">
        <v>24</v>
      </c>
    </row>
    <row r="36">
      <c r="A36" s="37" t="inlineStr">
        <is>
          <t>feriados de 2026</t>
        </is>
      </c>
      <c r="E36" s="56" t="inlineStr">
        <is>
          <t>Feriado escala como o DIA DA SEMANA em que cai — não reduz a lotação exigida (doc de referência §2). Confirmado na prática: nos sete feriados de 2026 até setembro a manhã rodou com 15 a 20 pessoas, e a rotina/chefia trabalhou em todos eles (4 a 6 pessoas). O que muda no feriado é a contabilidade, que tem coluna própria e equalização anual.</t>
        </is>
      </c>
    </row>
    <row r="37">
      <c r="A37" s="40" t="inlineStr">
        <is>
          <t>data</t>
        </is>
      </c>
      <c r="B37" s="40" t="inlineStr">
        <is>
          <t>sigla</t>
        </is>
      </c>
      <c r="C37" s="40" t="inlineStr">
        <is>
          <t>feriado</t>
        </is>
      </c>
    </row>
    <row r="38">
      <c r="A38" s="75" t="inlineStr">
        <is>
          <t>01/01 (qui)</t>
        </is>
      </c>
      <c r="B38" s="79" t="inlineStr">
        <is>
          <t>1ºjan</t>
        </is>
      </c>
      <c r="C38" s="80" t="inlineStr">
        <is>
          <t>Confraternização</t>
        </is>
      </c>
    </row>
    <row r="39">
      <c r="A39" s="75" t="inlineStr">
        <is>
          <t>16/02 (seg)</t>
        </is>
      </c>
      <c r="B39" s="79" t="inlineStr">
        <is>
          <t>carn</t>
        </is>
      </c>
      <c r="C39" s="80" t="inlineStr">
        <is>
          <t>Carnaval</t>
        </is>
      </c>
    </row>
    <row r="40">
      <c r="A40" s="75" t="inlineStr">
        <is>
          <t>17/02 (ter)</t>
        </is>
      </c>
      <c r="B40" s="79" t="inlineStr">
        <is>
          <t>carn</t>
        </is>
      </c>
      <c r="C40" s="80" t="inlineStr">
        <is>
          <t>Carnaval</t>
        </is>
      </c>
    </row>
    <row r="41">
      <c r="A41" s="75" t="inlineStr">
        <is>
          <t>03/04 (sex)</t>
        </is>
      </c>
      <c r="B41" s="79" t="inlineStr">
        <is>
          <t>paix</t>
        </is>
      </c>
      <c r="C41" s="80" t="inlineStr">
        <is>
          <t>Paixão</t>
        </is>
      </c>
    </row>
    <row r="42">
      <c r="A42" s="75" t="inlineStr">
        <is>
          <t>21/04 (ter)</t>
        </is>
      </c>
      <c r="B42" s="79" t="inlineStr">
        <is>
          <t>tira</t>
        </is>
      </c>
      <c r="C42" s="80" t="inlineStr">
        <is>
          <t>Tiradentes</t>
        </is>
      </c>
    </row>
    <row r="43">
      <c r="A43" s="75" t="inlineStr">
        <is>
          <t>01/05 (sex)</t>
        </is>
      </c>
      <c r="B43" s="79" t="inlineStr">
        <is>
          <t>trab</t>
        </is>
      </c>
      <c r="C43" s="80" t="inlineStr">
        <is>
          <t>Dia do Trabalhador</t>
        </is>
      </c>
    </row>
    <row r="44">
      <c r="A44" s="75" t="inlineStr">
        <is>
          <t>04/06 (qui)</t>
        </is>
      </c>
      <c r="B44" s="79" t="inlineStr">
        <is>
          <t>corp</t>
        </is>
      </c>
      <c r="C44" s="80" t="inlineStr">
        <is>
          <t>Corpus Christi</t>
        </is>
      </c>
    </row>
    <row r="45">
      <c r="A45" s="75" t="inlineStr">
        <is>
          <t>07/09 (seg)</t>
        </is>
      </c>
      <c r="B45" s="79" t="inlineStr">
        <is>
          <t>indep</t>
        </is>
      </c>
      <c r="C45" s="80" t="inlineStr">
        <is>
          <t>Independência</t>
        </is>
      </c>
    </row>
    <row r="46">
      <c r="A46" s="75" t="inlineStr">
        <is>
          <t>12/10 (seg)</t>
        </is>
      </c>
      <c r="B46" s="79" t="inlineStr">
        <is>
          <t>N.Sra</t>
        </is>
      </c>
      <c r="C46" s="80" t="inlineStr">
        <is>
          <t>N. Sra. Aparecida</t>
        </is>
      </c>
    </row>
    <row r="47">
      <c r="A47" s="75" t="inlineStr">
        <is>
          <t>02/11 (seg)</t>
        </is>
      </c>
      <c r="B47" s="79" t="inlineStr">
        <is>
          <t>finad</t>
        </is>
      </c>
      <c r="C47" s="80" t="inlineStr">
        <is>
          <t>Finados</t>
        </is>
      </c>
    </row>
    <row r="48">
      <c r="A48" s="75" t="inlineStr">
        <is>
          <t>15/11 (dom)</t>
        </is>
      </c>
      <c r="B48" s="79" t="inlineStr">
        <is>
          <t>repúb</t>
        </is>
      </c>
      <c r="C48" s="80" t="inlineStr">
        <is>
          <t>Proclamação da República</t>
        </is>
      </c>
    </row>
    <row r="49">
      <c r="A49" s="75" t="inlineStr">
        <is>
          <t>20/11 (sex)</t>
        </is>
      </c>
      <c r="B49" s="79" t="inlineStr">
        <is>
          <t>consc</t>
        </is>
      </c>
      <c r="C49" s="80" t="inlineStr">
        <is>
          <t>Consciência Negra</t>
        </is>
      </c>
    </row>
    <row r="50">
      <c r="A50" s="75" t="inlineStr">
        <is>
          <t>25/12 (sex)</t>
        </is>
      </c>
      <c r="B50" s="79" t="inlineStr">
        <is>
          <t>natal</t>
        </is>
      </c>
      <c r="C50" s="80" t="inlineStr">
        <is>
          <t>Natal</t>
        </is>
      </c>
    </row>
    <row r="52">
      <c r="A52" s="37" t="inlineStr">
        <is>
          <t>regras duras</t>
        </is>
      </c>
    </row>
    <row r="53">
      <c r="A53" s="40" t="inlineStr">
        <is>
          <t>regra</t>
        </is>
      </c>
      <c r="B53" s="40" t="inlineStr">
        <is>
          <t>o que é</t>
        </is>
      </c>
      <c r="C53" s="40" t="inlineStr">
        <is>
          <t>base</t>
        </is>
      </c>
      <c r="D53" s="40" t="inlineStr">
        <is>
          <t>tratamento</t>
        </is>
      </c>
      <c r="E53" s="40" t="inlineStr">
        <is>
          <t>nota</t>
        </is>
      </c>
    </row>
    <row r="54" ht="30" customHeight="1">
      <c r="A54" s="81" t="inlineStr">
        <is>
          <t>interjornada</t>
        </is>
      </c>
      <c r="B54" s="82" t="inlineStr">
        <is>
          <t>11h entre o fim de uma jornada e o início da seguinte</t>
        </is>
      </c>
      <c r="C54" s="82" t="inlineStr">
        <is>
          <t>art. 66 CLT</t>
        </is>
      </c>
      <c r="D54" s="83" t="inlineStr">
        <is>
          <t>ALERTA</t>
        </is>
      </c>
      <c r="E54" s="56" t="inlineStr">
        <is>
          <t>Descanso abaixo de 11h gera hora extra indenizável e autuação do MTE.</t>
        </is>
      </c>
    </row>
    <row r="55" ht="30" customHeight="1">
      <c r="A55" s="81" t="inlineStr">
        <is>
          <t>18h no mesmo dia</t>
        </is>
      </c>
      <c r="B55" s="82" t="inlineStr">
        <is>
          <t>dia inteiro (07–19h) + noite (19–07h) = 24h seguidas</t>
        </is>
      </c>
      <c r="C55" s="82" t="inlineStr">
        <is>
          <t>art. 66 CLT</t>
        </is>
      </c>
      <c r="D55" s="83" t="inlineStr">
        <is>
          <t>ALERTA</t>
        </is>
      </c>
      <c r="E55" s="56" t="inlineStr">
        <is>
          <t>Nunca lançar.</t>
        </is>
      </c>
    </row>
    <row r="56" ht="30" customHeight="1">
      <c r="A56" s="81" t="inlineStr">
        <is>
          <t>18h invertido</t>
        </is>
      </c>
      <c r="B56" s="82" t="inlineStr">
        <is>
          <t>noite 19–07h emendando manhã 07–13h — zero descanso</t>
        </is>
      </c>
      <c r="C56" s="82" t="inlineStr">
        <is>
          <t>art. 66 CLT</t>
        </is>
      </c>
      <c r="D56" s="83" t="inlineStr">
        <is>
          <t>ALERTA</t>
        </is>
      </c>
      <c r="E56" s="56" t="inlineStr">
        <is>
          <t>Era 15 casos/mês no 1º trimestre/26 e caiu pra ~2 depois da mudança de abril. O alvo é zero; o validador segura a linha.</t>
        </is>
      </c>
    </row>
    <row r="57" ht="30" customHeight="1">
      <c r="A57" s="81" t="inlineStr">
        <is>
          <t>noite + tarde seguinte</t>
        </is>
      </c>
      <c r="B57" s="82" t="inlineStr">
        <is>
          <t>noite 19–07h + tarde 13–19h = 18h com 6h de pausa</t>
        </is>
      </c>
      <c r="C57" s="82" t="inlineStr">
        <is>
          <t>art. 66 CLT</t>
        </is>
      </c>
      <c r="D57" s="84" t="inlineStr">
        <is>
          <t>REGISTRO</t>
        </is>
      </c>
      <c r="E57" s="56" t="inlineStr">
        <is>
          <t>Prática estabelecida do serviço (90 casos em 6 meses, 26 pessoas, sem queda no ano). Decisão de 17/08/26: continua, fica registrado sem alarme.</t>
        </is>
      </c>
    </row>
    <row r="58" ht="30" customHeight="1">
      <c r="A58" s="81" t="inlineStr">
        <is>
          <t>DSR</t>
        </is>
      </c>
      <c r="B58" s="82" t="inlineStr">
        <is>
          <t>24h consecutivas de folga por semana</t>
        </is>
      </c>
      <c r="C58" s="82" t="inlineStr">
        <is>
          <t>art. 67 CLT</t>
        </is>
      </c>
      <c r="D58" s="83" t="inlineStr">
        <is>
          <t>ALERTA</t>
        </is>
      </c>
      <c r="E58" s="56" t="inlineStr">
        <is>
          <t>Quem faz 6h de manhã todo dia tem folga de 18h (13h→07h) e nunca alcança as 24h — isso é ESTRUTURAL da rotina/chefia, sinalizado uma vez, não por dia.</t>
        </is>
      </c>
    </row>
    <row r="59" ht="30" customHeight="1">
      <c r="A59" s="81" t="inlineStr">
        <is>
          <t>adicional noturno</t>
        </is>
      </c>
      <c r="B59" s="82" t="inlineStr">
        <is>
          <t>horas entre 22h e 05h; hora noturna vale 52min30s</t>
        </is>
      </c>
      <c r="C59" s="82" t="inlineStr">
        <is>
          <t>art. 73 CLT</t>
        </is>
      </c>
      <c r="D59" s="85" t="inlineStr">
        <is>
          <t>CÁLCULO</t>
        </is>
      </c>
      <c r="E59" s="56" t="inlineStr">
        <is>
          <t>Sai por pessoa/mês pra folha. Noite 19–07h cai integralmente na janela.</t>
        </is>
      </c>
    </row>
    <row r="60" ht="30" customHeight="1">
      <c r="A60" s="81" t="inlineStr">
        <is>
          <t>aniversário</t>
        </is>
      </c>
      <c r="B60" s="82" t="inlineStr">
        <is>
          <t>6h de folga na semana, só pra quem marcou SIM na ficha</t>
        </is>
      </c>
      <c r="C60" s="82" t="inlineStr">
        <is>
          <t>interno</t>
        </is>
      </c>
      <c r="D60" s="86" t="inlineStr">
        <is>
          <t>PREFERÊNCIA</t>
        </is>
      </c>
      <c r="E60" s="56" t="inlineStr"/>
    </row>
  </sheetData>
  <mergeCells count="10">
    <mergeCell ref="E55:G55"/>
    <mergeCell ref="E36:G41"/>
    <mergeCell ref="E60:G60"/>
    <mergeCell ref="E57:G57"/>
    <mergeCell ref="E56:G56"/>
    <mergeCell ref="F9:G11"/>
    <mergeCell ref="E58:G58"/>
    <mergeCell ref="F4:G7"/>
    <mergeCell ref="E59:G59"/>
    <mergeCell ref="E54:G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C79A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janeiro · 2026</t>
        </is>
      </c>
      <c r="C1" s="88" t="inlineStr">
        <is>
          <t>reconstruído da grade 'ESCALA FINAL JANEIRO 2026' — a grade começa no dia 2</t>
        </is>
      </c>
    </row>
    <row r="2">
      <c r="C2" s="89" t="n">
        <v>1</v>
      </c>
      <c r="D2" s="90" t="n">
        <v>2</v>
      </c>
      <c r="E2" s="91" t="n">
        <v>3</v>
      </c>
      <c r="F2" s="91" t="n">
        <v>4</v>
      </c>
      <c r="G2" s="90" t="n">
        <v>5</v>
      </c>
      <c r="H2" s="90" t="n">
        <v>6</v>
      </c>
      <c r="I2" s="90" t="n">
        <v>7</v>
      </c>
      <c r="J2" s="90" t="n">
        <v>8</v>
      </c>
      <c r="K2" s="90" t="n">
        <v>9</v>
      </c>
      <c r="L2" s="91" t="n">
        <v>10</v>
      </c>
      <c r="M2" s="91" t="n">
        <v>11</v>
      </c>
      <c r="N2" s="90" t="n">
        <v>12</v>
      </c>
      <c r="O2" s="90" t="n">
        <v>13</v>
      </c>
      <c r="P2" s="90" t="n">
        <v>14</v>
      </c>
      <c r="Q2" s="90" t="n">
        <v>15</v>
      </c>
      <c r="R2" s="90" t="n">
        <v>16</v>
      </c>
      <c r="S2" s="91" t="n">
        <v>17</v>
      </c>
      <c r="T2" s="91" t="n">
        <v>18</v>
      </c>
      <c r="U2" s="90" t="n">
        <v>19</v>
      </c>
      <c r="V2" s="90" t="n">
        <v>20</v>
      </c>
      <c r="W2" s="90" t="n">
        <v>21</v>
      </c>
      <c r="X2" s="90" t="n">
        <v>22</v>
      </c>
      <c r="Y2" s="90" t="n">
        <v>23</v>
      </c>
      <c r="Z2" s="91" t="n">
        <v>24</v>
      </c>
      <c r="AA2" s="91" t="n">
        <v>25</v>
      </c>
      <c r="AB2" s="90" t="n">
        <v>26</v>
      </c>
      <c r="AC2" s="90" t="n">
        <v>27</v>
      </c>
      <c r="AD2" s="90" t="n">
        <v>28</v>
      </c>
      <c r="AE2" s="90" t="n">
        <v>29</v>
      </c>
      <c r="AF2" s="90" t="n">
        <v>30</v>
      </c>
      <c r="AG2" s="91" t="n">
        <v>31</v>
      </c>
    </row>
    <row r="3">
      <c r="C3" s="92" t="inlineStr">
        <is>
          <t>1ºjan</t>
        </is>
      </c>
      <c r="D3" s="93" t="inlineStr">
        <is>
          <t>sex</t>
        </is>
      </c>
      <c r="E3" s="94" t="inlineStr">
        <is>
          <t>sáb</t>
        </is>
      </c>
      <c r="F3" s="94" t="inlineStr">
        <is>
          <t>dom</t>
        </is>
      </c>
      <c r="G3" s="93" t="inlineStr">
        <is>
          <t>seg</t>
        </is>
      </c>
      <c r="H3" s="93" t="inlineStr">
        <is>
          <t>ter</t>
        </is>
      </c>
      <c r="I3" s="93" t="inlineStr">
        <is>
          <t>qua</t>
        </is>
      </c>
      <c r="J3" s="93" t="inlineStr">
        <is>
          <t>qui</t>
        </is>
      </c>
      <c r="K3" s="93" t="inlineStr">
        <is>
          <t>sex</t>
        </is>
      </c>
      <c r="L3" s="94" t="inlineStr">
        <is>
          <t>sáb</t>
        </is>
      </c>
      <c r="M3" s="94" t="inlineStr">
        <is>
          <t>dom</t>
        </is>
      </c>
      <c r="N3" s="93" t="inlineStr">
        <is>
          <t>seg</t>
        </is>
      </c>
      <c r="O3" s="93" t="inlineStr">
        <is>
          <t>ter</t>
        </is>
      </c>
      <c r="P3" s="93" t="inlineStr">
        <is>
          <t>qua</t>
        </is>
      </c>
      <c r="Q3" s="93" t="inlineStr">
        <is>
          <t>qui</t>
        </is>
      </c>
      <c r="R3" s="93" t="inlineStr">
        <is>
          <t>sex</t>
        </is>
      </c>
      <c r="S3" s="94" t="inlineStr">
        <is>
          <t>sáb</t>
        </is>
      </c>
      <c r="T3" s="94" t="inlineStr">
        <is>
          <t>dom</t>
        </is>
      </c>
      <c r="U3" s="93" t="inlineStr">
        <is>
          <t>seg</t>
        </is>
      </c>
      <c r="V3" s="93" t="inlineStr">
        <is>
          <t>ter</t>
        </is>
      </c>
      <c r="W3" s="93" t="inlineStr">
        <is>
          <t>qua</t>
        </is>
      </c>
      <c r="X3" s="93" t="inlineStr">
        <is>
          <t>qui</t>
        </is>
      </c>
      <c r="Y3" s="93" t="inlineStr">
        <is>
          <t>sex</t>
        </is>
      </c>
      <c r="Z3" s="94" t="inlineStr">
        <is>
          <t>sáb</t>
        </is>
      </c>
      <c r="AA3" s="94" t="inlineStr">
        <is>
          <t>dom</t>
        </is>
      </c>
      <c r="AB3" s="93" t="inlineStr">
        <is>
          <t>seg</t>
        </is>
      </c>
      <c r="AC3" s="93" t="inlineStr">
        <is>
          <t>ter</t>
        </is>
      </c>
      <c r="AD3" s="93" t="inlineStr">
        <is>
          <t>qua</t>
        </is>
      </c>
      <c r="AE3" s="93" t="inlineStr">
        <is>
          <t>qui</t>
        </is>
      </c>
      <c r="AF3" s="93" t="inlineStr">
        <is>
          <t>sex</t>
        </is>
      </c>
      <c r="AG3" s="94" t="inlineStr">
        <is>
          <t>sáb</t>
        </is>
      </c>
    </row>
    <row r="4" hidden="1">
      <c r="A4" t="inlineStr">
        <is>
          <t>máscara fds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</row>
    <row r="5" hidden="1">
      <c r="A5" t="inlineStr">
        <is>
          <t>máscara sexta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</row>
    <row r="6" hidden="1">
      <c r="A6" t="inlineStr">
        <is>
          <t>máscara feriado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7" t="n"/>
      <c r="D8" s="98" t="inlineStr">
        <is>
          <t>M</t>
        </is>
      </c>
      <c r="E8" s="97" t="n"/>
      <c r="F8" s="97" t="n"/>
      <c r="G8" s="98" t="inlineStr">
        <is>
          <t>M</t>
        </is>
      </c>
      <c r="H8" s="98" t="inlineStr">
        <is>
          <t>M</t>
        </is>
      </c>
      <c r="I8" s="98" t="inlineStr">
        <is>
          <t>M</t>
        </is>
      </c>
      <c r="J8" s="98" t="inlineStr">
        <is>
          <t>M</t>
        </is>
      </c>
      <c r="K8" s="98" t="inlineStr">
        <is>
          <t>M</t>
        </is>
      </c>
      <c r="L8" s="97" t="n"/>
      <c r="M8" s="97" t="n"/>
      <c r="N8" s="98" t="inlineStr">
        <is>
          <t>M</t>
        </is>
      </c>
      <c r="O8" s="98" t="inlineStr">
        <is>
          <t>M</t>
        </is>
      </c>
      <c r="P8" s="98" t="inlineStr">
        <is>
          <t>M</t>
        </is>
      </c>
      <c r="Q8" s="98" t="inlineStr">
        <is>
          <t>M</t>
        </is>
      </c>
      <c r="R8" s="98" t="inlineStr">
        <is>
          <t>M</t>
        </is>
      </c>
      <c r="S8" s="97" t="n"/>
      <c r="T8" s="97" t="n"/>
      <c r="U8" s="98" t="inlineStr">
        <is>
          <t>M</t>
        </is>
      </c>
      <c r="V8" s="98" t="inlineStr">
        <is>
          <t>M</t>
        </is>
      </c>
      <c r="W8" s="98" t="inlineStr">
        <is>
          <t>M</t>
        </is>
      </c>
      <c r="X8" s="98" t="inlineStr">
        <is>
          <t>M</t>
        </is>
      </c>
      <c r="Y8" s="98" t="inlineStr">
        <is>
          <t>M</t>
        </is>
      </c>
      <c r="Z8" s="97" t="n"/>
      <c r="AA8" s="97" t="n"/>
      <c r="AB8" s="97" t="n"/>
      <c r="AC8" s="97" t="n"/>
      <c r="AD8" s="97" t="n"/>
      <c r="AE8" s="97" t="n"/>
      <c r="AF8" s="97" t="n"/>
      <c r="AG8" s="97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7" t="n"/>
      <c r="D9" s="98" t="inlineStr">
        <is>
          <t>M</t>
        </is>
      </c>
      <c r="E9" s="97" t="n"/>
      <c r="F9" s="97" t="n"/>
      <c r="G9" s="98" t="inlineStr">
        <is>
          <t>M</t>
        </is>
      </c>
      <c r="H9" s="98" t="inlineStr">
        <is>
          <t>M</t>
        </is>
      </c>
      <c r="I9" s="98" t="inlineStr">
        <is>
          <t>M</t>
        </is>
      </c>
      <c r="J9" s="98" t="inlineStr">
        <is>
          <t>M</t>
        </is>
      </c>
      <c r="K9" s="98" t="inlineStr">
        <is>
          <t>M</t>
        </is>
      </c>
      <c r="L9" s="97" t="n"/>
      <c r="M9" s="97" t="n"/>
      <c r="N9" s="98" t="inlineStr">
        <is>
          <t>M</t>
        </is>
      </c>
      <c r="O9" s="98" t="inlineStr">
        <is>
          <t>M</t>
        </is>
      </c>
      <c r="P9" s="98" t="inlineStr">
        <is>
          <t>M</t>
        </is>
      </c>
      <c r="Q9" s="98" t="inlineStr">
        <is>
          <t>M</t>
        </is>
      </c>
      <c r="R9" s="98" t="inlineStr">
        <is>
          <t>M</t>
        </is>
      </c>
      <c r="S9" s="97" t="n"/>
      <c r="T9" s="97" t="n"/>
      <c r="U9" s="98" t="inlineStr">
        <is>
          <t>M</t>
        </is>
      </c>
      <c r="V9" s="98" t="inlineStr">
        <is>
          <t>M</t>
        </is>
      </c>
      <c r="W9" s="98" t="inlineStr">
        <is>
          <t>M</t>
        </is>
      </c>
      <c r="X9" s="98" t="inlineStr">
        <is>
          <t>M</t>
        </is>
      </c>
      <c r="Y9" s="98" t="inlineStr">
        <is>
          <t>M</t>
        </is>
      </c>
      <c r="Z9" s="97" t="n"/>
      <c r="AA9" s="97" t="n"/>
      <c r="AB9" s="98" t="inlineStr">
        <is>
          <t>M</t>
        </is>
      </c>
      <c r="AC9" s="98" t="inlineStr">
        <is>
          <t>M</t>
        </is>
      </c>
      <c r="AD9" s="98" t="inlineStr">
        <is>
          <t>M</t>
        </is>
      </c>
      <c r="AE9" s="98" t="inlineStr">
        <is>
          <t>M</t>
        </is>
      </c>
      <c r="AF9" s="98" t="inlineStr">
        <is>
          <t>M</t>
        </is>
      </c>
      <c r="AG9" s="97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102" t="inlineStr">
        <is>
          <t>D</t>
        </is>
      </c>
      <c r="E11" s="97" t="n"/>
      <c r="F11" s="98" t="inlineStr">
        <is>
          <t>M</t>
        </is>
      </c>
      <c r="G11" s="98" t="inlineStr">
        <is>
          <t>M</t>
        </is>
      </c>
      <c r="H11" s="102" t="inlineStr">
        <is>
          <t>D</t>
        </is>
      </c>
      <c r="I11" s="98" t="inlineStr">
        <is>
          <t>M</t>
        </is>
      </c>
      <c r="J11" s="98" t="inlineStr">
        <is>
          <t>M</t>
        </is>
      </c>
      <c r="K11" s="98" t="inlineStr">
        <is>
          <t>M</t>
        </is>
      </c>
      <c r="L11" s="97" t="n"/>
      <c r="M11" s="97" t="n"/>
      <c r="N11" s="98" t="inlineStr">
        <is>
          <t>M</t>
        </is>
      </c>
      <c r="O11" s="98" t="inlineStr">
        <is>
          <t>M</t>
        </is>
      </c>
      <c r="P11" s="98" t="inlineStr">
        <is>
          <t>M</t>
        </is>
      </c>
      <c r="Q11" s="98" t="inlineStr">
        <is>
          <t>M</t>
        </is>
      </c>
      <c r="R11" s="98" t="inlineStr">
        <is>
          <t>M</t>
        </is>
      </c>
      <c r="S11" s="97" t="n"/>
      <c r="T11" s="103" t="inlineStr">
        <is>
          <t>N</t>
        </is>
      </c>
      <c r="U11" s="98" t="inlineStr">
        <is>
          <t>M</t>
        </is>
      </c>
      <c r="V11" s="102" t="inlineStr">
        <is>
          <t>D</t>
        </is>
      </c>
      <c r="W11" s="98" t="inlineStr">
        <is>
          <t>M</t>
        </is>
      </c>
      <c r="X11" s="102" t="inlineStr">
        <is>
          <t>D</t>
        </is>
      </c>
      <c r="Y11" s="98" t="inlineStr">
        <is>
          <t>M</t>
        </is>
      </c>
      <c r="Z11" s="97" t="n"/>
      <c r="AA11" s="97" t="n"/>
      <c r="AB11" s="98" t="inlineStr">
        <is>
          <t>M</t>
        </is>
      </c>
      <c r="AC11" s="98" t="inlineStr">
        <is>
          <t>M</t>
        </is>
      </c>
      <c r="AD11" s="98" t="inlineStr">
        <is>
          <t>M</t>
        </is>
      </c>
      <c r="AE11" s="98" t="inlineStr">
        <is>
          <t>M</t>
        </is>
      </c>
      <c r="AF11" s="98" t="inlineStr">
        <is>
          <t>M</t>
        </is>
      </c>
      <c r="AG11" s="103" t="inlineStr">
        <is>
          <t>N</t>
        </is>
      </c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8" t="inlineStr">
        <is>
          <t>M</t>
        </is>
      </c>
      <c r="P12" s="98" t="inlineStr">
        <is>
          <t>M</t>
        </is>
      </c>
      <c r="Q12" s="102" t="inlineStr">
        <is>
          <t>D</t>
        </is>
      </c>
      <c r="R12" s="98" t="inlineStr">
        <is>
          <t>M</t>
        </is>
      </c>
      <c r="S12" s="104" t="inlineStr">
        <is>
          <t>T</t>
        </is>
      </c>
      <c r="T12" s="97" t="n"/>
      <c r="U12" s="98" t="inlineStr">
        <is>
          <t>M</t>
        </is>
      </c>
      <c r="V12" s="98" t="inlineStr">
        <is>
          <t>M</t>
        </is>
      </c>
      <c r="W12" s="98" t="inlineStr">
        <is>
          <t>M</t>
        </is>
      </c>
      <c r="X12" s="98" t="inlineStr">
        <is>
          <t>M</t>
        </is>
      </c>
      <c r="Y12" s="98" t="inlineStr">
        <is>
          <t>M</t>
        </is>
      </c>
      <c r="Z12" s="97" t="n"/>
      <c r="AA12" s="102" t="inlineStr">
        <is>
          <t>D</t>
        </is>
      </c>
      <c r="AB12" s="98" t="inlineStr">
        <is>
          <t>M</t>
        </is>
      </c>
      <c r="AC12" s="102" t="inlineStr">
        <is>
          <t>D</t>
        </is>
      </c>
      <c r="AD12" s="98" t="inlineStr">
        <is>
          <t>M</t>
        </is>
      </c>
      <c r="AE12" s="102" t="inlineStr">
        <is>
          <t>D</t>
        </is>
      </c>
      <c r="AF12" s="98" t="inlineStr">
        <is>
          <t>M</t>
        </is>
      </c>
      <c r="AG12" s="97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7" t="n"/>
      <c r="D13" s="97" t="n"/>
      <c r="E13" s="97" t="n"/>
      <c r="F13" s="98" t="inlineStr">
        <is>
          <t>M</t>
        </is>
      </c>
      <c r="G13" s="98" t="inlineStr">
        <is>
          <t>M</t>
        </is>
      </c>
      <c r="H13" s="98" t="inlineStr">
        <is>
          <t>M</t>
        </is>
      </c>
      <c r="I13" s="98" t="inlineStr">
        <is>
          <t>M</t>
        </is>
      </c>
      <c r="J13" s="98" t="inlineStr">
        <is>
          <t>M</t>
        </is>
      </c>
      <c r="K13" s="98" t="inlineStr">
        <is>
          <t>M</t>
        </is>
      </c>
      <c r="L13" s="97" t="n"/>
      <c r="M13" s="103" t="inlineStr">
        <is>
          <t>N</t>
        </is>
      </c>
      <c r="N13" s="98" t="inlineStr">
        <is>
          <t>M</t>
        </is>
      </c>
      <c r="O13" s="98" t="inlineStr">
        <is>
          <t>M</t>
        </is>
      </c>
      <c r="P13" s="98" t="inlineStr">
        <is>
          <t>M</t>
        </is>
      </c>
      <c r="Q13" s="98" t="inlineStr">
        <is>
          <t>M</t>
        </is>
      </c>
      <c r="R13" s="98" t="inlineStr">
        <is>
          <t>M</t>
        </is>
      </c>
      <c r="S13" s="97" t="n"/>
      <c r="T13" s="97" t="n"/>
      <c r="U13" s="98" t="inlineStr">
        <is>
          <t>M</t>
        </is>
      </c>
      <c r="V13" s="98" t="inlineStr">
        <is>
          <t>M</t>
        </is>
      </c>
      <c r="W13" s="98" t="inlineStr">
        <is>
          <t>M</t>
        </is>
      </c>
      <c r="X13" s="98" t="inlineStr">
        <is>
          <t>M</t>
        </is>
      </c>
      <c r="Y13" s="98" t="inlineStr">
        <is>
          <t>M</t>
        </is>
      </c>
      <c r="Z13" s="103" t="inlineStr">
        <is>
          <t>N</t>
        </is>
      </c>
      <c r="AA13" s="97" t="n"/>
      <c r="AB13" s="98" t="inlineStr">
        <is>
          <t>M</t>
        </is>
      </c>
      <c r="AC13" s="98" t="inlineStr">
        <is>
          <t>M</t>
        </is>
      </c>
      <c r="AD13" s="98" t="inlineStr">
        <is>
          <t>M</t>
        </is>
      </c>
      <c r="AE13" s="98" t="inlineStr">
        <is>
          <t>M</t>
        </is>
      </c>
      <c r="AF13" s="98" t="inlineStr">
        <is>
          <t>M</t>
        </is>
      </c>
      <c r="AG13" s="97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7" t="n"/>
      <c r="D14" s="102" t="inlineStr">
        <is>
          <t>D</t>
        </is>
      </c>
      <c r="E14" s="97" t="n"/>
      <c r="F14" s="97" t="n"/>
      <c r="G14" s="104" t="inlineStr">
        <is>
          <t>T</t>
        </is>
      </c>
      <c r="H14" s="97" t="n"/>
      <c r="I14" s="104" t="inlineStr">
        <is>
          <t>T</t>
        </is>
      </c>
      <c r="J14" s="102" t="inlineStr">
        <is>
          <t>D</t>
        </is>
      </c>
      <c r="K14" s="97" t="n"/>
      <c r="L14" s="103" t="inlineStr">
        <is>
          <t>N</t>
        </is>
      </c>
      <c r="M14" s="97" t="n"/>
      <c r="N14" s="104" t="inlineStr">
        <is>
          <t>T</t>
        </is>
      </c>
      <c r="O14" s="97" t="n"/>
      <c r="P14" s="104" t="inlineStr">
        <is>
          <t>T</t>
        </is>
      </c>
      <c r="Q14" s="103" t="inlineStr">
        <is>
          <t>N</t>
        </is>
      </c>
      <c r="R14" s="104" t="inlineStr">
        <is>
          <t>T</t>
        </is>
      </c>
      <c r="S14" s="97" t="n"/>
      <c r="T14" s="97" t="n"/>
      <c r="U14" s="104" t="inlineStr">
        <is>
          <t>T</t>
        </is>
      </c>
      <c r="V14" s="97" t="n"/>
      <c r="W14" s="97" t="n"/>
      <c r="X14" s="102" t="inlineStr">
        <is>
          <t>D</t>
        </is>
      </c>
      <c r="Y14" s="104" t="inlineStr">
        <is>
          <t>T</t>
        </is>
      </c>
      <c r="Z14" s="103" t="inlineStr">
        <is>
          <t>N</t>
        </is>
      </c>
      <c r="AA14" s="104" t="inlineStr">
        <is>
          <t>T</t>
        </is>
      </c>
      <c r="AB14" s="97" t="n"/>
      <c r="AC14" s="97" t="n"/>
      <c r="AD14" s="97" t="n"/>
      <c r="AE14" s="102" t="inlineStr">
        <is>
          <t>D</t>
        </is>
      </c>
      <c r="AF14" s="103" t="inlineStr">
        <is>
          <t>N</t>
        </is>
      </c>
      <c r="AG14" s="104" t="inlineStr">
        <is>
          <t>T</t>
        </is>
      </c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8" t="inlineStr">
        <is>
          <t>M</t>
        </is>
      </c>
      <c r="E15" s="97" t="n"/>
      <c r="F15" s="97" t="n"/>
      <c r="G15" s="98" t="inlineStr">
        <is>
          <t>M</t>
        </is>
      </c>
      <c r="H15" s="98" t="inlineStr">
        <is>
          <t>M</t>
        </is>
      </c>
      <c r="I15" s="98" t="inlineStr">
        <is>
          <t>M</t>
        </is>
      </c>
      <c r="J15" s="98" t="inlineStr">
        <is>
          <t>M</t>
        </is>
      </c>
      <c r="K15" s="98" t="inlineStr">
        <is>
          <t>M</t>
        </is>
      </c>
      <c r="L15" s="103" t="inlineStr">
        <is>
          <t>N</t>
        </is>
      </c>
      <c r="M15" s="97" t="n"/>
      <c r="N15" s="98" t="inlineStr">
        <is>
          <t>M</t>
        </is>
      </c>
      <c r="O15" s="98" t="inlineStr">
        <is>
          <t>M</t>
        </is>
      </c>
      <c r="P15" s="98" t="inlineStr">
        <is>
          <t>M</t>
        </is>
      </c>
      <c r="Q15" s="98" t="inlineStr">
        <is>
          <t>M</t>
        </is>
      </c>
      <c r="R15" s="98" t="inlineStr">
        <is>
          <t>M</t>
        </is>
      </c>
      <c r="S15" s="105" t="inlineStr">
        <is>
          <t>NT</t>
        </is>
      </c>
      <c r="T15" s="97" t="n"/>
      <c r="U15" s="98" t="inlineStr">
        <is>
          <t>M</t>
        </is>
      </c>
      <c r="V15" s="98" t="inlineStr">
        <is>
          <t>M</t>
        </is>
      </c>
      <c r="W15" s="98" t="inlineStr">
        <is>
          <t>M</t>
        </is>
      </c>
      <c r="X15" s="98" t="inlineStr">
        <is>
          <t>M</t>
        </is>
      </c>
      <c r="Y15" s="98" t="inlineStr">
        <is>
          <t>M</t>
        </is>
      </c>
      <c r="Z15" s="103" t="inlineStr">
        <is>
          <t>N</t>
        </is>
      </c>
      <c r="AA15" s="97" t="n"/>
      <c r="AB15" s="98" t="inlineStr">
        <is>
          <t>M</t>
        </is>
      </c>
      <c r="AC15" s="98" t="inlineStr">
        <is>
          <t>M</t>
        </is>
      </c>
      <c r="AD15" s="98" t="inlineStr">
        <is>
          <t>M</t>
        </is>
      </c>
      <c r="AE15" s="102" t="inlineStr">
        <is>
          <t>D</t>
        </is>
      </c>
      <c r="AF15" s="98" t="inlineStr">
        <is>
          <t>M</t>
        </is>
      </c>
      <c r="AG15" s="97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104" t="inlineStr">
        <is>
          <t>T</t>
        </is>
      </c>
      <c r="E17" s="104" t="inlineStr">
        <is>
          <t>T</t>
        </is>
      </c>
      <c r="F17" s="97" t="n"/>
      <c r="G17" s="104" t="inlineStr">
        <is>
          <t>T</t>
        </is>
      </c>
      <c r="H17" s="102" t="inlineStr">
        <is>
          <t>D</t>
        </is>
      </c>
      <c r="I17" s="104" t="inlineStr">
        <is>
          <t>T</t>
        </is>
      </c>
      <c r="J17" s="104" t="inlineStr">
        <is>
          <t>T</t>
        </is>
      </c>
      <c r="K17" s="103" t="inlineStr">
        <is>
          <t>N</t>
        </is>
      </c>
      <c r="L17" s="97" t="n"/>
      <c r="M17" s="97" t="n"/>
      <c r="N17" s="103" t="inlineStr">
        <is>
          <t>N</t>
        </is>
      </c>
      <c r="O17" s="102" t="inlineStr">
        <is>
          <t>D</t>
        </is>
      </c>
      <c r="P17" s="104" t="inlineStr">
        <is>
          <t>T</t>
        </is>
      </c>
      <c r="Q17" s="103" t="inlineStr">
        <is>
          <t>N</t>
        </is>
      </c>
      <c r="R17" s="97" t="n"/>
      <c r="S17" s="97" t="n"/>
      <c r="T17" s="97" t="n"/>
      <c r="U17" s="104" t="inlineStr">
        <is>
          <t>T</t>
        </is>
      </c>
      <c r="V17" s="103" t="inlineStr">
        <is>
          <t>N</t>
        </is>
      </c>
      <c r="W17" s="98" t="inlineStr">
        <is>
          <t>M</t>
        </is>
      </c>
      <c r="X17" s="97" t="n"/>
      <c r="Y17" s="97" t="n"/>
      <c r="Z17" s="98" t="inlineStr">
        <is>
          <t>M</t>
        </is>
      </c>
      <c r="AA17" s="103" t="inlineStr">
        <is>
          <t>N</t>
        </is>
      </c>
      <c r="AB17" s="102" t="inlineStr">
        <is>
          <t>D</t>
        </is>
      </c>
      <c r="AC17" s="103" t="inlineStr">
        <is>
          <t>N</t>
        </is>
      </c>
      <c r="AD17" s="104" t="inlineStr">
        <is>
          <t>T</t>
        </is>
      </c>
      <c r="AE17" s="103" t="inlineStr">
        <is>
          <t>N</t>
        </is>
      </c>
      <c r="AF17" s="97" t="n"/>
      <c r="AG17" s="97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103" t="inlineStr">
        <is>
          <t>N</t>
        </is>
      </c>
      <c r="E18" s="97" t="n"/>
      <c r="F18" s="102" t="inlineStr">
        <is>
          <t>D</t>
        </is>
      </c>
      <c r="G18" s="102" t="inlineStr">
        <is>
          <t>D</t>
        </is>
      </c>
      <c r="H18" s="97" t="n"/>
      <c r="I18" s="102" t="inlineStr">
        <is>
          <t>D</t>
        </is>
      </c>
      <c r="J18" s="97" t="n"/>
      <c r="K18" s="103" t="inlineStr">
        <is>
          <t>N</t>
        </is>
      </c>
      <c r="L18" s="97" t="n"/>
      <c r="M18" s="97" t="n"/>
      <c r="N18" s="102" t="inlineStr">
        <is>
          <t>D</t>
        </is>
      </c>
      <c r="O18" s="97" t="n"/>
      <c r="P18" s="102" t="inlineStr">
        <is>
          <t>D</t>
        </is>
      </c>
      <c r="Q18" s="97" t="n"/>
      <c r="R18" s="97" t="n"/>
      <c r="S18" s="102" t="inlineStr">
        <is>
          <t>D</t>
        </is>
      </c>
      <c r="T18" s="97" t="n"/>
      <c r="U18" s="97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97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97" t="n"/>
      <c r="E19" s="97" t="n"/>
      <c r="F19" s="97" t="n"/>
      <c r="G19" s="104" t="inlineStr">
        <is>
          <t>T</t>
        </is>
      </c>
      <c r="H19" s="97" t="n"/>
      <c r="I19" s="105" t="inlineStr">
        <is>
          <t>NT</t>
        </is>
      </c>
      <c r="J19" s="103" t="inlineStr">
        <is>
          <t>N</t>
        </is>
      </c>
      <c r="K19" s="97" t="n"/>
      <c r="L19" s="97" t="n"/>
      <c r="M19" s="103" t="inlineStr">
        <is>
          <t>N</t>
        </is>
      </c>
      <c r="N19" s="103" t="inlineStr">
        <is>
          <t>N</t>
        </is>
      </c>
      <c r="O19" s="97" t="n"/>
      <c r="P19" s="103" t="inlineStr">
        <is>
          <t>N</t>
        </is>
      </c>
      <c r="Q19" s="97" t="n"/>
      <c r="R19" s="97" t="n"/>
      <c r="S19" s="103" t="inlineStr">
        <is>
          <t>N</t>
        </is>
      </c>
      <c r="T19" s="97" t="n"/>
      <c r="U19" s="97" t="n"/>
      <c r="V19" s="97" t="n"/>
      <c r="W19" s="103" t="inlineStr">
        <is>
          <t>N</t>
        </is>
      </c>
      <c r="X19" s="97" t="n"/>
      <c r="Y19" s="103" t="inlineStr">
        <is>
          <t>N</t>
        </is>
      </c>
      <c r="Z19" s="97" t="n"/>
      <c r="AA19" s="103" t="inlineStr">
        <is>
          <t>N</t>
        </is>
      </c>
      <c r="AB19" s="97" t="n"/>
      <c r="AC19" s="97" t="n"/>
      <c r="AD19" s="103" t="inlineStr">
        <is>
          <t>N</t>
        </is>
      </c>
      <c r="AE19" s="103" t="inlineStr">
        <is>
          <t>N</t>
        </is>
      </c>
      <c r="AF19" s="97" t="n"/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103" t="inlineStr">
        <is>
          <t>N</t>
        </is>
      </c>
      <c r="E20" s="97" t="n"/>
      <c r="F20" s="97" t="n"/>
      <c r="G20" s="97" t="n"/>
      <c r="H20" s="97" t="n"/>
      <c r="I20" s="103" t="inlineStr">
        <is>
          <t>N</t>
        </is>
      </c>
      <c r="J20" s="103" t="inlineStr">
        <is>
          <t>N</t>
        </is>
      </c>
      <c r="K20" s="97" t="n"/>
      <c r="L20" s="103" t="inlineStr">
        <is>
          <t>N</t>
        </is>
      </c>
      <c r="M20" s="97" t="n"/>
      <c r="N20" s="97" t="n"/>
      <c r="O20" s="97" t="n"/>
      <c r="P20" s="103" t="inlineStr">
        <is>
          <t>N</t>
        </is>
      </c>
      <c r="Q20" s="103" t="inlineStr">
        <is>
          <t>N</t>
        </is>
      </c>
      <c r="R20" s="97" t="n"/>
      <c r="S20" s="97" t="n"/>
      <c r="T20" s="103" t="inlineStr">
        <is>
          <t>N</t>
        </is>
      </c>
      <c r="U20" s="97" t="n"/>
      <c r="V20" s="97" t="n"/>
      <c r="W20" s="103" t="inlineStr">
        <is>
          <t>N</t>
        </is>
      </c>
      <c r="X20" s="103" t="inlineStr">
        <is>
          <t>N</t>
        </is>
      </c>
      <c r="Y20" s="103" t="inlineStr">
        <is>
          <t>N</t>
        </is>
      </c>
      <c r="Z20" s="97" t="n"/>
      <c r="AA20" s="97" t="n"/>
      <c r="AB20" s="97" t="n"/>
      <c r="AC20" s="97" t="n"/>
      <c r="AD20" s="103" t="inlineStr">
        <is>
          <t>N</t>
        </is>
      </c>
      <c r="AE20" s="97" t="n"/>
      <c r="AF20" s="97" t="n"/>
      <c r="AG20" s="103" t="inlineStr">
        <is>
          <t>N</t>
        </is>
      </c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104" t="inlineStr">
        <is>
          <t>T</t>
        </is>
      </c>
      <c r="E21" s="102" t="inlineStr">
        <is>
          <t>D</t>
        </is>
      </c>
      <c r="F21" s="98" t="inlineStr">
        <is>
          <t>M</t>
        </is>
      </c>
      <c r="G21" s="104" t="inlineStr">
        <is>
          <t>T</t>
        </is>
      </c>
      <c r="H21" s="97" t="n"/>
      <c r="I21" s="98" t="inlineStr">
        <is>
          <t>M</t>
        </is>
      </c>
      <c r="J21" s="98" t="inlineStr">
        <is>
          <t>M</t>
        </is>
      </c>
      <c r="K21" s="97" t="n"/>
      <c r="L21" s="98" t="inlineStr">
        <is>
          <t>M</t>
        </is>
      </c>
      <c r="M21" s="103" t="inlineStr">
        <is>
          <t>N</t>
        </is>
      </c>
      <c r="N21" s="104" t="inlineStr">
        <is>
          <t>T</t>
        </is>
      </c>
      <c r="O21" s="103" t="inlineStr">
        <is>
          <t>N</t>
        </is>
      </c>
      <c r="P21" s="97" t="n"/>
      <c r="Q21" s="98" t="inlineStr">
        <is>
          <t>M</t>
        </is>
      </c>
      <c r="R21" s="102" t="inlineStr">
        <is>
          <t>D</t>
        </is>
      </c>
      <c r="S21" s="97" t="n"/>
      <c r="T21" s="97" t="n"/>
      <c r="U21" s="104" t="inlineStr">
        <is>
          <t>T</t>
        </is>
      </c>
      <c r="V21" s="102" t="inlineStr">
        <is>
          <t>D</t>
        </is>
      </c>
      <c r="W21" s="97" t="n"/>
      <c r="X21" s="97" t="n"/>
      <c r="Y21" s="102" t="inlineStr">
        <is>
          <t>D</t>
        </is>
      </c>
      <c r="Z21" s="97" t="n"/>
      <c r="AA21" s="97" t="n"/>
      <c r="AB21" s="104" t="inlineStr">
        <is>
          <t>T</t>
        </is>
      </c>
      <c r="AC21" s="102" t="inlineStr">
        <is>
          <t>D</t>
        </is>
      </c>
      <c r="AD21" s="98" t="inlineStr">
        <is>
          <t>M</t>
        </is>
      </c>
      <c r="AE21" s="103" t="inlineStr">
        <is>
          <t>N</t>
        </is>
      </c>
      <c r="AF21" s="97" t="n"/>
      <c r="AG21" s="97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102" t="inlineStr">
        <is>
          <t>D</t>
        </is>
      </c>
      <c r="E22" s="104" t="inlineStr">
        <is>
          <t>T</t>
        </is>
      </c>
      <c r="F22" s="102" t="inlineStr">
        <is>
          <t>D</t>
        </is>
      </c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102" t="inlineStr">
        <is>
          <t>D</t>
        </is>
      </c>
      <c r="W22" s="97" t="n"/>
      <c r="X22" s="104" t="inlineStr">
        <is>
          <t>T</t>
        </is>
      </c>
      <c r="Y22" s="103" t="inlineStr">
        <is>
          <t>N</t>
        </is>
      </c>
      <c r="Z22" s="97" t="n"/>
      <c r="AA22" s="97" t="n"/>
      <c r="AB22" s="97" t="n"/>
      <c r="AC22" s="102" t="inlineStr">
        <is>
          <t>D</t>
        </is>
      </c>
      <c r="AD22" s="102" t="inlineStr">
        <is>
          <t>D</t>
        </is>
      </c>
      <c r="AE22" s="98" t="inlineStr">
        <is>
          <t>M</t>
        </is>
      </c>
      <c r="AF22" s="97" t="n"/>
      <c r="AG22" s="98" t="inlineStr">
        <is>
          <t>M</t>
        </is>
      </c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8" t="inlineStr">
        <is>
          <t>M</t>
        </is>
      </c>
      <c r="E23" s="97" t="n"/>
      <c r="F23" s="97" t="n"/>
      <c r="G23" s="102" t="inlineStr">
        <is>
          <t>D</t>
        </is>
      </c>
      <c r="H23" s="104" t="inlineStr">
        <is>
          <t>T</t>
        </is>
      </c>
      <c r="I23" s="97" t="n"/>
      <c r="J23" s="97" t="n"/>
      <c r="K23" s="97" t="n"/>
      <c r="L23" s="102" t="inlineStr">
        <is>
          <t>D</t>
        </is>
      </c>
      <c r="M23" s="102" t="inlineStr">
        <is>
          <t>D</t>
        </is>
      </c>
      <c r="N23" s="104" t="inlineStr">
        <is>
          <t>T</t>
        </is>
      </c>
      <c r="O23" s="102" t="inlineStr">
        <is>
          <t>D</t>
        </is>
      </c>
      <c r="P23" s="97" t="n"/>
      <c r="Q23" s="102" t="inlineStr">
        <is>
          <t>D</t>
        </is>
      </c>
      <c r="R23" s="97" t="n"/>
      <c r="S23" s="97" t="n"/>
      <c r="T23" s="97" t="n"/>
      <c r="U23" s="102" t="inlineStr">
        <is>
          <t>D</t>
        </is>
      </c>
      <c r="V23" s="102" t="inlineStr">
        <is>
          <t>D</t>
        </is>
      </c>
      <c r="W23" s="97" t="n"/>
      <c r="X23" s="102" t="inlineStr">
        <is>
          <t>D</t>
        </is>
      </c>
      <c r="Y23" s="97" t="n"/>
      <c r="Z23" s="97" t="n"/>
      <c r="AA23" s="97" t="n"/>
      <c r="AB23" s="102" t="inlineStr">
        <is>
          <t>D</t>
        </is>
      </c>
      <c r="AC23" s="102" t="inlineStr">
        <is>
          <t>D</t>
        </is>
      </c>
      <c r="AD23" s="97" t="n"/>
      <c r="AE23" s="97" t="n"/>
      <c r="AF23" s="97" t="n"/>
      <c r="AG23" s="102" t="inlineStr">
        <is>
          <t>D</t>
        </is>
      </c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102" t="inlineStr">
        <is>
          <t>D</t>
        </is>
      </c>
      <c r="F24" s="97" t="n"/>
      <c r="G24" s="102" t="inlineStr">
        <is>
          <t>D</t>
        </is>
      </c>
      <c r="H24" s="97" t="n"/>
      <c r="I24" s="103" t="inlineStr">
        <is>
          <t>N</t>
        </is>
      </c>
      <c r="J24" s="97" t="n"/>
      <c r="K24" s="97" t="n"/>
      <c r="L24" s="103" t="inlineStr">
        <is>
          <t>N</t>
        </is>
      </c>
      <c r="M24" s="97" t="n"/>
      <c r="N24" s="98" t="inlineStr">
        <is>
          <t>M</t>
        </is>
      </c>
      <c r="O24" s="102" t="inlineStr">
        <is>
          <t>D</t>
        </is>
      </c>
      <c r="P24" s="98" t="inlineStr">
        <is>
          <t>M</t>
        </is>
      </c>
      <c r="Q24" s="97" t="n"/>
      <c r="R24" s="103" t="inlineStr">
        <is>
          <t>N</t>
        </is>
      </c>
      <c r="S24" s="97" t="n"/>
      <c r="T24" s="97" t="n"/>
      <c r="U24" s="97" t="n"/>
      <c r="V24" s="97" t="n"/>
      <c r="W24" s="97" t="n"/>
      <c r="X24" s="97" t="n"/>
      <c r="Y24" s="97" t="n"/>
      <c r="Z24" s="97" t="n"/>
      <c r="AA24" s="97" t="n"/>
      <c r="AB24" s="97" t="n"/>
      <c r="AC24" s="97" t="n"/>
      <c r="AD24" s="97" t="n"/>
      <c r="AE24" s="97" t="n"/>
      <c r="AF24" s="97" t="n"/>
      <c r="AG24" s="97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103" t="inlineStr">
        <is>
          <t>N</t>
        </is>
      </c>
      <c r="G25" s="97" t="n"/>
      <c r="H25" s="103" t="inlineStr">
        <is>
          <t>N</t>
        </is>
      </c>
      <c r="I25" s="103" t="inlineStr">
        <is>
          <t>N</t>
        </is>
      </c>
      <c r="J25" s="97" t="n"/>
      <c r="K25" s="97" t="n"/>
      <c r="L25" s="97" t="n"/>
      <c r="M25" s="103" t="inlineStr">
        <is>
          <t>N</t>
        </is>
      </c>
      <c r="N25" s="97" t="n"/>
      <c r="O25" s="103" t="inlineStr">
        <is>
          <t>N</t>
        </is>
      </c>
      <c r="P25" s="103" t="inlineStr">
        <is>
          <t>N</t>
        </is>
      </c>
      <c r="Q25" s="97" t="n"/>
      <c r="R25" s="97" t="n"/>
      <c r="S25" s="97" t="n"/>
      <c r="T25" s="103" t="inlineStr">
        <is>
          <t>N</t>
        </is>
      </c>
      <c r="U25" s="103" t="inlineStr">
        <is>
          <t>N</t>
        </is>
      </c>
      <c r="V25" s="103" t="inlineStr">
        <is>
          <t>N</t>
        </is>
      </c>
      <c r="W25" s="103" t="inlineStr">
        <is>
          <t>N</t>
        </is>
      </c>
      <c r="X25" s="97" t="n"/>
      <c r="Y25" s="97" t="n"/>
      <c r="Z25" s="97" t="n"/>
      <c r="AA25" s="97" t="n"/>
      <c r="AB25" s="103" t="inlineStr">
        <is>
          <t>N</t>
        </is>
      </c>
      <c r="AC25" s="103" t="inlineStr">
        <is>
          <t>N</t>
        </is>
      </c>
      <c r="AD25" s="103" t="inlineStr">
        <is>
          <t>N</t>
        </is>
      </c>
      <c r="AE25" s="97" t="n"/>
      <c r="AF25" s="97" t="n"/>
      <c r="AG25" s="97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102" t="inlineStr">
        <is>
          <t>D</t>
        </is>
      </c>
      <c r="E26" s="98" t="inlineStr">
        <is>
          <t>M</t>
        </is>
      </c>
      <c r="F26" s="97" t="n"/>
      <c r="G26" s="98" t="inlineStr">
        <is>
          <t>M</t>
        </is>
      </c>
      <c r="H26" s="103" t="inlineStr">
        <is>
          <t>N</t>
        </is>
      </c>
      <c r="I26" s="104" t="inlineStr">
        <is>
          <t>T</t>
        </is>
      </c>
      <c r="J26" s="102" t="inlineStr">
        <is>
          <t>D</t>
        </is>
      </c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102" t="inlineStr">
        <is>
          <t>D</t>
        </is>
      </c>
      <c r="AG26" s="98" t="inlineStr">
        <is>
          <t>M</t>
        </is>
      </c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103" t="inlineStr">
        <is>
          <t>N</t>
        </is>
      </c>
      <c r="F27" s="97" t="n"/>
      <c r="G27" s="97" t="n"/>
      <c r="H27" s="103" t="inlineStr">
        <is>
          <t>N</t>
        </is>
      </c>
      <c r="I27" s="97" t="n"/>
      <c r="J27" s="103" t="inlineStr">
        <is>
          <t>N</t>
        </is>
      </c>
      <c r="K27" s="97" t="n"/>
      <c r="L27" s="97" t="n"/>
      <c r="M27" s="97" t="n"/>
      <c r="N27" s="97" t="n"/>
      <c r="O27" s="103" t="inlineStr">
        <is>
          <t>N</t>
        </is>
      </c>
      <c r="P27" s="97" t="n"/>
      <c r="Q27" s="98" t="inlineStr">
        <is>
          <t>M</t>
        </is>
      </c>
      <c r="R27" s="97" t="n"/>
      <c r="S27" s="103" t="inlineStr">
        <is>
          <t>N</t>
        </is>
      </c>
      <c r="T27" s="97" t="n"/>
      <c r="U27" s="97" t="n"/>
      <c r="V27" s="103" t="inlineStr">
        <is>
          <t>N</t>
        </is>
      </c>
      <c r="W27" s="97" t="n"/>
      <c r="X27" s="103" t="inlineStr">
        <is>
          <t>N</t>
        </is>
      </c>
      <c r="Y27" s="97" t="n"/>
      <c r="Z27" s="103" t="inlineStr">
        <is>
          <t>N</t>
        </is>
      </c>
      <c r="AA27" s="97" t="n"/>
      <c r="AB27" s="97" t="n"/>
      <c r="AC27" s="103" t="inlineStr">
        <is>
          <t>N</t>
        </is>
      </c>
      <c r="AD27" s="98" t="inlineStr">
        <is>
          <t>M</t>
        </is>
      </c>
      <c r="AE27" s="103" t="inlineStr">
        <is>
          <t>N</t>
        </is>
      </c>
      <c r="AF27" s="97" t="n"/>
      <c r="AG27" s="97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102" t="inlineStr">
        <is>
          <t>D</t>
        </is>
      </c>
      <c r="E28" s="102" t="inlineStr">
        <is>
          <t>D</t>
        </is>
      </c>
      <c r="F28" s="102" t="inlineStr">
        <is>
          <t>D</t>
        </is>
      </c>
      <c r="G28" s="97" t="n"/>
      <c r="H28" s="104" t="inlineStr">
        <is>
          <t>T</t>
        </is>
      </c>
      <c r="I28" s="98" t="inlineStr">
        <is>
          <t>M</t>
        </is>
      </c>
      <c r="J28" s="102" t="inlineStr">
        <is>
          <t>D</t>
        </is>
      </c>
      <c r="K28" s="97" t="n"/>
      <c r="L28" s="97" t="n"/>
      <c r="M28" s="98" t="inlineStr">
        <is>
          <t>M</t>
        </is>
      </c>
      <c r="N28" s="103" t="inlineStr">
        <is>
          <t>N</t>
        </is>
      </c>
      <c r="O28" s="104" t="inlineStr">
        <is>
          <t>T</t>
        </is>
      </c>
      <c r="P28" s="102" t="inlineStr">
        <is>
          <t>D</t>
        </is>
      </c>
      <c r="Q28" s="97" t="n"/>
      <c r="R28" s="97" t="n"/>
      <c r="S28" s="97" t="n"/>
      <c r="T28" s="97" t="n"/>
      <c r="U28" s="97" t="n"/>
      <c r="V28" s="97" t="n"/>
      <c r="W28" s="102" t="inlineStr">
        <is>
          <t>D</t>
        </is>
      </c>
      <c r="X28" s="103" t="inlineStr">
        <is>
          <t>N</t>
        </is>
      </c>
      <c r="Y28" s="97" t="n"/>
      <c r="Z28" s="105" t="inlineStr">
        <is>
          <t>NT</t>
        </is>
      </c>
      <c r="AA28" s="97" t="n"/>
      <c r="AB28" s="98" t="inlineStr">
        <is>
          <t>M</t>
        </is>
      </c>
      <c r="AC28" s="97" t="n"/>
      <c r="AD28" s="102" t="inlineStr">
        <is>
          <t>D</t>
        </is>
      </c>
      <c r="AE28" s="97" t="n"/>
      <c r="AF28" s="103" t="inlineStr">
        <is>
          <t>N</t>
        </is>
      </c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98" t="inlineStr">
        <is>
          <t>M</t>
        </is>
      </c>
      <c r="E29" s="98" t="inlineStr">
        <is>
          <t>M</t>
        </is>
      </c>
      <c r="F29" s="97" t="n"/>
      <c r="G29" s="103" t="inlineStr">
        <is>
          <t>N</t>
        </is>
      </c>
      <c r="H29" s="97" t="n"/>
      <c r="I29" s="98" t="inlineStr">
        <is>
          <t>M</t>
        </is>
      </c>
      <c r="J29" s="98" t="inlineStr">
        <is>
          <t>M</t>
        </is>
      </c>
      <c r="K29" s="97" t="n"/>
      <c r="L29" s="98" t="inlineStr">
        <is>
          <t>M</t>
        </is>
      </c>
      <c r="M29" s="97" t="n"/>
      <c r="N29" s="103" t="inlineStr">
        <is>
          <t>N</t>
        </is>
      </c>
      <c r="O29" s="97" t="n"/>
      <c r="P29" s="98" t="inlineStr">
        <is>
          <t>M</t>
        </is>
      </c>
      <c r="Q29" s="98" t="inlineStr">
        <is>
          <t>M</t>
        </is>
      </c>
      <c r="R29" s="97" t="n"/>
      <c r="S29" s="98" t="inlineStr">
        <is>
          <t>M</t>
        </is>
      </c>
      <c r="T29" s="97" t="n"/>
      <c r="U29" s="103" t="inlineStr">
        <is>
          <t>N</t>
        </is>
      </c>
      <c r="V29" s="97" t="n"/>
      <c r="W29" s="98" t="inlineStr">
        <is>
          <t>M</t>
        </is>
      </c>
      <c r="X29" s="98" t="inlineStr">
        <is>
          <t>M</t>
        </is>
      </c>
      <c r="Y29" s="97" t="n"/>
      <c r="Z29" s="98" t="inlineStr">
        <is>
          <t>M</t>
        </is>
      </c>
      <c r="AA29" s="97" t="n"/>
      <c r="AB29" s="103" t="inlineStr">
        <is>
          <t>N</t>
        </is>
      </c>
      <c r="AC29" s="97" t="n"/>
      <c r="AD29" s="98" t="inlineStr">
        <is>
          <t>M</t>
        </is>
      </c>
      <c r="AE29" s="98" t="inlineStr">
        <is>
          <t>M</t>
        </is>
      </c>
      <c r="AF29" s="97" t="n"/>
      <c r="AG29" s="98" t="inlineStr">
        <is>
          <t>M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97" t="n"/>
      <c r="E30" s="103" t="inlineStr">
        <is>
          <t>N</t>
        </is>
      </c>
      <c r="F30" s="97" t="n"/>
      <c r="G30" s="97" t="n"/>
      <c r="H30" s="103" t="inlineStr">
        <is>
          <t>N</t>
        </is>
      </c>
      <c r="I30" s="104" t="inlineStr">
        <is>
          <t>T</t>
        </is>
      </c>
      <c r="J30" s="97" t="n"/>
      <c r="K30" s="104" t="inlineStr">
        <is>
          <t>T</t>
        </is>
      </c>
      <c r="L30" s="97" t="n"/>
      <c r="M30" s="97" t="n"/>
      <c r="N30" s="97" t="n"/>
      <c r="O30" s="103" t="inlineStr">
        <is>
          <t>N</t>
        </is>
      </c>
      <c r="P30" s="97" t="n"/>
      <c r="Q30" s="97" t="n"/>
      <c r="R30" s="103" t="inlineStr">
        <is>
          <t>N</t>
        </is>
      </c>
      <c r="S30" s="97" t="n"/>
      <c r="T30" s="102" t="inlineStr">
        <is>
          <t>D</t>
        </is>
      </c>
      <c r="U30" s="97" t="n"/>
      <c r="V30" s="103" t="inlineStr">
        <is>
          <t>N</t>
        </is>
      </c>
      <c r="W30" s="104" t="inlineStr">
        <is>
          <t>T</t>
        </is>
      </c>
      <c r="X30" s="97" t="n"/>
      <c r="Y30" s="97" t="n"/>
      <c r="Z30" s="97" t="n"/>
      <c r="AA30" s="103" t="inlineStr">
        <is>
          <t>N</t>
        </is>
      </c>
      <c r="AB30" s="97" t="n"/>
      <c r="AC30" s="103" t="inlineStr">
        <is>
          <t>N</t>
        </is>
      </c>
      <c r="AD30" s="104" t="inlineStr">
        <is>
          <t>T</t>
        </is>
      </c>
      <c r="AE30" s="97" t="n"/>
      <c r="AF30" s="97" t="n"/>
      <c r="AG30" s="97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8" t="inlineStr">
        <is>
          <t>M</t>
        </is>
      </c>
      <c r="E31" s="103" t="inlineStr">
        <is>
          <t>N</t>
        </is>
      </c>
      <c r="F31" s="97" t="n"/>
      <c r="G31" s="104" t="inlineStr">
        <is>
          <t>T</t>
        </is>
      </c>
      <c r="H31" s="102" t="inlineStr">
        <is>
          <t>D</t>
        </is>
      </c>
      <c r="I31" s="102" t="inlineStr">
        <is>
          <t>D</t>
        </is>
      </c>
      <c r="J31" s="97" t="n"/>
      <c r="K31" s="97" t="n"/>
      <c r="L31" s="97" t="n"/>
      <c r="M31" s="104" t="inlineStr">
        <is>
          <t>T</t>
        </is>
      </c>
      <c r="N31" s="102" t="inlineStr">
        <is>
          <t>D</t>
        </is>
      </c>
      <c r="O31" s="97" t="n"/>
      <c r="P31" s="104" t="inlineStr">
        <is>
          <t>T</t>
        </is>
      </c>
      <c r="Q31" s="97" t="n"/>
      <c r="R31" s="98" t="inlineStr">
        <is>
          <t>M</t>
        </is>
      </c>
      <c r="S31" s="103" t="inlineStr">
        <is>
          <t>N</t>
        </is>
      </c>
      <c r="T31" s="97" t="n"/>
      <c r="U31" s="102" t="inlineStr">
        <is>
          <t>D</t>
        </is>
      </c>
      <c r="V31" s="98" t="inlineStr">
        <is>
          <t>M</t>
        </is>
      </c>
      <c r="W31" s="102" t="inlineStr">
        <is>
          <t>D</t>
        </is>
      </c>
      <c r="X31" s="97" t="n"/>
      <c r="Y31" s="98" t="inlineStr">
        <is>
          <t>M</t>
        </is>
      </c>
      <c r="Z31" s="97" t="n"/>
      <c r="AA31" s="97" t="n"/>
      <c r="AB31" s="102" t="inlineStr">
        <is>
          <t>D</t>
        </is>
      </c>
      <c r="AC31" s="97" t="n"/>
      <c r="AD31" s="102" t="inlineStr">
        <is>
          <t>D</t>
        </is>
      </c>
      <c r="AE31" s="97" t="n"/>
      <c r="AF31" s="98" t="inlineStr">
        <is>
          <t>M</t>
        </is>
      </c>
      <c r="AG31" s="98" t="inlineStr">
        <is>
          <t>M</t>
        </is>
      </c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103" t="inlineStr">
        <is>
          <t>N</t>
        </is>
      </c>
      <c r="E32" s="97" t="n"/>
      <c r="F32" s="98" t="inlineStr">
        <is>
          <t>M</t>
        </is>
      </c>
      <c r="G32" s="103" t="inlineStr">
        <is>
          <t>N</t>
        </is>
      </c>
      <c r="H32" s="97" t="n"/>
      <c r="I32" s="97" t="n"/>
      <c r="J32" s="97" t="n"/>
      <c r="K32" s="103" t="inlineStr">
        <is>
          <t>N</t>
        </is>
      </c>
      <c r="L32" s="97" t="n"/>
      <c r="M32" s="102" t="inlineStr">
        <is>
          <t>D</t>
        </is>
      </c>
      <c r="N32" s="102" t="inlineStr">
        <is>
          <t>D</t>
        </is>
      </c>
      <c r="O32" s="97" t="n"/>
      <c r="P32" s="97" t="n"/>
      <c r="Q32" s="104" t="inlineStr">
        <is>
          <t>T</t>
        </is>
      </c>
      <c r="R32" s="97" t="n"/>
      <c r="S32" s="97" t="n"/>
      <c r="T32" s="98" t="inlineStr">
        <is>
          <t>M</t>
        </is>
      </c>
      <c r="U32" s="103" t="inlineStr">
        <is>
          <t>N</t>
        </is>
      </c>
      <c r="V32" s="97" t="n"/>
      <c r="W32" s="97" t="n"/>
      <c r="X32" s="97" t="n"/>
      <c r="Y32" s="97" t="n"/>
      <c r="Z32" s="98" t="inlineStr">
        <is>
          <t>M</t>
        </is>
      </c>
      <c r="AA32" s="98" t="inlineStr">
        <is>
          <t>M</t>
        </is>
      </c>
      <c r="AB32" s="97" t="n"/>
      <c r="AC32" s="97" t="n"/>
      <c r="AD32" s="103" t="inlineStr">
        <is>
          <t>N</t>
        </is>
      </c>
      <c r="AE32" s="97" t="n"/>
      <c r="AF32" s="104" t="inlineStr">
        <is>
          <t>T</t>
        </is>
      </c>
      <c r="AG32" s="97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102" t="inlineStr">
        <is>
          <t>D</t>
        </is>
      </c>
      <c r="E34" s="97" t="n"/>
      <c r="F34" s="97" t="n"/>
      <c r="G34" s="97" t="n"/>
      <c r="H34" s="97" t="n"/>
      <c r="I34" s="102" t="inlineStr">
        <is>
          <t>D</t>
        </is>
      </c>
      <c r="J34" s="97" t="n"/>
      <c r="K34" s="97" t="n"/>
      <c r="L34" s="102" t="inlineStr">
        <is>
          <t>D</t>
        </is>
      </c>
      <c r="M34" s="98" t="inlineStr">
        <is>
          <t>M</t>
        </is>
      </c>
      <c r="N34" s="97" t="n"/>
      <c r="O34" s="102" t="inlineStr">
        <is>
          <t>D</t>
        </is>
      </c>
      <c r="P34" s="98" t="inlineStr">
        <is>
          <t>M</t>
        </is>
      </c>
      <c r="Q34" s="97" t="n"/>
      <c r="R34" s="103" t="inlineStr">
        <is>
          <t>N</t>
        </is>
      </c>
      <c r="S34" s="97" t="n"/>
      <c r="T34" s="97" t="n"/>
      <c r="U34" s="97" t="n"/>
      <c r="V34" s="97" t="n"/>
      <c r="W34" s="102" t="inlineStr">
        <is>
          <t>D</t>
        </is>
      </c>
      <c r="X34" s="98" t="inlineStr">
        <is>
          <t>M</t>
        </is>
      </c>
      <c r="Y34" s="97" t="n"/>
      <c r="Z34" s="97" t="n"/>
      <c r="AA34" s="102" t="inlineStr">
        <is>
          <t>D</t>
        </is>
      </c>
      <c r="AB34" s="97" t="n"/>
      <c r="AC34" s="102" t="inlineStr">
        <is>
          <t>D</t>
        </is>
      </c>
      <c r="AD34" s="98" t="inlineStr">
        <is>
          <t>M</t>
        </is>
      </c>
      <c r="AE34" s="102" t="inlineStr">
        <is>
          <t>D</t>
        </is>
      </c>
      <c r="AF34" s="97" t="n"/>
      <c r="AG34" s="97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97" t="n"/>
      <c r="E35" s="97" t="n"/>
      <c r="F35" s="102" t="inlineStr">
        <is>
          <t>D</t>
        </is>
      </c>
      <c r="G35" s="103" t="inlineStr">
        <is>
          <t>N</t>
        </is>
      </c>
      <c r="H35" s="97" t="n"/>
      <c r="I35" s="102" t="inlineStr">
        <is>
          <t>D</t>
        </is>
      </c>
      <c r="J35" s="97" t="n"/>
      <c r="K35" s="97" t="n"/>
      <c r="L35" s="98" t="inlineStr">
        <is>
          <t>M</t>
        </is>
      </c>
      <c r="M35" s="97" t="n"/>
      <c r="N35" s="97" t="n"/>
      <c r="O35" s="98" t="inlineStr">
        <is>
          <t>M</t>
        </is>
      </c>
      <c r="P35" s="97" t="n"/>
      <c r="Q35" s="103" t="inlineStr">
        <is>
          <t>N</t>
        </is>
      </c>
      <c r="R35" s="97" t="n"/>
      <c r="S35" s="103" t="inlineStr">
        <is>
          <t>N</t>
        </is>
      </c>
      <c r="T35" s="97" t="n"/>
      <c r="U35" s="103" t="inlineStr">
        <is>
          <t>N</t>
        </is>
      </c>
      <c r="V35" s="97" t="n"/>
      <c r="W35" s="104" t="inlineStr">
        <is>
          <t>T</t>
        </is>
      </c>
      <c r="X35" s="97" t="n"/>
      <c r="Y35" s="103" t="inlineStr">
        <is>
          <t>N</t>
        </is>
      </c>
      <c r="Z35" s="97" t="n"/>
      <c r="AA35" s="97" t="n"/>
      <c r="AB35" s="103" t="inlineStr">
        <is>
          <t>N</t>
        </is>
      </c>
      <c r="AC35" s="98" t="inlineStr">
        <is>
          <t>M</t>
        </is>
      </c>
      <c r="AD35" s="97" t="n"/>
      <c r="AE35" s="103" t="inlineStr">
        <is>
          <t>N</t>
        </is>
      </c>
      <c r="AF35" s="97" t="n"/>
      <c r="AG35" s="97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102" t="inlineStr">
        <is>
          <t>D</t>
        </is>
      </c>
      <c r="E36" s="104" t="inlineStr">
        <is>
          <t>T</t>
        </is>
      </c>
      <c r="F36" s="104" t="inlineStr">
        <is>
          <t>T</t>
        </is>
      </c>
      <c r="G36" s="97" t="n"/>
      <c r="H36" s="103" t="inlineStr">
        <is>
          <t>N</t>
        </is>
      </c>
      <c r="I36" s="97" t="n"/>
      <c r="J36" s="98" t="inlineStr">
        <is>
          <t>M</t>
        </is>
      </c>
      <c r="K36" s="102" t="inlineStr">
        <is>
          <t>D</t>
        </is>
      </c>
      <c r="L36" s="97" t="n"/>
      <c r="M36" s="97" t="n"/>
      <c r="N36" s="97" t="n"/>
      <c r="O36" s="105" t="inlineStr">
        <is>
          <t>NT</t>
        </is>
      </c>
      <c r="P36" s="97" t="n"/>
      <c r="Q36" s="97" t="n"/>
      <c r="R36" s="98" t="inlineStr">
        <is>
          <t>M</t>
        </is>
      </c>
      <c r="S36" s="102" t="inlineStr">
        <is>
          <t>D</t>
        </is>
      </c>
      <c r="T36" s="98" t="inlineStr">
        <is>
          <t>M</t>
        </is>
      </c>
      <c r="U36" s="97" t="n"/>
      <c r="V36" s="103" t="inlineStr">
        <is>
          <t>N</t>
        </is>
      </c>
      <c r="W36" s="97" t="n"/>
      <c r="X36" s="98" t="inlineStr">
        <is>
          <t>M</t>
        </is>
      </c>
      <c r="Y36" s="102" t="inlineStr">
        <is>
          <t>D</t>
        </is>
      </c>
      <c r="Z36" s="97" t="n"/>
      <c r="AA36" s="97" t="n"/>
      <c r="AB36" s="98" t="inlineStr">
        <is>
          <t>M</t>
        </is>
      </c>
      <c r="AC36" s="103" t="inlineStr">
        <is>
          <t>N</t>
        </is>
      </c>
      <c r="AD36" s="97" t="n"/>
      <c r="AE36" s="97" t="n"/>
      <c r="AF36" s="102" t="inlineStr">
        <is>
          <t>D</t>
        </is>
      </c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97" t="n"/>
      <c r="E37" s="97" t="n"/>
      <c r="F37" s="103" t="inlineStr">
        <is>
          <t>N</t>
        </is>
      </c>
      <c r="G37" s="97" t="n"/>
      <c r="H37" s="102" t="inlineStr">
        <is>
          <t>D</t>
        </is>
      </c>
      <c r="I37" s="97" t="n"/>
      <c r="J37" s="102" t="inlineStr">
        <is>
          <t>D</t>
        </is>
      </c>
      <c r="K37" s="98" t="inlineStr">
        <is>
          <t>M</t>
        </is>
      </c>
      <c r="L37" s="97" t="n"/>
      <c r="M37" s="97" t="n"/>
      <c r="N37" s="97" t="n"/>
      <c r="O37" s="102" t="inlineStr">
        <is>
          <t>D</t>
        </is>
      </c>
      <c r="P37" s="97" t="n"/>
      <c r="Q37" s="97" t="n"/>
      <c r="R37" s="98" t="inlineStr">
        <is>
          <t>M</t>
        </is>
      </c>
      <c r="S37" s="97" t="n"/>
      <c r="T37" s="103" t="inlineStr">
        <is>
          <t>N</t>
        </is>
      </c>
      <c r="U37" s="98" t="inlineStr">
        <is>
          <t>M</t>
        </is>
      </c>
      <c r="V37" s="97" t="n"/>
      <c r="W37" s="98" t="inlineStr">
        <is>
          <t>M</t>
        </is>
      </c>
      <c r="X37" s="104" t="inlineStr">
        <is>
          <t>T</t>
        </is>
      </c>
      <c r="Y37" s="98" t="inlineStr">
        <is>
          <t>M</t>
        </is>
      </c>
      <c r="Z37" s="104" t="inlineStr">
        <is>
          <t>T</t>
        </is>
      </c>
      <c r="AA37" s="97" t="n"/>
      <c r="AB37" s="98" t="inlineStr">
        <is>
          <t>M</t>
        </is>
      </c>
      <c r="AC37" s="102" t="inlineStr">
        <is>
          <t>D</t>
        </is>
      </c>
      <c r="AD37" s="97" t="n"/>
      <c r="AE37" s="102" t="inlineStr">
        <is>
          <t>D</t>
        </is>
      </c>
      <c r="AF37" s="97" t="n"/>
      <c r="AG37" s="97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97" t="n"/>
      <c r="E39" s="103" t="inlineStr">
        <is>
          <t>N</t>
        </is>
      </c>
      <c r="F39" s="97" t="n"/>
      <c r="G39" s="104" t="inlineStr">
        <is>
          <t>T</t>
        </is>
      </c>
      <c r="H39" s="98" t="inlineStr">
        <is>
          <t>M</t>
        </is>
      </c>
      <c r="I39" s="97" t="n"/>
      <c r="J39" s="97" t="n"/>
      <c r="K39" s="98" t="inlineStr">
        <is>
          <t>M</t>
        </is>
      </c>
      <c r="L39" s="104" t="inlineStr">
        <is>
          <t>T</t>
        </is>
      </c>
      <c r="M39" s="97" t="n"/>
      <c r="N39" s="104" t="inlineStr">
        <is>
          <t>T</t>
        </is>
      </c>
      <c r="O39" s="98" t="inlineStr">
        <is>
          <t>M</t>
        </is>
      </c>
      <c r="P39" s="97" t="n"/>
      <c r="Q39" s="104" t="inlineStr">
        <is>
          <t>T</t>
        </is>
      </c>
      <c r="R39" s="98" t="inlineStr">
        <is>
          <t>M</t>
        </is>
      </c>
      <c r="S39" s="97" t="n"/>
      <c r="T39" s="97" t="n"/>
      <c r="U39" s="97" t="n"/>
      <c r="V39" s="98" t="inlineStr">
        <is>
          <t>M</t>
        </is>
      </c>
      <c r="W39" s="102" t="inlineStr">
        <is>
          <t>D</t>
        </is>
      </c>
      <c r="X39" s="97" t="n"/>
      <c r="Y39" s="98" t="inlineStr">
        <is>
          <t>M</t>
        </is>
      </c>
      <c r="Z39" s="97" t="n"/>
      <c r="AA39" s="97" t="n"/>
      <c r="AB39" s="97" t="n"/>
      <c r="AC39" s="98" t="inlineStr">
        <is>
          <t>M</t>
        </is>
      </c>
      <c r="AD39" s="97" t="n"/>
      <c r="AE39" s="98" t="inlineStr">
        <is>
          <t>M</t>
        </is>
      </c>
      <c r="AF39" s="97" t="n"/>
      <c r="AG39" s="103" t="inlineStr">
        <is>
          <t>N</t>
        </is>
      </c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8" t="inlineStr">
        <is>
          <t>M</t>
        </is>
      </c>
      <c r="H41" s="98" t="inlineStr">
        <is>
          <t>M</t>
        </is>
      </c>
      <c r="I41" s="103" t="inlineStr">
        <is>
          <t>N</t>
        </is>
      </c>
      <c r="J41" s="97" t="n"/>
      <c r="K41" s="97" t="n"/>
      <c r="L41" s="97" t="n"/>
      <c r="M41" s="97" t="n"/>
      <c r="N41" s="97" t="n"/>
      <c r="O41" s="97" t="n"/>
      <c r="P41" s="97" t="n"/>
      <c r="Q41" s="102" t="inlineStr">
        <is>
          <t>D</t>
        </is>
      </c>
      <c r="R41" s="97" t="n"/>
      <c r="S41" s="103" t="inlineStr">
        <is>
          <t>N</t>
        </is>
      </c>
      <c r="T41" s="97" t="n"/>
      <c r="U41" s="97" t="n"/>
      <c r="V41" s="97" t="n"/>
      <c r="W41" s="97" t="n"/>
      <c r="X41" s="97" t="n"/>
      <c r="Y41" s="102" t="inlineStr">
        <is>
          <t>D</t>
        </is>
      </c>
      <c r="Z41" s="102" t="inlineStr">
        <is>
          <t>D</t>
        </is>
      </c>
      <c r="AA41" s="97" t="n"/>
      <c r="AB41" s="97" t="n"/>
      <c r="AC41" s="97" t="n"/>
      <c r="AD41" s="97" t="n"/>
      <c r="AE41" s="97" t="n"/>
      <c r="AF41" s="102" t="inlineStr">
        <is>
          <t>D</t>
        </is>
      </c>
      <c r="AG41" s="97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104" t="inlineStr">
        <is>
          <t>T</t>
        </is>
      </c>
      <c r="L42" s="104" t="inlineStr">
        <is>
          <t>T</t>
        </is>
      </c>
      <c r="M42" s="103" t="inlineStr">
        <is>
          <t>N</t>
        </is>
      </c>
      <c r="N42" s="97" t="n"/>
      <c r="O42" s="97" t="n"/>
      <c r="P42" s="103" t="inlineStr">
        <is>
          <t>N</t>
        </is>
      </c>
      <c r="Q42" s="103" t="inlineStr">
        <is>
          <t>N</t>
        </is>
      </c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105" t="inlineStr">
        <is>
          <t>NT</t>
        </is>
      </c>
      <c r="W43" s="97" t="n"/>
      <c r="X43" s="103" t="inlineStr">
        <is>
          <t>N</t>
        </is>
      </c>
      <c r="Y43" s="97" t="n"/>
      <c r="Z43" s="97" t="n"/>
      <c r="AA43" s="103" t="inlineStr">
        <is>
          <t>N</t>
        </is>
      </c>
      <c r="AB43" s="97" t="n"/>
      <c r="AC43" s="103" t="inlineStr">
        <is>
          <t>N</t>
        </is>
      </c>
      <c r="AD43" s="97" t="n"/>
      <c r="AE43" s="97" t="n"/>
      <c r="AF43" s="103" t="inlineStr">
        <is>
          <t>N</t>
        </is>
      </c>
      <c r="AG43" s="105" t="inlineStr">
        <is>
          <t>NT</t>
        </is>
      </c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102" t="inlineStr">
        <is>
          <t>D</t>
        </is>
      </c>
      <c r="E44" s="97" t="n"/>
      <c r="F44" s="97" t="n"/>
      <c r="G44" s="97" t="n"/>
      <c r="H44" s="102" t="inlineStr">
        <is>
          <t>D</t>
        </is>
      </c>
      <c r="I44" s="97" t="n"/>
      <c r="J44" s="97" t="n"/>
      <c r="K44" s="102" t="inlineStr">
        <is>
          <t>D</t>
        </is>
      </c>
      <c r="L44" s="97" t="n"/>
      <c r="M44" s="97" t="n"/>
      <c r="N44" s="97" t="n"/>
      <c r="O44" s="97" t="n"/>
      <c r="P44" s="97" t="n"/>
      <c r="Q44" s="97" t="n"/>
      <c r="R44" s="102" t="inlineStr">
        <is>
          <t>D</t>
        </is>
      </c>
      <c r="S44" s="102" t="inlineStr">
        <is>
          <t>D</t>
        </is>
      </c>
      <c r="T44" s="98" t="inlineStr">
        <is>
          <t>M</t>
        </is>
      </c>
      <c r="U44" s="97" t="n"/>
      <c r="V44" s="97" t="n"/>
      <c r="W44" s="97" t="n"/>
      <c r="X44" s="97" t="n"/>
      <c r="Y44" s="103" t="inlineStr">
        <is>
          <t>N</t>
        </is>
      </c>
      <c r="Z44" s="97" t="n"/>
      <c r="AA44" s="102" t="inlineStr">
        <is>
          <t>D</t>
        </is>
      </c>
      <c r="AB44" s="97" t="n"/>
      <c r="AC44" s="102" t="inlineStr">
        <is>
          <t>D</t>
        </is>
      </c>
      <c r="AD44" s="98" t="inlineStr">
        <is>
          <t>M</t>
        </is>
      </c>
      <c r="AE44" s="97" t="n"/>
      <c r="AF44" s="97" t="n"/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8" t="inlineStr">
        <is>
          <t>M</t>
        </is>
      </c>
      <c r="E45" s="98" t="inlineStr">
        <is>
          <t>M</t>
        </is>
      </c>
      <c r="F45" s="97" t="n"/>
      <c r="G45" s="97" t="n"/>
      <c r="H45" s="97" t="n"/>
      <c r="I45" s="97" t="n"/>
      <c r="J45" s="97" t="n"/>
      <c r="K45" s="103" t="inlineStr">
        <is>
          <t>N</t>
        </is>
      </c>
      <c r="L45" s="97" t="n"/>
      <c r="M45" s="103" t="inlineStr">
        <is>
          <t>N</t>
        </is>
      </c>
      <c r="N45" s="98" t="inlineStr">
        <is>
          <t>M</t>
        </is>
      </c>
      <c r="O45" s="102" t="inlineStr">
        <is>
          <t>D</t>
        </is>
      </c>
      <c r="P45" s="97" t="n"/>
      <c r="Q45" s="98" t="inlineStr">
        <is>
          <t>M</t>
        </is>
      </c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103" t="inlineStr">
        <is>
          <t>N</t>
        </is>
      </c>
      <c r="E46" s="97" t="n"/>
      <c r="F46" s="97" t="n"/>
      <c r="G46" s="97" t="n"/>
      <c r="H46" s="102" t="inlineStr">
        <is>
          <t>D</t>
        </is>
      </c>
      <c r="I46" s="97" t="n"/>
      <c r="J46" s="97" t="n"/>
      <c r="K46" s="102" t="inlineStr">
        <is>
          <t>D</t>
        </is>
      </c>
      <c r="L46" s="97" t="n"/>
      <c r="M46" s="97" t="n"/>
      <c r="N46" s="97" t="n"/>
      <c r="O46" s="102" t="inlineStr">
        <is>
          <t>D</t>
        </is>
      </c>
      <c r="P46" s="97" t="n"/>
      <c r="Q46" s="97" t="n"/>
      <c r="R46" s="97" t="n"/>
      <c r="S46" s="98" t="inlineStr">
        <is>
          <t>M</t>
        </is>
      </c>
      <c r="T46" s="103" t="inlineStr">
        <is>
          <t>N</t>
        </is>
      </c>
      <c r="U46" s="97" t="n"/>
      <c r="V46" s="102" t="inlineStr">
        <is>
          <t>D</t>
        </is>
      </c>
      <c r="W46" s="97" t="n"/>
      <c r="X46" s="97" t="n"/>
      <c r="Y46" s="104" t="inlineStr">
        <is>
          <t>T</t>
        </is>
      </c>
      <c r="Z46" s="97" t="n"/>
      <c r="AA46" s="97" t="n"/>
      <c r="AB46" s="97" t="n"/>
      <c r="AC46" s="98" t="inlineStr">
        <is>
          <t>M</t>
        </is>
      </c>
      <c r="AD46" s="97" t="n"/>
      <c r="AE46" s="97" t="n"/>
      <c r="AF46" s="97" t="n"/>
      <c r="AG46" s="104" t="inlineStr">
        <is>
          <t>T</t>
        </is>
      </c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104" t="inlineStr">
        <is>
          <t>T</t>
        </is>
      </c>
      <c r="G49" s="97" t="n"/>
      <c r="H49" s="97" t="n"/>
      <c r="I49" s="102" t="inlineStr">
        <is>
          <t>D</t>
        </is>
      </c>
      <c r="J49" s="97" t="n"/>
      <c r="K49" s="97" t="n"/>
      <c r="L49" s="102" t="inlineStr">
        <is>
          <t>D</t>
        </is>
      </c>
      <c r="M49" s="98" t="inlineStr">
        <is>
          <t>M</t>
        </is>
      </c>
      <c r="N49" s="102" t="inlineStr">
        <is>
          <t>D</t>
        </is>
      </c>
      <c r="O49" s="97" t="n"/>
      <c r="P49" s="102" t="inlineStr">
        <is>
          <t>D</t>
        </is>
      </c>
      <c r="Q49" s="104" t="inlineStr">
        <is>
          <t>T</t>
        </is>
      </c>
      <c r="R49" s="97" t="n"/>
      <c r="S49" s="97" t="n"/>
      <c r="T49" s="97" t="n"/>
      <c r="U49" s="102" t="inlineStr">
        <is>
          <t>D</t>
        </is>
      </c>
      <c r="V49" s="97" t="n"/>
      <c r="W49" s="102" t="inlineStr">
        <is>
          <t>D</t>
        </is>
      </c>
      <c r="X49" s="98" t="inlineStr">
        <is>
          <t>M</t>
        </is>
      </c>
      <c r="Y49" s="97" t="n"/>
      <c r="Z49" s="97" t="n"/>
      <c r="AA49" s="97" t="n"/>
      <c r="AB49" s="102" t="inlineStr">
        <is>
          <t>D</t>
        </is>
      </c>
      <c r="AC49" s="97" t="n"/>
      <c r="AD49" s="104" t="inlineStr">
        <is>
          <t>T</t>
        </is>
      </c>
      <c r="AE49" s="97" t="n"/>
      <c r="AF49" s="103" t="inlineStr">
        <is>
          <t>N</t>
        </is>
      </c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104" t="inlineStr">
        <is>
          <t>T</t>
        </is>
      </c>
      <c r="E50" s="97" t="n"/>
      <c r="F50" s="97" t="n"/>
      <c r="G50" s="97" t="n"/>
      <c r="H50" s="97" t="n"/>
      <c r="I50" s="98" t="inlineStr">
        <is>
          <t>M</t>
        </is>
      </c>
      <c r="J50" s="97" t="n"/>
      <c r="K50" s="103" t="inlineStr">
        <is>
          <t>N</t>
        </is>
      </c>
      <c r="L50" s="97" t="n"/>
      <c r="M50" s="98" t="inlineStr">
        <is>
          <t>M</t>
        </is>
      </c>
      <c r="N50" s="104" t="inlineStr">
        <is>
          <t>T</t>
        </is>
      </c>
      <c r="O50" s="98" t="inlineStr">
        <is>
          <t>M</t>
        </is>
      </c>
      <c r="P50" s="97" t="n"/>
      <c r="Q50" s="97" t="n"/>
      <c r="R50" s="104" t="inlineStr">
        <is>
          <t>T</t>
        </is>
      </c>
      <c r="S50" s="97" t="n"/>
      <c r="T50" s="104" t="inlineStr">
        <is>
          <t>T</t>
        </is>
      </c>
      <c r="U50" s="97" t="n"/>
      <c r="V50" s="97" t="n"/>
      <c r="W50" s="98" t="inlineStr">
        <is>
          <t>M</t>
        </is>
      </c>
      <c r="X50" s="97" t="n"/>
      <c r="Y50" s="97" t="n"/>
      <c r="Z50" s="102" t="inlineStr">
        <is>
          <t>D</t>
        </is>
      </c>
      <c r="AA50" s="98" t="inlineStr">
        <is>
          <t>M</t>
        </is>
      </c>
      <c r="AB50" s="97" t="n"/>
      <c r="AC50" s="98" t="inlineStr">
        <is>
          <t>M</t>
        </is>
      </c>
      <c r="AD50" s="102" t="inlineStr">
        <is>
          <t>D</t>
        </is>
      </c>
      <c r="AE50" s="97" t="n"/>
      <c r="AF50" s="104" t="inlineStr">
        <is>
          <t>T</t>
        </is>
      </c>
      <c r="AG50" s="97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103" t="inlineStr">
        <is>
          <t>N</t>
        </is>
      </c>
      <c r="F52" s="97" t="n"/>
      <c r="G52" s="103" t="inlineStr">
        <is>
          <t>N</t>
        </is>
      </c>
      <c r="H52" s="97" t="n"/>
      <c r="I52" s="97" t="n"/>
      <c r="J52" s="103" t="inlineStr">
        <is>
          <t>N</t>
        </is>
      </c>
      <c r="K52" s="97" t="n"/>
      <c r="L52" s="97" t="n"/>
      <c r="M52" s="97" t="n"/>
      <c r="N52" s="103" t="inlineStr">
        <is>
          <t>N</t>
        </is>
      </c>
      <c r="O52" s="97" t="n"/>
      <c r="P52" s="97" t="n"/>
      <c r="Q52" s="97" t="n"/>
      <c r="R52" s="97" t="n"/>
      <c r="S52" s="103" t="inlineStr">
        <is>
          <t>N</t>
        </is>
      </c>
      <c r="T52" s="97" t="n"/>
      <c r="U52" s="103" t="inlineStr">
        <is>
          <t>N</t>
        </is>
      </c>
      <c r="V52" s="97" t="n"/>
      <c r="W52" s="97" t="n"/>
      <c r="X52" s="103" t="inlineStr">
        <is>
          <t>N</t>
        </is>
      </c>
      <c r="Y52" s="97" t="n"/>
      <c r="Z52" s="97" t="n"/>
      <c r="AA52" s="97" t="n"/>
      <c r="AB52" s="103" t="inlineStr">
        <is>
          <t>N</t>
        </is>
      </c>
      <c r="AC52" s="97" t="n"/>
      <c r="AD52" s="97" t="n"/>
      <c r="AE52" s="97" t="n"/>
      <c r="AF52" s="97" t="n"/>
      <c r="AG52" s="103" t="inlineStr">
        <is>
          <t>N</t>
        </is>
      </c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103" t="inlineStr">
        <is>
          <t>N</t>
        </is>
      </c>
      <c r="G53" s="103" t="inlineStr">
        <is>
          <t>N</t>
        </is>
      </c>
      <c r="H53" s="103" t="inlineStr">
        <is>
          <t>N</t>
        </is>
      </c>
      <c r="I53" s="97" t="n"/>
      <c r="J53" s="97" t="n"/>
      <c r="K53" s="97" t="n"/>
      <c r="L53" s="97" t="n"/>
      <c r="M53" s="97" t="n"/>
      <c r="N53" s="103" t="inlineStr">
        <is>
          <t>N</t>
        </is>
      </c>
      <c r="O53" s="103" t="inlineStr">
        <is>
          <t>N</t>
        </is>
      </c>
      <c r="P53" s="97" t="n"/>
      <c r="Q53" s="97" t="n"/>
      <c r="R53" s="97" t="n"/>
      <c r="S53" s="97" t="n"/>
      <c r="T53" s="97" t="n"/>
      <c r="U53" s="103" t="inlineStr">
        <is>
          <t>N</t>
        </is>
      </c>
      <c r="V53" s="103" t="inlineStr">
        <is>
          <t>N</t>
        </is>
      </c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102" t="inlineStr">
        <is>
          <t>D</t>
        </is>
      </c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97" t="n"/>
      <c r="F54" s="97" t="n"/>
      <c r="G54" s="97" t="n"/>
      <c r="H54" s="97" t="n"/>
      <c r="I54" s="97" t="n"/>
      <c r="J54" s="103" t="inlineStr">
        <is>
          <t>N</t>
        </is>
      </c>
      <c r="K54" s="97" t="n"/>
      <c r="L54" s="104" t="inlineStr">
        <is>
          <t>T</t>
        </is>
      </c>
      <c r="M54" s="102" t="inlineStr">
        <is>
          <t>D</t>
        </is>
      </c>
      <c r="N54" s="97" t="n"/>
      <c r="O54" s="97" t="n"/>
      <c r="P54" s="104" t="inlineStr">
        <is>
          <t>T</t>
        </is>
      </c>
      <c r="Q54" s="103" t="inlineStr">
        <is>
          <t>N</t>
        </is>
      </c>
      <c r="R54" s="97" t="n"/>
      <c r="S54" s="97" t="n"/>
      <c r="T54" s="97" t="n"/>
      <c r="U54" s="97" t="n"/>
      <c r="V54" s="97" t="n"/>
      <c r="W54" s="104" t="inlineStr">
        <is>
          <t>T</t>
        </is>
      </c>
      <c r="X54" s="103" t="inlineStr">
        <is>
          <t>N</t>
        </is>
      </c>
      <c r="Y54" s="97" t="n"/>
      <c r="Z54" s="103" t="inlineStr">
        <is>
          <t>N</t>
        </is>
      </c>
      <c r="AA54" s="97" t="n"/>
      <c r="AB54" s="97" t="n"/>
      <c r="AC54" s="97" t="n"/>
      <c r="AD54" s="104" t="inlineStr">
        <is>
          <t>T</t>
        </is>
      </c>
      <c r="AE54" s="103" t="inlineStr">
        <is>
          <t>N</t>
        </is>
      </c>
      <c r="AF54" s="97" t="n"/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97" t="n"/>
      <c r="F56" s="97" t="n"/>
      <c r="G56" s="97" t="n"/>
      <c r="H56" s="104" t="inlineStr">
        <is>
          <t>T</t>
        </is>
      </c>
      <c r="I56" s="97" t="n"/>
      <c r="J56" s="102" t="inlineStr">
        <is>
          <t>D</t>
        </is>
      </c>
      <c r="K56" s="97" t="n"/>
      <c r="L56" s="98" t="inlineStr">
        <is>
          <t>M</t>
        </is>
      </c>
      <c r="M56" s="97" t="n"/>
      <c r="N56" s="97" t="n"/>
      <c r="O56" s="97" t="n"/>
      <c r="P56" s="97" t="n"/>
      <c r="Q56" s="102" t="inlineStr">
        <is>
          <t>D</t>
        </is>
      </c>
      <c r="R56" s="103" t="inlineStr">
        <is>
          <t>N</t>
        </is>
      </c>
      <c r="S56" s="97" t="n"/>
      <c r="T56" s="97" t="n"/>
      <c r="U56" s="97" t="n"/>
      <c r="V56" s="102" t="inlineStr">
        <is>
          <t>D</t>
        </is>
      </c>
      <c r="W56" s="97" t="n"/>
      <c r="X56" s="97" t="n"/>
      <c r="Y56" s="97" t="n"/>
      <c r="Z56" s="102" t="inlineStr">
        <is>
          <t>D</t>
        </is>
      </c>
      <c r="AA56" s="97" t="n"/>
      <c r="AB56" s="97" t="n"/>
      <c r="AC56" s="97" t="n"/>
      <c r="AD56" s="97" t="n"/>
      <c r="AE56" s="98" t="inlineStr">
        <is>
          <t>M</t>
        </is>
      </c>
      <c r="AF56" s="97" t="n"/>
      <c r="AG56" s="102" t="inlineStr">
        <is>
          <t>D</t>
        </is>
      </c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103" t="inlineStr">
        <is>
          <t>N</t>
        </is>
      </c>
      <c r="E57" s="97" t="n"/>
      <c r="F57" s="97" t="n"/>
      <c r="G57" s="97" t="n"/>
      <c r="H57" s="103" t="inlineStr">
        <is>
          <t>N</t>
        </is>
      </c>
      <c r="I57" s="97" t="n"/>
      <c r="J57" s="103" t="inlineStr">
        <is>
          <t>N</t>
        </is>
      </c>
      <c r="K57" s="97" t="n"/>
      <c r="L57" s="97" t="n"/>
      <c r="M57" s="97" t="n"/>
      <c r="N57" s="97" t="n"/>
      <c r="O57" s="97" t="n"/>
      <c r="P57" s="97" t="n"/>
      <c r="Q57" s="97" t="n"/>
      <c r="R57" s="97" t="n"/>
      <c r="S57" s="102" t="inlineStr">
        <is>
          <t>D</t>
        </is>
      </c>
      <c r="T57" s="102" t="inlineStr">
        <is>
          <t>D</t>
        </is>
      </c>
      <c r="U57" s="97" t="n"/>
      <c r="V57" s="103" t="inlineStr">
        <is>
          <t>N</t>
        </is>
      </c>
      <c r="W57" s="97" t="n"/>
      <c r="X57" s="103" t="inlineStr">
        <is>
          <t>N</t>
        </is>
      </c>
      <c r="Y57" s="97" t="n"/>
      <c r="Z57" s="98" t="inlineStr">
        <is>
          <t>M</t>
        </is>
      </c>
      <c r="AA57" s="97" t="n"/>
      <c r="AB57" s="97" t="n"/>
      <c r="AC57" s="103" t="inlineStr">
        <is>
          <t>N</t>
        </is>
      </c>
      <c r="AD57" s="97" t="n"/>
      <c r="AE57" s="103" t="inlineStr">
        <is>
          <t>N</t>
        </is>
      </c>
      <c r="AF57" s="97" t="n"/>
      <c r="AG57" s="97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97" t="n"/>
      <c r="F58" s="97" t="n"/>
      <c r="G58" s="97" t="n"/>
      <c r="H58" s="97" t="n"/>
      <c r="I58" s="103" t="inlineStr">
        <is>
          <t>N</t>
        </is>
      </c>
      <c r="J58" s="97" t="n"/>
      <c r="K58" s="97" t="n"/>
      <c r="L58" s="102" t="inlineStr">
        <is>
          <t>D</t>
        </is>
      </c>
      <c r="M58" s="97" t="n"/>
      <c r="N58" s="98" t="inlineStr">
        <is>
          <t>M</t>
        </is>
      </c>
      <c r="O58" s="97" t="n"/>
      <c r="P58" s="103" t="inlineStr">
        <is>
          <t>N</t>
        </is>
      </c>
      <c r="Q58" s="97" t="n"/>
      <c r="R58" s="97" t="n"/>
      <c r="S58" s="97" t="n"/>
      <c r="T58" s="97" t="n"/>
      <c r="U58" s="97" t="n"/>
      <c r="V58" s="97" t="n"/>
      <c r="W58" s="103" t="inlineStr">
        <is>
          <t>N</t>
        </is>
      </c>
      <c r="X58" s="97" t="n"/>
      <c r="Y58" s="97" t="n"/>
      <c r="Z58" s="104" t="inlineStr">
        <is>
          <t>T</t>
        </is>
      </c>
      <c r="AA58" s="102" t="inlineStr">
        <is>
          <t>D</t>
        </is>
      </c>
      <c r="AB58" s="104" t="inlineStr">
        <is>
          <t>T</t>
        </is>
      </c>
      <c r="AC58" s="97" t="n"/>
      <c r="AD58" s="103" t="inlineStr">
        <is>
          <t>N</t>
        </is>
      </c>
      <c r="AE58" s="97" t="n"/>
      <c r="AF58" s="98" t="inlineStr">
        <is>
          <t>M</t>
        </is>
      </c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103" t="inlineStr">
        <is>
          <t>N</t>
        </is>
      </c>
      <c r="E60" s="97" t="n"/>
      <c r="F60" s="97" t="n"/>
      <c r="G60" s="104" t="inlineStr">
        <is>
          <t>T</t>
        </is>
      </c>
      <c r="H60" s="97" t="n"/>
      <c r="I60" s="104" t="inlineStr">
        <is>
          <t>T</t>
        </is>
      </c>
      <c r="J60" s="104" t="inlineStr">
        <is>
          <t>T</t>
        </is>
      </c>
      <c r="K60" s="97" t="n"/>
      <c r="L60" s="105" t="inlineStr">
        <is>
          <t>NT</t>
        </is>
      </c>
      <c r="M60" s="97" t="n"/>
      <c r="N60" s="97" t="n"/>
      <c r="O60" s="104" t="inlineStr">
        <is>
          <t>T</t>
        </is>
      </c>
      <c r="P60" s="97" t="n"/>
      <c r="Q60" s="97" t="n"/>
      <c r="R60" s="104" t="inlineStr">
        <is>
          <t>T</t>
        </is>
      </c>
      <c r="S60" s="97" t="n"/>
      <c r="T60" s="102" t="inlineStr">
        <is>
          <t>D</t>
        </is>
      </c>
      <c r="U60" s="97" t="n"/>
      <c r="V60" s="104" t="inlineStr">
        <is>
          <t>T</t>
        </is>
      </c>
      <c r="W60" s="97" t="n"/>
      <c r="X60" s="97" t="n"/>
      <c r="Y60" s="104" t="inlineStr">
        <is>
          <t>T</t>
        </is>
      </c>
      <c r="Z60" s="97" t="n"/>
      <c r="AA60" s="103" t="inlineStr">
        <is>
          <t>N</t>
        </is>
      </c>
      <c r="AB60" s="97" t="n"/>
      <c r="AC60" s="104" t="inlineStr">
        <is>
          <t>T</t>
        </is>
      </c>
      <c r="AD60" s="97" t="n"/>
      <c r="AE60" s="104" t="inlineStr">
        <is>
          <t>T</t>
        </is>
      </c>
      <c r="AF60" s="104" t="inlineStr">
        <is>
          <t>T</t>
        </is>
      </c>
      <c r="AG60" s="97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102" t="inlineStr">
        <is>
          <t>D</t>
        </is>
      </c>
      <c r="G61" s="98" t="inlineStr">
        <is>
          <t>M</t>
        </is>
      </c>
      <c r="H61" s="97" t="n"/>
      <c r="I61" s="97" t="n"/>
      <c r="J61" s="97" t="n"/>
      <c r="K61" s="103" t="inlineStr">
        <is>
          <t>N</t>
        </is>
      </c>
      <c r="L61" s="97" t="n"/>
      <c r="M61" s="104" t="inlineStr">
        <is>
          <t>T</t>
        </is>
      </c>
      <c r="N61" s="102" t="inlineStr">
        <is>
          <t>D</t>
        </is>
      </c>
      <c r="O61" s="97" t="n"/>
      <c r="P61" s="97" t="n"/>
      <c r="Q61" s="97" t="n"/>
      <c r="R61" s="102" t="inlineStr">
        <is>
          <t>D</t>
        </is>
      </c>
      <c r="S61" s="97" t="n"/>
      <c r="T61" s="97" t="n"/>
      <c r="U61" s="102" t="inlineStr">
        <is>
          <t>D</t>
        </is>
      </c>
      <c r="V61" s="97" t="n"/>
      <c r="W61" s="104" t="inlineStr">
        <is>
          <t>T</t>
        </is>
      </c>
      <c r="X61" s="104" t="inlineStr">
        <is>
          <t>T</t>
        </is>
      </c>
      <c r="Y61" s="97" t="n"/>
      <c r="Z61" s="97" t="n"/>
      <c r="AA61" s="97" t="n"/>
      <c r="AB61" s="102" t="inlineStr">
        <is>
          <t>D</t>
        </is>
      </c>
      <c r="AC61" s="97" t="n"/>
      <c r="AD61" s="97" t="n"/>
      <c r="AE61" s="97" t="n"/>
      <c r="AF61" s="97" t="n"/>
      <c r="AG61" s="103" t="inlineStr">
        <is>
          <t>N</t>
        </is>
      </c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103" t="inlineStr">
        <is>
          <t>N</t>
        </is>
      </c>
      <c r="E62" s="97" t="n"/>
      <c r="F62" s="97" t="n"/>
      <c r="G62" s="103" t="inlineStr">
        <is>
          <t>N</t>
        </is>
      </c>
      <c r="H62" s="97" t="n"/>
      <c r="I62" s="97" t="n"/>
      <c r="J62" s="97" t="n"/>
      <c r="K62" s="104" t="inlineStr">
        <is>
          <t>T</t>
        </is>
      </c>
      <c r="L62" s="97" t="n"/>
      <c r="M62" s="104" t="inlineStr">
        <is>
          <t>T</t>
        </is>
      </c>
      <c r="N62" s="97" t="n"/>
      <c r="O62" s="97" t="n"/>
      <c r="P62" s="97" t="n"/>
      <c r="Q62" s="97" t="n"/>
      <c r="R62" s="97" t="n"/>
      <c r="S62" s="102" t="inlineStr">
        <is>
          <t>D</t>
        </is>
      </c>
      <c r="T62" s="102" t="inlineStr">
        <is>
          <t>D</t>
        </is>
      </c>
      <c r="U62" s="102" t="inlineStr">
        <is>
          <t>D</t>
        </is>
      </c>
      <c r="V62" s="97" t="n"/>
      <c r="W62" s="97" t="n"/>
      <c r="X62" s="104" t="inlineStr">
        <is>
          <t>T</t>
        </is>
      </c>
      <c r="Y62" s="104" t="inlineStr">
        <is>
          <t>T</t>
        </is>
      </c>
      <c r="Z62" s="97" t="n"/>
      <c r="AA62" s="97" t="n"/>
      <c r="AB62" s="103" t="inlineStr">
        <is>
          <t>N</t>
        </is>
      </c>
      <c r="AC62" s="97" t="n"/>
      <c r="AD62" s="97" t="n"/>
      <c r="AE62" s="97" t="n"/>
      <c r="AF62" s="102" t="inlineStr">
        <is>
          <t>D</t>
        </is>
      </c>
      <c r="AG62" s="97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104" t="inlineStr">
        <is>
          <t>T</t>
        </is>
      </c>
      <c r="E63" s="102" t="inlineStr">
        <is>
          <t>D</t>
        </is>
      </c>
      <c r="F63" s="97" t="n"/>
      <c r="G63" s="97" t="n"/>
      <c r="H63" s="97" t="n"/>
      <c r="I63" s="97" t="n"/>
      <c r="J63" s="97" t="n"/>
      <c r="K63" s="102" t="inlineStr">
        <is>
          <t>D</t>
        </is>
      </c>
      <c r="L63" s="103" t="inlineStr">
        <is>
          <t>N</t>
        </is>
      </c>
      <c r="M63" s="97" t="n"/>
      <c r="N63" s="97" t="n"/>
      <c r="O63" s="97" t="n"/>
      <c r="P63" s="102" t="inlineStr">
        <is>
          <t>D</t>
        </is>
      </c>
      <c r="Q63" s="102" t="inlineStr">
        <is>
          <t>D</t>
        </is>
      </c>
      <c r="R63" s="97" t="n"/>
      <c r="S63" s="97" t="n"/>
      <c r="T63" s="98" t="inlineStr">
        <is>
          <t>M</t>
        </is>
      </c>
      <c r="U63" s="97" t="n"/>
      <c r="V63" s="97" t="n"/>
      <c r="W63" s="97" t="n"/>
      <c r="X63" s="102" t="inlineStr">
        <is>
          <t>D</t>
        </is>
      </c>
      <c r="Y63" s="103" t="inlineStr">
        <is>
          <t>N</t>
        </is>
      </c>
      <c r="Z63" s="97" t="n"/>
      <c r="AA63" s="97" t="n"/>
      <c r="AB63" s="97" t="n"/>
      <c r="AC63" s="103" t="inlineStr">
        <is>
          <t>N</t>
        </is>
      </c>
      <c r="AD63" s="97" t="n"/>
      <c r="AE63" s="102" t="inlineStr">
        <is>
          <t>D</t>
        </is>
      </c>
      <c r="AF63" s="97" t="n"/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8" t="inlineStr">
        <is>
          <t>M</t>
        </is>
      </c>
      <c r="F64" s="97" t="n"/>
      <c r="G64" s="97" t="n"/>
      <c r="H64" s="97" t="n"/>
      <c r="I64" s="97" t="n"/>
      <c r="J64" s="97" t="n"/>
      <c r="K64" s="97" t="n"/>
      <c r="L64" s="103" t="inlineStr">
        <is>
          <t>N</t>
        </is>
      </c>
      <c r="M64" s="103" t="inlineStr">
        <is>
          <t>N</t>
        </is>
      </c>
      <c r="N64" s="97" t="n"/>
      <c r="O64" s="97" t="n"/>
      <c r="P64" s="103" t="inlineStr">
        <is>
          <t>N</t>
        </is>
      </c>
      <c r="Q64" s="97" t="n"/>
      <c r="R64" s="103" t="inlineStr">
        <is>
          <t>N</t>
        </is>
      </c>
      <c r="S64" s="97" t="n"/>
      <c r="T64" s="104" t="inlineStr">
        <is>
          <t>T</t>
        </is>
      </c>
      <c r="U64" s="103" t="inlineStr">
        <is>
          <t>N</t>
        </is>
      </c>
      <c r="V64" s="97" t="n"/>
      <c r="W64" s="103" t="inlineStr">
        <is>
          <t>N</t>
        </is>
      </c>
      <c r="X64" s="104" t="inlineStr">
        <is>
          <t>T</t>
        </is>
      </c>
      <c r="Y64" s="97" t="n"/>
      <c r="Z64" s="97" t="n"/>
      <c r="AA64" s="97" t="n"/>
      <c r="AB64" s="103" t="inlineStr">
        <is>
          <t>N</t>
        </is>
      </c>
      <c r="AC64" s="97" t="n"/>
      <c r="AD64" s="103" t="inlineStr">
        <is>
          <t>N</t>
        </is>
      </c>
      <c r="AE64" s="104" t="inlineStr">
        <is>
          <t>T</t>
        </is>
      </c>
      <c r="AF64" s="97" t="n"/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102" t="inlineStr">
        <is>
          <t>D</t>
        </is>
      </c>
      <c r="E65" s="97" t="n"/>
      <c r="F65" s="97" t="n"/>
      <c r="G65" s="97" t="n"/>
      <c r="H65" s="97" t="n"/>
      <c r="I65" s="103" t="inlineStr">
        <is>
          <t>N</t>
        </is>
      </c>
      <c r="J65" s="97" t="n"/>
      <c r="K65" s="102" t="inlineStr">
        <is>
          <t>D</t>
        </is>
      </c>
      <c r="L65" s="97" t="n"/>
      <c r="M65" s="97" t="n"/>
      <c r="N65" s="97" t="n"/>
      <c r="O65" s="97" t="n"/>
      <c r="P65" s="97" t="n"/>
      <c r="Q65" s="98" t="inlineStr">
        <is>
          <t>M</t>
        </is>
      </c>
      <c r="R65" s="103" t="inlineStr">
        <is>
          <t>N</t>
        </is>
      </c>
      <c r="S65" s="97" t="n"/>
      <c r="T65" s="104" t="inlineStr">
        <is>
          <t>T</t>
        </is>
      </c>
      <c r="U65" s="97" t="n"/>
      <c r="V65" s="97" t="n"/>
      <c r="W65" s="97" t="n"/>
      <c r="X65" s="97" t="n"/>
      <c r="Y65" s="97" t="n"/>
      <c r="Z65" s="102" t="inlineStr">
        <is>
          <t>D</t>
        </is>
      </c>
      <c r="AA65" s="103" t="inlineStr">
        <is>
          <t>N</t>
        </is>
      </c>
      <c r="AB65" s="97" t="n"/>
      <c r="AC65" s="97" t="n"/>
      <c r="AD65" s="104" t="inlineStr">
        <is>
          <t>T</t>
        </is>
      </c>
      <c r="AE65" s="97" t="n"/>
      <c r="AF65" s="102" t="inlineStr">
        <is>
          <t>D</t>
        </is>
      </c>
      <c r="AG65" s="97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97" t="n"/>
      <c r="F66" s="104" t="inlineStr">
        <is>
          <t>T</t>
        </is>
      </c>
      <c r="G66" s="97" t="n"/>
      <c r="H66" s="102" t="inlineStr">
        <is>
          <t>D</t>
        </is>
      </c>
      <c r="I66" s="97" t="n"/>
      <c r="J66" s="102" t="inlineStr">
        <is>
          <t>D</t>
        </is>
      </c>
      <c r="K66" s="103" t="inlineStr">
        <is>
          <t>N</t>
        </is>
      </c>
      <c r="L66" s="97" t="n"/>
      <c r="M66" s="97" t="n"/>
      <c r="N66" s="103" t="inlineStr">
        <is>
          <t>N</t>
        </is>
      </c>
      <c r="O66" s="104" t="inlineStr">
        <is>
          <t>T</t>
        </is>
      </c>
      <c r="P66" s="103" t="inlineStr">
        <is>
          <t>N</t>
        </is>
      </c>
      <c r="Q66" s="104" t="inlineStr">
        <is>
          <t>T</t>
        </is>
      </c>
      <c r="R66" s="97" t="n"/>
      <c r="S66" s="97" t="n"/>
      <c r="T66" s="97" t="n"/>
      <c r="U66" s="97" t="n"/>
      <c r="V66" s="104" t="inlineStr">
        <is>
          <t>T</t>
        </is>
      </c>
      <c r="W66" s="97" t="n"/>
      <c r="X66" s="102" t="inlineStr">
        <is>
          <t>D</t>
        </is>
      </c>
      <c r="Y66" s="97" t="n"/>
      <c r="Z66" s="103" t="inlineStr">
        <is>
          <t>N</t>
        </is>
      </c>
      <c r="AA66" s="98" t="inlineStr">
        <is>
          <t>M</t>
        </is>
      </c>
      <c r="AB66" s="97" t="n"/>
      <c r="AC66" s="104" t="inlineStr">
        <is>
          <t>T</t>
        </is>
      </c>
      <c r="AD66" s="104" t="inlineStr">
        <is>
          <t>T</t>
        </is>
      </c>
      <c r="AE66" s="102" t="inlineStr">
        <is>
          <t>D</t>
        </is>
      </c>
      <c r="AF66" s="103" t="inlineStr">
        <is>
          <t>N</t>
        </is>
      </c>
      <c r="AG66" s="97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7" t="n"/>
      <c r="E67" s="98" t="inlineStr">
        <is>
          <t>M</t>
        </is>
      </c>
      <c r="F67" s="103" t="inlineStr">
        <is>
          <t>N</t>
        </is>
      </c>
      <c r="G67" s="98" t="inlineStr">
        <is>
          <t>M</t>
        </is>
      </c>
      <c r="H67" s="103" t="inlineStr">
        <is>
          <t>N</t>
        </is>
      </c>
      <c r="I67" s="97" t="n"/>
      <c r="J67" s="104" t="inlineStr">
        <is>
          <t>T</t>
        </is>
      </c>
      <c r="K67" s="97" t="n"/>
      <c r="L67" s="98" t="inlineStr">
        <is>
          <t>M</t>
        </is>
      </c>
      <c r="M67" s="97" t="n"/>
      <c r="N67" s="98" t="inlineStr">
        <is>
          <t>M</t>
        </is>
      </c>
      <c r="O67" s="97" t="n"/>
      <c r="P67" s="98" t="inlineStr">
        <is>
          <t>M</t>
        </is>
      </c>
      <c r="Q67" s="97" t="n"/>
      <c r="R67" s="104" t="inlineStr">
        <is>
          <t>T</t>
        </is>
      </c>
      <c r="S67" s="97" t="n"/>
      <c r="T67" s="103" t="inlineStr">
        <is>
          <t>N</t>
        </is>
      </c>
      <c r="U67" s="98" t="inlineStr">
        <is>
          <t>M</t>
        </is>
      </c>
      <c r="V67" s="102" t="inlineStr">
        <is>
          <t>D</t>
        </is>
      </c>
      <c r="W67" s="103" t="inlineStr">
        <is>
          <t>N</t>
        </is>
      </c>
      <c r="X67" s="97" t="n"/>
      <c r="Y67" s="97" t="n"/>
      <c r="Z67" s="97" t="n"/>
      <c r="AA67" s="97" t="n"/>
      <c r="AB67" s="102" t="inlineStr">
        <is>
          <t>D</t>
        </is>
      </c>
      <c r="AC67" s="97" t="n"/>
      <c r="AD67" s="98" t="inlineStr">
        <is>
          <t>M</t>
        </is>
      </c>
      <c r="AE67" s="97" t="n"/>
      <c r="AF67" s="103" t="inlineStr">
        <is>
          <t>N</t>
        </is>
      </c>
      <c r="AG67" s="97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103" t="inlineStr">
        <is>
          <t>N</t>
        </is>
      </c>
      <c r="X68" s="97" t="n"/>
      <c r="Y68" s="104" t="inlineStr">
        <is>
          <t>T</t>
        </is>
      </c>
      <c r="Z68" s="97" t="n"/>
      <c r="AA68" s="97" t="n"/>
      <c r="AB68" s="104" t="inlineStr">
        <is>
          <t>T</t>
        </is>
      </c>
      <c r="AC68" s="97" t="n"/>
      <c r="AD68" s="103" t="inlineStr">
        <is>
          <t>N</t>
        </is>
      </c>
      <c r="AE68" s="97" t="n"/>
      <c r="AF68" s="97" t="n"/>
      <c r="AG68" s="102" t="inlineStr">
        <is>
          <t>D</t>
        </is>
      </c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102" t="inlineStr">
        <is>
          <t>D</t>
        </is>
      </c>
      <c r="F69" s="97" t="n"/>
      <c r="G69" s="98" t="inlineStr">
        <is>
          <t>M</t>
        </is>
      </c>
      <c r="H69" s="98" t="inlineStr">
        <is>
          <t>M</t>
        </is>
      </c>
      <c r="I69" s="98" t="inlineStr">
        <is>
          <t>M</t>
        </is>
      </c>
      <c r="J69" s="97" t="n"/>
      <c r="K69" s="97" t="n"/>
      <c r="L69" s="97" t="n"/>
      <c r="M69" s="97" t="n"/>
      <c r="N69" s="97" t="n"/>
      <c r="O69" s="97" t="n"/>
      <c r="P69" s="102" t="inlineStr">
        <is>
          <t>D</t>
        </is>
      </c>
      <c r="Q69" s="97" t="n"/>
      <c r="R69" s="97" t="n"/>
      <c r="S69" s="98" t="inlineStr">
        <is>
          <t>M</t>
        </is>
      </c>
      <c r="T69" s="98" t="inlineStr">
        <is>
          <t>M</t>
        </is>
      </c>
      <c r="U69" s="97" t="n"/>
      <c r="V69" s="97" t="n"/>
      <c r="W69" s="104" t="inlineStr">
        <is>
          <t>T</t>
        </is>
      </c>
      <c r="X69" s="97" t="n"/>
      <c r="Y69" s="102" t="inlineStr">
        <is>
          <t>D</t>
        </is>
      </c>
      <c r="Z69" s="97" t="n"/>
      <c r="AA69" s="98" t="inlineStr">
        <is>
          <t>M</t>
        </is>
      </c>
      <c r="AB69" s="97" t="n"/>
      <c r="AC69" s="97" t="n"/>
      <c r="AD69" s="98" t="inlineStr">
        <is>
          <t>M</t>
        </is>
      </c>
      <c r="AE69" s="97" t="n"/>
      <c r="AF69" s="103" t="inlineStr">
        <is>
          <t>N</t>
        </is>
      </c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7" t="n"/>
      <c r="E70" s="97" t="n"/>
      <c r="F70" s="97" t="n"/>
      <c r="G70" s="102" t="inlineStr">
        <is>
          <t>D</t>
        </is>
      </c>
      <c r="H70" s="97" t="n"/>
      <c r="I70" s="97" t="n"/>
      <c r="J70" s="97" t="n"/>
      <c r="K70" s="97" t="n"/>
      <c r="L70" s="97" t="n"/>
      <c r="M70" s="102" t="inlineStr">
        <is>
          <t>D</t>
        </is>
      </c>
      <c r="N70" s="97" t="n"/>
      <c r="O70" s="98" t="inlineStr">
        <is>
          <t>M</t>
        </is>
      </c>
      <c r="P70" s="97" t="n"/>
      <c r="Q70" s="97" t="n"/>
      <c r="R70" s="104" t="inlineStr">
        <is>
          <t>T</t>
        </is>
      </c>
      <c r="S70" s="97" t="n"/>
      <c r="T70" s="97" t="n"/>
      <c r="U70" s="98" t="inlineStr">
        <is>
          <t>M</t>
        </is>
      </c>
      <c r="V70" s="98" t="inlineStr">
        <is>
          <t>M</t>
        </is>
      </c>
      <c r="W70" s="98" t="inlineStr">
        <is>
          <t>M</t>
        </is>
      </c>
      <c r="X70" s="97" t="n"/>
      <c r="Y70" s="97" t="n"/>
      <c r="Z70" s="97" t="n"/>
      <c r="AA70" s="104" t="inlineStr">
        <is>
          <t>T</t>
        </is>
      </c>
      <c r="AB70" s="98" t="inlineStr">
        <is>
          <t>M</t>
        </is>
      </c>
      <c r="AC70" s="97" t="n"/>
      <c r="AD70" s="97" t="n"/>
      <c r="AE70" s="98" t="inlineStr">
        <is>
          <t>M</t>
        </is>
      </c>
      <c r="AF70" s="97" t="n"/>
      <c r="AG70" s="103" t="inlineStr">
        <is>
          <t>N</t>
        </is>
      </c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8" t="inlineStr">
        <is>
          <t>M</t>
        </is>
      </c>
      <c r="E71" s="97" t="n"/>
      <c r="F71" s="97" t="n"/>
      <c r="G71" s="102" t="inlineStr">
        <is>
          <t>D</t>
        </is>
      </c>
      <c r="H71" s="97" t="n"/>
      <c r="I71" s="97" t="n"/>
      <c r="J71" s="97" t="n"/>
      <c r="K71" s="97" t="n"/>
      <c r="L71" s="97" t="n"/>
      <c r="M71" s="102" t="inlineStr">
        <is>
          <t>D</t>
        </is>
      </c>
      <c r="N71" s="102" t="inlineStr">
        <is>
          <t>D</t>
        </is>
      </c>
      <c r="O71" s="97" t="n"/>
      <c r="P71" s="97" t="n"/>
      <c r="Q71" s="97" t="n"/>
      <c r="R71" s="102" t="inlineStr">
        <is>
          <t>D</t>
        </is>
      </c>
      <c r="S71" s="97" t="n"/>
      <c r="T71" s="97" t="n"/>
      <c r="U71" s="97" t="n"/>
      <c r="V71" s="102" t="inlineStr">
        <is>
          <t>D</t>
        </is>
      </c>
      <c r="W71" s="97" t="n"/>
      <c r="X71" s="97" t="n"/>
      <c r="Y71" s="97" t="n"/>
      <c r="Z71" s="104" t="inlineStr">
        <is>
          <t>T</t>
        </is>
      </c>
      <c r="AA71" s="103" t="inlineStr">
        <is>
          <t>N</t>
        </is>
      </c>
      <c r="AB71" s="97" t="n"/>
      <c r="AC71" s="104" t="inlineStr">
        <is>
          <t>T</t>
        </is>
      </c>
      <c r="AD71" s="97" t="n"/>
      <c r="AE71" s="97" t="n"/>
      <c r="AF71" s="102" t="inlineStr">
        <is>
          <t>D</t>
        </is>
      </c>
      <c r="AG71" s="97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7" t="n"/>
      <c r="D72" s="97" t="n"/>
      <c r="E72" s="97" t="n"/>
      <c r="F72" s="97" t="n"/>
      <c r="G72" s="98" t="inlineStr">
        <is>
          <t>M</t>
        </is>
      </c>
      <c r="H72" s="97" t="n"/>
      <c r="I72" s="102" t="inlineStr">
        <is>
          <t>D</t>
        </is>
      </c>
      <c r="J72" s="97" t="n"/>
      <c r="K72" s="102" t="inlineStr">
        <is>
          <t>D</t>
        </is>
      </c>
      <c r="L72" s="97" t="n"/>
      <c r="M72" s="97" t="n"/>
      <c r="N72" s="102" t="inlineStr">
        <is>
          <t>D</t>
        </is>
      </c>
      <c r="O72" s="104" t="inlineStr">
        <is>
          <t>T</t>
        </is>
      </c>
      <c r="P72" s="102" t="inlineStr">
        <is>
          <t>D</t>
        </is>
      </c>
      <c r="Q72" s="97" t="n"/>
      <c r="R72" s="97" t="n"/>
      <c r="S72" s="97" t="n"/>
      <c r="T72" s="97" t="n"/>
      <c r="U72" s="102" t="inlineStr">
        <is>
          <t>D</t>
        </is>
      </c>
      <c r="V72" s="104" t="inlineStr">
        <is>
          <t>T</t>
        </is>
      </c>
      <c r="W72" s="97" t="n"/>
      <c r="X72" s="97" t="n"/>
      <c r="Y72" s="97" t="n"/>
      <c r="Z72" s="102" t="inlineStr">
        <is>
          <t>D</t>
        </is>
      </c>
      <c r="AA72" s="97" t="n"/>
      <c r="AB72" s="97" t="n"/>
      <c r="AC72" s="104" t="inlineStr">
        <is>
          <t>T</t>
        </is>
      </c>
      <c r="AD72" s="97" t="n"/>
      <c r="AE72" s="97" t="n"/>
      <c r="AF72" s="97" t="n"/>
      <c r="AG72" s="102" t="inlineStr">
        <is>
          <t>D</t>
        </is>
      </c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103" t="inlineStr">
        <is>
          <t>N</t>
        </is>
      </c>
      <c r="E73" s="97" t="n"/>
      <c r="F73" s="97" t="n"/>
      <c r="G73" s="103" t="inlineStr">
        <is>
          <t>N</t>
        </is>
      </c>
      <c r="H73" s="97" t="n"/>
      <c r="I73" s="97" t="n"/>
      <c r="J73" s="104" t="inlineStr">
        <is>
          <t>T</t>
        </is>
      </c>
      <c r="K73" s="102" t="inlineStr">
        <is>
          <t>D</t>
        </is>
      </c>
      <c r="L73" s="97" t="n"/>
      <c r="M73" s="97" t="n"/>
      <c r="N73" s="98" t="inlineStr">
        <is>
          <t>M</t>
        </is>
      </c>
      <c r="O73" s="97" t="n"/>
      <c r="P73" s="97" t="n"/>
      <c r="Q73" s="97" t="n"/>
      <c r="R73" s="102" t="inlineStr">
        <is>
          <t>D</t>
        </is>
      </c>
      <c r="S73" s="102" t="inlineStr">
        <is>
          <t>D</t>
        </is>
      </c>
      <c r="T73" s="97" t="n"/>
      <c r="U73" s="97" t="n"/>
      <c r="V73" s="97" t="n"/>
      <c r="W73" s="97" t="n"/>
      <c r="X73" s="104" t="inlineStr">
        <is>
          <t>T</t>
        </is>
      </c>
      <c r="Y73" s="102" t="inlineStr">
        <is>
          <t>D</t>
        </is>
      </c>
      <c r="Z73" s="97" t="n"/>
      <c r="AA73" s="102" t="inlineStr">
        <is>
          <t>D</t>
        </is>
      </c>
      <c r="AB73" s="103" t="inlineStr">
        <is>
          <t>N</t>
        </is>
      </c>
      <c r="AC73" s="97" t="n"/>
      <c r="AD73" s="97" t="n"/>
      <c r="AE73" s="97" t="n"/>
      <c r="AF73" s="98" t="inlineStr">
        <is>
          <t>M</t>
        </is>
      </c>
      <c r="AG73" s="104" t="inlineStr">
        <is>
          <t>T</t>
        </is>
      </c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MAX(0,CONFIG!$B$9-D75)</f>
        <v/>
      </c>
      <c r="E78" s="109">
        <f>MAX(0,CONFIG!$B$10-E75)</f>
        <v/>
      </c>
      <c r="F78" s="109">
        <f>MAX(0,CONFIG!$B$11-F75)</f>
        <v/>
      </c>
      <c r="G78" s="109">
        <f>MAX(0,CONFIG!$B$9-G75)</f>
        <v/>
      </c>
      <c r="H78" s="109">
        <f>MAX(0,CONFIG!$B$9-H75)</f>
        <v/>
      </c>
      <c r="I78" s="109">
        <f>MAX(0,CONFIG!$B$9-I75)</f>
        <v/>
      </c>
      <c r="J78" s="109">
        <f>MAX(0,CONFIG!$B$9-J75)</f>
        <v/>
      </c>
      <c r="K78" s="109">
        <f>MAX(0,CONFIG!$B$9-K75)</f>
        <v/>
      </c>
      <c r="L78" s="109">
        <f>MAX(0,CONFIG!$B$10-L75)</f>
        <v/>
      </c>
      <c r="M78" s="109">
        <f>MAX(0,CONFIG!$B$11-M75)</f>
        <v/>
      </c>
      <c r="N78" s="109">
        <f>MAX(0,CONFIG!$B$9-N75)</f>
        <v/>
      </c>
      <c r="O78" s="109">
        <f>MAX(0,CONFIG!$B$9-O75)</f>
        <v/>
      </c>
      <c r="P78" s="109">
        <f>MAX(0,CONFIG!$B$9-P75)</f>
        <v/>
      </c>
      <c r="Q78" s="109">
        <f>MAX(0,CONFIG!$B$9-Q75)</f>
        <v/>
      </c>
      <c r="R78" s="109">
        <f>MAX(0,CONFIG!$B$9-R75)</f>
        <v/>
      </c>
      <c r="S78" s="109">
        <f>MAX(0,CONFIG!$B$10-S75)</f>
        <v/>
      </c>
      <c r="T78" s="109">
        <f>MAX(0,CONFIG!$B$11-T75)</f>
        <v/>
      </c>
      <c r="U78" s="109">
        <f>MAX(0,CONFIG!$B$9-U75)</f>
        <v/>
      </c>
      <c r="V78" s="109">
        <f>MAX(0,CONFIG!$B$9-V75)</f>
        <v/>
      </c>
      <c r="W78" s="109">
        <f>MAX(0,CONFIG!$B$9-W75)</f>
        <v/>
      </c>
      <c r="X78" s="109">
        <f>MAX(0,CONFIG!$B$9-X75)</f>
        <v/>
      </c>
      <c r="Y78" s="109">
        <f>MAX(0,CONFIG!$B$9-Y75)</f>
        <v/>
      </c>
      <c r="Z78" s="109">
        <f>MAX(0,CONFIG!$B$10-Z75)</f>
        <v/>
      </c>
      <c r="AA78" s="109">
        <f>MAX(0,CONFIG!$B$11-AA75)</f>
        <v/>
      </c>
      <c r="AB78" s="109">
        <f>MAX(0,CONFIG!$B$9-AB75)</f>
        <v/>
      </c>
      <c r="AC78" s="109">
        <f>MAX(0,CONFIG!$B$9-AC75)</f>
        <v/>
      </c>
      <c r="AD78" s="109">
        <f>MAX(0,CONFIG!$B$9-AD75)</f>
        <v/>
      </c>
      <c r="AE78" s="109">
        <f>MAX(0,CONFIG!$B$9-AE75)</f>
        <v/>
      </c>
      <c r="AF78" s="109">
        <f>MAX(0,CONFIG!$B$9-AF75)</f>
        <v/>
      </c>
      <c r="AG78" s="109">
        <f>MAX(0,CONFIG!$B$10-AG75)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MAX(0,CONFIG!$C$9-D76)</f>
        <v/>
      </c>
      <c r="E79" s="109">
        <f>MAX(0,CONFIG!$C$10-E76)</f>
        <v/>
      </c>
      <c r="F79" s="109">
        <f>MAX(0,CONFIG!$C$11-F76)</f>
        <v/>
      </c>
      <c r="G79" s="109">
        <f>MAX(0,CONFIG!$C$9-G76)</f>
        <v/>
      </c>
      <c r="H79" s="109">
        <f>MAX(0,CONFIG!$C$9-H76)</f>
        <v/>
      </c>
      <c r="I79" s="109">
        <f>MAX(0,CONFIG!$C$9-I76)</f>
        <v/>
      </c>
      <c r="J79" s="109">
        <f>MAX(0,CONFIG!$C$9-J76)</f>
        <v/>
      </c>
      <c r="K79" s="109">
        <f>MAX(0,CONFIG!$C$9-K76)</f>
        <v/>
      </c>
      <c r="L79" s="109">
        <f>MAX(0,CONFIG!$C$10-L76)</f>
        <v/>
      </c>
      <c r="M79" s="109">
        <f>MAX(0,CONFIG!$C$11-M76)</f>
        <v/>
      </c>
      <c r="N79" s="109">
        <f>MAX(0,CONFIG!$C$9-N76)</f>
        <v/>
      </c>
      <c r="O79" s="109">
        <f>MAX(0,CONFIG!$C$9-O76)</f>
        <v/>
      </c>
      <c r="P79" s="109">
        <f>MAX(0,CONFIG!$C$9-P76)</f>
        <v/>
      </c>
      <c r="Q79" s="109">
        <f>MAX(0,CONFIG!$C$9-Q76)</f>
        <v/>
      </c>
      <c r="R79" s="109">
        <f>MAX(0,CONFIG!$C$9-R76)</f>
        <v/>
      </c>
      <c r="S79" s="109">
        <f>MAX(0,CONFIG!$C$10-S76)</f>
        <v/>
      </c>
      <c r="T79" s="109">
        <f>MAX(0,CONFIG!$C$11-T76)</f>
        <v/>
      </c>
      <c r="U79" s="109">
        <f>MAX(0,CONFIG!$C$9-U76)</f>
        <v/>
      </c>
      <c r="V79" s="109">
        <f>MAX(0,CONFIG!$C$9-V76)</f>
        <v/>
      </c>
      <c r="W79" s="109">
        <f>MAX(0,CONFIG!$C$9-W76)</f>
        <v/>
      </c>
      <c r="X79" s="109">
        <f>MAX(0,CONFIG!$C$9-X76)</f>
        <v/>
      </c>
      <c r="Y79" s="109">
        <f>MAX(0,CONFIG!$C$9-Y76)</f>
        <v/>
      </c>
      <c r="Z79" s="109">
        <f>MAX(0,CONFIG!$C$10-Z76)</f>
        <v/>
      </c>
      <c r="AA79" s="109">
        <f>MAX(0,CONFIG!$C$11-AA76)</f>
        <v/>
      </c>
      <c r="AB79" s="109">
        <f>MAX(0,CONFIG!$C$9-AB76)</f>
        <v/>
      </c>
      <c r="AC79" s="109">
        <f>MAX(0,CONFIG!$C$9-AC76)</f>
        <v/>
      </c>
      <c r="AD79" s="109">
        <f>MAX(0,CONFIG!$C$9-AD76)</f>
        <v/>
      </c>
      <c r="AE79" s="109">
        <f>MAX(0,CONFIG!$C$9-AE76)</f>
        <v/>
      </c>
      <c r="AF79" s="109">
        <f>MAX(0,CONFIG!$C$9-AF76)</f>
        <v/>
      </c>
      <c r="AG79" s="109">
        <f>MAX(0,CONFIG!$C$10-AG76)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MAX(0,CONFIG!$D$9-D77)</f>
        <v/>
      </c>
      <c r="E80" s="109">
        <f>MAX(0,CONFIG!$D$10-E77)</f>
        <v/>
      </c>
      <c r="F80" s="109">
        <f>MAX(0,CONFIG!$D$11-F77)</f>
        <v/>
      </c>
      <c r="G80" s="109">
        <f>MAX(0,CONFIG!$D$9-G77)</f>
        <v/>
      </c>
      <c r="H80" s="109">
        <f>MAX(0,CONFIG!$D$9-H77)</f>
        <v/>
      </c>
      <c r="I80" s="109">
        <f>MAX(0,CONFIG!$D$9-I77)</f>
        <v/>
      </c>
      <c r="J80" s="109">
        <f>MAX(0,CONFIG!$D$9-J77)</f>
        <v/>
      </c>
      <c r="K80" s="109">
        <f>MAX(0,CONFIG!$D$9-K77)</f>
        <v/>
      </c>
      <c r="L80" s="109">
        <f>MAX(0,CONFIG!$D$10-L77)</f>
        <v/>
      </c>
      <c r="M80" s="109">
        <f>MAX(0,CONFIG!$D$11-M77)</f>
        <v/>
      </c>
      <c r="N80" s="109">
        <f>MAX(0,CONFIG!$D$9-N77)</f>
        <v/>
      </c>
      <c r="O80" s="109">
        <f>MAX(0,CONFIG!$D$9-O77)</f>
        <v/>
      </c>
      <c r="P80" s="109">
        <f>MAX(0,CONFIG!$D$9-P77)</f>
        <v/>
      </c>
      <c r="Q80" s="109">
        <f>MAX(0,CONFIG!$D$9-Q77)</f>
        <v/>
      </c>
      <c r="R80" s="109">
        <f>MAX(0,CONFIG!$D$9-R77)</f>
        <v/>
      </c>
      <c r="S80" s="109">
        <f>MAX(0,CONFIG!$D$10-S77)</f>
        <v/>
      </c>
      <c r="T80" s="109">
        <f>MAX(0,CONFIG!$D$11-T77)</f>
        <v/>
      </c>
      <c r="U80" s="109">
        <f>MAX(0,CONFIG!$D$9-U77)</f>
        <v/>
      </c>
      <c r="V80" s="109">
        <f>MAX(0,CONFIG!$D$9-V77)</f>
        <v/>
      </c>
      <c r="W80" s="109">
        <f>MAX(0,CONFIG!$D$9-W77)</f>
        <v/>
      </c>
      <c r="X80" s="109">
        <f>MAX(0,CONFIG!$D$9-X77)</f>
        <v/>
      </c>
      <c r="Y80" s="109">
        <f>MAX(0,CONFIG!$D$9-Y77)</f>
        <v/>
      </c>
      <c r="Z80" s="109">
        <f>MAX(0,CONFIG!$D$10-Z77)</f>
        <v/>
      </c>
      <c r="AA80" s="109">
        <f>MAX(0,CONFIG!$D$11-AA77)</f>
        <v/>
      </c>
      <c r="AB80" s="109">
        <f>MAX(0,CONFIG!$D$9-AB77)</f>
        <v/>
      </c>
      <c r="AC80" s="109">
        <f>MAX(0,CONFIG!$D$9-AC77)</f>
        <v/>
      </c>
      <c r="AD80" s="109">
        <f>MAX(0,CONFIG!$D$9-AD77)</f>
        <v/>
      </c>
      <c r="AE80" s="109">
        <f>MAX(0,CONFIG!$D$9-AE77)</f>
        <v/>
      </c>
      <c r="AF80" s="109">
        <f>MAX(0,CONFIG!$D$9-AF77)</f>
        <v/>
      </c>
      <c r="AG80" s="109">
        <f>MAX(0,CONFIG!$D$10-AG77)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fevereiro · 2026</t>
        </is>
      </c>
      <c r="C1" s="88" t="inlineStr">
        <is>
          <t>códigos Senior (códigos antigos 110/82/83)</t>
        </is>
      </c>
    </row>
    <row r="2">
      <c r="C2" s="91" t="n">
        <v>1</v>
      </c>
      <c r="D2" s="90" t="n">
        <v>2</v>
      </c>
      <c r="E2" s="90" t="n">
        <v>3</v>
      </c>
      <c r="F2" s="90" t="n">
        <v>4</v>
      </c>
      <c r="G2" s="90" t="n">
        <v>5</v>
      </c>
      <c r="H2" s="90" t="n">
        <v>6</v>
      </c>
      <c r="I2" s="91" t="n">
        <v>7</v>
      </c>
      <c r="J2" s="91" t="n">
        <v>8</v>
      </c>
      <c r="K2" s="90" t="n">
        <v>9</v>
      </c>
      <c r="L2" s="90" t="n">
        <v>10</v>
      </c>
      <c r="M2" s="90" t="n">
        <v>11</v>
      </c>
      <c r="N2" s="90" t="n">
        <v>12</v>
      </c>
      <c r="O2" s="90" t="n">
        <v>13</v>
      </c>
      <c r="P2" s="91" t="n">
        <v>14</v>
      </c>
      <c r="Q2" s="91" t="n">
        <v>15</v>
      </c>
      <c r="R2" s="89" t="n">
        <v>16</v>
      </c>
      <c r="S2" s="89" t="n">
        <v>17</v>
      </c>
      <c r="T2" s="90" t="n">
        <v>18</v>
      </c>
      <c r="U2" s="90" t="n">
        <v>19</v>
      </c>
      <c r="V2" s="90" t="n">
        <v>20</v>
      </c>
      <c r="W2" s="91" t="n">
        <v>21</v>
      </c>
      <c r="X2" s="91" t="n">
        <v>22</v>
      </c>
      <c r="Y2" s="90" t="n">
        <v>23</v>
      </c>
      <c r="Z2" s="90" t="n">
        <v>24</v>
      </c>
      <c r="AA2" s="90" t="n">
        <v>25</v>
      </c>
      <c r="AB2" s="90" t="n">
        <v>26</v>
      </c>
      <c r="AC2" s="90" t="n">
        <v>27</v>
      </c>
      <c r="AD2" s="91" t="n">
        <v>28</v>
      </c>
      <c r="AE2" s="110" t="n"/>
      <c r="AF2" s="110" t="n"/>
      <c r="AG2" s="110" t="n"/>
    </row>
    <row r="3">
      <c r="C3" s="94" t="inlineStr">
        <is>
          <t>dom</t>
        </is>
      </c>
      <c r="D3" s="93" t="inlineStr">
        <is>
          <t>seg</t>
        </is>
      </c>
      <c r="E3" s="93" t="inlineStr">
        <is>
          <t>ter</t>
        </is>
      </c>
      <c r="F3" s="93" t="inlineStr">
        <is>
          <t>qua</t>
        </is>
      </c>
      <c r="G3" s="93" t="inlineStr">
        <is>
          <t>qui</t>
        </is>
      </c>
      <c r="H3" s="93" t="inlineStr">
        <is>
          <t>sex</t>
        </is>
      </c>
      <c r="I3" s="94" t="inlineStr">
        <is>
          <t>sáb</t>
        </is>
      </c>
      <c r="J3" s="94" t="inlineStr">
        <is>
          <t>dom</t>
        </is>
      </c>
      <c r="K3" s="93" t="inlineStr">
        <is>
          <t>seg</t>
        </is>
      </c>
      <c r="L3" s="93" t="inlineStr">
        <is>
          <t>ter</t>
        </is>
      </c>
      <c r="M3" s="93" t="inlineStr">
        <is>
          <t>qua</t>
        </is>
      </c>
      <c r="N3" s="93" t="inlineStr">
        <is>
          <t>qui</t>
        </is>
      </c>
      <c r="O3" s="93" t="inlineStr">
        <is>
          <t>sex</t>
        </is>
      </c>
      <c r="P3" s="94" t="inlineStr">
        <is>
          <t>sáb</t>
        </is>
      </c>
      <c r="Q3" s="94" t="inlineStr">
        <is>
          <t>dom</t>
        </is>
      </c>
      <c r="R3" s="92" t="inlineStr">
        <is>
          <t>carn</t>
        </is>
      </c>
      <c r="S3" s="92" t="inlineStr">
        <is>
          <t>carn</t>
        </is>
      </c>
      <c r="T3" s="93" t="inlineStr">
        <is>
          <t>qua</t>
        </is>
      </c>
      <c r="U3" s="93" t="inlineStr">
        <is>
          <t>qui</t>
        </is>
      </c>
      <c r="V3" s="93" t="inlineStr">
        <is>
          <t>sex</t>
        </is>
      </c>
      <c r="W3" s="94" t="inlineStr">
        <is>
          <t>sáb</t>
        </is>
      </c>
      <c r="X3" s="94" t="inlineStr">
        <is>
          <t>dom</t>
        </is>
      </c>
      <c r="Y3" s="93" t="inlineStr">
        <is>
          <t>seg</t>
        </is>
      </c>
      <c r="Z3" s="93" t="inlineStr">
        <is>
          <t>ter</t>
        </is>
      </c>
      <c r="AA3" s="93" t="inlineStr">
        <is>
          <t>qua</t>
        </is>
      </c>
      <c r="AB3" s="93" t="inlineStr">
        <is>
          <t>qui</t>
        </is>
      </c>
      <c r="AC3" s="93" t="inlineStr">
        <is>
          <t>sex</t>
        </is>
      </c>
      <c r="AD3" s="94" t="inlineStr">
        <is>
          <t>sáb</t>
        </is>
      </c>
      <c r="AE3" s="110" t="n"/>
      <c r="AF3" s="110" t="n"/>
      <c r="AG3" s="110" t="n"/>
    </row>
    <row r="4" hidden="1">
      <c r="A4" t="inlineStr">
        <is>
          <t>máscara fds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7" t="n"/>
      <c r="D8" s="97" t="n"/>
      <c r="E8" s="97" t="n"/>
      <c r="F8" s="97" t="n"/>
      <c r="G8" s="97" t="n"/>
      <c r="H8" s="97" t="n"/>
      <c r="I8" s="97" t="n"/>
      <c r="J8" s="97" t="n"/>
      <c r="K8" s="111" t="inlineStr">
        <is>
          <t>C</t>
        </is>
      </c>
      <c r="L8" s="111" t="inlineStr">
        <is>
          <t>C</t>
        </is>
      </c>
      <c r="M8" s="98" t="inlineStr">
        <is>
          <t>M</t>
        </is>
      </c>
      <c r="N8" s="98" t="inlineStr">
        <is>
          <t>M</t>
        </is>
      </c>
      <c r="O8" s="111" t="inlineStr">
        <is>
          <t>C</t>
        </is>
      </c>
      <c r="P8" s="98" t="inlineStr">
        <is>
          <t>M</t>
        </is>
      </c>
      <c r="Q8" s="98" t="inlineStr">
        <is>
          <t>M</t>
        </is>
      </c>
      <c r="R8" s="111" t="inlineStr">
        <is>
          <t>C</t>
        </is>
      </c>
      <c r="S8" s="111" t="inlineStr">
        <is>
          <t>C</t>
        </is>
      </c>
      <c r="T8" s="98" t="inlineStr">
        <is>
          <t>M</t>
        </is>
      </c>
      <c r="U8" s="98" t="inlineStr">
        <is>
          <t>M</t>
        </is>
      </c>
      <c r="V8" s="98" t="inlineStr">
        <is>
          <t>M</t>
        </is>
      </c>
      <c r="W8" s="97" t="n"/>
      <c r="X8" s="97" t="n"/>
      <c r="Y8" s="111" t="inlineStr">
        <is>
          <t>C</t>
        </is>
      </c>
      <c r="Z8" s="111" t="inlineStr">
        <is>
          <t>C</t>
        </is>
      </c>
      <c r="AA8" s="98" t="inlineStr">
        <is>
          <t>M</t>
        </is>
      </c>
      <c r="AB8" s="98" t="inlineStr">
        <is>
          <t>M</t>
        </is>
      </c>
      <c r="AC8" s="111" t="inlineStr">
        <is>
          <t>C</t>
        </is>
      </c>
      <c r="AD8" s="98" t="inlineStr">
        <is>
          <t>M</t>
        </is>
      </c>
      <c r="AE8" s="110" t="n"/>
      <c r="AF8" s="110" t="n"/>
      <c r="AG8" s="110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ROUND(B8*4.0,0)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7" t="n"/>
      <c r="D9" s="98" t="inlineStr">
        <is>
          <t>M</t>
        </is>
      </c>
      <c r="E9" s="98" t="inlineStr">
        <is>
          <t>M</t>
        </is>
      </c>
      <c r="F9" s="98" t="inlineStr">
        <is>
          <t>M</t>
        </is>
      </c>
      <c r="G9" s="111" t="inlineStr">
        <is>
          <t>C</t>
        </is>
      </c>
      <c r="H9" s="111" t="inlineStr">
        <is>
          <t>C</t>
        </is>
      </c>
      <c r="I9" s="98" t="inlineStr">
        <is>
          <t>M</t>
        </is>
      </c>
      <c r="J9" s="98" t="inlineStr">
        <is>
          <t>M</t>
        </is>
      </c>
      <c r="K9" s="98" t="inlineStr">
        <is>
          <t>M</t>
        </is>
      </c>
      <c r="L9" s="98" t="inlineStr">
        <is>
          <t>M</t>
        </is>
      </c>
      <c r="M9" s="98" t="inlineStr">
        <is>
          <t>M</t>
        </is>
      </c>
      <c r="N9" s="111" t="inlineStr">
        <is>
          <t>C</t>
        </is>
      </c>
      <c r="O9" s="98" t="inlineStr">
        <is>
          <t>M</t>
        </is>
      </c>
      <c r="P9" s="98" t="inlineStr">
        <is>
          <t>M</t>
        </is>
      </c>
      <c r="Q9" s="98" t="inlineStr">
        <is>
          <t>M</t>
        </is>
      </c>
      <c r="R9" s="98" t="inlineStr">
        <is>
          <t>M</t>
        </is>
      </c>
      <c r="S9" s="98" t="inlineStr">
        <is>
          <t>M</t>
        </is>
      </c>
      <c r="T9" s="98" t="inlineStr">
        <is>
          <t>M</t>
        </is>
      </c>
      <c r="U9" s="111" t="inlineStr">
        <is>
          <t>C</t>
        </is>
      </c>
      <c r="V9" s="98" t="inlineStr">
        <is>
          <t>M</t>
        </is>
      </c>
      <c r="W9" s="97" t="n"/>
      <c r="X9" s="97" t="n"/>
      <c r="Y9" s="98" t="inlineStr">
        <is>
          <t>M</t>
        </is>
      </c>
      <c r="Z9" s="98" t="inlineStr">
        <is>
          <t>M</t>
        </is>
      </c>
      <c r="AA9" s="98" t="inlineStr">
        <is>
          <t>M</t>
        </is>
      </c>
      <c r="AB9" s="111" t="inlineStr">
        <is>
          <t>C</t>
        </is>
      </c>
      <c r="AC9" s="98" t="inlineStr">
        <is>
          <t>M</t>
        </is>
      </c>
      <c r="AD9" s="98" t="inlineStr">
        <is>
          <t>M</t>
        </is>
      </c>
      <c r="AE9" s="110" t="n"/>
      <c r="AF9" s="110" t="n"/>
      <c r="AG9" s="110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ROUND(B9*4.0,0)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110" t="n"/>
      <c r="AF10" s="110" t="n"/>
      <c r="AG10" s="110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ROUND(B10*4.0,0)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102" t="inlineStr">
        <is>
          <t>D</t>
        </is>
      </c>
      <c r="E11" s="98" t="inlineStr">
        <is>
          <t>M</t>
        </is>
      </c>
      <c r="F11" s="102" t="inlineStr">
        <is>
          <t>D</t>
        </is>
      </c>
      <c r="G11" s="98" t="inlineStr">
        <is>
          <t>M</t>
        </is>
      </c>
      <c r="H11" s="98" t="inlineStr">
        <is>
          <t>M</t>
        </is>
      </c>
      <c r="I11" s="97" t="n"/>
      <c r="J11" s="97" t="n"/>
      <c r="K11" s="98" t="inlineStr">
        <is>
          <t>M</t>
        </is>
      </c>
      <c r="L11" s="98" t="inlineStr">
        <is>
          <t>M</t>
        </is>
      </c>
      <c r="M11" s="98" t="inlineStr">
        <is>
          <t>M</t>
        </is>
      </c>
      <c r="N11" s="98" t="inlineStr">
        <is>
          <t>M</t>
        </is>
      </c>
      <c r="O11" s="97" t="n"/>
      <c r="P11" s="103" t="inlineStr">
        <is>
          <t>N</t>
        </is>
      </c>
      <c r="Q11" s="98" t="inlineStr">
        <is>
          <t>M</t>
        </is>
      </c>
      <c r="R11" s="98" t="inlineStr">
        <is>
          <t>M</t>
        </is>
      </c>
      <c r="S11" s="98" t="inlineStr">
        <is>
          <t>M</t>
        </is>
      </c>
      <c r="T11" s="98" t="inlineStr">
        <is>
          <t>M</t>
        </is>
      </c>
      <c r="U11" s="98" t="inlineStr">
        <is>
          <t>M</t>
        </is>
      </c>
      <c r="V11" s="98" t="inlineStr">
        <is>
          <t>M</t>
        </is>
      </c>
      <c r="W11" s="97" t="n"/>
      <c r="X11" s="97" t="n"/>
      <c r="Y11" s="98" t="inlineStr">
        <is>
          <t>M</t>
        </is>
      </c>
      <c r="Z11" s="98" t="inlineStr">
        <is>
          <t>M</t>
        </is>
      </c>
      <c r="AA11" s="98" t="inlineStr">
        <is>
          <t>M</t>
        </is>
      </c>
      <c r="AB11" s="98" t="inlineStr">
        <is>
          <t>M</t>
        </is>
      </c>
      <c r="AC11" s="98" t="inlineStr">
        <is>
          <t>M</t>
        </is>
      </c>
      <c r="AD11" s="97" t="n"/>
      <c r="AE11" s="110" t="n"/>
      <c r="AF11" s="110" t="n"/>
      <c r="AG11" s="110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ROUND(B11*4.0,0)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8" t="inlineStr">
        <is>
          <t>M</t>
        </is>
      </c>
      <c r="E12" s="102" t="inlineStr">
        <is>
          <t>D</t>
        </is>
      </c>
      <c r="F12" s="98" t="inlineStr">
        <is>
          <t>M</t>
        </is>
      </c>
      <c r="G12" s="98" t="inlineStr">
        <is>
          <t>M</t>
        </is>
      </c>
      <c r="H12" s="98" t="inlineStr">
        <is>
          <t>M</t>
        </is>
      </c>
      <c r="I12" s="97" t="n"/>
      <c r="J12" s="97" t="n"/>
      <c r="K12" s="98" t="inlineStr">
        <is>
          <t>M</t>
        </is>
      </c>
      <c r="L12" s="102" t="inlineStr">
        <is>
          <t>D</t>
        </is>
      </c>
      <c r="M12" s="98" t="inlineStr">
        <is>
          <t>M</t>
        </is>
      </c>
      <c r="N12" s="102" t="inlineStr">
        <is>
          <t>D</t>
        </is>
      </c>
      <c r="O12" s="98" t="inlineStr">
        <is>
          <t>M</t>
        </is>
      </c>
      <c r="P12" s="97" t="n"/>
      <c r="Q12" s="97" t="n"/>
      <c r="R12" s="98" t="inlineStr">
        <is>
          <t>M</t>
        </is>
      </c>
      <c r="S12" s="98" t="inlineStr">
        <is>
          <t>M</t>
        </is>
      </c>
      <c r="T12" s="98" t="inlineStr">
        <is>
          <t>M</t>
        </is>
      </c>
      <c r="U12" s="98" t="inlineStr">
        <is>
          <t>M</t>
        </is>
      </c>
      <c r="V12" s="98" t="inlineStr">
        <is>
          <t>M</t>
        </is>
      </c>
      <c r="W12" s="102" t="inlineStr">
        <is>
          <t>D</t>
        </is>
      </c>
      <c r="X12" s="97" t="n"/>
      <c r="Y12" s="98" t="inlineStr">
        <is>
          <t>M</t>
        </is>
      </c>
      <c r="Z12" s="98" t="inlineStr">
        <is>
          <t>M</t>
        </is>
      </c>
      <c r="AA12" s="98" t="inlineStr">
        <is>
          <t>M</t>
        </is>
      </c>
      <c r="AB12" s="98" t="inlineStr">
        <is>
          <t>M</t>
        </is>
      </c>
      <c r="AC12" s="98" t="inlineStr">
        <is>
          <t>M</t>
        </is>
      </c>
      <c r="AD12" s="102" t="inlineStr">
        <is>
          <t>D</t>
        </is>
      </c>
      <c r="AE12" s="110" t="n"/>
      <c r="AF12" s="110" t="n"/>
      <c r="AG12" s="110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ROUND(B12*4.0,0)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7" t="n"/>
      <c r="D13" s="98" t="inlineStr">
        <is>
          <t>M</t>
        </is>
      </c>
      <c r="E13" s="102" t="inlineStr">
        <is>
          <t>D</t>
        </is>
      </c>
      <c r="F13" s="98" t="inlineStr">
        <is>
          <t>M</t>
        </is>
      </c>
      <c r="G13" s="98" t="inlineStr">
        <is>
          <t>M</t>
        </is>
      </c>
      <c r="H13" s="98" t="inlineStr">
        <is>
          <t>M</t>
        </is>
      </c>
      <c r="I13" s="103" t="inlineStr">
        <is>
          <t>N</t>
        </is>
      </c>
      <c r="J13" s="97" t="n"/>
      <c r="K13" s="98" t="inlineStr">
        <is>
          <t>M</t>
        </is>
      </c>
      <c r="L13" s="102" t="inlineStr">
        <is>
          <t>D</t>
        </is>
      </c>
      <c r="M13" s="98" t="inlineStr">
        <is>
          <t>M</t>
        </is>
      </c>
      <c r="N13" s="98" t="inlineStr">
        <is>
          <t>M</t>
        </is>
      </c>
      <c r="O13" s="98" t="inlineStr">
        <is>
          <t>M</t>
        </is>
      </c>
      <c r="P13" s="97" t="n"/>
      <c r="Q13" s="97" t="n"/>
      <c r="R13" s="98" t="inlineStr">
        <is>
          <t>M</t>
        </is>
      </c>
      <c r="S13" s="98" t="inlineStr">
        <is>
          <t>M</t>
        </is>
      </c>
      <c r="T13" s="98" t="inlineStr">
        <is>
          <t>M</t>
        </is>
      </c>
      <c r="U13" s="98" t="inlineStr">
        <is>
          <t>M</t>
        </is>
      </c>
      <c r="V13" s="98" t="inlineStr">
        <is>
          <t>M</t>
        </is>
      </c>
      <c r="W13" s="97" t="n"/>
      <c r="X13" s="103" t="inlineStr">
        <is>
          <t>N</t>
        </is>
      </c>
      <c r="Y13" s="98" t="inlineStr">
        <is>
          <t>M</t>
        </is>
      </c>
      <c r="Z13" s="102" t="inlineStr">
        <is>
          <t>D</t>
        </is>
      </c>
      <c r="AA13" s="98" t="inlineStr">
        <is>
          <t>M</t>
        </is>
      </c>
      <c r="AB13" s="98" t="inlineStr">
        <is>
          <t>M</t>
        </is>
      </c>
      <c r="AC13" s="98" t="inlineStr">
        <is>
          <t>M</t>
        </is>
      </c>
      <c r="AD13" s="97" t="n"/>
      <c r="AE13" s="110" t="n"/>
      <c r="AF13" s="110" t="n"/>
      <c r="AG13" s="110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ROUND(B13*4.0,0)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104" t="inlineStr">
        <is>
          <t>T</t>
        </is>
      </c>
      <c r="D14" s="98" t="inlineStr">
        <is>
          <t>M</t>
        </is>
      </c>
      <c r="E14" s="98" t="inlineStr">
        <is>
          <t>M</t>
        </is>
      </c>
      <c r="F14" s="98" t="inlineStr">
        <is>
          <t>M</t>
        </is>
      </c>
      <c r="G14" s="98" t="inlineStr">
        <is>
          <t>M</t>
        </is>
      </c>
      <c r="H14" s="102" t="inlineStr">
        <is>
          <t>D</t>
        </is>
      </c>
      <c r="I14" s="97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8" t="inlineStr">
        <is>
          <t>M</t>
        </is>
      </c>
      <c r="AA14" s="98" t="inlineStr">
        <is>
          <t>M</t>
        </is>
      </c>
      <c r="AB14" s="98" t="inlineStr">
        <is>
          <t>M</t>
        </is>
      </c>
      <c r="AC14" s="102" t="inlineStr">
        <is>
          <t>D</t>
        </is>
      </c>
      <c r="AD14" s="104" t="inlineStr">
        <is>
          <t>T</t>
        </is>
      </c>
      <c r="AE14" s="110" t="n"/>
      <c r="AF14" s="110" t="n"/>
      <c r="AG14" s="110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ROUND(B14*4.0,0)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8" t="inlineStr">
        <is>
          <t>M</t>
        </is>
      </c>
      <c r="E15" s="98" t="inlineStr">
        <is>
          <t>M</t>
        </is>
      </c>
      <c r="F15" s="98" t="inlineStr">
        <is>
          <t>M</t>
        </is>
      </c>
      <c r="G15" s="98" t="inlineStr">
        <is>
          <t>M</t>
        </is>
      </c>
      <c r="H15" s="98" t="inlineStr">
        <is>
          <t>M</t>
        </is>
      </c>
      <c r="I15" s="103" t="inlineStr">
        <is>
          <t>N</t>
        </is>
      </c>
      <c r="J15" s="97" t="n"/>
      <c r="K15" s="98" t="inlineStr">
        <is>
          <t>M</t>
        </is>
      </c>
      <c r="L15" s="98" t="inlineStr">
        <is>
          <t>M</t>
        </is>
      </c>
      <c r="M15" s="98" t="inlineStr">
        <is>
          <t>M</t>
        </is>
      </c>
      <c r="N15" s="98" t="inlineStr">
        <is>
          <t>M</t>
        </is>
      </c>
      <c r="O15" s="98" t="inlineStr">
        <is>
          <t>M</t>
        </is>
      </c>
      <c r="P15" s="97" t="n"/>
      <c r="Q15" s="97" t="n"/>
      <c r="R15" s="98" t="inlineStr">
        <is>
          <t>M</t>
        </is>
      </c>
      <c r="S15" s="98" t="inlineStr">
        <is>
          <t>M</t>
        </is>
      </c>
      <c r="T15" s="98" t="inlineStr">
        <is>
          <t>M</t>
        </is>
      </c>
      <c r="U15" s="98" t="inlineStr">
        <is>
          <t>M</t>
        </is>
      </c>
      <c r="V15" s="98" t="inlineStr">
        <is>
          <t>M</t>
        </is>
      </c>
      <c r="W15" s="103" t="inlineStr">
        <is>
          <t>N</t>
        </is>
      </c>
      <c r="X15" s="97" t="n"/>
      <c r="Y15" s="98" t="inlineStr">
        <is>
          <t>M</t>
        </is>
      </c>
      <c r="Z15" s="98" t="inlineStr">
        <is>
          <t>M</t>
        </is>
      </c>
      <c r="AA15" s="98" t="inlineStr">
        <is>
          <t>M</t>
        </is>
      </c>
      <c r="AB15" s="98" t="inlineStr">
        <is>
          <t>M</t>
        </is>
      </c>
      <c r="AC15" s="98" t="inlineStr">
        <is>
          <t>M</t>
        </is>
      </c>
      <c r="AD15" s="97" t="n"/>
      <c r="AE15" s="110" t="n"/>
      <c r="AF15" s="110" t="n"/>
      <c r="AG15" s="110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ROUND(B15*4.0,0)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110" t="n"/>
      <c r="AF16" s="110" t="n"/>
      <c r="AG16" s="110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ROUND(B16*4.0,0)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103" t="inlineStr">
        <is>
          <t>N</t>
        </is>
      </c>
      <c r="E17" s="112" t="inlineStr">
        <is>
          <t>E</t>
        </is>
      </c>
      <c r="F17" s="104" t="inlineStr">
        <is>
          <t>T</t>
        </is>
      </c>
      <c r="G17" s="97" t="n"/>
      <c r="H17" s="97" t="n"/>
      <c r="I17" s="104" t="inlineStr">
        <is>
          <t>T</t>
        </is>
      </c>
      <c r="J17" s="103" t="inlineStr">
        <is>
          <t>N</t>
        </is>
      </c>
      <c r="K17" s="103" t="inlineStr">
        <is>
          <t>N</t>
        </is>
      </c>
      <c r="L17" s="104" t="inlineStr">
        <is>
          <t>T</t>
        </is>
      </c>
      <c r="M17" s="97" t="n"/>
      <c r="N17" s="112" t="inlineStr">
        <is>
          <t>E</t>
        </is>
      </c>
      <c r="O17" s="97" t="n"/>
      <c r="P17" s="104" t="inlineStr">
        <is>
          <t>T</t>
        </is>
      </c>
      <c r="Q17" s="103" t="inlineStr">
        <is>
          <t>N</t>
        </is>
      </c>
      <c r="R17" s="97" t="n"/>
      <c r="S17" s="103" t="inlineStr">
        <is>
          <t>N</t>
        </is>
      </c>
      <c r="T17" s="98" t="inlineStr">
        <is>
          <t>M</t>
        </is>
      </c>
      <c r="U17" s="111" t="inlineStr">
        <is>
          <t>C</t>
        </is>
      </c>
      <c r="V17" s="103" t="inlineStr">
        <is>
          <t>N</t>
        </is>
      </c>
      <c r="W17" s="97" t="n"/>
      <c r="X17" s="97" t="n"/>
      <c r="Y17" s="112" t="inlineStr">
        <is>
          <t>E</t>
        </is>
      </c>
      <c r="Z17" s="103" t="inlineStr">
        <is>
          <t>N</t>
        </is>
      </c>
      <c r="AA17" s="98" t="inlineStr">
        <is>
          <t>M</t>
        </is>
      </c>
      <c r="AB17" s="102" t="inlineStr">
        <is>
          <t>D</t>
        </is>
      </c>
      <c r="AC17" s="97" t="n"/>
      <c r="AD17" s="98" t="inlineStr">
        <is>
          <t>M</t>
        </is>
      </c>
      <c r="AE17" s="110" t="n"/>
      <c r="AF17" s="110" t="n"/>
      <c r="AG17" s="110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ROUND(B17*4.0,0)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97" t="n"/>
      <c r="E18" s="97" t="n"/>
      <c r="F18" s="102" t="inlineStr">
        <is>
          <t>D</t>
        </is>
      </c>
      <c r="G18" s="104" t="inlineStr">
        <is>
          <t>T</t>
        </is>
      </c>
      <c r="H18" s="97" t="n"/>
      <c r="I18" s="97" t="n"/>
      <c r="J18" s="102" t="inlineStr">
        <is>
          <t>D</t>
        </is>
      </c>
      <c r="K18" s="102" t="inlineStr">
        <is>
          <t>D</t>
        </is>
      </c>
      <c r="L18" s="97" t="n"/>
      <c r="M18" s="102" t="inlineStr">
        <is>
          <t>D</t>
        </is>
      </c>
      <c r="N18" s="97" t="n"/>
      <c r="O18" s="102" t="inlineStr">
        <is>
          <t>D</t>
        </is>
      </c>
      <c r="P18" s="97" t="n"/>
      <c r="Q18" s="97" t="n"/>
      <c r="R18" s="102" t="inlineStr">
        <is>
          <t>D</t>
        </is>
      </c>
      <c r="S18" s="97" t="n"/>
      <c r="T18" s="102" t="inlineStr">
        <is>
          <t>D</t>
        </is>
      </c>
      <c r="U18" s="97" t="n"/>
      <c r="V18" s="97" t="n"/>
      <c r="W18" s="97" t="n"/>
      <c r="X18" s="102" t="inlineStr">
        <is>
          <t>D</t>
        </is>
      </c>
      <c r="Y18" s="102" t="inlineStr">
        <is>
          <t>D</t>
        </is>
      </c>
      <c r="Z18" s="97" t="n"/>
      <c r="AA18" s="102" t="inlineStr">
        <is>
          <t>D</t>
        </is>
      </c>
      <c r="AB18" s="97" t="n"/>
      <c r="AC18" s="97" t="n"/>
      <c r="AD18" s="97" t="n"/>
      <c r="AE18" s="110" t="n"/>
      <c r="AF18" s="110" t="n"/>
      <c r="AG18" s="110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ROUND(B18*4.0,0)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97" t="n"/>
      <c r="E19" s="97" t="n"/>
      <c r="F19" s="103" t="inlineStr">
        <is>
          <t>N</t>
        </is>
      </c>
      <c r="G19" s="97" t="n"/>
      <c r="H19" s="103" t="inlineStr">
        <is>
          <t>N</t>
        </is>
      </c>
      <c r="I19" s="97" t="n"/>
      <c r="J19" s="103" t="inlineStr">
        <is>
          <t>N</t>
        </is>
      </c>
      <c r="K19" s="103" t="inlineStr">
        <is>
          <t>N</t>
        </is>
      </c>
      <c r="L19" s="97" t="n"/>
      <c r="M19" s="103" t="inlineStr">
        <is>
          <t>N</t>
        </is>
      </c>
      <c r="N19" s="103" t="inlineStr">
        <is>
          <t>N</t>
        </is>
      </c>
      <c r="O19" s="97" t="n"/>
      <c r="P19" s="97" t="n"/>
      <c r="Q19" s="97" t="n"/>
      <c r="R19" s="97" t="n"/>
      <c r="S19" s="97" t="n"/>
      <c r="T19" s="103" t="inlineStr">
        <is>
          <t>N</t>
        </is>
      </c>
      <c r="U19" s="103" t="inlineStr">
        <is>
          <t>N</t>
        </is>
      </c>
      <c r="V19" s="97" t="n"/>
      <c r="W19" s="97" t="n"/>
      <c r="X19" s="103" t="inlineStr">
        <is>
          <t>N</t>
        </is>
      </c>
      <c r="Y19" s="97" t="n"/>
      <c r="Z19" s="97" t="n"/>
      <c r="AA19" s="103" t="inlineStr">
        <is>
          <t>N</t>
        </is>
      </c>
      <c r="AB19" s="103" t="inlineStr">
        <is>
          <t>N</t>
        </is>
      </c>
      <c r="AC19" s="97" t="n"/>
      <c r="AD19" s="97" t="n"/>
      <c r="AE19" s="110" t="n"/>
      <c r="AF19" s="110" t="n"/>
      <c r="AG19" s="110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ROUND(B19*4.0,0)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103" t="inlineStr">
        <is>
          <t>N</t>
        </is>
      </c>
      <c r="D20" s="103" t="inlineStr">
        <is>
          <t>N</t>
        </is>
      </c>
      <c r="E20" s="97" t="n"/>
      <c r="F20" s="103" t="inlineStr">
        <is>
          <t>N</t>
        </is>
      </c>
      <c r="G20" s="103" t="inlineStr">
        <is>
          <t>N</t>
        </is>
      </c>
      <c r="H20" s="97" t="n"/>
      <c r="I20" s="97" t="n"/>
      <c r="J20" s="97" t="n"/>
      <c r="K20" s="97" t="n"/>
      <c r="L20" s="103" t="inlineStr">
        <is>
          <t>N</t>
        </is>
      </c>
      <c r="M20" s="97" t="n"/>
      <c r="N20" s="97" t="n"/>
      <c r="O20" s="97" t="n"/>
      <c r="P20" s="103" t="inlineStr">
        <is>
          <t>N</t>
        </is>
      </c>
      <c r="Q20" s="103" t="inlineStr">
        <is>
          <t>N</t>
        </is>
      </c>
      <c r="R20" s="97" t="n"/>
      <c r="S20" s="103" t="inlineStr">
        <is>
          <t>N</t>
        </is>
      </c>
      <c r="T20" s="103" t="inlineStr">
        <is>
          <t>N</t>
        </is>
      </c>
      <c r="U20" s="103" t="inlineStr">
        <is>
          <t>N</t>
        </is>
      </c>
      <c r="V20" s="97" t="n"/>
      <c r="W20" s="97" t="n"/>
      <c r="X20" s="97" t="n"/>
      <c r="Y20" s="97" t="n"/>
      <c r="Z20" s="97" t="n"/>
      <c r="AA20" s="103" t="inlineStr">
        <is>
          <t>N</t>
        </is>
      </c>
      <c r="AB20" s="103" t="inlineStr">
        <is>
          <t>N</t>
        </is>
      </c>
      <c r="AC20" s="97" t="n"/>
      <c r="AD20" s="97" t="n"/>
      <c r="AE20" s="110" t="n"/>
      <c r="AF20" s="110" t="n"/>
      <c r="AG20" s="110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ROUND(B20*4.0,0)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104" t="inlineStr">
        <is>
          <t>T</t>
        </is>
      </c>
      <c r="E21" s="102" t="inlineStr">
        <is>
          <t>D</t>
        </is>
      </c>
      <c r="F21" s="97" t="n"/>
      <c r="G21" s="103" t="inlineStr">
        <is>
          <t>N</t>
        </is>
      </c>
      <c r="H21" s="104" t="inlineStr">
        <is>
          <t>T</t>
        </is>
      </c>
      <c r="I21" s="97" t="n"/>
      <c r="J21" s="97" t="n"/>
      <c r="K21" s="104" t="inlineStr">
        <is>
          <t>T</t>
        </is>
      </c>
      <c r="L21" s="102" t="inlineStr">
        <is>
          <t>D</t>
        </is>
      </c>
      <c r="M21" s="104" t="inlineStr">
        <is>
          <t>T</t>
        </is>
      </c>
      <c r="N21" s="97" t="n"/>
      <c r="O21" s="97" t="n"/>
      <c r="P21" s="97" t="n"/>
      <c r="Q21" s="103" t="inlineStr">
        <is>
          <t>N</t>
        </is>
      </c>
      <c r="R21" s="97" t="n"/>
      <c r="S21" s="102" t="inlineStr">
        <is>
          <t>D</t>
        </is>
      </c>
      <c r="T21" s="97" t="n"/>
      <c r="U21" s="97" t="n"/>
      <c r="V21" s="97" t="n"/>
      <c r="W21" s="102" t="inlineStr">
        <is>
          <t>D</t>
        </is>
      </c>
      <c r="X21" s="103" t="inlineStr">
        <is>
          <t>N</t>
        </is>
      </c>
      <c r="Y21" s="104" t="inlineStr">
        <is>
          <t>T</t>
        </is>
      </c>
      <c r="Z21" s="102" t="inlineStr">
        <is>
          <t>D</t>
        </is>
      </c>
      <c r="AA21" s="104" t="inlineStr">
        <is>
          <t>T</t>
        </is>
      </c>
      <c r="AB21" s="97" t="n"/>
      <c r="AC21" s="103" t="inlineStr">
        <is>
          <t>N</t>
        </is>
      </c>
      <c r="AD21" s="97" t="n"/>
      <c r="AE21" s="110" t="n"/>
      <c r="AF21" s="110" t="n"/>
      <c r="AG21" s="110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ROUND(B21*4.0,0)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97" t="n"/>
      <c r="E22" s="97" t="n"/>
      <c r="F22" s="98" t="inlineStr">
        <is>
          <t>M</t>
        </is>
      </c>
      <c r="G22" s="102" t="inlineStr">
        <is>
          <t>D</t>
        </is>
      </c>
      <c r="H22" s="98" t="inlineStr">
        <is>
          <t>M</t>
        </is>
      </c>
      <c r="I22" s="103" t="inlineStr">
        <is>
          <t>N</t>
        </is>
      </c>
      <c r="J22" s="97" t="n"/>
      <c r="K22" s="97" t="n"/>
      <c r="L22" s="98" t="inlineStr">
        <is>
          <t>M</t>
        </is>
      </c>
      <c r="M22" s="97" t="n"/>
      <c r="N22" s="102" t="inlineStr">
        <is>
          <t>D</t>
        </is>
      </c>
      <c r="O22" s="98" t="inlineStr">
        <is>
          <t>M</t>
        </is>
      </c>
      <c r="P22" s="97" t="n"/>
      <c r="Q22" s="102" t="inlineStr">
        <is>
          <t>D</t>
        </is>
      </c>
      <c r="R22" s="104" t="inlineStr">
        <is>
          <t>T</t>
        </is>
      </c>
      <c r="S22" s="102" t="inlineStr">
        <is>
          <t>D</t>
        </is>
      </c>
      <c r="T22" s="98" t="inlineStr">
        <is>
          <t>M</t>
        </is>
      </c>
      <c r="U22" s="104" t="inlineStr">
        <is>
          <t>T</t>
        </is>
      </c>
      <c r="V22" s="104" t="inlineStr">
        <is>
          <t>T</t>
        </is>
      </c>
      <c r="W22" s="97" t="n"/>
      <c r="X22" s="97" t="n"/>
      <c r="Y22" s="97" t="n"/>
      <c r="Z22" s="102" t="inlineStr">
        <is>
          <t>D</t>
        </is>
      </c>
      <c r="AA22" s="98" t="inlineStr">
        <is>
          <t>M</t>
        </is>
      </c>
      <c r="AB22" s="97" t="n"/>
      <c r="AC22" s="98" t="inlineStr">
        <is>
          <t>M</t>
        </is>
      </c>
      <c r="AD22" s="97" t="n"/>
      <c r="AE22" s="110" t="n"/>
      <c r="AF22" s="110" t="n"/>
      <c r="AG22" s="110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ROUND(B22*4.0,0)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8" t="inlineStr">
        <is>
          <t>M</t>
        </is>
      </c>
      <c r="E23" s="97" t="n"/>
      <c r="F23" s="97" t="n"/>
      <c r="G23" s="97" t="n"/>
      <c r="H23" s="97" t="n"/>
      <c r="I23" s="102" t="inlineStr">
        <is>
          <t>D</t>
        </is>
      </c>
      <c r="J23" s="102" t="inlineStr">
        <is>
          <t>D</t>
        </is>
      </c>
      <c r="K23" s="97" t="n"/>
      <c r="L23" s="102" t="inlineStr">
        <is>
          <t>D</t>
        </is>
      </c>
      <c r="M23" s="97" t="n"/>
      <c r="N23" s="102" t="inlineStr">
        <is>
          <t>D</t>
        </is>
      </c>
      <c r="O23" s="97" t="n"/>
      <c r="P23" s="102" t="inlineStr">
        <is>
          <t>D</t>
        </is>
      </c>
      <c r="Q23" s="97" t="n"/>
      <c r="R23" s="102" t="inlineStr">
        <is>
          <t>D</t>
        </is>
      </c>
      <c r="S23" s="102" t="inlineStr">
        <is>
          <t>D</t>
        </is>
      </c>
      <c r="T23" s="97" t="n"/>
      <c r="U23" s="102" t="inlineStr">
        <is>
          <t>D</t>
        </is>
      </c>
      <c r="V23" s="97" t="n"/>
      <c r="W23" s="97" t="n"/>
      <c r="X23" s="97" t="n"/>
      <c r="Y23" s="102" t="inlineStr">
        <is>
          <t>D</t>
        </is>
      </c>
      <c r="Z23" s="102" t="inlineStr">
        <is>
          <t>D</t>
        </is>
      </c>
      <c r="AA23" s="97" t="n"/>
      <c r="AB23" s="102" t="inlineStr">
        <is>
          <t>D</t>
        </is>
      </c>
      <c r="AC23" s="97" t="n"/>
      <c r="AD23" s="97" t="n"/>
      <c r="AE23" s="110" t="n"/>
      <c r="AF23" s="110" t="n"/>
      <c r="AG23" s="110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ROUND(B23*4.0,0)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102" t="inlineStr">
        <is>
          <t>D</t>
        </is>
      </c>
      <c r="F24" s="98" t="inlineStr">
        <is>
          <t>M</t>
        </is>
      </c>
      <c r="G24" s="97" t="n"/>
      <c r="H24" s="97" t="n"/>
      <c r="I24" s="103" t="inlineStr">
        <is>
          <t>N</t>
        </is>
      </c>
      <c r="J24" s="97" t="n"/>
      <c r="K24" s="98" t="inlineStr">
        <is>
          <t>M</t>
        </is>
      </c>
      <c r="L24" s="102" t="inlineStr">
        <is>
          <t>D</t>
        </is>
      </c>
      <c r="M24" s="98" t="inlineStr">
        <is>
          <t>M</t>
        </is>
      </c>
      <c r="N24" s="97" t="n"/>
      <c r="O24" s="103" t="inlineStr">
        <is>
          <t>N</t>
        </is>
      </c>
      <c r="P24" s="97" t="n"/>
      <c r="Q24" s="97" t="n"/>
      <c r="R24" s="97" t="n"/>
      <c r="S24" s="97" t="n"/>
      <c r="T24" s="97" t="n"/>
      <c r="U24" s="102" t="inlineStr">
        <is>
          <t>D</t>
        </is>
      </c>
      <c r="V24" s="102" t="inlineStr">
        <is>
          <t>D</t>
        </is>
      </c>
      <c r="W24" s="103" t="inlineStr">
        <is>
          <t>N</t>
        </is>
      </c>
      <c r="X24" s="97" t="n"/>
      <c r="Y24" s="102" t="inlineStr">
        <is>
          <t>D</t>
        </is>
      </c>
      <c r="Z24" s="102" t="inlineStr">
        <is>
          <t>D</t>
        </is>
      </c>
      <c r="AA24" s="97" t="n"/>
      <c r="AB24" s="97" t="n"/>
      <c r="AC24" s="97" t="n"/>
      <c r="AD24" s="103" t="inlineStr">
        <is>
          <t>N</t>
        </is>
      </c>
      <c r="AE24" s="110" t="n"/>
      <c r="AF24" s="110" t="n"/>
      <c r="AG24" s="110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ROUND(B24*4.0,0)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103" t="inlineStr">
        <is>
          <t>N</t>
        </is>
      </c>
      <c r="F25" s="103" t="inlineStr">
        <is>
          <t>N</t>
        </is>
      </c>
      <c r="G25" s="97" t="n"/>
      <c r="H25" s="97" t="n"/>
      <c r="I25" s="97" t="n"/>
      <c r="J25" s="103" t="inlineStr">
        <is>
          <t>N</t>
        </is>
      </c>
      <c r="K25" s="97" t="n"/>
      <c r="L25" s="103" t="inlineStr">
        <is>
          <t>N</t>
        </is>
      </c>
      <c r="M25" s="103" t="inlineStr">
        <is>
          <t>N</t>
        </is>
      </c>
      <c r="N25" s="97" t="n"/>
      <c r="O25" s="97" t="n"/>
      <c r="P25" s="97" t="n"/>
      <c r="Q25" s="103" t="inlineStr">
        <is>
          <t>N</t>
        </is>
      </c>
      <c r="R25" s="103" t="inlineStr">
        <is>
          <t>N</t>
        </is>
      </c>
      <c r="S25" s="97" t="n"/>
      <c r="T25" s="103" t="inlineStr">
        <is>
          <t>N</t>
        </is>
      </c>
      <c r="U25" s="97" t="n"/>
      <c r="V25" s="97" t="n"/>
      <c r="W25" s="97" t="n"/>
      <c r="X25" s="103" t="inlineStr">
        <is>
          <t>N</t>
        </is>
      </c>
      <c r="Y25" s="97" t="n"/>
      <c r="Z25" s="97" t="n"/>
      <c r="AA25" s="103" t="inlineStr">
        <is>
          <t>N</t>
        </is>
      </c>
      <c r="AB25" s="97" t="n"/>
      <c r="AC25" s="103" t="inlineStr">
        <is>
          <t>N</t>
        </is>
      </c>
      <c r="AD25" s="97" t="n"/>
      <c r="AE25" s="110" t="n"/>
      <c r="AF25" s="110" t="n"/>
      <c r="AG25" s="110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ROUND(B25*4.0,0)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103" t="inlineStr">
        <is>
          <t>N</t>
        </is>
      </c>
      <c r="D26" s="97" t="n"/>
      <c r="E26" s="97" t="n"/>
      <c r="F26" s="97" t="n"/>
      <c r="G26" s="103" t="inlineStr">
        <is>
          <t>N</t>
        </is>
      </c>
      <c r="H26" s="98" t="inlineStr">
        <is>
          <t>M</t>
        </is>
      </c>
      <c r="I26" s="98" t="inlineStr">
        <is>
          <t>M</t>
        </is>
      </c>
      <c r="J26" s="103" t="inlineStr">
        <is>
          <t>N</t>
        </is>
      </c>
      <c r="K26" s="98" t="inlineStr">
        <is>
          <t>M</t>
        </is>
      </c>
      <c r="L26" s="103" t="inlineStr">
        <is>
          <t>N</t>
        </is>
      </c>
      <c r="M26" s="97" t="n"/>
      <c r="N26" s="103" t="inlineStr">
        <is>
          <t>N</t>
        </is>
      </c>
      <c r="O26" s="98" t="inlineStr">
        <is>
          <t>M</t>
        </is>
      </c>
      <c r="P26" s="97" t="n"/>
      <c r="Q26" s="97" t="n"/>
      <c r="R26" s="97" t="n"/>
      <c r="S26" s="104" t="inlineStr">
        <is>
          <t>T</t>
        </is>
      </c>
      <c r="T26" s="104" t="inlineStr">
        <is>
          <t>T</t>
        </is>
      </c>
      <c r="U26" s="103" t="inlineStr">
        <is>
          <t>N</t>
        </is>
      </c>
      <c r="V26" s="98" t="inlineStr">
        <is>
          <t>M</t>
        </is>
      </c>
      <c r="W26" s="98" t="inlineStr">
        <is>
          <t>M</t>
        </is>
      </c>
      <c r="X26" s="97" t="n"/>
      <c r="Y26" s="97" t="n"/>
      <c r="Z26" s="97" t="n"/>
      <c r="AA26" s="103" t="inlineStr">
        <is>
          <t>N</t>
        </is>
      </c>
      <c r="AB26" s="97" t="n"/>
      <c r="AC26" s="103" t="inlineStr">
        <is>
          <t>N</t>
        </is>
      </c>
      <c r="AD26" s="97" t="n"/>
      <c r="AE26" s="110" t="n"/>
      <c r="AF26" s="110" t="n"/>
      <c r="AG26" s="110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ROUND(B26*4.0,0)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98" t="inlineStr">
        <is>
          <t>M</t>
        </is>
      </c>
      <c r="F27" s="97" t="n"/>
      <c r="G27" s="103" t="inlineStr">
        <is>
          <t>N</t>
        </is>
      </c>
      <c r="H27" s="97" t="n"/>
      <c r="I27" s="103" t="inlineStr">
        <is>
          <t>N</t>
        </is>
      </c>
      <c r="J27" s="97" t="n"/>
      <c r="K27" s="98" t="inlineStr">
        <is>
          <t>M</t>
        </is>
      </c>
      <c r="L27" s="103" t="inlineStr">
        <is>
          <t>N</t>
        </is>
      </c>
      <c r="M27" s="97" t="n"/>
      <c r="N27" s="103" t="inlineStr">
        <is>
          <t>N</t>
        </is>
      </c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110" t="n"/>
      <c r="AF27" s="110" t="n"/>
      <c r="AG27" s="110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ROUND(B27*4.0,0)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103" t="inlineStr">
        <is>
          <t>N</t>
        </is>
      </c>
      <c r="V28" s="97" t="n"/>
      <c r="W28" s="102" t="inlineStr">
        <is>
          <t>D</t>
        </is>
      </c>
      <c r="X28" s="97" t="n"/>
      <c r="Y28" s="102" t="inlineStr">
        <is>
          <t>D</t>
        </is>
      </c>
      <c r="Z28" s="104" t="inlineStr">
        <is>
          <t>T</t>
        </is>
      </c>
      <c r="AA28" s="102" t="inlineStr">
        <is>
          <t>D</t>
        </is>
      </c>
      <c r="AB28" s="97" t="n"/>
      <c r="AC28" s="97" t="n"/>
      <c r="AD28" s="97" t="n"/>
      <c r="AE28" s="110" t="n"/>
      <c r="AF28" s="110" t="n"/>
      <c r="AG28" s="110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ROUND(B28*4.0,0)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103" t="inlineStr">
        <is>
          <t>N</t>
        </is>
      </c>
      <c r="E29" s="97" t="n"/>
      <c r="F29" s="98" t="inlineStr">
        <is>
          <t>M</t>
        </is>
      </c>
      <c r="G29" s="98" t="inlineStr">
        <is>
          <t>M</t>
        </is>
      </c>
      <c r="H29" s="97" t="n"/>
      <c r="I29" s="98" t="inlineStr">
        <is>
          <t>M</t>
        </is>
      </c>
      <c r="J29" s="97" t="n"/>
      <c r="K29" s="103" t="inlineStr">
        <is>
          <t>N</t>
        </is>
      </c>
      <c r="L29" s="97" t="n"/>
      <c r="M29" s="98" t="inlineStr">
        <is>
          <t>M</t>
        </is>
      </c>
      <c r="N29" s="97" t="n"/>
      <c r="O29" s="97" t="n"/>
      <c r="P29" s="98" t="inlineStr">
        <is>
          <t>M</t>
        </is>
      </c>
      <c r="Q29" s="98" t="inlineStr">
        <is>
          <t>M</t>
        </is>
      </c>
      <c r="R29" s="103" t="inlineStr">
        <is>
          <t>N</t>
        </is>
      </c>
      <c r="S29" s="97" t="n"/>
      <c r="T29" s="98" t="inlineStr">
        <is>
          <t>M</t>
        </is>
      </c>
      <c r="U29" s="98" t="inlineStr">
        <is>
          <t>M</t>
        </is>
      </c>
      <c r="V29" s="97" t="n"/>
      <c r="W29" s="98" t="inlineStr">
        <is>
          <t>M</t>
        </is>
      </c>
      <c r="X29" s="97" t="n"/>
      <c r="Y29" s="103" t="inlineStr">
        <is>
          <t>N</t>
        </is>
      </c>
      <c r="Z29" s="97" t="n"/>
      <c r="AA29" s="98" t="inlineStr">
        <is>
          <t>M</t>
        </is>
      </c>
      <c r="AB29" s="98" t="inlineStr">
        <is>
          <t>M</t>
        </is>
      </c>
      <c r="AC29" s="97" t="n"/>
      <c r="AD29" s="98" t="inlineStr">
        <is>
          <t>M</t>
        </is>
      </c>
      <c r="AE29" s="110" t="n"/>
      <c r="AF29" s="110" t="n"/>
      <c r="AG29" s="110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ROUND(B29*4.0,0)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103" t="inlineStr">
        <is>
          <t>N</t>
        </is>
      </c>
      <c r="D30" s="97" t="n"/>
      <c r="E30" s="103" t="inlineStr">
        <is>
          <t>N</t>
        </is>
      </c>
      <c r="F30" s="104" t="inlineStr">
        <is>
          <t>T</t>
        </is>
      </c>
      <c r="G30" s="97" t="n"/>
      <c r="H30" s="97" t="n"/>
      <c r="I30" s="97" t="n"/>
      <c r="J30" s="103" t="inlineStr">
        <is>
          <t>N</t>
        </is>
      </c>
      <c r="K30" s="97" t="n"/>
      <c r="L30" s="103" t="inlineStr">
        <is>
          <t>N</t>
        </is>
      </c>
      <c r="M30" s="104" t="inlineStr">
        <is>
          <t>T</t>
        </is>
      </c>
      <c r="N30" s="97" t="n"/>
      <c r="O30" s="97" t="n"/>
      <c r="P30" s="97" t="n"/>
      <c r="Q30" s="103" t="inlineStr">
        <is>
          <t>N</t>
        </is>
      </c>
      <c r="R30" s="97" t="n"/>
      <c r="S30" s="103" t="inlineStr">
        <is>
          <t>N</t>
        </is>
      </c>
      <c r="T30" s="103" t="inlineStr">
        <is>
          <t>N</t>
        </is>
      </c>
      <c r="U30" s="104" t="inlineStr">
        <is>
          <t>T</t>
        </is>
      </c>
      <c r="V30" s="97" t="n"/>
      <c r="W30" s="97" t="n"/>
      <c r="X30" s="97" t="n"/>
      <c r="Y30" s="97" t="n"/>
      <c r="Z30" s="103" t="inlineStr">
        <is>
          <t>N</t>
        </is>
      </c>
      <c r="AA30" s="104" t="inlineStr">
        <is>
          <t>T</t>
        </is>
      </c>
      <c r="AB30" s="97" t="n"/>
      <c r="AC30" s="97" t="n"/>
      <c r="AD30" s="97" t="n"/>
      <c r="AE30" s="110" t="n"/>
      <c r="AF30" s="110" t="n"/>
      <c r="AG30" s="110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ROUND(B30*4.0,0)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8" t="inlineStr">
        <is>
          <t>M</t>
        </is>
      </c>
      <c r="E31" s="97" t="n"/>
      <c r="F31" s="97" t="n"/>
      <c r="G31" s="97" t="n"/>
      <c r="H31" s="103" t="inlineStr">
        <is>
          <t>N</t>
        </is>
      </c>
      <c r="I31" s="103" t="inlineStr">
        <is>
          <t>N</t>
        </is>
      </c>
      <c r="J31" s="98" t="inlineStr">
        <is>
          <t>M</t>
        </is>
      </c>
      <c r="K31" s="102" t="inlineStr">
        <is>
          <t>D</t>
        </is>
      </c>
      <c r="L31" s="98" t="inlineStr">
        <is>
          <t>M</t>
        </is>
      </c>
      <c r="M31" s="102" t="inlineStr">
        <is>
          <t>D</t>
        </is>
      </c>
      <c r="N31" s="97" t="n"/>
      <c r="O31" s="98" t="inlineStr">
        <is>
          <t>M</t>
        </is>
      </c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110" t="n"/>
      <c r="AF31" s="110" t="n"/>
      <c r="AG31" s="110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ROUND(B31*4.0,0)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102" t="inlineStr">
        <is>
          <t>D</t>
        </is>
      </c>
      <c r="D32" s="102" t="inlineStr">
        <is>
          <t>D</t>
        </is>
      </c>
      <c r="E32" s="97" t="n"/>
      <c r="F32" s="97" t="n"/>
      <c r="G32" s="98" t="inlineStr">
        <is>
          <t>M</t>
        </is>
      </c>
      <c r="H32" s="98" t="inlineStr">
        <is>
          <t>M</t>
        </is>
      </c>
      <c r="I32" s="104" t="inlineStr">
        <is>
          <t>T</t>
        </is>
      </c>
      <c r="J32" s="97" t="n"/>
      <c r="K32" s="102" t="inlineStr">
        <is>
          <t>D</t>
        </is>
      </c>
      <c r="L32" s="97" t="n"/>
      <c r="M32" s="97" t="n"/>
      <c r="N32" s="98" t="inlineStr">
        <is>
          <t>M</t>
        </is>
      </c>
      <c r="O32" s="103" t="inlineStr">
        <is>
          <t>N</t>
        </is>
      </c>
      <c r="P32" s="97" t="n"/>
      <c r="Q32" s="97" t="n"/>
      <c r="R32" s="103" t="inlineStr">
        <is>
          <t>N</t>
        </is>
      </c>
      <c r="S32" s="97" t="n"/>
      <c r="T32" s="97" t="n"/>
      <c r="U32" s="104" t="inlineStr">
        <is>
          <t>T</t>
        </is>
      </c>
      <c r="V32" s="97" t="n"/>
      <c r="W32" s="104" t="inlineStr">
        <is>
          <t>T</t>
        </is>
      </c>
      <c r="X32" s="98" t="inlineStr">
        <is>
          <t>M</t>
        </is>
      </c>
      <c r="Y32" s="103" t="inlineStr">
        <is>
          <t>N</t>
        </is>
      </c>
      <c r="Z32" s="97" t="n"/>
      <c r="AA32" s="97" t="n"/>
      <c r="AB32" s="97" t="n"/>
      <c r="AC32" s="104" t="inlineStr">
        <is>
          <t>T</t>
        </is>
      </c>
      <c r="AD32" s="97" t="n"/>
      <c r="AE32" s="110" t="n"/>
      <c r="AF32" s="110" t="n"/>
      <c r="AG32" s="110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ROUND(B32*4.0,0)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110" t="n"/>
      <c r="AF33" s="110" t="n"/>
      <c r="AG33" s="110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ROUND(B33*4.0,0)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97" t="n"/>
      <c r="F34" s="102" t="inlineStr">
        <is>
          <t>D</t>
        </is>
      </c>
      <c r="G34" s="97" t="n"/>
      <c r="H34" s="97" t="n"/>
      <c r="I34" s="102" t="inlineStr">
        <is>
          <t>D</t>
        </is>
      </c>
      <c r="J34" s="98" t="inlineStr">
        <is>
          <t>M</t>
        </is>
      </c>
      <c r="K34" s="102" t="inlineStr">
        <is>
          <t>D</t>
        </is>
      </c>
      <c r="L34" s="98" t="inlineStr">
        <is>
          <t>M</t>
        </is>
      </c>
      <c r="M34" s="97" t="n"/>
      <c r="N34" s="97" t="n"/>
      <c r="O34" s="97" t="n"/>
      <c r="P34" s="102" t="inlineStr">
        <is>
          <t>D</t>
        </is>
      </c>
      <c r="Q34" s="97" t="n"/>
      <c r="R34" s="97" t="n"/>
      <c r="S34" s="102" t="inlineStr">
        <is>
          <t>D</t>
        </is>
      </c>
      <c r="T34" s="98" t="inlineStr">
        <is>
          <t>M</t>
        </is>
      </c>
      <c r="U34" s="102" t="inlineStr">
        <is>
          <t>D</t>
        </is>
      </c>
      <c r="V34" s="97" t="n"/>
      <c r="W34" s="97" t="n"/>
      <c r="X34" s="97" t="n"/>
      <c r="Y34" s="97" t="n"/>
      <c r="Z34" s="102" t="inlineStr">
        <is>
          <t>D</t>
        </is>
      </c>
      <c r="AA34" s="98" t="inlineStr">
        <is>
          <t>M</t>
        </is>
      </c>
      <c r="AB34" s="102" t="inlineStr">
        <is>
          <t>D</t>
        </is>
      </c>
      <c r="AC34" s="97" t="n"/>
      <c r="AD34" s="97" t="n"/>
      <c r="AE34" s="110" t="n"/>
      <c r="AF34" s="110" t="n"/>
      <c r="AG34" s="110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ROUND(B34*4.0,0)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103" t="inlineStr">
        <is>
          <t>N</t>
        </is>
      </c>
      <c r="E35" s="97" t="n"/>
      <c r="F35" s="97" t="n"/>
      <c r="G35" s="104" t="inlineStr">
        <is>
          <t>T</t>
        </is>
      </c>
      <c r="H35" s="97" t="n"/>
      <c r="I35" s="97" t="n"/>
      <c r="J35" s="103" t="inlineStr">
        <is>
          <t>N</t>
        </is>
      </c>
      <c r="K35" s="103" t="inlineStr">
        <is>
          <t>N</t>
        </is>
      </c>
      <c r="L35" s="97" t="n"/>
      <c r="M35" s="104" t="inlineStr">
        <is>
          <t>T</t>
        </is>
      </c>
      <c r="N35" s="97" t="n"/>
      <c r="O35" s="103" t="inlineStr">
        <is>
          <t>N</t>
        </is>
      </c>
      <c r="P35" s="97" t="n"/>
      <c r="Q35" s="97" t="n"/>
      <c r="R35" s="102" t="inlineStr">
        <is>
          <t>D</t>
        </is>
      </c>
      <c r="S35" s="102" t="inlineStr">
        <is>
          <t>D</t>
        </is>
      </c>
      <c r="T35" s="104" t="inlineStr">
        <is>
          <t>T</t>
        </is>
      </c>
      <c r="U35" s="97" t="n"/>
      <c r="V35" s="97" t="n"/>
      <c r="W35" s="97" t="n"/>
      <c r="X35" s="97" t="n"/>
      <c r="Y35" s="97" t="n"/>
      <c r="Z35" s="102" t="inlineStr">
        <is>
          <t>D</t>
        </is>
      </c>
      <c r="AA35" s="97" t="n"/>
      <c r="AB35" s="97" t="n"/>
      <c r="AC35" s="97" t="n"/>
      <c r="AD35" s="102" t="inlineStr">
        <is>
          <t>D</t>
        </is>
      </c>
      <c r="AE35" s="110" t="n"/>
      <c r="AF35" s="110" t="n"/>
      <c r="AG35" s="110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ROUND(B35*4.0,0)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103" t="inlineStr">
        <is>
          <t>N</t>
        </is>
      </c>
      <c r="F36" s="97" t="n"/>
      <c r="G36" s="97" t="n"/>
      <c r="H36" s="98" t="inlineStr">
        <is>
          <t>M</t>
        </is>
      </c>
      <c r="I36" s="102" t="inlineStr">
        <is>
          <t>D</t>
        </is>
      </c>
      <c r="J36" s="97" t="n"/>
      <c r="K36" s="97" t="n"/>
      <c r="L36" s="97" t="n"/>
      <c r="M36" s="97" t="n"/>
      <c r="N36" s="97" t="n"/>
      <c r="O36" s="104" t="inlineStr">
        <is>
          <t>T</t>
        </is>
      </c>
      <c r="P36" s="102" t="inlineStr">
        <is>
          <t>D</t>
        </is>
      </c>
      <c r="Q36" s="102" t="inlineStr">
        <is>
          <t>D</t>
        </is>
      </c>
      <c r="R36" s="97" t="n"/>
      <c r="S36" s="103" t="inlineStr">
        <is>
          <t>N</t>
        </is>
      </c>
      <c r="T36" s="97" t="n"/>
      <c r="U36" s="98" t="inlineStr">
        <is>
          <t>M</t>
        </is>
      </c>
      <c r="V36" s="102" t="inlineStr">
        <is>
          <t>D</t>
        </is>
      </c>
      <c r="W36" s="97" t="n"/>
      <c r="X36" s="97" t="n"/>
      <c r="Y36" s="97" t="n"/>
      <c r="Z36" s="97" t="n"/>
      <c r="AA36" s="104" t="inlineStr">
        <is>
          <t>T</t>
        </is>
      </c>
      <c r="AB36" s="102" t="inlineStr">
        <is>
          <t>D</t>
        </is>
      </c>
      <c r="AC36" s="103" t="inlineStr">
        <is>
          <t>N</t>
        </is>
      </c>
      <c r="AD36" s="97" t="n"/>
      <c r="AE36" s="110" t="n"/>
      <c r="AF36" s="110" t="n"/>
      <c r="AG36" s="110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ROUND(B36*4.0,0)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104" t="inlineStr">
        <is>
          <t>T</t>
        </is>
      </c>
      <c r="E37" s="102" t="inlineStr">
        <is>
          <t>D</t>
        </is>
      </c>
      <c r="F37" s="97" t="n"/>
      <c r="G37" s="97" t="n"/>
      <c r="H37" s="97" t="n"/>
      <c r="I37" s="97" t="n"/>
      <c r="J37" s="102" t="inlineStr">
        <is>
          <t>D</t>
        </is>
      </c>
      <c r="K37" s="104" t="inlineStr">
        <is>
          <t>T</t>
        </is>
      </c>
      <c r="L37" s="98" t="inlineStr">
        <is>
          <t>M</t>
        </is>
      </c>
      <c r="M37" s="97" t="n"/>
      <c r="N37" s="102" t="inlineStr">
        <is>
          <t>D</t>
        </is>
      </c>
      <c r="O37" s="98" t="inlineStr">
        <is>
          <t>M</t>
        </is>
      </c>
      <c r="P37" s="97" t="n"/>
      <c r="Q37" s="97" t="n"/>
      <c r="R37" s="97" t="n"/>
      <c r="S37" s="97" t="n"/>
      <c r="T37" s="103" t="inlineStr">
        <is>
          <t>N</t>
        </is>
      </c>
      <c r="U37" s="97" t="n"/>
      <c r="V37" s="98" t="inlineStr">
        <is>
          <t>M</t>
        </is>
      </c>
      <c r="W37" s="103" t="inlineStr">
        <is>
          <t>N</t>
        </is>
      </c>
      <c r="X37" s="104" t="inlineStr">
        <is>
          <t>T</t>
        </is>
      </c>
      <c r="Y37" s="97" t="n"/>
      <c r="Z37" s="97" t="n"/>
      <c r="AA37" s="103" t="inlineStr">
        <is>
          <t>N</t>
        </is>
      </c>
      <c r="AB37" s="97" t="n"/>
      <c r="AC37" s="98" t="inlineStr">
        <is>
          <t>M</t>
        </is>
      </c>
      <c r="AD37" s="104" t="inlineStr">
        <is>
          <t>T</t>
        </is>
      </c>
      <c r="AE37" s="110" t="n"/>
      <c r="AF37" s="110" t="n"/>
      <c r="AG37" s="110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ROUND(B37*4.0,0)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110" t="n"/>
      <c r="AF38" s="110" t="n"/>
      <c r="AG38" s="110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ROUND(B38*4.0,0)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104" t="inlineStr">
        <is>
          <t>T</t>
        </is>
      </c>
      <c r="E39" s="97" t="n"/>
      <c r="F39" s="97" t="n"/>
      <c r="G39" s="97" t="n"/>
      <c r="H39" s="103" t="inlineStr">
        <is>
          <t>N</t>
        </is>
      </c>
      <c r="I39" s="97" t="n"/>
      <c r="J39" s="104" t="inlineStr">
        <is>
          <t>T</t>
        </is>
      </c>
      <c r="K39" s="97" t="n"/>
      <c r="L39" s="97" t="n"/>
      <c r="M39" s="98" t="inlineStr">
        <is>
          <t>M</t>
        </is>
      </c>
      <c r="N39" s="97" t="n"/>
      <c r="O39" s="98" t="inlineStr">
        <is>
          <t>M</t>
        </is>
      </c>
      <c r="P39" s="103" t="inlineStr">
        <is>
          <t>N</t>
        </is>
      </c>
      <c r="Q39" s="97" t="n"/>
      <c r="R39" s="102" t="inlineStr">
        <is>
          <t>D</t>
        </is>
      </c>
      <c r="S39" s="98" t="inlineStr">
        <is>
          <t>M</t>
        </is>
      </c>
      <c r="T39" s="97" t="n"/>
      <c r="U39" s="97" t="n"/>
      <c r="V39" s="97" t="n"/>
      <c r="W39" s="97" t="n"/>
      <c r="X39" s="104" t="inlineStr">
        <is>
          <t>T</t>
        </is>
      </c>
      <c r="Y39" s="103" t="inlineStr">
        <is>
          <t>N</t>
        </is>
      </c>
      <c r="Z39" s="97" t="n"/>
      <c r="AA39" s="97" t="n"/>
      <c r="AB39" s="97" t="n"/>
      <c r="AC39" s="104" t="inlineStr">
        <is>
          <t>T</t>
        </is>
      </c>
      <c r="AD39" s="97" t="n"/>
      <c r="AE39" s="110" t="n"/>
      <c r="AF39" s="110" t="n"/>
      <c r="AG39" s="110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ROUND(B39*4.0,0)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8" t="inlineStr">
        <is>
          <t>M</t>
        </is>
      </c>
      <c r="E40" s="98" t="inlineStr">
        <is>
          <t>M</t>
        </is>
      </c>
      <c r="F40" s="98" t="inlineStr">
        <is>
          <t>M</t>
        </is>
      </c>
      <c r="G40" s="104" t="inlineStr">
        <is>
          <t>T</t>
        </is>
      </c>
      <c r="H40" s="102" t="inlineStr">
        <is>
          <t>D</t>
        </is>
      </c>
      <c r="I40" s="97" t="n"/>
      <c r="J40" s="97" t="n"/>
      <c r="K40" s="98" t="inlineStr">
        <is>
          <t>M</t>
        </is>
      </c>
      <c r="L40" s="98" t="inlineStr">
        <is>
          <t>M</t>
        </is>
      </c>
      <c r="M40" s="98" t="inlineStr">
        <is>
          <t>M</t>
        </is>
      </c>
      <c r="N40" s="104" t="inlineStr">
        <is>
          <t>T</t>
        </is>
      </c>
      <c r="O40" s="98" t="inlineStr">
        <is>
          <t>M</t>
        </is>
      </c>
      <c r="P40" s="98" t="inlineStr">
        <is>
          <t>M</t>
        </is>
      </c>
      <c r="Q40" s="97" t="n"/>
      <c r="R40" s="98" t="inlineStr">
        <is>
          <t>M</t>
        </is>
      </c>
      <c r="S40" s="98" t="inlineStr">
        <is>
          <t>M</t>
        </is>
      </c>
      <c r="T40" s="98" t="inlineStr">
        <is>
          <t>M</t>
        </is>
      </c>
      <c r="U40" s="104" t="inlineStr">
        <is>
          <t>T</t>
        </is>
      </c>
      <c r="V40" s="102" t="inlineStr">
        <is>
          <t>D</t>
        </is>
      </c>
      <c r="W40" s="98" t="inlineStr">
        <is>
          <t>M</t>
        </is>
      </c>
      <c r="X40" s="97" t="n"/>
      <c r="Y40" s="98" t="inlineStr">
        <is>
          <t>M</t>
        </is>
      </c>
      <c r="Z40" s="97" t="n"/>
      <c r="AA40" s="97" t="n"/>
      <c r="AB40" s="104" t="inlineStr">
        <is>
          <t>T</t>
        </is>
      </c>
      <c r="AC40" s="102" t="inlineStr">
        <is>
          <t>D</t>
        </is>
      </c>
      <c r="AD40" s="98" t="inlineStr">
        <is>
          <t>M</t>
        </is>
      </c>
      <c r="AE40" s="110" t="n"/>
      <c r="AF40" s="110" t="n"/>
      <c r="AG40" s="110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ROUND(B40*4.0,0)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102" t="inlineStr">
        <is>
          <t>D</t>
        </is>
      </c>
      <c r="D41" s="102" t="inlineStr">
        <is>
          <t>D</t>
        </is>
      </c>
      <c r="E41" s="102" t="inlineStr">
        <is>
          <t>D</t>
        </is>
      </c>
      <c r="F41" s="97" t="n"/>
      <c r="G41" s="97" t="n"/>
      <c r="H41" s="97" t="n"/>
      <c r="I41" s="97" t="n"/>
      <c r="J41" s="97" t="n"/>
      <c r="K41" s="97" t="n"/>
      <c r="L41" s="97" t="n"/>
      <c r="M41" s="97" t="n"/>
      <c r="N41" s="98" t="inlineStr">
        <is>
          <t>M</t>
        </is>
      </c>
      <c r="O41" s="104" t="inlineStr">
        <is>
          <t>T</t>
        </is>
      </c>
      <c r="P41" s="97" t="n"/>
      <c r="Q41" s="102" t="inlineStr">
        <is>
          <t>D</t>
        </is>
      </c>
      <c r="R41" s="102" t="inlineStr">
        <is>
          <t>D</t>
        </is>
      </c>
      <c r="S41" s="97" t="n"/>
      <c r="T41" s="97" t="n"/>
      <c r="U41" s="97" t="n"/>
      <c r="V41" s="103" t="inlineStr">
        <is>
          <t>N</t>
        </is>
      </c>
      <c r="W41" s="97" t="n"/>
      <c r="X41" s="97" t="n"/>
      <c r="Y41" s="97" t="n"/>
      <c r="Z41" s="97" t="n"/>
      <c r="AA41" s="97" t="n"/>
      <c r="AB41" s="97" t="n"/>
      <c r="AC41" s="102" t="inlineStr">
        <is>
          <t>D</t>
        </is>
      </c>
      <c r="AD41" s="97" t="n"/>
      <c r="AE41" s="110" t="n"/>
      <c r="AF41" s="110" t="n"/>
      <c r="AG41" s="110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ROUND(B41*4.0,0)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97" t="n"/>
      <c r="G42" s="97" t="n"/>
      <c r="H42" s="104" t="inlineStr">
        <is>
          <t>T</t>
        </is>
      </c>
      <c r="I42" s="102" t="inlineStr">
        <is>
          <t>D</t>
        </is>
      </c>
      <c r="J42" s="97" t="n"/>
      <c r="K42" s="97" t="n"/>
      <c r="L42" s="97" t="n"/>
      <c r="M42" s="102" t="inlineStr">
        <is>
          <t>D</t>
        </is>
      </c>
      <c r="N42" s="102" t="inlineStr">
        <is>
          <t>D</t>
        </is>
      </c>
      <c r="O42" s="97" t="n"/>
      <c r="P42" s="97" t="n"/>
      <c r="Q42" s="97" t="n"/>
      <c r="R42" s="102" t="inlineStr">
        <is>
          <t>D</t>
        </is>
      </c>
      <c r="S42" s="97" t="n"/>
      <c r="T42" s="97" t="n"/>
      <c r="U42" s="97" t="n"/>
      <c r="V42" s="103" t="inlineStr">
        <is>
          <t>N</t>
        </is>
      </c>
      <c r="W42" s="97" t="n"/>
      <c r="X42" s="97" t="n"/>
      <c r="Y42" s="97" t="n"/>
      <c r="Z42" s="103" t="inlineStr">
        <is>
          <t>N</t>
        </is>
      </c>
      <c r="AA42" s="97" t="n"/>
      <c r="AB42" s="97" t="n"/>
      <c r="AC42" s="103" t="inlineStr">
        <is>
          <t>N</t>
        </is>
      </c>
      <c r="AD42" s="97" t="n"/>
      <c r="AE42" s="110" t="n"/>
      <c r="AF42" s="110" t="n"/>
      <c r="AG42" s="110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ROUND(B42*4.0,0)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103" t="inlineStr">
        <is>
          <t>N</t>
        </is>
      </c>
      <c r="D43" s="97" t="n"/>
      <c r="E43" s="103" t="inlineStr">
        <is>
          <t>N</t>
        </is>
      </c>
      <c r="F43" s="97" t="n"/>
      <c r="G43" s="97" t="n"/>
      <c r="H43" s="103" t="inlineStr">
        <is>
          <t>N</t>
        </is>
      </c>
      <c r="I43" s="97" t="n"/>
      <c r="J43" s="97" t="n"/>
      <c r="K43" s="97" t="n"/>
      <c r="L43" s="103" t="inlineStr">
        <is>
          <t>N</t>
        </is>
      </c>
      <c r="M43" s="97" t="n"/>
      <c r="N43" s="97" t="n"/>
      <c r="O43" s="97" t="n"/>
      <c r="P43" s="103" t="inlineStr">
        <is>
          <t>N</t>
        </is>
      </c>
      <c r="Q43" s="97" t="n"/>
      <c r="R43" s="103" t="inlineStr">
        <is>
          <t>N</t>
        </is>
      </c>
      <c r="S43" s="103" t="inlineStr">
        <is>
          <t>N</t>
        </is>
      </c>
      <c r="T43" s="97" t="n"/>
      <c r="U43" s="97" t="n"/>
      <c r="V43" s="97" t="n"/>
      <c r="W43" s="97" t="n"/>
      <c r="X43" s="97" t="n"/>
      <c r="Y43" s="103" t="inlineStr">
        <is>
          <t>N</t>
        </is>
      </c>
      <c r="Z43" s="103" t="inlineStr">
        <is>
          <t>N</t>
        </is>
      </c>
      <c r="AA43" s="97" t="n"/>
      <c r="AB43" s="97" t="n"/>
      <c r="AC43" s="97" t="n"/>
      <c r="AD43" s="97" t="n"/>
      <c r="AE43" s="110" t="n"/>
      <c r="AF43" s="110" t="n"/>
      <c r="AG43" s="110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ROUND(B43*4.0,0)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110" t="n"/>
      <c r="AF44" s="110" t="n"/>
      <c r="AG44" s="110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ROUND(B44*4.0,0)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7" t="n"/>
      <c r="E45" s="97" t="n"/>
      <c r="F45" s="97" t="n"/>
      <c r="G45" s="98" t="inlineStr">
        <is>
          <t>M</t>
        </is>
      </c>
      <c r="H45" s="98" t="inlineStr">
        <is>
          <t>M</t>
        </is>
      </c>
      <c r="I45" s="97" t="n"/>
      <c r="J45" s="98" t="inlineStr">
        <is>
          <t>M</t>
        </is>
      </c>
      <c r="K45" s="98" t="inlineStr">
        <is>
          <t>M</t>
        </is>
      </c>
      <c r="L45" s="97" t="n"/>
      <c r="M45" s="97" t="n"/>
      <c r="N45" s="97" t="n"/>
      <c r="O45" s="98" t="inlineStr">
        <is>
          <t>M</t>
        </is>
      </c>
      <c r="P45" s="103" t="inlineStr">
        <is>
          <t>N</t>
        </is>
      </c>
      <c r="Q45" s="97" t="n"/>
      <c r="R45" s="102" t="inlineStr">
        <is>
          <t>D</t>
        </is>
      </c>
      <c r="S45" s="97" t="n"/>
      <c r="T45" s="98" t="inlineStr">
        <is>
          <t>M</t>
        </is>
      </c>
      <c r="U45" s="97" t="n"/>
      <c r="V45" s="97" t="n"/>
      <c r="W45" s="97" t="n"/>
      <c r="X45" s="98" t="inlineStr">
        <is>
          <t>M</t>
        </is>
      </c>
      <c r="Y45" s="98" t="inlineStr">
        <is>
          <t>M</t>
        </is>
      </c>
      <c r="Z45" s="98" t="inlineStr">
        <is>
          <t>M</t>
        </is>
      </c>
      <c r="AA45" s="97" t="n"/>
      <c r="AB45" s="98" t="inlineStr">
        <is>
          <t>M</t>
        </is>
      </c>
      <c r="AC45" s="98" t="inlineStr">
        <is>
          <t>M</t>
        </is>
      </c>
      <c r="AD45" s="97" t="n"/>
      <c r="AE45" s="110" t="n"/>
      <c r="AF45" s="110" t="n"/>
      <c r="AG45" s="110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ROUND(B45*4.0,0)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102" t="inlineStr">
        <is>
          <t>D</t>
        </is>
      </c>
      <c r="F46" s="102" t="inlineStr">
        <is>
          <t>D</t>
        </is>
      </c>
      <c r="G46" s="97" t="n"/>
      <c r="H46" s="97" t="n"/>
      <c r="I46" s="97" t="n"/>
      <c r="J46" s="97" t="n"/>
      <c r="K46" s="97" t="n"/>
      <c r="L46" s="102" t="inlineStr">
        <is>
          <t>D</t>
        </is>
      </c>
      <c r="M46" s="98" t="inlineStr">
        <is>
          <t>M</t>
        </is>
      </c>
      <c r="N46" s="97" t="n"/>
      <c r="O46" s="104" t="inlineStr">
        <is>
          <t>T</t>
        </is>
      </c>
      <c r="P46" s="97" t="n"/>
      <c r="Q46" s="97" t="n"/>
      <c r="R46" s="97" t="n"/>
      <c r="S46" s="102" t="inlineStr">
        <is>
          <t>D</t>
        </is>
      </c>
      <c r="T46" s="97" t="n"/>
      <c r="U46" s="97" t="n"/>
      <c r="V46" s="97" t="n"/>
      <c r="W46" s="97" t="n"/>
      <c r="X46" s="103" t="inlineStr">
        <is>
          <t>N</t>
        </is>
      </c>
      <c r="Y46" s="97" t="n"/>
      <c r="Z46" s="104" t="inlineStr">
        <is>
          <t>T</t>
        </is>
      </c>
      <c r="AA46" s="102" t="inlineStr">
        <is>
          <t>D</t>
        </is>
      </c>
      <c r="AB46" s="97" t="n"/>
      <c r="AC46" s="97" t="n"/>
      <c r="AD46" s="97" t="n"/>
      <c r="AE46" s="110" t="n"/>
      <c r="AF46" s="110" t="n"/>
      <c r="AG46" s="110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ROUND(B46*4.0,0)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104" t="inlineStr">
        <is>
          <t>T</t>
        </is>
      </c>
      <c r="F47" s="97" t="n"/>
      <c r="G47" s="104" t="inlineStr">
        <is>
          <t>T</t>
        </is>
      </c>
      <c r="H47" s="103" t="inlineStr">
        <is>
          <t>N</t>
        </is>
      </c>
      <c r="I47" s="97" t="n"/>
      <c r="J47" s="97" t="n"/>
      <c r="K47" s="97" t="n"/>
      <c r="L47" s="97" t="n"/>
      <c r="M47" s="97" t="n"/>
      <c r="N47" s="97" t="n"/>
      <c r="O47" s="103" t="inlineStr">
        <is>
          <t>N</t>
        </is>
      </c>
      <c r="P47" s="97" t="n"/>
      <c r="Q47" s="103" t="inlineStr">
        <is>
          <t>N</t>
        </is>
      </c>
      <c r="R47" s="97" t="n"/>
      <c r="S47" s="104" t="inlineStr">
        <is>
          <t>T</t>
        </is>
      </c>
      <c r="T47" s="104" t="inlineStr">
        <is>
          <t>T</t>
        </is>
      </c>
      <c r="U47" s="97" t="n"/>
      <c r="V47" s="104" t="inlineStr">
        <is>
          <t>T</t>
        </is>
      </c>
      <c r="W47" s="97" t="n"/>
      <c r="X47" s="104" t="inlineStr">
        <is>
          <t>T</t>
        </is>
      </c>
      <c r="Y47" s="97" t="n"/>
      <c r="Z47" s="97" t="n"/>
      <c r="AA47" s="104" t="inlineStr">
        <is>
          <t>T</t>
        </is>
      </c>
      <c r="AB47" s="97" t="n"/>
      <c r="AC47" s="104" t="inlineStr">
        <is>
          <t>T</t>
        </is>
      </c>
      <c r="AD47" s="97" t="n"/>
      <c r="AE47" s="110" t="n"/>
      <c r="AF47" s="110" t="n"/>
      <c r="AG47" s="110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ROUND(B47*4.0,0)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110" t="n"/>
      <c r="AF48" s="110" t="n"/>
      <c r="AG48" s="110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ROUND(B48*4.0,0)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104" t="inlineStr">
        <is>
          <t>T</t>
        </is>
      </c>
      <c r="U49" s="97" t="n"/>
      <c r="V49" s="104" t="inlineStr">
        <is>
          <t>T</t>
        </is>
      </c>
      <c r="W49" s="97" t="n"/>
      <c r="X49" s="102" t="inlineStr">
        <is>
          <t>D</t>
        </is>
      </c>
      <c r="Y49" s="103" t="inlineStr">
        <is>
          <t>N</t>
        </is>
      </c>
      <c r="Z49" s="97" t="n"/>
      <c r="AA49" s="104" t="inlineStr">
        <is>
          <t>T</t>
        </is>
      </c>
      <c r="AB49" s="97" t="n"/>
      <c r="AC49" s="104" t="inlineStr">
        <is>
          <t>T</t>
        </is>
      </c>
      <c r="AD49" s="97" t="n"/>
      <c r="AE49" s="110" t="n"/>
      <c r="AF49" s="110" t="n"/>
      <c r="AG49" s="110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ROUND(B49*4.0,0)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104" t="inlineStr">
        <is>
          <t>T</t>
        </is>
      </c>
      <c r="E50" s="104" t="inlineStr">
        <is>
          <t>T</t>
        </is>
      </c>
      <c r="F50" s="97" t="n"/>
      <c r="G50" s="104" t="inlineStr">
        <is>
          <t>T</t>
        </is>
      </c>
      <c r="H50" s="104" t="inlineStr">
        <is>
          <t>T</t>
        </is>
      </c>
      <c r="I50" s="97" t="n"/>
      <c r="J50" s="97" t="n"/>
      <c r="K50" s="97" t="n"/>
      <c r="L50" s="97" t="n"/>
      <c r="M50" s="97" t="n"/>
      <c r="N50" s="98" t="inlineStr">
        <is>
          <t>M</t>
        </is>
      </c>
      <c r="O50" s="104" t="inlineStr">
        <is>
          <t>T</t>
        </is>
      </c>
      <c r="P50" s="97" t="n"/>
      <c r="Q50" s="102" t="inlineStr">
        <is>
          <t>D</t>
        </is>
      </c>
      <c r="R50" s="102" t="inlineStr">
        <is>
          <t>D</t>
        </is>
      </c>
      <c r="S50" s="97" t="n"/>
      <c r="T50" s="97" t="n"/>
      <c r="U50" s="97" t="n"/>
      <c r="V50" s="103" t="inlineStr">
        <is>
          <t>N</t>
        </is>
      </c>
      <c r="W50" s="97" t="n"/>
      <c r="X50" s="97" t="n"/>
      <c r="Y50" s="97" t="n"/>
      <c r="Z50" s="97" t="n"/>
      <c r="AA50" s="97" t="n"/>
      <c r="AB50" s="104" t="inlineStr">
        <is>
          <t>T</t>
        </is>
      </c>
      <c r="AC50" s="104" t="inlineStr">
        <is>
          <t>T</t>
        </is>
      </c>
      <c r="AD50" s="103" t="inlineStr">
        <is>
          <t>N</t>
        </is>
      </c>
      <c r="AE50" s="110" t="n"/>
      <c r="AF50" s="110" t="n"/>
      <c r="AG50" s="110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ROUND(B50*4.0,0)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102" t="inlineStr">
        <is>
          <t>D</t>
        </is>
      </c>
      <c r="F51" s="97" t="n"/>
      <c r="G51" s="97" t="n"/>
      <c r="H51" s="97" t="n"/>
      <c r="I51" s="98" t="inlineStr">
        <is>
          <t>M</t>
        </is>
      </c>
      <c r="J51" s="97" t="n"/>
      <c r="K51" s="97" t="n"/>
      <c r="L51" s="102" t="inlineStr">
        <is>
          <t>D</t>
        </is>
      </c>
      <c r="M51" s="97" t="n"/>
      <c r="N51" s="97" t="n"/>
      <c r="O51" s="98" t="inlineStr">
        <is>
          <t>M</t>
        </is>
      </c>
      <c r="P51" s="97" t="n"/>
      <c r="Q51" s="98" t="inlineStr">
        <is>
          <t>M</t>
        </is>
      </c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110" t="n"/>
      <c r="AF51" s="110" t="n"/>
      <c r="AG51" s="110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ROUND(B51*4.0,0)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103" t="inlineStr">
        <is>
          <t>N</t>
        </is>
      </c>
      <c r="E52" s="97" t="n"/>
      <c r="F52" s="97" t="n"/>
      <c r="G52" s="103" t="inlineStr">
        <is>
          <t>N</t>
        </is>
      </c>
      <c r="H52" s="97" t="n"/>
      <c r="I52" s="97" t="n"/>
      <c r="J52" s="97" t="n"/>
      <c r="K52" s="103" t="inlineStr">
        <is>
          <t>N</t>
        </is>
      </c>
      <c r="L52" s="97" t="n"/>
      <c r="M52" s="97" t="n"/>
      <c r="N52" s="97" t="n"/>
      <c r="O52" s="97" t="n"/>
      <c r="P52" s="103" t="inlineStr">
        <is>
          <t>N</t>
        </is>
      </c>
      <c r="Q52" s="97" t="n"/>
      <c r="R52" s="103" t="inlineStr">
        <is>
          <t>N</t>
        </is>
      </c>
      <c r="S52" s="97" t="n"/>
      <c r="T52" s="97" t="n"/>
      <c r="U52" s="103" t="inlineStr">
        <is>
          <t>N</t>
        </is>
      </c>
      <c r="V52" s="97" t="n"/>
      <c r="W52" s="97" t="n"/>
      <c r="X52" s="97" t="n"/>
      <c r="Y52" s="103" t="inlineStr">
        <is>
          <t>N</t>
        </is>
      </c>
      <c r="Z52" s="97" t="n"/>
      <c r="AA52" s="97" t="n"/>
      <c r="AB52" s="97" t="n"/>
      <c r="AC52" s="97" t="n"/>
      <c r="AD52" s="103" t="inlineStr">
        <is>
          <t>N</t>
        </is>
      </c>
      <c r="AE52" s="110" t="n"/>
      <c r="AF52" s="110" t="n"/>
      <c r="AG52" s="110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ROUND(B52*4.0,0)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102" t="inlineStr">
        <is>
          <t>D</t>
        </is>
      </c>
      <c r="D53" s="98" t="inlineStr">
        <is>
          <t>M</t>
        </is>
      </c>
      <c r="E53" s="98" t="inlineStr">
        <is>
          <t>M</t>
        </is>
      </c>
      <c r="F53" s="97" t="n"/>
      <c r="G53" s="97" t="n"/>
      <c r="H53" s="103" t="inlineStr">
        <is>
          <t>N</t>
        </is>
      </c>
      <c r="I53" s="97" t="n"/>
      <c r="J53" s="97" t="n"/>
      <c r="K53" s="103" t="inlineStr">
        <is>
          <t>N</t>
        </is>
      </c>
      <c r="L53" s="97" t="n"/>
      <c r="M53" s="97" t="n"/>
      <c r="N53" s="97" t="n"/>
      <c r="O53" s="97" t="n"/>
      <c r="P53" s="103" t="inlineStr">
        <is>
          <t>N</t>
        </is>
      </c>
      <c r="Q53" s="97" t="n"/>
      <c r="R53" s="97" t="n"/>
      <c r="S53" s="103" t="inlineStr">
        <is>
          <t>N</t>
        </is>
      </c>
      <c r="T53" s="97" t="n"/>
      <c r="U53" s="97" t="n"/>
      <c r="V53" s="97" t="n"/>
      <c r="W53" s="102" t="inlineStr">
        <is>
          <t>D</t>
        </is>
      </c>
      <c r="X53" s="97" t="n"/>
      <c r="Y53" s="103" t="inlineStr">
        <is>
          <t>N</t>
        </is>
      </c>
      <c r="Z53" s="103" t="inlineStr">
        <is>
          <t>N</t>
        </is>
      </c>
      <c r="AA53" s="97" t="n"/>
      <c r="AB53" s="97" t="n"/>
      <c r="AC53" s="97" t="n"/>
      <c r="AD53" s="97" t="n"/>
      <c r="AE53" s="110" t="n"/>
      <c r="AF53" s="110" t="n"/>
      <c r="AG53" s="110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ROUND(B53*4.0,0)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104" t="inlineStr">
        <is>
          <t>T</t>
        </is>
      </c>
      <c r="D54" s="104" t="inlineStr">
        <is>
          <t>T</t>
        </is>
      </c>
      <c r="E54" s="97" t="n"/>
      <c r="F54" s="104" t="inlineStr">
        <is>
          <t>T</t>
        </is>
      </c>
      <c r="G54" s="103" t="inlineStr">
        <is>
          <t>N</t>
        </is>
      </c>
      <c r="H54" s="97" t="n"/>
      <c r="I54" s="97" t="n"/>
      <c r="J54" s="97" t="n"/>
      <c r="K54" s="97" t="n"/>
      <c r="L54" s="97" t="n"/>
      <c r="M54" s="104" t="inlineStr">
        <is>
          <t>T</t>
        </is>
      </c>
      <c r="N54" s="103" t="inlineStr">
        <is>
          <t>N</t>
        </is>
      </c>
      <c r="O54" s="104" t="inlineStr">
        <is>
          <t>T</t>
        </is>
      </c>
      <c r="P54" s="97" t="n"/>
      <c r="Q54" s="97" t="n"/>
      <c r="R54" s="97" t="n"/>
      <c r="S54" s="97" t="n"/>
      <c r="T54" s="97" t="n"/>
      <c r="U54" s="103" t="inlineStr">
        <is>
          <t>N</t>
        </is>
      </c>
      <c r="V54" s="97" t="n"/>
      <c r="W54" s="103" t="inlineStr">
        <is>
          <t>N</t>
        </is>
      </c>
      <c r="X54" s="97" t="n"/>
      <c r="Y54" s="97" t="n"/>
      <c r="Z54" s="97" t="n"/>
      <c r="AA54" s="97" t="n"/>
      <c r="AB54" s="103" t="inlineStr">
        <is>
          <t>N</t>
        </is>
      </c>
      <c r="AC54" s="97" t="n"/>
      <c r="AD54" s="103" t="inlineStr">
        <is>
          <t>N</t>
        </is>
      </c>
      <c r="AE54" s="110" t="n"/>
      <c r="AF54" s="110" t="n"/>
      <c r="AG54" s="110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ROUND(B54*4.0,0)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110" t="n"/>
      <c r="AF55" s="110" t="n"/>
      <c r="AG55" s="110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ROUND(B55*4.0,0)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8" t="inlineStr">
        <is>
          <t>M</t>
        </is>
      </c>
      <c r="D56" s="97" t="n"/>
      <c r="E56" s="98" t="inlineStr">
        <is>
          <t>M</t>
        </is>
      </c>
      <c r="F56" s="97" t="n"/>
      <c r="G56" s="102" t="inlineStr">
        <is>
          <t>D</t>
        </is>
      </c>
      <c r="H56" s="97" t="n"/>
      <c r="I56" s="98" t="inlineStr">
        <is>
          <t>M</t>
        </is>
      </c>
      <c r="J56" s="97" t="n"/>
      <c r="K56" s="97" t="n"/>
      <c r="L56" s="102" t="inlineStr">
        <is>
          <t>D</t>
        </is>
      </c>
      <c r="M56" s="97" t="n"/>
      <c r="N56" s="102" t="inlineStr">
        <is>
          <t>D</t>
        </is>
      </c>
      <c r="O56" s="97" t="n"/>
      <c r="P56" s="97" t="n"/>
      <c r="Q56" s="97" t="n"/>
      <c r="R56" s="97" t="n"/>
      <c r="S56" s="97" t="n"/>
      <c r="T56" s="97" t="n"/>
      <c r="U56" s="102" t="inlineStr">
        <is>
          <t>D</t>
        </is>
      </c>
      <c r="V56" s="97" t="n"/>
      <c r="W56" s="102" t="inlineStr">
        <is>
          <t>D</t>
        </is>
      </c>
      <c r="X56" s="97" t="n"/>
      <c r="Y56" s="97" t="n"/>
      <c r="Z56" s="102" t="inlineStr">
        <is>
          <t>D</t>
        </is>
      </c>
      <c r="AA56" s="97" t="n"/>
      <c r="AB56" s="102" t="inlineStr">
        <is>
          <t>D</t>
        </is>
      </c>
      <c r="AC56" s="97" t="n"/>
      <c r="AD56" s="97" t="n"/>
      <c r="AE56" s="110" t="n"/>
      <c r="AF56" s="110" t="n"/>
      <c r="AG56" s="110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ROUND(B56*4.0,0)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103" t="inlineStr">
        <is>
          <t>N</t>
        </is>
      </c>
      <c r="F57" s="103" t="inlineStr">
        <is>
          <t>N</t>
        </is>
      </c>
      <c r="G57" s="97" t="n"/>
      <c r="H57" s="97" t="n"/>
      <c r="I57" s="97" t="n"/>
      <c r="J57" s="97" t="n"/>
      <c r="K57" s="103" t="inlineStr">
        <is>
          <t>N</t>
        </is>
      </c>
      <c r="L57" s="97" t="n"/>
      <c r="M57" s="97" t="n"/>
      <c r="N57" s="97" t="n"/>
      <c r="O57" s="103" t="inlineStr">
        <is>
          <t>N</t>
        </is>
      </c>
      <c r="P57" s="97" t="n"/>
      <c r="Q57" s="97" t="n"/>
      <c r="R57" s="97" t="n"/>
      <c r="S57" s="97" t="n"/>
      <c r="T57" s="97" t="n"/>
      <c r="U57" s="103" t="inlineStr">
        <is>
          <t>N</t>
        </is>
      </c>
      <c r="V57" s="97" t="n"/>
      <c r="W57" s="97" t="n"/>
      <c r="X57" s="102" t="inlineStr">
        <is>
          <t>D</t>
        </is>
      </c>
      <c r="Y57" s="97" t="n"/>
      <c r="Z57" s="103" t="inlineStr">
        <is>
          <t>N</t>
        </is>
      </c>
      <c r="AA57" s="97" t="n"/>
      <c r="AB57" s="97" t="n"/>
      <c r="AC57" s="97" t="n"/>
      <c r="AD57" s="102" t="inlineStr">
        <is>
          <t>D</t>
        </is>
      </c>
      <c r="AE57" s="110" t="n"/>
      <c r="AF57" s="110" t="n"/>
      <c r="AG57" s="110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ROUND(B57*4.0,0)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97" t="n"/>
      <c r="F58" s="97" t="n"/>
      <c r="G58" s="97" t="n"/>
      <c r="H58" s="103" t="inlineStr">
        <is>
          <t>N</t>
        </is>
      </c>
      <c r="I58" s="97" t="n"/>
      <c r="J58" s="104" t="inlineStr">
        <is>
          <t>T</t>
        </is>
      </c>
      <c r="K58" s="102" t="inlineStr">
        <is>
          <t>D</t>
        </is>
      </c>
      <c r="L58" s="97" t="n"/>
      <c r="M58" s="103" t="inlineStr">
        <is>
          <t>N</t>
        </is>
      </c>
      <c r="N58" s="97" t="n"/>
      <c r="O58" s="97" t="n"/>
      <c r="P58" s="97" t="n"/>
      <c r="Q58" s="97" t="n"/>
      <c r="R58" s="97" t="n"/>
      <c r="S58" s="97" t="n"/>
      <c r="T58" s="103" t="inlineStr">
        <is>
          <t>N</t>
        </is>
      </c>
      <c r="U58" s="97" t="n"/>
      <c r="V58" s="97" t="n"/>
      <c r="W58" s="102" t="inlineStr">
        <is>
          <t>D</t>
        </is>
      </c>
      <c r="X58" s="97" t="n"/>
      <c r="Y58" s="104" t="inlineStr">
        <is>
          <t>T</t>
        </is>
      </c>
      <c r="Z58" s="97" t="n"/>
      <c r="AA58" s="103" t="inlineStr">
        <is>
          <t>N</t>
        </is>
      </c>
      <c r="AB58" s="97" t="n"/>
      <c r="AC58" s="97" t="n"/>
      <c r="AD58" s="104" t="inlineStr">
        <is>
          <t>T</t>
        </is>
      </c>
      <c r="AE58" s="110" t="n"/>
      <c r="AF58" s="110" t="n"/>
      <c r="AG58" s="110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ROUND(B58*4.0,0)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110" t="n"/>
      <c r="AF59" s="110" t="n"/>
      <c r="AG59" s="110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ROUND(B59*4.0,0)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8" t="inlineStr">
        <is>
          <t>M</t>
        </is>
      </c>
      <c r="D60" s="97" t="n"/>
      <c r="E60" s="97" t="n"/>
      <c r="F60" s="104" t="inlineStr">
        <is>
          <t>T</t>
        </is>
      </c>
      <c r="G60" s="97" t="n"/>
      <c r="H60" s="104" t="inlineStr">
        <is>
          <t>T</t>
        </is>
      </c>
      <c r="I60" s="97" t="n"/>
      <c r="J60" s="102" t="inlineStr">
        <is>
          <t>D</t>
        </is>
      </c>
      <c r="K60" s="97" t="n"/>
      <c r="L60" s="104" t="inlineStr">
        <is>
          <t>T</t>
        </is>
      </c>
      <c r="M60" s="97" t="n"/>
      <c r="N60" s="102" t="inlineStr">
        <is>
          <t>D</t>
        </is>
      </c>
      <c r="O60" s="104" t="inlineStr">
        <is>
          <t>T</t>
        </is>
      </c>
      <c r="P60" s="97" t="n"/>
      <c r="Q60" s="97" t="n"/>
      <c r="R60" s="97" t="n"/>
      <c r="S60" s="102" t="inlineStr">
        <is>
          <t>D</t>
        </is>
      </c>
      <c r="T60" s="97" t="n"/>
      <c r="U60" s="97" t="n"/>
      <c r="V60" s="97" t="n"/>
      <c r="W60" s="97" t="n"/>
      <c r="X60" s="102" t="inlineStr">
        <is>
          <t>D</t>
        </is>
      </c>
      <c r="Y60" s="97" t="n"/>
      <c r="Z60" s="97" t="n"/>
      <c r="AA60" s="97" t="n"/>
      <c r="AB60" s="97" t="n"/>
      <c r="AC60" s="103" t="inlineStr">
        <is>
          <t>N</t>
        </is>
      </c>
      <c r="AD60" s="97" t="n"/>
      <c r="AE60" s="110" t="n"/>
      <c r="AF60" s="110" t="n"/>
      <c r="AG60" s="110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ROUND(B60*4.0,0)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102" t="inlineStr">
        <is>
          <t>D</t>
        </is>
      </c>
      <c r="E61" s="97" t="n"/>
      <c r="F61" s="97" t="n"/>
      <c r="G61" s="97" t="n"/>
      <c r="H61" s="102" t="inlineStr">
        <is>
          <t>D</t>
        </is>
      </c>
      <c r="I61" s="97" t="n"/>
      <c r="J61" s="97" t="n"/>
      <c r="K61" s="102" t="inlineStr">
        <is>
          <t>D</t>
        </is>
      </c>
      <c r="L61" s="97" t="n"/>
      <c r="M61" s="97" t="n"/>
      <c r="N61" s="97" t="n"/>
      <c r="O61" s="97" t="n"/>
      <c r="P61" s="97" t="n"/>
      <c r="Q61" s="102" t="inlineStr">
        <is>
          <t>D</t>
        </is>
      </c>
      <c r="R61" s="102" t="inlineStr">
        <is>
          <t>D</t>
        </is>
      </c>
      <c r="S61" s="97" t="n"/>
      <c r="T61" s="97" t="n"/>
      <c r="U61" s="97" t="n"/>
      <c r="V61" s="97" t="n"/>
      <c r="W61" s="103" t="inlineStr">
        <is>
          <t>N</t>
        </is>
      </c>
      <c r="X61" s="97" t="n"/>
      <c r="Y61" s="102" t="inlineStr">
        <is>
          <t>D</t>
        </is>
      </c>
      <c r="Z61" s="97" t="n"/>
      <c r="AA61" s="97" t="n"/>
      <c r="AB61" s="97" t="n"/>
      <c r="AC61" s="104" t="inlineStr">
        <is>
          <t>T</t>
        </is>
      </c>
      <c r="AD61" s="97" t="n"/>
      <c r="AE61" s="110" t="n"/>
      <c r="AF61" s="110" t="n"/>
      <c r="AG61" s="110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ROUND(B61*4.0,0)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103" t="inlineStr">
        <is>
          <t>N</t>
        </is>
      </c>
      <c r="F62" s="97" t="n"/>
      <c r="G62" s="102" t="inlineStr">
        <is>
          <t>D</t>
        </is>
      </c>
      <c r="H62" s="97" t="n"/>
      <c r="I62" s="97" t="n"/>
      <c r="J62" s="97" t="n"/>
      <c r="K62" s="97" t="n"/>
      <c r="L62" s="97" t="n"/>
      <c r="M62" s="97" t="n"/>
      <c r="N62" s="97" t="n"/>
      <c r="O62" s="97" t="n"/>
      <c r="P62" s="102" t="inlineStr">
        <is>
          <t>D</t>
        </is>
      </c>
      <c r="Q62" s="102" t="inlineStr">
        <is>
          <t>D</t>
        </is>
      </c>
      <c r="R62" s="97" t="n"/>
      <c r="S62" s="103" t="inlineStr">
        <is>
          <t>N</t>
        </is>
      </c>
      <c r="T62" s="97" t="n"/>
      <c r="U62" s="97" t="n"/>
      <c r="V62" s="102" t="inlineStr">
        <is>
          <t>D</t>
        </is>
      </c>
      <c r="W62" s="97" t="n"/>
      <c r="X62" s="97" t="n"/>
      <c r="Y62" s="97" t="n"/>
      <c r="Z62" s="97" t="n"/>
      <c r="AA62" s="97" t="n"/>
      <c r="AB62" s="102" t="inlineStr">
        <is>
          <t>D</t>
        </is>
      </c>
      <c r="AC62" s="103" t="inlineStr">
        <is>
          <t>N</t>
        </is>
      </c>
      <c r="AD62" s="97" t="n"/>
      <c r="AE62" s="110" t="n"/>
      <c r="AF62" s="110" t="n"/>
      <c r="AG62" s="110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ROUND(B62*4.0,0)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97" t="n"/>
      <c r="G63" s="102" t="inlineStr">
        <is>
          <t>D</t>
        </is>
      </c>
      <c r="H63" s="97" t="n"/>
      <c r="I63" s="102" t="inlineStr">
        <is>
          <t>D</t>
        </is>
      </c>
      <c r="J63" s="97" t="n"/>
      <c r="K63" s="97" t="n"/>
      <c r="L63" s="98" t="inlineStr">
        <is>
          <t>M</t>
        </is>
      </c>
      <c r="M63" s="104" t="inlineStr">
        <is>
          <t>T</t>
        </is>
      </c>
      <c r="N63" s="102" t="inlineStr">
        <is>
          <t>D</t>
        </is>
      </c>
      <c r="O63" s="97" t="n"/>
      <c r="P63" s="97" t="n"/>
      <c r="Q63" s="97" t="n"/>
      <c r="R63" s="97" t="n"/>
      <c r="S63" s="97" t="n"/>
      <c r="T63" s="97" t="n"/>
      <c r="U63" s="102" t="inlineStr">
        <is>
          <t>D</t>
        </is>
      </c>
      <c r="V63" s="97" t="n"/>
      <c r="W63" s="97" t="n"/>
      <c r="X63" s="102" t="inlineStr">
        <is>
          <t>D</t>
        </is>
      </c>
      <c r="Y63" s="98" t="inlineStr">
        <is>
          <t>M</t>
        </is>
      </c>
      <c r="Z63" s="98" t="inlineStr">
        <is>
          <t>M</t>
        </is>
      </c>
      <c r="AA63" s="97" t="n"/>
      <c r="AB63" s="102" t="inlineStr">
        <is>
          <t>D</t>
        </is>
      </c>
      <c r="AC63" s="97" t="n"/>
      <c r="AD63" s="97" t="n"/>
      <c r="AE63" s="110" t="n"/>
      <c r="AF63" s="110" t="n"/>
      <c r="AG63" s="110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ROUND(B63*4.0,0)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103" t="inlineStr">
        <is>
          <t>N</t>
        </is>
      </c>
      <c r="E64" s="97" t="n"/>
      <c r="F64" s="103" t="inlineStr">
        <is>
          <t>N</t>
        </is>
      </c>
      <c r="G64" s="104" t="inlineStr">
        <is>
          <t>T</t>
        </is>
      </c>
      <c r="H64" s="97" t="n"/>
      <c r="I64" s="97" t="n"/>
      <c r="J64" s="97" t="n"/>
      <c r="K64" s="97" t="n"/>
      <c r="L64" s="97" t="n"/>
      <c r="M64" s="103" t="inlineStr">
        <is>
          <t>N</t>
        </is>
      </c>
      <c r="N64" s="104" t="inlineStr">
        <is>
          <t>T</t>
        </is>
      </c>
      <c r="O64" s="103" t="inlineStr">
        <is>
          <t>N</t>
        </is>
      </c>
      <c r="P64" s="97" t="n"/>
      <c r="Q64" s="97" t="n"/>
      <c r="R64" s="97" t="n"/>
      <c r="S64" s="97" t="n"/>
      <c r="T64" s="97" t="n"/>
      <c r="U64" s="104" t="inlineStr">
        <is>
          <t>T</t>
        </is>
      </c>
      <c r="V64" s="97" t="n"/>
      <c r="W64" s="103" t="inlineStr">
        <is>
          <t>N</t>
        </is>
      </c>
      <c r="X64" s="103" t="inlineStr">
        <is>
          <t>N</t>
        </is>
      </c>
      <c r="Y64" s="97" t="n"/>
      <c r="Z64" s="97" t="n"/>
      <c r="AA64" s="103" t="inlineStr">
        <is>
          <t>N</t>
        </is>
      </c>
      <c r="AB64" s="103" t="inlineStr">
        <is>
          <t>N</t>
        </is>
      </c>
      <c r="AC64" s="97" t="n"/>
      <c r="AD64" s="104" t="inlineStr">
        <is>
          <t>T</t>
        </is>
      </c>
      <c r="AE64" s="110" t="n"/>
      <c r="AF64" s="110" t="n"/>
      <c r="AG64" s="110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ROUND(B64*4.0,0)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8" t="inlineStr">
        <is>
          <t>M</t>
        </is>
      </c>
      <c r="D65" s="97" t="n"/>
      <c r="E65" s="97" t="n"/>
      <c r="F65" s="102" t="inlineStr">
        <is>
          <t>D</t>
        </is>
      </c>
      <c r="G65" s="98" t="inlineStr">
        <is>
          <t>M</t>
        </is>
      </c>
      <c r="H65" s="102" t="inlineStr">
        <is>
          <t>D</t>
        </is>
      </c>
      <c r="I65" s="97" t="n"/>
      <c r="J65" s="97" t="n"/>
      <c r="K65" s="97" t="n"/>
      <c r="L65" s="97" t="n"/>
      <c r="M65" s="97" t="n"/>
      <c r="N65" s="97" t="n"/>
      <c r="O65" s="102" t="inlineStr">
        <is>
          <t>D</t>
        </is>
      </c>
      <c r="P65" s="102" t="inlineStr">
        <is>
          <t>D</t>
        </is>
      </c>
      <c r="Q65" s="97" t="n"/>
      <c r="R65" s="97" t="n"/>
      <c r="S65" s="97" t="n"/>
      <c r="T65" s="102" t="inlineStr">
        <is>
          <t>D</t>
        </is>
      </c>
      <c r="U65" s="97" t="n"/>
      <c r="V65" s="102" t="inlineStr">
        <is>
          <t>D</t>
        </is>
      </c>
      <c r="W65" s="97" t="n"/>
      <c r="X65" s="97" t="n"/>
      <c r="Y65" s="97" t="n"/>
      <c r="Z65" s="97" t="n"/>
      <c r="AA65" s="102" t="inlineStr">
        <is>
          <t>D</t>
        </is>
      </c>
      <c r="AB65" s="97" t="n"/>
      <c r="AC65" s="102" t="inlineStr">
        <is>
          <t>D</t>
        </is>
      </c>
      <c r="AD65" s="97" t="n"/>
      <c r="AE65" s="110" t="n"/>
      <c r="AF65" s="110" t="n"/>
      <c r="AG65" s="110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ROUND(B65*4.0,0)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103" t="inlineStr">
        <is>
          <t>N</t>
        </is>
      </c>
      <c r="E66" s="104" t="inlineStr">
        <is>
          <t>T</t>
        </is>
      </c>
      <c r="F66" s="97" t="n"/>
      <c r="G66" s="97" t="n"/>
      <c r="H66" s="104" t="inlineStr">
        <is>
          <t>T</t>
        </is>
      </c>
      <c r="I66" s="103" t="inlineStr">
        <is>
          <t>N</t>
        </is>
      </c>
      <c r="J66" s="97" t="n"/>
      <c r="K66" s="103" t="inlineStr">
        <is>
          <t>N</t>
        </is>
      </c>
      <c r="L66" s="104" t="inlineStr">
        <is>
          <t>T</t>
        </is>
      </c>
      <c r="M66" s="103" t="inlineStr">
        <is>
          <t>N</t>
        </is>
      </c>
      <c r="N66" s="104" t="inlineStr">
        <is>
          <t>T</t>
        </is>
      </c>
      <c r="O66" s="97" t="n"/>
      <c r="P66" s="97" t="n"/>
      <c r="Q66" s="97" t="n"/>
      <c r="R66" s="97" t="n"/>
      <c r="S66" s="97" t="n"/>
      <c r="T66" s="103" t="inlineStr">
        <is>
          <t>N</t>
        </is>
      </c>
      <c r="U66" s="97" t="n"/>
      <c r="V66" s="103" t="inlineStr">
        <is>
          <t>N</t>
        </is>
      </c>
      <c r="W66" s="97" t="n"/>
      <c r="X66" s="102" t="inlineStr">
        <is>
          <t>D</t>
        </is>
      </c>
      <c r="Y66" s="103" t="inlineStr">
        <is>
          <t>N</t>
        </is>
      </c>
      <c r="Z66" s="104" t="inlineStr">
        <is>
          <t>T</t>
        </is>
      </c>
      <c r="AA66" s="97" t="n"/>
      <c r="AB66" s="97" t="n"/>
      <c r="AC66" s="97" t="n"/>
      <c r="AD66" s="103" t="inlineStr">
        <is>
          <t>N</t>
        </is>
      </c>
      <c r="AE66" s="110" t="n"/>
      <c r="AF66" s="110" t="n"/>
      <c r="AG66" s="110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ROUND(B66*4.0,0)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8" t="inlineStr">
        <is>
          <t>M</t>
        </is>
      </c>
      <c r="E67" s="103" t="inlineStr">
        <is>
          <t>N</t>
        </is>
      </c>
      <c r="F67" s="98" t="inlineStr">
        <is>
          <t>M</t>
        </is>
      </c>
      <c r="G67" s="98" t="inlineStr">
        <is>
          <t>M</t>
        </is>
      </c>
      <c r="H67" s="97" t="n"/>
      <c r="I67" s="97" t="n"/>
      <c r="J67" s="97" t="n"/>
      <c r="K67" s="98" t="inlineStr">
        <is>
          <t>M</t>
        </is>
      </c>
      <c r="L67" s="97" t="n"/>
      <c r="M67" s="98" t="inlineStr">
        <is>
          <t>M</t>
        </is>
      </c>
      <c r="N67" s="97" t="n"/>
      <c r="O67" s="104" t="inlineStr">
        <is>
          <t>T</t>
        </is>
      </c>
      <c r="P67" s="97" t="n"/>
      <c r="Q67" s="103" t="inlineStr">
        <is>
          <t>N</t>
        </is>
      </c>
      <c r="R67" s="98" t="inlineStr">
        <is>
          <t>M</t>
        </is>
      </c>
      <c r="S67" s="97" t="n"/>
      <c r="T67" s="98" t="inlineStr">
        <is>
          <t>M</t>
        </is>
      </c>
      <c r="U67" s="97" t="n"/>
      <c r="V67" s="103" t="inlineStr">
        <is>
          <t>N</t>
        </is>
      </c>
      <c r="W67" s="97" t="n"/>
      <c r="X67" s="98" t="inlineStr">
        <is>
          <t>M</t>
        </is>
      </c>
      <c r="Y67" s="98" t="inlineStr">
        <is>
          <t>M</t>
        </is>
      </c>
      <c r="Z67" s="103" t="inlineStr">
        <is>
          <t>N</t>
        </is>
      </c>
      <c r="AA67" s="98" t="inlineStr">
        <is>
          <t>M</t>
        </is>
      </c>
      <c r="AB67" s="104" t="inlineStr">
        <is>
          <t>T</t>
        </is>
      </c>
      <c r="AC67" s="97" t="n"/>
      <c r="AD67" s="97" t="n"/>
      <c r="AE67" s="110" t="n"/>
      <c r="AF67" s="110" t="n"/>
      <c r="AG67" s="110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ROUND(B67*4.0,0)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8" t="inlineStr">
        <is>
          <t>M</t>
        </is>
      </c>
      <c r="D68" s="97" t="n"/>
      <c r="E68" s="97" t="n"/>
      <c r="F68" s="103" t="inlineStr">
        <is>
          <t>N</t>
        </is>
      </c>
      <c r="G68" s="97" t="n"/>
      <c r="H68" s="102" t="inlineStr">
        <is>
          <t>D</t>
        </is>
      </c>
      <c r="I68" s="97" t="n"/>
      <c r="J68" s="97" t="n"/>
      <c r="K68" s="97" t="n"/>
      <c r="L68" s="97" t="n"/>
      <c r="M68" s="103" t="inlineStr">
        <is>
          <t>N</t>
        </is>
      </c>
      <c r="N68" s="97" t="n"/>
      <c r="O68" s="103" t="inlineStr">
        <is>
          <t>N</t>
        </is>
      </c>
      <c r="P68" s="97" t="n"/>
      <c r="Q68" s="97" t="n"/>
      <c r="R68" s="97" t="n"/>
      <c r="S68" s="97" t="n"/>
      <c r="T68" s="97" t="n"/>
      <c r="U68" s="97" t="n"/>
      <c r="V68" s="102" t="inlineStr">
        <is>
          <t>D</t>
        </is>
      </c>
      <c r="W68" s="103" t="inlineStr">
        <is>
          <t>N</t>
        </is>
      </c>
      <c r="X68" s="97" t="n"/>
      <c r="Y68" s="97" t="n"/>
      <c r="Z68" s="97" t="n"/>
      <c r="AA68" s="103" t="inlineStr">
        <is>
          <t>N</t>
        </is>
      </c>
      <c r="AB68" s="97" t="n"/>
      <c r="AC68" s="98" t="inlineStr">
        <is>
          <t>M</t>
        </is>
      </c>
      <c r="AD68" s="97" t="n"/>
      <c r="AE68" s="110" t="n"/>
      <c r="AF68" s="110" t="n"/>
      <c r="AG68" s="110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ROUND(B68*4.0,0)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8" t="inlineStr">
        <is>
          <t>M</t>
        </is>
      </c>
      <c r="D69" s="104" t="inlineStr">
        <is>
          <t>T</t>
        </is>
      </c>
      <c r="E69" s="97" t="n"/>
      <c r="F69" s="102" t="inlineStr">
        <is>
          <t>D</t>
        </is>
      </c>
      <c r="G69" s="97" t="n"/>
      <c r="H69" s="97" t="n"/>
      <c r="I69" s="97" t="n"/>
      <c r="J69" s="98" t="inlineStr">
        <is>
          <t>M</t>
        </is>
      </c>
      <c r="K69" s="97" t="n"/>
      <c r="L69" s="97" t="n"/>
      <c r="M69" s="104" t="inlineStr">
        <is>
          <t>T</t>
        </is>
      </c>
      <c r="N69" s="97" t="n"/>
      <c r="O69" s="104" t="inlineStr">
        <is>
          <t>T</t>
        </is>
      </c>
      <c r="P69" s="102" t="inlineStr">
        <is>
          <t>D</t>
        </is>
      </c>
      <c r="Q69" s="97" t="n"/>
      <c r="R69" s="104" t="inlineStr">
        <is>
          <t>T</t>
        </is>
      </c>
      <c r="S69" s="97" t="n"/>
      <c r="T69" s="102" t="inlineStr">
        <is>
          <t>D</t>
        </is>
      </c>
      <c r="U69" s="98" t="inlineStr">
        <is>
          <t>M</t>
        </is>
      </c>
      <c r="V69" s="97" t="n"/>
      <c r="W69" s="97" t="n"/>
      <c r="X69" s="97" t="n"/>
      <c r="Y69" s="97" t="n"/>
      <c r="Z69" s="97" t="n"/>
      <c r="AA69" s="102" t="inlineStr">
        <is>
          <t>D</t>
        </is>
      </c>
      <c r="AB69" s="103" t="inlineStr">
        <is>
          <t>N</t>
        </is>
      </c>
      <c r="AC69" s="97" t="n"/>
      <c r="AD69" s="97" t="n"/>
      <c r="AE69" s="110" t="n"/>
      <c r="AF69" s="110" t="n"/>
      <c r="AG69" s="110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ROUND(B69*4.0,0)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8" t="inlineStr">
        <is>
          <t>M</t>
        </is>
      </c>
      <c r="E70" s="104" t="inlineStr">
        <is>
          <t>T</t>
        </is>
      </c>
      <c r="F70" s="104" t="inlineStr">
        <is>
          <t>T</t>
        </is>
      </c>
      <c r="G70" s="104" t="inlineStr">
        <is>
          <t>T</t>
        </is>
      </c>
      <c r="H70" s="97" t="n"/>
      <c r="I70" s="97" t="n"/>
      <c r="J70" s="97" t="n"/>
      <c r="K70" s="97" t="n"/>
      <c r="L70" s="103" t="inlineStr">
        <is>
          <t>N</t>
        </is>
      </c>
      <c r="M70" s="97" t="n"/>
      <c r="N70" s="103" t="inlineStr">
        <is>
          <t>N</t>
        </is>
      </c>
      <c r="O70" s="97" t="n"/>
      <c r="P70" s="97" t="n"/>
      <c r="Q70" s="97" t="n"/>
      <c r="R70" s="97" t="n"/>
      <c r="S70" s="104" t="inlineStr">
        <is>
          <t>T</t>
        </is>
      </c>
      <c r="T70" s="97" t="n"/>
      <c r="U70" s="104" t="inlineStr">
        <is>
          <t>T</t>
        </is>
      </c>
      <c r="V70" s="97" t="n"/>
      <c r="W70" s="97" t="n"/>
      <c r="X70" s="103" t="inlineStr">
        <is>
          <t>N</t>
        </is>
      </c>
      <c r="Y70" s="97" t="n"/>
      <c r="Z70" s="97" t="n"/>
      <c r="AA70" s="97" t="n"/>
      <c r="AB70" s="104" t="inlineStr">
        <is>
          <t>T</t>
        </is>
      </c>
      <c r="AC70" s="97" t="n"/>
      <c r="AD70" s="102" t="inlineStr">
        <is>
          <t>D</t>
        </is>
      </c>
      <c r="AE70" s="110" t="n"/>
      <c r="AF70" s="110" t="n"/>
      <c r="AG70" s="110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ROUND(B70*4.0,0)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102" t="inlineStr">
        <is>
          <t>D</t>
        </is>
      </c>
      <c r="T71" s="104" t="inlineStr">
        <is>
          <t>T</t>
        </is>
      </c>
      <c r="U71" s="97" t="n"/>
      <c r="V71" s="97" t="n"/>
      <c r="W71" s="97" t="n"/>
      <c r="X71" s="97" t="n"/>
      <c r="Y71" s="102" t="inlineStr">
        <is>
          <t>D</t>
        </is>
      </c>
      <c r="Z71" s="97" t="n"/>
      <c r="AA71" s="97" t="n"/>
      <c r="AB71" s="97" t="n"/>
      <c r="AC71" s="97" t="n"/>
      <c r="AD71" s="102" t="inlineStr">
        <is>
          <t>D</t>
        </is>
      </c>
      <c r="AE71" s="110" t="n"/>
      <c r="AF71" s="110" t="n"/>
      <c r="AG71" s="110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ROUND(B71*4.0,0)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103" t="inlineStr">
        <is>
          <t>N</t>
        </is>
      </c>
      <c r="D72" s="98" t="inlineStr">
        <is>
          <t>M</t>
        </is>
      </c>
      <c r="E72" s="97" t="n"/>
      <c r="F72" s="104" t="inlineStr">
        <is>
          <t>T</t>
        </is>
      </c>
      <c r="G72" s="97" t="n"/>
      <c r="H72" s="97" t="n"/>
      <c r="I72" s="102" t="inlineStr">
        <is>
          <t>D</t>
        </is>
      </c>
      <c r="J72" s="104" t="inlineStr">
        <is>
          <t>T</t>
        </is>
      </c>
      <c r="K72" s="104" t="inlineStr">
        <is>
          <t>T</t>
        </is>
      </c>
      <c r="L72" s="104" t="inlineStr">
        <is>
          <t>T</t>
        </is>
      </c>
      <c r="M72" s="102" t="inlineStr">
        <is>
          <t>D</t>
        </is>
      </c>
      <c r="N72" s="97" t="n"/>
      <c r="O72" s="97" t="n"/>
      <c r="P72" s="98" t="inlineStr">
        <is>
          <t>M</t>
        </is>
      </c>
      <c r="Q72" s="104" t="inlineStr">
        <is>
          <t>T</t>
        </is>
      </c>
      <c r="R72" s="97" t="n"/>
      <c r="S72" s="104" t="inlineStr">
        <is>
          <t>T</t>
        </is>
      </c>
      <c r="T72" s="102" t="inlineStr">
        <is>
          <t>D</t>
        </is>
      </c>
      <c r="U72" s="97" t="n"/>
      <c r="V72" s="102" t="inlineStr">
        <is>
          <t>D</t>
        </is>
      </c>
      <c r="W72" s="97" t="n"/>
      <c r="X72" s="97" t="n"/>
      <c r="Y72" s="98" t="inlineStr">
        <is>
          <t>M</t>
        </is>
      </c>
      <c r="Z72" s="104" t="inlineStr">
        <is>
          <t>T</t>
        </is>
      </c>
      <c r="AA72" s="104" t="inlineStr">
        <is>
          <t>T</t>
        </is>
      </c>
      <c r="AB72" s="97" t="n"/>
      <c r="AC72" s="103" t="inlineStr">
        <is>
          <t>N</t>
        </is>
      </c>
      <c r="AD72" s="97" t="n"/>
      <c r="AE72" s="110" t="n"/>
      <c r="AF72" s="110" t="n"/>
      <c r="AG72" s="110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ROUND(B72*4.0,0)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104" t="inlineStr">
        <is>
          <t>T</t>
        </is>
      </c>
      <c r="D73" s="97" t="n"/>
      <c r="E73" s="97" t="n"/>
      <c r="F73" s="97" t="n"/>
      <c r="G73" s="103" t="inlineStr">
        <is>
          <t>N</t>
        </is>
      </c>
      <c r="H73" s="104" t="inlineStr">
        <is>
          <t>T</t>
        </is>
      </c>
      <c r="I73" s="97" t="n"/>
      <c r="J73" s="102" t="inlineStr">
        <is>
          <t>D</t>
        </is>
      </c>
      <c r="K73" s="104" t="inlineStr">
        <is>
          <t>T</t>
        </is>
      </c>
      <c r="L73" s="97" t="n"/>
      <c r="M73" s="97" t="n"/>
      <c r="N73" s="103" t="inlineStr">
        <is>
          <t>N</t>
        </is>
      </c>
      <c r="O73" s="97" t="n"/>
      <c r="P73" s="102" t="inlineStr">
        <is>
          <t>D</t>
        </is>
      </c>
      <c r="Q73" s="97" t="n"/>
      <c r="R73" s="103" t="inlineStr">
        <is>
          <t>N</t>
        </is>
      </c>
      <c r="S73" s="97" t="n"/>
      <c r="T73" s="97" t="n"/>
      <c r="U73" s="97" t="n"/>
      <c r="V73" s="104" t="inlineStr">
        <is>
          <t>T</t>
        </is>
      </c>
      <c r="W73" s="102" t="inlineStr">
        <is>
          <t>D</t>
        </is>
      </c>
      <c r="X73" s="97" t="n"/>
      <c r="Y73" s="97" t="n"/>
      <c r="Z73" s="104" t="inlineStr">
        <is>
          <t>T</t>
        </is>
      </c>
      <c r="AA73" s="97" t="n"/>
      <c r="AB73" s="103" t="inlineStr">
        <is>
          <t>N</t>
        </is>
      </c>
      <c r="AC73" s="98" t="inlineStr">
        <is>
          <t>M</t>
        </is>
      </c>
      <c r="AD73" s="98" t="inlineStr">
        <is>
          <t>M</t>
        </is>
      </c>
      <c r="AE73" s="110" t="n"/>
      <c r="AF73" s="110" t="n"/>
      <c r="AG73" s="110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ROUND(B73*4.0,0)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</row>
    <row r="78">
      <c r="A78" s="108" t="inlineStr">
        <is>
          <t>falta manhã</t>
        </is>
      </c>
      <c r="C78" s="109">
        <f>MAX(0,CONFIG!$B$11-C75)</f>
        <v/>
      </c>
      <c r="D78" s="109">
        <f>MAX(0,CONFIG!$B$9-D75)</f>
        <v/>
      </c>
      <c r="E78" s="109">
        <f>MAX(0,CONFIG!$B$9-E75)</f>
        <v/>
      </c>
      <c r="F78" s="109">
        <f>MAX(0,CONFIG!$B$9-F75)</f>
        <v/>
      </c>
      <c r="G78" s="109">
        <f>MAX(0,CONFIG!$B$9-G75)</f>
        <v/>
      </c>
      <c r="H78" s="109">
        <f>MAX(0,CONFIG!$B$9-H75)</f>
        <v/>
      </c>
      <c r="I78" s="109">
        <f>MAX(0,CONFIG!$B$10-I75)</f>
        <v/>
      </c>
      <c r="J78" s="109">
        <f>MAX(0,CONFIG!$B$11-J75)</f>
        <v/>
      </c>
      <c r="K78" s="109">
        <f>MAX(0,CONFIG!$B$9-K75)</f>
        <v/>
      </c>
      <c r="L78" s="109">
        <f>MAX(0,CONFIG!$B$9-L75)</f>
        <v/>
      </c>
      <c r="M78" s="109">
        <f>MAX(0,CONFIG!$B$9-M75)</f>
        <v/>
      </c>
      <c r="N78" s="109">
        <f>MAX(0,CONFIG!$B$9-N75)</f>
        <v/>
      </c>
      <c r="O78" s="109">
        <f>MAX(0,CONFIG!$B$9-O75)</f>
        <v/>
      </c>
      <c r="P78" s="109">
        <f>MAX(0,CONFIG!$B$10-P75)</f>
        <v/>
      </c>
      <c r="Q78" s="109">
        <f>MAX(0,CONFIG!$B$11-Q75)</f>
        <v/>
      </c>
      <c r="R78" s="109">
        <f>MAX(0,CONFIG!$B$9-R75)</f>
        <v/>
      </c>
      <c r="S78" s="109">
        <f>MAX(0,CONFIG!$B$9-S75)</f>
        <v/>
      </c>
      <c r="T78" s="109">
        <f>MAX(0,CONFIG!$B$9-T75)</f>
        <v/>
      </c>
      <c r="U78" s="109">
        <f>MAX(0,CONFIG!$B$9-U75)</f>
        <v/>
      </c>
      <c r="V78" s="109">
        <f>MAX(0,CONFIG!$B$9-V75)</f>
        <v/>
      </c>
      <c r="W78" s="109">
        <f>MAX(0,CONFIG!$B$10-W75)</f>
        <v/>
      </c>
      <c r="X78" s="109">
        <f>MAX(0,CONFIG!$B$11-X75)</f>
        <v/>
      </c>
      <c r="Y78" s="109">
        <f>MAX(0,CONFIG!$B$9-Y75)</f>
        <v/>
      </c>
      <c r="Z78" s="109">
        <f>MAX(0,CONFIG!$B$9-Z75)</f>
        <v/>
      </c>
      <c r="AA78" s="109">
        <f>MAX(0,CONFIG!$B$9-AA75)</f>
        <v/>
      </c>
      <c r="AB78" s="109">
        <f>MAX(0,CONFIG!$B$9-AB75)</f>
        <v/>
      </c>
      <c r="AC78" s="109">
        <f>MAX(0,CONFIG!$B$9-AC75)</f>
        <v/>
      </c>
      <c r="AD78" s="109">
        <f>MAX(0,CONFIG!$B$10-AD75)</f>
        <v/>
      </c>
    </row>
    <row r="79">
      <c r="A79" s="108" t="inlineStr">
        <is>
          <t>falta tarde</t>
        </is>
      </c>
      <c r="C79" s="109">
        <f>MAX(0,CONFIG!$C$11-C76)</f>
        <v/>
      </c>
      <c r="D79" s="109">
        <f>MAX(0,CONFIG!$C$9-D76)</f>
        <v/>
      </c>
      <c r="E79" s="109">
        <f>MAX(0,CONFIG!$C$9-E76)</f>
        <v/>
      </c>
      <c r="F79" s="109">
        <f>MAX(0,CONFIG!$C$9-F76)</f>
        <v/>
      </c>
      <c r="G79" s="109">
        <f>MAX(0,CONFIG!$C$9-G76)</f>
        <v/>
      </c>
      <c r="H79" s="109">
        <f>MAX(0,CONFIG!$C$9-H76)</f>
        <v/>
      </c>
      <c r="I79" s="109">
        <f>MAX(0,CONFIG!$C$10-I76)</f>
        <v/>
      </c>
      <c r="J79" s="109">
        <f>MAX(0,CONFIG!$C$11-J76)</f>
        <v/>
      </c>
      <c r="K79" s="109">
        <f>MAX(0,CONFIG!$C$9-K76)</f>
        <v/>
      </c>
      <c r="L79" s="109">
        <f>MAX(0,CONFIG!$C$9-L76)</f>
        <v/>
      </c>
      <c r="M79" s="109">
        <f>MAX(0,CONFIG!$C$9-M76)</f>
        <v/>
      </c>
      <c r="N79" s="109">
        <f>MAX(0,CONFIG!$C$9-N76)</f>
        <v/>
      </c>
      <c r="O79" s="109">
        <f>MAX(0,CONFIG!$C$9-O76)</f>
        <v/>
      </c>
      <c r="P79" s="109">
        <f>MAX(0,CONFIG!$C$10-P76)</f>
        <v/>
      </c>
      <c r="Q79" s="109">
        <f>MAX(0,CONFIG!$C$11-Q76)</f>
        <v/>
      </c>
      <c r="R79" s="109">
        <f>MAX(0,CONFIG!$C$9-R76)</f>
        <v/>
      </c>
      <c r="S79" s="109">
        <f>MAX(0,CONFIG!$C$9-S76)</f>
        <v/>
      </c>
      <c r="T79" s="109">
        <f>MAX(0,CONFIG!$C$9-T76)</f>
        <v/>
      </c>
      <c r="U79" s="109">
        <f>MAX(0,CONFIG!$C$9-U76)</f>
        <v/>
      </c>
      <c r="V79" s="109">
        <f>MAX(0,CONFIG!$C$9-V76)</f>
        <v/>
      </c>
      <c r="W79" s="109">
        <f>MAX(0,CONFIG!$C$10-W76)</f>
        <v/>
      </c>
      <c r="X79" s="109">
        <f>MAX(0,CONFIG!$C$11-X76)</f>
        <v/>
      </c>
      <c r="Y79" s="109">
        <f>MAX(0,CONFIG!$C$9-Y76)</f>
        <v/>
      </c>
      <c r="Z79" s="109">
        <f>MAX(0,CONFIG!$C$9-Z76)</f>
        <v/>
      </c>
      <c r="AA79" s="109">
        <f>MAX(0,CONFIG!$C$9-AA76)</f>
        <v/>
      </c>
      <c r="AB79" s="109">
        <f>MAX(0,CONFIG!$C$9-AB76)</f>
        <v/>
      </c>
      <c r="AC79" s="109">
        <f>MAX(0,CONFIG!$C$9-AC76)</f>
        <v/>
      </c>
      <c r="AD79" s="109">
        <f>MAX(0,CONFIG!$C$10-AD76)</f>
        <v/>
      </c>
    </row>
    <row r="80">
      <c r="A80" s="108" t="inlineStr">
        <is>
          <t>falta noite</t>
        </is>
      </c>
      <c r="C80" s="109">
        <f>MAX(0,CONFIG!$D$11-C77)</f>
        <v/>
      </c>
      <c r="D80" s="109">
        <f>MAX(0,CONFIG!$D$9-D77)</f>
        <v/>
      </c>
      <c r="E80" s="109">
        <f>MAX(0,CONFIG!$D$9-E77)</f>
        <v/>
      </c>
      <c r="F80" s="109">
        <f>MAX(0,CONFIG!$D$9-F77)</f>
        <v/>
      </c>
      <c r="G80" s="109">
        <f>MAX(0,CONFIG!$D$9-G77)</f>
        <v/>
      </c>
      <c r="H80" s="109">
        <f>MAX(0,CONFIG!$D$9-H77)</f>
        <v/>
      </c>
      <c r="I80" s="109">
        <f>MAX(0,CONFIG!$D$10-I77)</f>
        <v/>
      </c>
      <c r="J80" s="109">
        <f>MAX(0,CONFIG!$D$11-J77)</f>
        <v/>
      </c>
      <c r="K80" s="109">
        <f>MAX(0,CONFIG!$D$9-K77)</f>
        <v/>
      </c>
      <c r="L80" s="109">
        <f>MAX(0,CONFIG!$D$9-L77)</f>
        <v/>
      </c>
      <c r="M80" s="109">
        <f>MAX(0,CONFIG!$D$9-M77)</f>
        <v/>
      </c>
      <c r="N80" s="109">
        <f>MAX(0,CONFIG!$D$9-N77)</f>
        <v/>
      </c>
      <c r="O80" s="109">
        <f>MAX(0,CONFIG!$D$9-O77)</f>
        <v/>
      </c>
      <c r="P80" s="109">
        <f>MAX(0,CONFIG!$D$10-P77)</f>
        <v/>
      </c>
      <c r="Q80" s="109">
        <f>MAX(0,CONFIG!$D$11-Q77)</f>
        <v/>
      </c>
      <c r="R80" s="109">
        <f>MAX(0,CONFIG!$D$9-R77)</f>
        <v/>
      </c>
      <c r="S80" s="109">
        <f>MAX(0,CONFIG!$D$9-S77)</f>
        <v/>
      </c>
      <c r="T80" s="109">
        <f>MAX(0,CONFIG!$D$9-T77)</f>
        <v/>
      </c>
      <c r="U80" s="109">
        <f>MAX(0,CONFIG!$D$9-U77)</f>
        <v/>
      </c>
      <c r="V80" s="109">
        <f>MAX(0,CONFIG!$D$9-V77)</f>
        <v/>
      </c>
      <c r="W80" s="109">
        <f>MAX(0,CONFIG!$D$10-W77)</f>
        <v/>
      </c>
      <c r="X80" s="109">
        <f>MAX(0,CONFIG!$D$11-X77)</f>
        <v/>
      </c>
      <c r="Y80" s="109">
        <f>MAX(0,CONFIG!$D$9-Y77)</f>
        <v/>
      </c>
      <c r="Z80" s="109">
        <f>MAX(0,CONFIG!$D$9-Z77)</f>
        <v/>
      </c>
      <c r="AA80" s="109">
        <f>MAX(0,CONFIG!$D$9-AA77)</f>
        <v/>
      </c>
      <c r="AB80" s="109">
        <f>MAX(0,CONFIG!$D$9-AB77)</f>
        <v/>
      </c>
      <c r="AC80" s="109">
        <f>MAX(0,CONFIG!$D$9-AC77)</f>
        <v/>
      </c>
      <c r="AD80" s="109">
        <f>MAX(0,CONFIG!$D$10-AD77)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março · 2026</t>
        </is>
      </c>
      <c r="C1" s="88" t="inlineStr">
        <is>
          <t>códigos Senior (códigos antigos 110/82/83)</t>
        </is>
      </c>
    </row>
    <row r="2">
      <c r="C2" s="91" t="n">
        <v>1</v>
      </c>
      <c r="D2" s="90" t="n">
        <v>2</v>
      </c>
      <c r="E2" s="90" t="n">
        <v>3</v>
      </c>
      <c r="F2" s="90" t="n">
        <v>4</v>
      </c>
      <c r="G2" s="90" t="n">
        <v>5</v>
      </c>
      <c r="H2" s="90" t="n">
        <v>6</v>
      </c>
      <c r="I2" s="91" t="n">
        <v>7</v>
      </c>
      <c r="J2" s="91" t="n">
        <v>8</v>
      </c>
      <c r="K2" s="90" t="n">
        <v>9</v>
      </c>
      <c r="L2" s="90" t="n">
        <v>10</v>
      </c>
      <c r="M2" s="90" t="n">
        <v>11</v>
      </c>
      <c r="N2" s="90" t="n">
        <v>12</v>
      </c>
      <c r="O2" s="90" t="n">
        <v>13</v>
      </c>
      <c r="P2" s="91" t="n">
        <v>14</v>
      </c>
      <c r="Q2" s="91" t="n">
        <v>15</v>
      </c>
      <c r="R2" s="90" t="n">
        <v>16</v>
      </c>
      <c r="S2" s="90" t="n">
        <v>17</v>
      </c>
      <c r="T2" s="90" t="n">
        <v>18</v>
      </c>
      <c r="U2" s="90" t="n">
        <v>19</v>
      </c>
      <c r="V2" s="90" t="n">
        <v>20</v>
      </c>
      <c r="W2" s="91" t="n">
        <v>21</v>
      </c>
      <c r="X2" s="91" t="n">
        <v>22</v>
      </c>
      <c r="Y2" s="90" t="n">
        <v>23</v>
      </c>
      <c r="Z2" s="90" t="n">
        <v>24</v>
      </c>
      <c r="AA2" s="90" t="n">
        <v>25</v>
      </c>
      <c r="AB2" s="90" t="n">
        <v>26</v>
      </c>
      <c r="AC2" s="90" t="n">
        <v>27</v>
      </c>
      <c r="AD2" s="91" t="n">
        <v>28</v>
      </c>
      <c r="AE2" s="91" t="n">
        <v>29</v>
      </c>
      <c r="AF2" s="90" t="n">
        <v>30</v>
      </c>
      <c r="AG2" s="90" t="n">
        <v>31</v>
      </c>
    </row>
    <row r="3">
      <c r="C3" s="94" t="inlineStr">
        <is>
          <t>dom</t>
        </is>
      </c>
      <c r="D3" s="93" t="inlineStr">
        <is>
          <t>seg</t>
        </is>
      </c>
      <c r="E3" s="93" t="inlineStr">
        <is>
          <t>ter</t>
        </is>
      </c>
      <c r="F3" s="93" t="inlineStr">
        <is>
          <t>qua</t>
        </is>
      </c>
      <c r="G3" s="93" t="inlineStr">
        <is>
          <t>qui</t>
        </is>
      </c>
      <c r="H3" s="93" t="inlineStr">
        <is>
          <t>sex</t>
        </is>
      </c>
      <c r="I3" s="94" t="inlineStr">
        <is>
          <t>sáb</t>
        </is>
      </c>
      <c r="J3" s="94" t="inlineStr">
        <is>
          <t>dom</t>
        </is>
      </c>
      <c r="K3" s="93" t="inlineStr">
        <is>
          <t>seg</t>
        </is>
      </c>
      <c r="L3" s="93" t="inlineStr">
        <is>
          <t>ter</t>
        </is>
      </c>
      <c r="M3" s="93" t="inlineStr">
        <is>
          <t>qua</t>
        </is>
      </c>
      <c r="N3" s="93" t="inlineStr">
        <is>
          <t>qui</t>
        </is>
      </c>
      <c r="O3" s="93" t="inlineStr">
        <is>
          <t>sex</t>
        </is>
      </c>
      <c r="P3" s="94" t="inlineStr">
        <is>
          <t>sáb</t>
        </is>
      </c>
      <c r="Q3" s="94" t="inlineStr">
        <is>
          <t>dom</t>
        </is>
      </c>
      <c r="R3" s="93" t="inlineStr">
        <is>
          <t>seg</t>
        </is>
      </c>
      <c r="S3" s="93" t="inlineStr">
        <is>
          <t>ter</t>
        </is>
      </c>
      <c r="T3" s="93" t="inlineStr">
        <is>
          <t>qua</t>
        </is>
      </c>
      <c r="U3" s="93" t="inlineStr">
        <is>
          <t>qui</t>
        </is>
      </c>
      <c r="V3" s="93" t="inlineStr">
        <is>
          <t>sex</t>
        </is>
      </c>
      <c r="W3" s="94" t="inlineStr">
        <is>
          <t>sáb</t>
        </is>
      </c>
      <c r="X3" s="94" t="inlineStr">
        <is>
          <t>dom</t>
        </is>
      </c>
      <c r="Y3" s="93" t="inlineStr">
        <is>
          <t>seg</t>
        </is>
      </c>
      <c r="Z3" s="93" t="inlineStr">
        <is>
          <t>ter</t>
        </is>
      </c>
      <c r="AA3" s="93" t="inlineStr">
        <is>
          <t>qua</t>
        </is>
      </c>
      <c r="AB3" s="93" t="inlineStr">
        <is>
          <t>qui</t>
        </is>
      </c>
      <c r="AC3" s="93" t="inlineStr">
        <is>
          <t>sex</t>
        </is>
      </c>
      <c r="AD3" s="94" t="inlineStr">
        <is>
          <t>sáb</t>
        </is>
      </c>
      <c r="AE3" s="94" t="inlineStr">
        <is>
          <t>dom</t>
        </is>
      </c>
      <c r="AF3" s="93" t="inlineStr">
        <is>
          <t>seg</t>
        </is>
      </c>
      <c r="AG3" s="93" t="inlineStr">
        <is>
          <t>ter</t>
        </is>
      </c>
    </row>
    <row r="4" hidden="1">
      <c r="A4" t="inlineStr">
        <is>
          <t>máscara fds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111" t="inlineStr">
        <is>
          <t>C</t>
        </is>
      </c>
      <c r="E8" s="111" t="inlineStr">
        <is>
          <t>C</t>
        </is>
      </c>
      <c r="F8" s="98" t="inlineStr">
        <is>
          <t>M</t>
        </is>
      </c>
      <c r="G8" s="98" t="inlineStr">
        <is>
          <t>M</t>
        </is>
      </c>
      <c r="H8" s="98" t="inlineStr">
        <is>
          <t>M</t>
        </is>
      </c>
      <c r="I8" s="97" t="n"/>
      <c r="J8" s="97" t="n"/>
      <c r="K8" s="111" t="inlineStr">
        <is>
          <t>C</t>
        </is>
      </c>
      <c r="L8" s="111" t="inlineStr">
        <is>
          <t>C</t>
        </is>
      </c>
      <c r="M8" s="98" t="inlineStr">
        <is>
          <t>M</t>
        </is>
      </c>
      <c r="N8" s="98" t="inlineStr">
        <is>
          <t>M</t>
        </is>
      </c>
      <c r="O8" s="111" t="inlineStr">
        <is>
          <t>C</t>
        </is>
      </c>
      <c r="P8" s="98" t="inlineStr">
        <is>
          <t>M</t>
        </is>
      </c>
      <c r="Q8" s="98" t="inlineStr">
        <is>
          <t>M</t>
        </is>
      </c>
      <c r="R8" s="111" t="inlineStr">
        <is>
          <t>C</t>
        </is>
      </c>
      <c r="S8" s="111" t="inlineStr">
        <is>
          <t>C</t>
        </is>
      </c>
      <c r="T8" s="98" t="inlineStr">
        <is>
          <t>M</t>
        </is>
      </c>
      <c r="U8" s="98" t="inlineStr">
        <is>
          <t>M</t>
        </is>
      </c>
      <c r="V8" s="98" t="inlineStr">
        <is>
          <t>M</t>
        </is>
      </c>
      <c r="W8" s="97" t="n"/>
      <c r="X8" s="97" t="n"/>
      <c r="Y8" s="111" t="inlineStr">
        <is>
          <t>C</t>
        </is>
      </c>
      <c r="Z8" s="111" t="inlineStr">
        <is>
          <t>C</t>
        </is>
      </c>
      <c r="AA8" s="98" t="inlineStr">
        <is>
          <t>M</t>
        </is>
      </c>
      <c r="AB8" s="98" t="inlineStr">
        <is>
          <t>M</t>
        </is>
      </c>
      <c r="AC8" s="111" t="inlineStr">
        <is>
          <t>C</t>
        </is>
      </c>
      <c r="AD8" s="98" t="inlineStr">
        <is>
          <t>M</t>
        </is>
      </c>
      <c r="AE8" s="98" t="inlineStr">
        <is>
          <t>M</t>
        </is>
      </c>
      <c r="AF8" s="111" t="inlineStr">
        <is>
          <t>C</t>
        </is>
      </c>
      <c r="AG8" s="111" t="inlineStr">
        <is>
          <t>C</t>
        </is>
      </c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8" t="inlineStr">
        <is>
          <t>M</t>
        </is>
      </c>
      <c r="D9" s="98" t="inlineStr">
        <is>
          <t>M</t>
        </is>
      </c>
      <c r="E9" s="98" t="inlineStr">
        <is>
          <t>M</t>
        </is>
      </c>
      <c r="F9" s="98" t="inlineStr">
        <is>
          <t>M</t>
        </is>
      </c>
      <c r="G9" s="111" t="inlineStr">
        <is>
          <t>C</t>
        </is>
      </c>
      <c r="H9" s="111" t="inlineStr">
        <is>
          <t>C</t>
        </is>
      </c>
      <c r="I9" s="98" t="inlineStr">
        <is>
          <t>M</t>
        </is>
      </c>
      <c r="J9" s="98" t="inlineStr">
        <is>
          <t>M</t>
        </is>
      </c>
      <c r="K9" s="98" t="inlineStr">
        <is>
          <t>M</t>
        </is>
      </c>
      <c r="L9" s="98" t="inlineStr">
        <is>
          <t>M</t>
        </is>
      </c>
      <c r="M9" s="98" t="inlineStr">
        <is>
          <t>M</t>
        </is>
      </c>
      <c r="N9" s="111" t="inlineStr">
        <is>
          <t>C</t>
        </is>
      </c>
      <c r="O9" s="98" t="inlineStr">
        <is>
          <t>M</t>
        </is>
      </c>
      <c r="P9" s="97" t="n"/>
      <c r="Q9" s="97" t="n"/>
      <c r="R9" s="98" t="inlineStr">
        <is>
          <t>M</t>
        </is>
      </c>
      <c r="S9" s="98" t="inlineStr">
        <is>
          <t>M</t>
        </is>
      </c>
      <c r="T9" s="98" t="inlineStr">
        <is>
          <t>M</t>
        </is>
      </c>
      <c r="U9" s="111" t="inlineStr">
        <is>
          <t>C</t>
        </is>
      </c>
      <c r="V9" s="111" t="inlineStr">
        <is>
          <t>C</t>
        </is>
      </c>
      <c r="W9" s="98" t="inlineStr">
        <is>
          <t>M</t>
        </is>
      </c>
      <c r="X9" s="98" t="inlineStr">
        <is>
          <t>M</t>
        </is>
      </c>
      <c r="Y9" s="98" t="inlineStr">
        <is>
          <t>M</t>
        </is>
      </c>
      <c r="Z9" s="98" t="inlineStr">
        <is>
          <t>M</t>
        </is>
      </c>
      <c r="AA9" s="98" t="inlineStr">
        <is>
          <t>M</t>
        </is>
      </c>
      <c r="AB9" s="111" t="inlineStr">
        <is>
          <t>C</t>
        </is>
      </c>
      <c r="AC9" s="98" t="inlineStr">
        <is>
          <t>M</t>
        </is>
      </c>
      <c r="AD9" s="97" t="n"/>
      <c r="AE9" s="97" t="n"/>
      <c r="AF9" s="98" t="inlineStr">
        <is>
          <t>M</t>
        </is>
      </c>
      <c r="AG9" s="98" t="inlineStr">
        <is>
          <t>M</t>
        </is>
      </c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103" t="inlineStr">
        <is>
          <t>N</t>
        </is>
      </c>
      <c r="D11" s="98" t="inlineStr">
        <is>
          <t>M</t>
        </is>
      </c>
      <c r="E11" s="98" t="inlineStr">
        <is>
          <t>M</t>
        </is>
      </c>
      <c r="F11" s="98" t="inlineStr">
        <is>
          <t>M</t>
        </is>
      </c>
      <c r="G11" s="102" t="inlineStr">
        <is>
          <t>D</t>
        </is>
      </c>
      <c r="H11" s="98" t="inlineStr">
        <is>
          <t>M</t>
        </is>
      </c>
      <c r="I11" s="97" t="n"/>
      <c r="J11" s="97" t="n"/>
      <c r="K11" s="98" t="inlineStr">
        <is>
          <t>M</t>
        </is>
      </c>
      <c r="L11" s="98" t="inlineStr">
        <is>
          <t>M</t>
        </is>
      </c>
      <c r="M11" s="98" t="inlineStr">
        <is>
          <t>M</t>
        </is>
      </c>
      <c r="N11" s="98" t="inlineStr">
        <is>
          <t>M</t>
        </is>
      </c>
      <c r="O11" s="98" t="inlineStr">
        <is>
          <t>M</t>
        </is>
      </c>
      <c r="P11" s="103" t="inlineStr">
        <is>
          <t>N</t>
        </is>
      </c>
      <c r="Q11" s="97" t="n"/>
      <c r="R11" s="98" t="inlineStr">
        <is>
          <t>M</t>
        </is>
      </c>
      <c r="S11" s="98" t="inlineStr">
        <is>
          <t>M</t>
        </is>
      </c>
      <c r="T11" s="102" t="inlineStr">
        <is>
          <t>D</t>
        </is>
      </c>
      <c r="U11" s="102" t="inlineStr">
        <is>
          <t>D</t>
        </is>
      </c>
      <c r="V11" s="98" t="inlineStr">
        <is>
          <t>M</t>
        </is>
      </c>
      <c r="W11" s="97" t="n"/>
      <c r="X11" s="97" t="n"/>
      <c r="Y11" s="98" t="inlineStr">
        <is>
          <t>M</t>
        </is>
      </c>
      <c r="Z11" s="98" t="inlineStr">
        <is>
          <t>M</t>
        </is>
      </c>
      <c r="AA11" s="98" t="inlineStr">
        <is>
          <t>M</t>
        </is>
      </c>
      <c r="AB11" s="98" t="inlineStr">
        <is>
          <t>M</t>
        </is>
      </c>
      <c r="AC11" s="98" t="inlineStr">
        <is>
          <t>M</t>
        </is>
      </c>
      <c r="AD11" s="97" t="n"/>
      <c r="AE11" s="103" t="inlineStr">
        <is>
          <t>N</t>
        </is>
      </c>
      <c r="AF11" s="98" t="inlineStr">
        <is>
          <t>M</t>
        </is>
      </c>
      <c r="AG11" s="98" t="inlineStr">
        <is>
          <t>M</t>
        </is>
      </c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8" t="inlineStr">
        <is>
          <t>M</t>
        </is>
      </c>
      <c r="E12" s="102" t="inlineStr">
        <is>
          <t>D</t>
        </is>
      </c>
      <c r="F12" s="98" t="inlineStr">
        <is>
          <t>M</t>
        </is>
      </c>
      <c r="G12" s="102" t="inlineStr">
        <is>
          <t>D</t>
        </is>
      </c>
      <c r="H12" s="98" t="inlineStr">
        <is>
          <t>M</t>
        </is>
      </c>
      <c r="I12" s="97" t="n"/>
      <c r="J12" s="97" t="n"/>
      <c r="K12" s="98" t="inlineStr">
        <is>
          <t>M</t>
        </is>
      </c>
      <c r="L12" s="98" t="inlineStr">
        <is>
          <t>M</t>
        </is>
      </c>
      <c r="M12" s="98" t="inlineStr">
        <is>
          <t>M</t>
        </is>
      </c>
      <c r="N12" s="98" t="inlineStr">
        <is>
          <t>M</t>
        </is>
      </c>
      <c r="O12" s="98" t="inlineStr">
        <is>
          <t>M</t>
        </is>
      </c>
      <c r="P12" s="97" t="n"/>
      <c r="Q12" s="102" t="inlineStr">
        <is>
          <t>D</t>
        </is>
      </c>
      <c r="R12" s="98" t="inlineStr">
        <is>
          <t>M</t>
        </is>
      </c>
      <c r="S12" s="102" t="inlineStr">
        <is>
          <t>D</t>
        </is>
      </c>
      <c r="T12" s="98" t="inlineStr">
        <is>
          <t>M</t>
        </is>
      </c>
      <c r="U12" s="98" t="inlineStr">
        <is>
          <t>M</t>
        </is>
      </c>
      <c r="V12" s="98" t="inlineStr">
        <is>
          <t>M</t>
        </is>
      </c>
      <c r="W12" s="97" t="n"/>
      <c r="X12" s="97" t="n"/>
      <c r="Y12" s="98" t="inlineStr">
        <is>
          <t>M</t>
        </is>
      </c>
      <c r="Z12" s="98" t="inlineStr">
        <is>
          <t>M</t>
        </is>
      </c>
      <c r="AA12" s="98" t="inlineStr">
        <is>
          <t>M</t>
        </is>
      </c>
      <c r="AB12" s="98" t="inlineStr">
        <is>
          <t>M</t>
        </is>
      </c>
      <c r="AC12" s="98" t="inlineStr">
        <is>
          <t>M</t>
        </is>
      </c>
      <c r="AD12" s="97" t="n"/>
      <c r="AE12" s="102" t="inlineStr">
        <is>
          <t>D</t>
        </is>
      </c>
      <c r="AF12" s="98" t="inlineStr">
        <is>
          <t>M</t>
        </is>
      </c>
      <c r="AG12" s="102" t="inlineStr">
        <is>
          <t>D</t>
        </is>
      </c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7" t="n"/>
      <c r="D13" s="98" t="inlineStr">
        <is>
          <t>M</t>
        </is>
      </c>
      <c r="E13" s="98" t="inlineStr">
        <is>
          <t>M</t>
        </is>
      </c>
      <c r="F13" s="98" t="inlineStr">
        <is>
          <t>M</t>
        </is>
      </c>
      <c r="G13" s="97" t="n"/>
      <c r="H13" s="97" t="n"/>
      <c r="I13" s="103" t="inlineStr">
        <is>
          <t>N</t>
        </is>
      </c>
      <c r="J13" s="97" t="n"/>
      <c r="K13" s="98" t="inlineStr">
        <is>
          <t>M</t>
        </is>
      </c>
      <c r="L13" s="98" t="inlineStr">
        <is>
          <t>M</t>
        </is>
      </c>
      <c r="M13" s="98" t="inlineStr">
        <is>
          <t>M</t>
        </is>
      </c>
      <c r="N13" s="98" t="inlineStr">
        <is>
          <t>M</t>
        </is>
      </c>
      <c r="O13" s="102" t="inlineStr">
        <is>
          <t>D</t>
        </is>
      </c>
      <c r="P13" s="97" t="n"/>
      <c r="Q13" s="97" t="n"/>
      <c r="R13" s="98" t="inlineStr">
        <is>
          <t>M</t>
        </is>
      </c>
      <c r="S13" s="98" t="inlineStr">
        <is>
          <t>M</t>
        </is>
      </c>
      <c r="T13" s="98" t="inlineStr">
        <is>
          <t>M</t>
        </is>
      </c>
      <c r="U13" s="98" t="inlineStr">
        <is>
          <t>M</t>
        </is>
      </c>
      <c r="V13" s="98" t="inlineStr">
        <is>
          <t>M</t>
        </is>
      </c>
      <c r="W13" s="97" t="n"/>
      <c r="X13" s="97" t="n"/>
      <c r="Y13" s="98" t="inlineStr">
        <is>
          <t>M</t>
        </is>
      </c>
      <c r="Z13" s="98" t="inlineStr">
        <is>
          <t>M</t>
        </is>
      </c>
      <c r="AA13" s="98" t="inlineStr">
        <is>
          <t>M</t>
        </is>
      </c>
      <c r="AB13" s="98" t="inlineStr">
        <is>
          <t>M</t>
        </is>
      </c>
      <c r="AC13" s="98" t="inlineStr">
        <is>
          <t>M</t>
        </is>
      </c>
      <c r="AD13" s="103" t="inlineStr">
        <is>
          <t>N</t>
        </is>
      </c>
      <c r="AE13" s="97" t="n"/>
      <c r="AF13" s="98" t="inlineStr">
        <is>
          <t>M</t>
        </is>
      </c>
      <c r="AG13" s="98" t="inlineStr">
        <is>
          <t>M</t>
        </is>
      </c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7" t="n"/>
      <c r="D14" s="98" t="inlineStr">
        <is>
          <t>M</t>
        </is>
      </c>
      <c r="E14" s="98" t="inlineStr">
        <is>
          <t>M</t>
        </is>
      </c>
      <c r="F14" s="98" t="inlineStr">
        <is>
          <t>M</t>
        </is>
      </c>
      <c r="G14" s="102" t="inlineStr">
        <is>
          <t>D</t>
        </is>
      </c>
      <c r="H14" s="98" t="inlineStr">
        <is>
          <t>M</t>
        </is>
      </c>
      <c r="I14" s="104" t="inlineStr">
        <is>
          <t>T</t>
        </is>
      </c>
      <c r="J14" s="97" t="n"/>
      <c r="K14" s="98" t="inlineStr">
        <is>
          <t>M</t>
        </is>
      </c>
      <c r="L14" s="98" t="inlineStr">
        <is>
          <t>M</t>
        </is>
      </c>
      <c r="M14" s="98" t="inlineStr">
        <is>
          <t>M</t>
        </is>
      </c>
      <c r="N14" s="102" t="inlineStr">
        <is>
          <t>D</t>
        </is>
      </c>
      <c r="O14" s="98" t="inlineStr">
        <is>
          <t>M</t>
        </is>
      </c>
      <c r="P14" s="97" t="n"/>
      <c r="Q14" s="97" t="n"/>
      <c r="R14" s="98" t="inlineStr">
        <is>
          <t>M</t>
        </is>
      </c>
      <c r="S14" s="98" t="inlineStr">
        <is>
          <t>M</t>
        </is>
      </c>
      <c r="T14" s="98" t="inlineStr">
        <is>
          <t>M</t>
        </is>
      </c>
      <c r="U14" s="98" t="inlineStr">
        <is>
          <t>M</t>
        </is>
      </c>
      <c r="V14" s="98" t="inlineStr">
        <is>
          <t>M</t>
        </is>
      </c>
      <c r="W14" s="97" t="n"/>
      <c r="X14" s="104" t="inlineStr">
        <is>
          <t>T</t>
        </is>
      </c>
      <c r="Y14" s="98" t="inlineStr">
        <is>
          <t>M</t>
        </is>
      </c>
      <c r="Z14" s="98" t="inlineStr">
        <is>
          <t>M</t>
        </is>
      </c>
      <c r="AA14" s="98" t="inlineStr">
        <is>
          <t>M</t>
        </is>
      </c>
      <c r="AB14" s="97" t="n"/>
      <c r="AC14" s="97" t="n"/>
      <c r="AD14" s="104" t="inlineStr">
        <is>
          <t>T</t>
        </is>
      </c>
      <c r="AE14" s="102" t="inlineStr">
        <is>
          <t>D</t>
        </is>
      </c>
      <c r="AF14" s="98" t="inlineStr">
        <is>
          <t>M</t>
        </is>
      </c>
      <c r="AG14" s="98" t="inlineStr">
        <is>
          <t>M</t>
        </is>
      </c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8" t="inlineStr">
        <is>
          <t>M</t>
        </is>
      </c>
      <c r="E15" s="98" t="inlineStr">
        <is>
          <t>M</t>
        </is>
      </c>
      <c r="F15" s="98" t="inlineStr">
        <is>
          <t>M</t>
        </is>
      </c>
      <c r="G15" s="98" t="inlineStr">
        <is>
          <t>M</t>
        </is>
      </c>
      <c r="H15" s="97" t="n"/>
      <c r="I15" s="103" t="inlineStr">
        <is>
          <t>N</t>
        </is>
      </c>
      <c r="J15" s="97" t="n"/>
      <c r="K15" s="98" t="inlineStr">
        <is>
          <t>M</t>
        </is>
      </c>
      <c r="L15" s="98" t="inlineStr">
        <is>
          <t>M</t>
        </is>
      </c>
      <c r="M15" s="98" t="inlineStr">
        <is>
          <t>M</t>
        </is>
      </c>
      <c r="N15" s="98" t="inlineStr">
        <is>
          <t>M</t>
        </is>
      </c>
      <c r="O15" s="102" t="inlineStr">
        <is>
          <t>D</t>
        </is>
      </c>
      <c r="P15" s="97" t="n"/>
      <c r="Q15" s="97" t="n"/>
      <c r="R15" s="98" t="inlineStr">
        <is>
          <t>M</t>
        </is>
      </c>
      <c r="S15" s="98" t="inlineStr">
        <is>
          <t>M</t>
        </is>
      </c>
      <c r="T15" s="98" t="inlineStr">
        <is>
          <t>M</t>
        </is>
      </c>
      <c r="U15" s="98" t="inlineStr">
        <is>
          <t>M</t>
        </is>
      </c>
      <c r="V15" s="98" t="inlineStr">
        <is>
          <t>M</t>
        </is>
      </c>
      <c r="W15" s="103" t="inlineStr">
        <is>
          <t>N</t>
        </is>
      </c>
      <c r="X15" s="97" t="n"/>
      <c r="Y15" s="98" t="inlineStr">
        <is>
          <t>M</t>
        </is>
      </c>
      <c r="Z15" s="98" t="inlineStr">
        <is>
          <t>M</t>
        </is>
      </c>
      <c r="AA15" s="98" t="inlineStr">
        <is>
          <t>M</t>
        </is>
      </c>
      <c r="AB15" s="98" t="inlineStr">
        <is>
          <t>M</t>
        </is>
      </c>
      <c r="AC15" s="102" t="inlineStr">
        <is>
          <t>D</t>
        </is>
      </c>
      <c r="AD15" s="97" t="n"/>
      <c r="AE15" s="97" t="n"/>
      <c r="AF15" s="98" t="inlineStr">
        <is>
          <t>M</t>
        </is>
      </c>
      <c r="AG15" s="98" t="inlineStr">
        <is>
          <t>M</t>
        </is>
      </c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103" t="inlineStr">
        <is>
          <t>N</t>
        </is>
      </c>
      <c r="E17" s="112" t="inlineStr">
        <is>
          <t>E</t>
        </is>
      </c>
      <c r="F17" s="97" t="n"/>
      <c r="G17" s="97" t="n"/>
      <c r="H17" s="104" t="inlineStr">
        <is>
          <t>T</t>
        </is>
      </c>
      <c r="I17" s="104" t="inlineStr">
        <is>
          <t>T</t>
        </is>
      </c>
      <c r="J17" s="103" t="inlineStr">
        <is>
          <t>N</t>
        </is>
      </c>
      <c r="K17" s="103" t="inlineStr">
        <is>
          <t>N</t>
        </is>
      </c>
      <c r="L17" s="98" t="inlineStr">
        <is>
          <t>M</t>
        </is>
      </c>
      <c r="M17" s="97" t="n"/>
      <c r="N17" s="112" t="inlineStr">
        <is>
          <t>E</t>
        </is>
      </c>
      <c r="O17" s="97" t="n"/>
      <c r="P17" s="104" t="inlineStr">
        <is>
          <t>T</t>
        </is>
      </c>
      <c r="Q17" s="103" t="inlineStr">
        <is>
          <t>N</t>
        </is>
      </c>
      <c r="R17" s="111" t="inlineStr">
        <is>
          <t>C</t>
        </is>
      </c>
      <c r="S17" s="103" t="inlineStr">
        <is>
          <t>N</t>
        </is>
      </c>
      <c r="T17" s="98" t="inlineStr">
        <is>
          <t>M</t>
        </is>
      </c>
      <c r="U17" s="104" t="inlineStr">
        <is>
          <t>T</t>
        </is>
      </c>
      <c r="V17" s="104" t="inlineStr">
        <is>
          <t>T</t>
        </is>
      </c>
      <c r="W17" s="97" t="n"/>
      <c r="X17" s="97" t="n"/>
      <c r="Y17" s="111" t="inlineStr">
        <is>
          <t>C</t>
        </is>
      </c>
      <c r="Z17" s="103" t="inlineStr">
        <is>
          <t>N</t>
        </is>
      </c>
      <c r="AA17" s="98" t="inlineStr">
        <is>
          <t>M</t>
        </is>
      </c>
      <c r="AB17" s="98" t="inlineStr">
        <is>
          <t>M</t>
        </is>
      </c>
      <c r="AC17" s="104" t="inlineStr">
        <is>
          <t>T</t>
        </is>
      </c>
      <c r="AD17" s="97" t="n"/>
      <c r="AE17" s="97" t="n"/>
      <c r="AF17" s="103" t="inlineStr">
        <is>
          <t>N</t>
        </is>
      </c>
      <c r="AG17" s="97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102" t="inlineStr">
        <is>
          <t>D</t>
        </is>
      </c>
      <c r="D18" s="102" t="inlineStr">
        <is>
          <t>D</t>
        </is>
      </c>
      <c r="E18" s="104" t="inlineStr">
        <is>
          <t>T</t>
        </is>
      </c>
      <c r="F18" s="102" t="inlineStr">
        <is>
          <t>D</t>
        </is>
      </c>
      <c r="G18" s="97" t="n"/>
      <c r="H18" s="104" t="inlineStr">
        <is>
          <t>T</t>
        </is>
      </c>
      <c r="I18" s="97" t="n"/>
      <c r="J18" s="97" t="n"/>
      <c r="K18" s="97" t="n"/>
      <c r="L18" s="97" t="n"/>
      <c r="M18" s="97" t="n"/>
      <c r="N18" s="97" t="n"/>
      <c r="O18" s="102" t="inlineStr">
        <is>
          <t>D</t>
        </is>
      </c>
      <c r="P18" s="102" t="inlineStr">
        <is>
          <t>D</t>
        </is>
      </c>
      <c r="Q18" s="102" t="inlineStr">
        <is>
          <t>D</t>
        </is>
      </c>
      <c r="R18" s="97" t="n"/>
      <c r="S18" s="97" t="n"/>
      <c r="T18" s="104" t="inlineStr">
        <is>
          <t>T</t>
        </is>
      </c>
      <c r="U18" s="104" t="inlineStr">
        <is>
          <t>T</t>
        </is>
      </c>
      <c r="V18" s="103" t="inlineStr">
        <is>
          <t>N</t>
        </is>
      </c>
      <c r="W18" s="97" t="n"/>
      <c r="X18" s="102" t="inlineStr">
        <is>
          <t>D</t>
        </is>
      </c>
      <c r="Y18" s="102" t="inlineStr">
        <is>
          <t>D</t>
        </is>
      </c>
      <c r="Z18" s="97" t="n"/>
      <c r="AA18" s="102" t="inlineStr">
        <is>
          <t>D</t>
        </is>
      </c>
      <c r="AB18" s="97" t="n"/>
      <c r="AC18" s="102" t="inlineStr">
        <is>
          <t>D</t>
        </is>
      </c>
      <c r="AD18" s="97" t="n"/>
      <c r="AE18" s="97" t="n"/>
      <c r="AF18" s="102" t="inlineStr">
        <is>
          <t>D</t>
        </is>
      </c>
      <c r="AG18" s="104" t="inlineStr">
        <is>
          <t>T</t>
        </is>
      </c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97" t="n"/>
      <c r="E19" s="97" t="n"/>
      <c r="F19" s="103" t="inlineStr">
        <is>
          <t>N</t>
        </is>
      </c>
      <c r="G19" s="97" t="n"/>
      <c r="H19" s="103" t="inlineStr">
        <is>
          <t>N</t>
        </is>
      </c>
      <c r="I19" s="97" t="n"/>
      <c r="J19" s="103" t="inlineStr">
        <is>
          <t>N</t>
        </is>
      </c>
      <c r="K19" s="103" t="inlineStr">
        <is>
          <t>N</t>
        </is>
      </c>
      <c r="L19" s="97" t="n"/>
      <c r="M19" s="103" t="inlineStr">
        <is>
          <t>N</t>
        </is>
      </c>
      <c r="N19" s="97" t="n"/>
      <c r="O19" s="103" t="inlineStr">
        <is>
          <t>N</t>
        </is>
      </c>
      <c r="P19" s="97" t="n"/>
      <c r="Q19" s="97" t="n"/>
      <c r="R19" s="97" t="n"/>
      <c r="S19" s="103" t="inlineStr">
        <is>
          <t>N</t>
        </is>
      </c>
      <c r="T19" s="103" t="inlineStr">
        <is>
          <t>N</t>
        </is>
      </c>
      <c r="U19" s="97" t="n"/>
      <c r="V19" s="97" t="n"/>
      <c r="W19" s="97" t="n"/>
      <c r="X19" s="103" t="inlineStr">
        <is>
          <t>N</t>
        </is>
      </c>
      <c r="Y19" s="103" t="inlineStr">
        <is>
          <t>N</t>
        </is>
      </c>
      <c r="Z19" s="97" t="n"/>
      <c r="AA19" s="103" t="inlineStr">
        <is>
          <t>N</t>
        </is>
      </c>
      <c r="AB19" s="103" t="inlineStr">
        <is>
          <t>N</t>
        </is>
      </c>
      <c r="AC19" s="97" t="n"/>
      <c r="AD19" s="97" t="n"/>
      <c r="AE19" s="97" t="n"/>
      <c r="AF19" s="97" t="n"/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103" t="inlineStr">
        <is>
          <t>N</t>
        </is>
      </c>
      <c r="D20" s="97" t="n"/>
      <c r="E20" s="103" t="inlineStr">
        <is>
          <t>N</t>
        </is>
      </c>
      <c r="F20" s="103" t="inlineStr">
        <is>
          <t>N</t>
        </is>
      </c>
      <c r="G20" s="103" t="inlineStr">
        <is>
          <t>N</t>
        </is>
      </c>
      <c r="H20" s="97" t="n"/>
      <c r="I20" s="97" t="n"/>
      <c r="J20" s="97" t="n"/>
      <c r="K20" s="97" t="n"/>
      <c r="L20" s="97" t="n"/>
      <c r="M20" s="103" t="inlineStr">
        <is>
          <t>N</t>
        </is>
      </c>
      <c r="N20" s="103" t="inlineStr">
        <is>
          <t>N</t>
        </is>
      </c>
      <c r="O20" s="97" t="n"/>
      <c r="P20" s="97" t="n"/>
      <c r="Q20" s="103" t="inlineStr">
        <is>
          <t>N</t>
        </is>
      </c>
      <c r="R20" s="97" t="n"/>
      <c r="S20" s="103" t="inlineStr">
        <is>
          <t>N</t>
        </is>
      </c>
      <c r="T20" s="103" t="inlineStr">
        <is>
          <t>N</t>
        </is>
      </c>
      <c r="U20" s="103" t="inlineStr">
        <is>
          <t>N</t>
        </is>
      </c>
      <c r="V20" s="97" t="n"/>
      <c r="W20" s="97" t="n"/>
      <c r="X20" s="97" t="n"/>
      <c r="Y20" s="97" t="n"/>
      <c r="Z20" s="97" t="n"/>
      <c r="AA20" s="103" t="inlineStr">
        <is>
          <t>N</t>
        </is>
      </c>
      <c r="AB20" s="97" t="n"/>
      <c r="AC20" s="103" t="inlineStr">
        <is>
          <t>N</t>
        </is>
      </c>
      <c r="AD20" s="97" t="n"/>
      <c r="AE20" s="103" t="inlineStr">
        <is>
          <t>N</t>
        </is>
      </c>
      <c r="AF20" s="97" t="n"/>
      <c r="AG20" s="103" t="inlineStr">
        <is>
          <t>N</t>
        </is>
      </c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104" t="inlineStr">
        <is>
          <t>T</t>
        </is>
      </c>
      <c r="E21" s="104" t="inlineStr">
        <is>
          <t>T</t>
        </is>
      </c>
      <c r="F21" s="97" t="n"/>
      <c r="G21" s="102" t="inlineStr">
        <is>
          <t>D</t>
        </is>
      </c>
      <c r="H21" s="103" t="inlineStr">
        <is>
          <t>N</t>
        </is>
      </c>
      <c r="I21" s="97" t="n"/>
      <c r="J21" s="97" t="n"/>
      <c r="K21" s="104" t="inlineStr">
        <is>
          <t>T</t>
        </is>
      </c>
      <c r="L21" s="104" t="inlineStr">
        <is>
          <t>T</t>
        </is>
      </c>
      <c r="M21" s="97" t="n"/>
      <c r="N21" s="104" t="inlineStr">
        <is>
          <t>T</t>
        </is>
      </c>
      <c r="O21" s="104" t="inlineStr">
        <is>
          <t>T</t>
        </is>
      </c>
      <c r="P21" s="103" t="inlineStr">
        <is>
          <t>N</t>
        </is>
      </c>
      <c r="Q21" s="97" t="n"/>
      <c r="R21" s="103" t="inlineStr">
        <is>
          <t>N</t>
        </is>
      </c>
      <c r="S21" s="97" t="n"/>
      <c r="T21" s="97" t="n"/>
      <c r="U21" s="104" t="inlineStr">
        <is>
          <t>T</t>
        </is>
      </c>
      <c r="V21" s="104" t="inlineStr">
        <is>
          <t>T</t>
        </is>
      </c>
      <c r="W21" s="103" t="inlineStr">
        <is>
          <t>N</t>
        </is>
      </c>
      <c r="X21" s="97" t="n"/>
      <c r="Y21" s="97" t="n"/>
      <c r="Z21" s="97" t="n"/>
      <c r="AA21" s="104" t="inlineStr">
        <is>
          <t>T</t>
        </is>
      </c>
      <c r="AB21" s="103" t="inlineStr">
        <is>
          <t>N</t>
        </is>
      </c>
      <c r="AC21" s="97" t="n"/>
      <c r="AD21" s="102" t="inlineStr">
        <is>
          <t>D</t>
        </is>
      </c>
      <c r="AE21" s="98" t="inlineStr">
        <is>
          <t>M</t>
        </is>
      </c>
      <c r="AF21" s="104" t="inlineStr">
        <is>
          <t>T</t>
        </is>
      </c>
      <c r="AG21" s="104" t="inlineStr">
        <is>
          <t>T</t>
        </is>
      </c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102" t="inlineStr">
        <is>
          <t>D</t>
        </is>
      </c>
      <c r="D22" s="103" t="inlineStr">
        <is>
          <t>N</t>
        </is>
      </c>
      <c r="E22" s="104" t="inlineStr">
        <is>
          <t>T</t>
        </is>
      </c>
      <c r="F22" s="98" t="inlineStr">
        <is>
          <t>M</t>
        </is>
      </c>
      <c r="G22" s="97" t="n"/>
      <c r="H22" s="98" t="inlineStr">
        <is>
          <t>M</t>
        </is>
      </c>
      <c r="I22" s="97" t="n"/>
      <c r="J22" s="97" t="n"/>
      <c r="K22" s="97" t="n"/>
      <c r="L22" s="102" t="inlineStr">
        <is>
          <t>D</t>
        </is>
      </c>
      <c r="M22" s="97" t="n"/>
      <c r="N22" s="102" t="inlineStr">
        <is>
          <t>D</t>
        </is>
      </c>
      <c r="O22" s="97" t="n"/>
      <c r="P22" s="102" t="inlineStr">
        <is>
          <t>D</t>
        </is>
      </c>
      <c r="Q22" s="97" t="n"/>
      <c r="R22" s="97" t="n"/>
      <c r="S22" s="102" t="inlineStr">
        <is>
          <t>D</t>
        </is>
      </c>
      <c r="T22" s="97" t="n"/>
      <c r="U22" s="97" t="n"/>
      <c r="V22" s="103" t="inlineStr">
        <is>
          <t>N</t>
        </is>
      </c>
      <c r="W22" s="97" t="n"/>
      <c r="X22" s="102" t="inlineStr">
        <is>
          <t>D</t>
        </is>
      </c>
      <c r="Y22" s="97" t="n"/>
      <c r="Z22" s="102" t="inlineStr">
        <is>
          <t>D</t>
        </is>
      </c>
      <c r="AA22" s="102" t="inlineStr">
        <is>
          <t>D</t>
        </is>
      </c>
      <c r="AB22" s="97" t="n"/>
      <c r="AC22" s="97" t="n"/>
      <c r="AD22" s="102" t="inlineStr">
        <is>
          <t>D</t>
        </is>
      </c>
      <c r="AE22" s="97" t="n"/>
      <c r="AF22" s="97" t="n"/>
      <c r="AG22" s="102" t="inlineStr">
        <is>
          <t>D</t>
        </is>
      </c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97" t="n"/>
      <c r="F23" s="97" t="n"/>
      <c r="G23" s="97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102" t="inlineStr">
        <is>
          <t>D</t>
        </is>
      </c>
      <c r="T23" s="97" t="n"/>
      <c r="U23" s="97" t="n"/>
      <c r="V23" s="97" t="n"/>
      <c r="W23" s="102" t="inlineStr">
        <is>
          <t>D</t>
        </is>
      </c>
      <c r="X23" s="98" t="inlineStr">
        <is>
          <t>M</t>
        </is>
      </c>
      <c r="Y23" s="102" t="inlineStr">
        <is>
          <t>D</t>
        </is>
      </c>
      <c r="Z23" s="102" t="inlineStr">
        <is>
          <t>D</t>
        </is>
      </c>
      <c r="AA23" s="97" t="n"/>
      <c r="AB23" s="102" t="inlineStr">
        <is>
          <t>D</t>
        </is>
      </c>
      <c r="AC23" s="97" t="n"/>
      <c r="AD23" s="97" t="n"/>
      <c r="AE23" s="97" t="n"/>
      <c r="AF23" s="102" t="inlineStr">
        <is>
          <t>D</t>
        </is>
      </c>
      <c r="AG23" s="102" t="inlineStr">
        <is>
          <t>D</t>
        </is>
      </c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102" t="inlineStr">
        <is>
          <t>D</t>
        </is>
      </c>
      <c r="E24" s="98" t="inlineStr">
        <is>
          <t>M</t>
        </is>
      </c>
      <c r="F24" s="98" t="inlineStr">
        <is>
          <t>M</t>
        </is>
      </c>
      <c r="G24" s="97" t="n"/>
      <c r="H24" s="97" t="n"/>
      <c r="I24" s="103" t="inlineStr">
        <is>
          <t>N</t>
        </is>
      </c>
      <c r="J24" s="97" t="n"/>
      <c r="K24" s="102" t="inlineStr">
        <is>
          <t>D</t>
        </is>
      </c>
      <c r="L24" s="98" t="inlineStr">
        <is>
          <t>M</t>
        </is>
      </c>
      <c r="M24" s="98" t="inlineStr">
        <is>
          <t>M</t>
        </is>
      </c>
      <c r="N24" s="104" t="inlineStr">
        <is>
          <t>T</t>
        </is>
      </c>
      <c r="O24" s="104" t="inlineStr">
        <is>
          <t>T</t>
        </is>
      </c>
      <c r="P24" s="97" t="n"/>
      <c r="Q24" s="97" t="n"/>
      <c r="R24" s="102" t="inlineStr">
        <is>
          <t>D</t>
        </is>
      </c>
      <c r="S24" s="104" t="inlineStr">
        <is>
          <t>T</t>
        </is>
      </c>
      <c r="T24" s="98" t="inlineStr">
        <is>
          <t>M</t>
        </is>
      </c>
      <c r="U24" s="97" t="n"/>
      <c r="V24" s="97" t="n"/>
      <c r="W24" s="98" t="inlineStr">
        <is>
          <t>M</t>
        </is>
      </c>
      <c r="X24" s="97" t="n"/>
      <c r="Y24" s="102" t="inlineStr">
        <is>
          <t>D</t>
        </is>
      </c>
      <c r="Z24" s="98" t="inlineStr">
        <is>
          <t>M</t>
        </is>
      </c>
      <c r="AA24" s="97" t="n"/>
      <c r="AB24" s="98" t="inlineStr">
        <is>
          <t>M</t>
        </is>
      </c>
      <c r="AC24" s="97" t="n"/>
      <c r="AD24" s="103" t="inlineStr">
        <is>
          <t>N</t>
        </is>
      </c>
      <c r="AE24" s="97" t="n"/>
      <c r="AF24" s="102" t="inlineStr">
        <is>
          <t>D</t>
        </is>
      </c>
      <c r="AG24" s="97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103" t="inlineStr">
        <is>
          <t>N</t>
        </is>
      </c>
      <c r="D25" s="97" t="n"/>
      <c r="E25" s="103" t="inlineStr">
        <is>
          <t>N</t>
        </is>
      </c>
      <c r="F25" s="103" t="inlineStr">
        <is>
          <t>N</t>
        </is>
      </c>
      <c r="G25" s="97" t="n"/>
      <c r="H25" s="97" t="n"/>
      <c r="I25" s="97" t="n"/>
      <c r="J25" s="103" t="inlineStr">
        <is>
          <t>N</t>
        </is>
      </c>
      <c r="K25" s="97" t="n"/>
      <c r="L25" s="103" t="inlineStr">
        <is>
          <t>N</t>
        </is>
      </c>
      <c r="M25" s="103" t="inlineStr">
        <is>
          <t>N</t>
        </is>
      </c>
      <c r="N25" s="97" t="n"/>
      <c r="O25" s="97" t="n"/>
      <c r="P25" s="97" t="n"/>
      <c r="Q25" s="103" t="inlineStr">
        <is>
          <t>N</t>
        </is>
      </c>
      <c r="R25" s="103" t="inlineStr">
        <is>
          <t>N</t>
        </is>
      </c>
      <c r="S25" s="103" t="inlineStr">
        <is>
          <t>N</t>
        </is>
      </c>
      <c r="T25" s="103" t="inlineStr">
        <is>
          <t>N</t>
        </is>
      </c>
      <c r="U25" s="97" t="n"/>
      <c r="V25" s="97" t="n"/>
      <c r="W25" s="97" t="n"/>
      <c r="X25" s="97" t="n"/>
      <c r="Y25" s="103" t="inlineStr">
        <is>
          <t>N</t>
        </is>
      </c>
      <c r="Z25" s="103" t="inlineStr">
        <is>
          <t>N</t>
        </is>
      </c>
      <c r="AA25" s="103" t="inlineStr">
        <is>
          <t>N</t>
        </is>
      </c>
      <c r="AB25" s="97" t="n"/>
      <c r="AC25" s="97" t="n"/>
      <c r="AD25" s="97" t="n"/>
      <c r="AE25" s="97" t="n"/>
      <c r="AF25" s="103" t="inlineStr">
        <is>
          <t>N</t>
        </is>
      </c>
      <c r="AG25" s="103" t="inlineStr">
        <is>
          <t>N</t>
        </is>
      </c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103" t="inlineStr">
        <is>
          <t>N</t>
        </is>
      </c>
      <c r="D26" s="104" t="inlineStr">
        <is>
          <t>T</t>
        </is>
      </c>
      <c r="E26" s="103" t="inlineStr">
        <is>
          <t>N</t>
        </is>
      </c>
      <c r="F26" s="97" t="n"/>
      <c r="G26" s="97" t="n"/>
      <c r="H26" s="104" t="inlineStr">
        <is>
          <t>T</t>
        </is>
      </c>
      <c r="I26" s="97" t="n"/>
      <c r="J26" s="103" t="inlineStr">
        <is>
          <t>N</t>
        </is>
      </c>
      <c r="K26" s="97" t="n"/>
      <c r="L26" s="103" t="inlineStr">
        <is>
          <t>N</t>
        </is>
      </c>
      <c r="M26" s="97" t="n"/>
      <c r="N26" s="104" t="inlineStr">
        <is>
          <t>T</t>
        </is>
      </c>
      <c r="O26" s="104" t="inlineStr">
        <is>
          <t>T</t>
        </is>
      </c>
      <c r="P26" s="97" t="n"/>
      <c r="Q26" s="103" t="inlineStr">
        <is>
          <t>N</t>
        </is>
      </c>
      <c r="R26" s="98" t="inlineStr">
        <is>
          <t>M</t>
        </is>
      </c>
      <c r="S26" s="97" t="n"/>
      <c r="T26" s="97" t="n"/>
      <c r="U26" s="102" t="inlineStr">
        <is>
          <t>D</t>
        </is>
      </c>
      <c r="V26" s="104" t="inlineStr">
        <is>
          <t>T</t>
        </is>
      </c>
      <c r="W26" s="97" t="n"/>
      <c r="X26" s="103" t="inlineStr">
        <is>
          <t>N</t>
        </is>
      </c>
      <c r="Y26" s="97" t="n"/>
      <c r="Z26" s="103" t="inlineStr">
        <is>
          <t>N</t>
        </is>
      </c>
      <c r="AA26" s="97" t="n"/>
      <c r="AB26" s="97" t="n"/>
      <c r="AC26" s="102" t="inlineStr">
        <is>
          <t>D</t>
        </is>
      </c>
      <c r="AD26" s="98" t="inlineStr">
        <is>
          <t>M</t>
        </is>
      </c>
      <c r="AE26" s="97" t="n"/>
      <c r="AF26" s="102" t="inlineStr">
        <is>
          <t>D</t>
        </is>
      </c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103" t="inlineStr">
        <is>
          <t>N</t>
        </is>
      </c>
      <c r="F27" s="97" t="n"/>
      <c r="G27" s="97" t="n"/>
      <c r="H27" s="103" t="inlineStr">
        <is>
          <t>N</t>
        </is>
      </c>
      <c r="I27" s="97" t="n"/>
      <c r="J27" s="97" t="n"/>
      <c r="K27" s="98" t="inlineStr">
        <is>
          <t>M</t>
        </is>
      </c>
      <c r="L27" s="103" t="inlineStr">
        <is>
          <t>N</t>
        </is>
      </c>
      <c r="M27" s="97" t="n"/>
      <c r="N27" s="97" t="n"/>
      <c r="O27" s="97" t="n"/>
      <c r="P27" s="103" t="inlineStr">
        <is>
          <t>N</t>
        </is>
      </c>
      <c r="Q27" s="97" t="n"/>
      <c r="R27" s="97" t="n"/>
      <c r="S27" s="103" t="inlineStr">
        <is>
          <t>N</t>
        </is>
      </c>
      <c r="T27" s="97" t="n"/>
      <c r="U27" s="98" t="inlineStr">
        <is>
          <t>M</t>
        </is>
      </c>
      <c r="V27" s="97" t="n"/>
      <c r="W27" s="103" t="inlineStr">
        <is>
          <t>N</t>
        </is>
      </c>
      <c r="X27" s="97" t="n"/>
      <c r="Y27" s="97" t="n"/>
      <c r="Z27" s="103" t="inlineStr">
        <is>
          <t>N</t>
        </is>
      </c>
      <c r="AA27" s="97" t="n"/>
      <c r="AB27" s="97" t="n"/>
      <c r="AC27" s="97" t="n"/>
      <c r="AD27" s="103" t="inlineStr">
        <is>
          <t>N</t>
        </is>
      </c>
      <c r="AE27" s="97" t="n"/>
      <c r="AF27" s="97" t="n"/>
      <c r="AG27" s="97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97" t="n"/>
      <c r="E28" s="103" t="inlineStr">
        <is>
          <t>N</t>
        </is>
      </c>
      <c r="F28" s="97" t="n"/>
      <c r="G28" s="103" t="inlineStr">
        <is>
          <t>N</t>
        </is>
      </c>
      <c r="H28" s="97" t="n"/>
      <c r="I28" s="97" t="n"/>
      <c r="J28" s="97" t="n"/>
      <c r="K28" s="97" t="n"/>
      <c r="L28" s="97" t="n"/>
      <c r="M28" s="102" t="inlineStr">
        <is>
          <t>D</t>
        </is>
      </c>
      <c r="N28" s="103" t="inlineStr">
        <is>
          <t>N</t>
        </is>
      </c>
      <c r="O28" s="97" t="n"/>
      <c r="P28" s="97" t="n"/>
      <c r="Q28" s="103" t="inlineStr">
        <is>
          <t>N</t>
        </is>
      </c>
      <c r="R28" s="97" t="n"/>
      <c r="S28" s="97" t="n"/>
      <c r="T28" s="97" t="n"/>
      <c r="U28" s="97" t="n"/>
      <c r="V28" s="104" t="inlineStr">
        <is>
          <t>T</t>
        </is>
      </c>
      <c r="W28" s="102" t="inlineStr">
        <is>
          <t>D</t>
        </is>
      </c>
      <c r="X28" s="103" t="inlineStr">
        <is>
          <t>N</t>
        </is>
      </c>
      <c r="Y28" s="103" t="inlineStr">
        <is>
          <t>N</t>
        </is>
      </c>
      <c r="Z28" s="97" t="n"/>
      <c r="AA28" s="102" t="inlineStr">
        <is>
          <t>D</t>
        </is>
      </c>
      <c r="AB28" s="104" t="inlineStr">
        <is>
          <t>T</t>
        </is>
      </c>
      <c r="AC28" s="97" t="n"/>
      <c r="AD28" s="97" t="n"/>
      <c r="AE28" s="97" t="n"/>
      <c r="AF28" s="97" t="n"/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103" t="inlineStr">
        <is>
          <t>N</t>
        </is>
      </c>
      <c r="E29" s="97" t="n"/>
      <c r="F29" s="98" t="inlineStr">
        <is>
          <t>M</t>
        </is>
      </c>
      <c r="G29" s="98" t="inlineStr">
        <is>
          <t>M</t>
        </is>
      </c>
      <c r="H29" s="97" t="n"/>
      <c r="I29" s="98" t="inlineStr">
        <is>
          <t>M</t>
        </is>
      </c>
      <c r="J29" s="97" t="n"/>
      <c r="K29" s="103" t="inlineStr">
        <is>
          <t>N</t>
        </is>
      </c>
      <c r="L29" s="97" t="n"/>
      <c r="M29" s="97" t="n"/>
      <c r="N29" s="98" t="inlineStr">
        <is>
          <t>M</t>
        </is>
      </c>
      <c r="O29" s="97" t="n"/>
      <c r="P29" s="98" t="inlineStr">
        <is>
          <t>M</t>
        </is>
      </c>
      <c r="Q29" s="98" t="inlineStr">
        <is>
          <t>M</t>
        </is>
      </c>
      <c r="R29" s="97" t="n"/>
      <c r="S29" s="97" t="n"/>
      <c r="T29" s="98" t="inlineStr">
        <is>
          <t>M</t>
        </is>
      </c>
      <c r="U29" s="98" t="inlineStr">
        <is>
          <t>M</t>
        </is>
      </c>
      <c r="V29" s="103" t="inlineStr">
        <is>
          <t>N</t>
        </is>
      </c>
      <c r="W29" s="97" t="n"/>
      <c r="X29" s="98" t="inlineStr">
        <is>
          <t>M</t>
        </is>
      </c>
      <c r="Y29" s="103" t="inlineStr">
        <is>
          <t>N</t>
        </is>
      </c>
      <c r="Z29" s="97" t="n"/>
      <c r="AA29" s="98" t="inlineStr">
        <is>
          <t>M</t>
        </is>
      </c>
      <c r="AB29" s="97" t="n"/>
      <c r="AC29" s="97" t="n"/>
      <c r="AD29" s="98" t="inlineStr">
        <is>
          <t>M</t>
        </is>
      </c>
      <c r="AE29" s="97" t="n"/>
      <c r="AF29" s="103" t="inlineStr">
        <is>
          <t>N</t>
        </is>
      </c>
      <c r="AG29" s="104" t="inlineStr">
        <is>
          <t>T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103" t="inlineStr">
        <is>
          <t>N</t>
        </is>
      </c>
      <c r="D30" s="104" t="inlineStr">
        <is>
          <t>T</t>
        </is>
      </c>
      <c r="E30" s="103" t="inlineStr">
        <is>
          <t>N</t>
        </is>
      </c>
      <c r="F30" s="104" t="inlineStr">
        <is>
          <t>T</t>
        </is>
      </c>
      <c r="G30" s="104" t="inlineStr">
        <is>
          <t>T</t>
        </is>
      </c>
      <c r="H30" s="97" t="n"/>
      <c r="I30" s="97" t="n"/>
      <c r="J30" s="97" t="n"/>
      <c r="K30" s="97" t="n"/>
      <c r="L30" s="103" t="inlineStr">
        <is>
          <t>N</t>
        </is>
      </c>
      <c r="M30" s="104" t="inlineStr">
        <is>
          <t>T</t>
        </is>
      </c>
      <c r="N30" s="97" t="n"/>
      <c r="O30" s="97" t="n"/>
      <c r="P30" s="97" t="n"/>
      <c r="Q30" s="103" t="inlineStr">
        <is>
          <t>N</t>
        </is>
      </c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103" t="inlineStr">
        <is>
          <t>N</t>
        </is>
      </c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7" t="n"/>
      <c r="E31" s="103" t="inlineStr">
        <is>
          <t>N</t>
        </is>
      </c>
      <c r="F31" s="104" t="inlineStr">
        <is>
          <t>T</t>
        </is>
      </c>
      <c r="G31" s="97" t="n"/>
      <c r="H31" s="98" t="inlineStr">
        <is>
          <t>M</t>
        </is>
      </c>
      <c r="I31" s="98" t="inlineStr">
        <is>
          <t>M</t>
        </is>
      </c>
      <c r="J31" s="97" t="n"/>
      <c r="K31" s="102" t="inlineStr">
        <is>
          <t>D</t>
        </is>
      </c>
      <c r="L31" s="97" t="n"/>
      <c r="M31" s="104" t="inlineStr">
        <is>
          <t>T</t>
        </is>
      </c>
      <c r="N31" s="97" t="n"/>
      <c r="O31" s="98" t="inlineStr">
        <is>
          <t>M</t>
        </is>
      </c>
      <c r="P31" s="103" t="inlineStr">
        <is>
          <t>N</t>
        </is>
      </c>
      <c r="Q31" s="97" t="n"/>
      <c r="R31" s="102" t="inlineStr">
        <is>
          <t>D</t>
        </is>
      </c>
      <c r="S31" s="103" t="inlineStr">
        <is>
          <t>N</t>
        </is>
      </c>
      <c r="T31" s="104" t="inlineStr">
        <is>
          <t>T</t>
        </is>
      </c>
      <c r="U31" s="97" t="n"/>
      <c r="V31" s="98" t="inlineStr">
        <is>
          <t>M</t>
        </is>
      </c>
      <c r="W31" s="97" t="n"/>
      <c r="X31" s="97" t="n"/>
      <c r="Y31" s="97" t="n"/>
      <c r="Z31" s="103" t="inlineStr">
        <is>
          <t>N</t>
        </is>
      </c>
      <c r="AA31" s="97" t="n"/>
      <c r="AB31" s="97" t="n"/>
      <c r="AC31" s="98" t="inlineStr">
        <is>
          <t>M</t>
        </is>
      </c>
      <c r="AD31" s="103" t="inlineStr">
        <is>
          <t>N</t>
        </is>
      </c>
      <c r="AE31" s="98" t="inlineStr">
        <is>
          <t>M</t>
        </is>
      </c>
      <c r="AF31" s="97" t="n"/>
      <c r="AG31" s="103" t="inlineStr">
        <is>
          <t>N</t>
        </is>
      </c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102" t="inlineStr">
        <is>
          <t>D</t>
        </is>
      </c>
      <c r="D32" s="102" t="inlineStr">
        <is>
          <t>D</t>
        </is>
      </c>
      <c r="E32" s="97" t="n"/>
      <c r="F32" s="98" t="inlineStr">
        <is>
          <t>M</t>
        </is>
      </c>
      <c r="G32" s="104" t="inlineStr">
        <is>
          <t>T</t>
        </is>
      </c>
      <c r="H32" s="104" t="inlineStr">
        <is>
          <t>T</t>
        </is>
      </c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8" t="inlineStr">
        <is>
          <t>M</t>
        </is>
      </c>
      <c r="AC32" s="102" t="inlineStr">
        <is>
          <t>D</t>
        </is>
      </c>
      <c r="AD32" s="98" t="inlineStr">
        <is>
          <t>M</t>
        </is>
      </c>
      <c r="AE32" s="97" t="n"/>
      <c r="AF32" s="103" t="inlineStr">
        <is>
          <t>N</t>
        </is>
      </c>
      <c r="AG32" s="97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97" t="n"/>
      <c r="F34" s="102" t="inlineStr">
        <is>
          <t>D</t>
        </is>
      </c>
      <c r="G34" s="97" t="n"/>
      <c r="H34" s="97" t="n"/>
      <c r="I34" s="102" t="inlineStr">
        <is>
          <t>D</t>
        </is>
      </c>
      <c r="J34" s="98" t="inlineStr">
        <is>
          <t>M</t>
        </is>
      </c>
      <c r="K34" s="97" t="n"/>
      <c r="L34" s="102" t="inlineStr">
        <is>
          <t>D</t>
        </is>
      </c>
      <c r="M34" s="98" t="inlineStr">
        <is>
          <t>M</t>
        </is>
      </c>
      <c r="N34" s="97" t="n"/>
      <c r="O34" s="103" t="inlineStr">
        <is>
          <t>N</t>
        </is>
      </c>
      <c r="P34" s="97" t="n"/>
      <c r="Q34" s="97" t="n"/>
      <c r="R34" s="97" t="n"/>
      <c r="S34" s="98" t="inlineStr">
        <is>
          <t>M</t>
        </is>
      </c>
      <c r="T34" s="102" t="inlineStr">
        <is>
          <t>D</t>
        </is>
      </c>
      <c r="U34" s="97" t="n"/>
      <c r="V34" s="97" t="n"/>
      <c r="W34" s="97" t="n"/>
      <c r="X34" s="102" t="inlineStr">
        <is>
          <t>D</t>
        </is>
      </c>
      <c r="Y34" s="97" t="n"/>
      <c r="Z34" s="102" t="inlineStr">
        <is>
          <t>D</t>
        </is>
      </c>
      <c r="AA34" s="97" t="n"/>
      <c r="AB34" s="102" t="inlineStr">
        <is>
          <t>D</t>
        </is>
      </c>
      <c r="AC34" s="97" t="n"/>
      <c r="AD34" s="97" t="n"/>
      <c r="AE34" s="104" t="inlineStr">
        <is>
          <t>T</t>
        </is>
      </c>
      <c r="AF34" s="97" t="n"/>
      <c r="AG34" s="102" t="inlineStr">
        <is>
          <t>D</t>
        </is>
      </c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104" t="inlineStr">
        <is>
          <t>T</t>
        </is>
      </c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103" t="inlineStr">
        <is>
          <t>N</t>
        </is>
      </c>
      <c r="X35" s="103" t="inlineStr">
        <is>
          <t>N</t>
        </is>
      </c>
      <c r="Y35" s="103" t="inlineStr">
        <is>
          <t>N</t>
        </is>
      </c>
      <c r="Z35" s="97" t="n"/>
      <c r="AA35" s="97" t="n"/>
      <c r="AB35" s="104" t="inlineStr">
        <is>
          <t>T</t>
        </is>
      </c>
      <c r="AC35" s="103" t="inlineStr">
        <is>
          <t>N</t>
        </is>
      </c>
      <c r="AD35" s="97" t="n"/>
      <c r="AE35" s="97" t="n"/>
      <c r="AF35" s="97" t="n"/>
      <c r="AG35" s="98" t="inlineStr">
        <is>
          <t>M</t>
        </is>
      </c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97" t="n"/>
      <c r="F36" s="97" t="n"/>
      <c r="G36" s="97" t="n"/>
      <c r="H36" s="98" t="inlineStr">
        <is>
          <t>M</t>
        </is>
      </c>
      <c r="I36" s="102" t="inlineStr">
        <is>
          <t>D</t>
        </is>
      </c>
      <c r="J36" s="102" t="inlineStr">
        <is>
          <t>D</t>
        </is>
      </c>
      <c r="K36" s="97" t="n"/>
      <c r="L36" s="103" t="inlineStr">
        <is>
          <t>N</t>
        </is>
      </c>
      <c r="M36" s="97" t="n"/>
      <c r="N36" s="97" t="n"/>
      <c r="O36" s="102" t="inlineStr">
        <is>
          <t>D</t>
        </is>
      </c>
      <c r="P36" s="98" t="inlineStr">
        <is>
          <t>M</t>
        </is>
      </c>
      <c r="Q36" s="97" t="n"/>
      <c r="R36" s="97" t="n"/>
      <c r="S36" s="97" t="n"/>
      <c r="T36" s="98" t="inlineStr">
        <is>
          <t>M</t>
        </is>
      </c>
      <c r="U36" s="102" t="inlineStr">
        <is>
          <t>D</t>
        </is>
      </c>
      <c r="V36" s="103" t="inlineStr">
        <is>
          <t>N</t>
        </is>
      </c>
      <c r="W36" s="97" t="n"/>
      <c r="X36" s="97" t="n"/>
      <c r="Y36" s="102" t="inlineStr">
        <is>
          <t>D</t>
        </is>
      </c>
      <c r="Z36" s="102" t="inlineStr">
        <is>
          <t>D</t>
        </is>
      </c>
      <c r="AA36" s="98" t="inlineStr">
        <is>
          <t>M</t>
        </is>
      </c>
      <c r="AB36" s="97" t="n"/>
      <c r="AC36" s="97" t="n"/>
      <c r="AD36" s="97" t="n"/>
      <c r="AE36" s="97" t="n"/>
      <c r="AF36" s="97" t="n"/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104" t="inlineStr">
        <is>
          <t>T</t>
        </is>
      </c>
      <c r="E37" s="104" t="inlineStr">
        <is>
          <t>T</t>
        </is>
      </c>
      <c r="F37" s="104" t="inlineStr">
        <is>
          <t>T</t>
        </is>
      </c>
      <c r="G37" s="102" t="inlineStr">
        <is>
          <t>D</t>
        </is>
      </c>
      <c r="H37" s="97" t="n"/>
      <c r="I37" s="97" t="n"/>
      <c r="J37" s="97" t="n"/>
      <c r="K37" s="104" t="inlineStr">
        <is>
          <t>T</t>
        </is>
      </c>
      <c r="L37" s="97" t="n"/>
      <c r="M37" s="104" t="inlineStr">
        <is>
          <t>T</t>
        </is>
      </c>
      <c r="N37" s="97" t="n"/>
      <c r="O37" s="97" t="n"/>
      <c r="P37" s="98" t="inlineStr">
        <is>
          <t>M</t>
        </is>
      </c>
      <c r="Q37" s="102" t="inlineStr">
        <is>
          <t>D</t>
        </is>
      </c>
      <c r="R37" s="104" t="inlineStr">
        <is>
          <t>T</t>
        </is>
      </c>
      <c r="S37" s="97" t="n"/>
      <c r="T37" s="97" t="n"/>
      <c r="U37" s="97" t="n"/>
      <c r="V37" s="103" t="inlineStr">
        <is>
          <t>N</t>
        </is>
      </c>
      <c r="W37" s="97" t="n"/>
      <c r="X37" s="103" t="inlineStr">
        <is>
          <t>N</t>
        </is>
      </c>
      <c r="Y37" s="104" t="inlineStr">
        <is>
          <t>T</t>
        </is>
      </c>
      <c r="Z37" s="102" t="inlineStr">
        <is>
          <t>D</t>
        </is>
      </c>
      <c r="AA37" s="98" t="inlineStr">
        <is>
          <t>M</t>
        </is>
      </c>
      <c r="AB37" s="104" t="inlineStr">
        <is>
          <t>T</t>
        </is>
      </c>
      <c r="AC37" s="97" t="n"/>
      <c r="AD37" s="97" t="n"/>
      <c r="AE37" s="97" t="n"/>
      <c r="AF37" s="97" t="n"/>
      <c r="AG37" s="97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104" t="inlineStr">
        <is>
          <t>T</t>
        </is>
      </c>
      <c r="D39" s="97" t="n"/>
      <c r="E39" s="98" t="inlineStr">
        <is>
          <t>M</t>
        </is>
      </c>
      <c r="F39" s="97" t="n"/>
      <c r="G39" s="97" t="n"/>
      <c r="H39" s="98" t="inlineStr">
        <is>
          <t>M</t>
        </is>
      </c>
      <c r="I39" s="103" t="inlineStr">
        <is>
          <t>N</t>
        </is>
      </c>
      <c r="J39" s="97" t="n"/>
      <c r="K39" s="104" t="inlineStr">
        <is>
          <t>T</t>
        </is>
      </c>
      <c r="L39" s="98" t="inlineStr">
        <is>
          <t>M</t>
        </is>
      </c>
      <c r="M39" s="104" t="inlineStr">
        <is>
          <t>T</t>
        </is>
      </c>
      <c r="N39" s="97" t="n"/>
      <c r="O39" s="98" t="inlineStr">
        <is>
          <t>M</t>
        </is>
      </c>
      <c r="P39" s="97" t="n"/>
      <c r="Q39" s="97" t="n"/>
      <c r="R39" s="104" t="inlineStr">
        <is>
          <t>T</t>
        </is>
      </c>
      <c r="S39" s="98" t="inlineStr">
        <is>
          <t>M</t>
        </is>
      </c>
      <c r="T39" s="98" t="inlineStr">
        <is>
          <t>M</t>
        </is>
      </c>
      <c r="U39" s="97" t="n"/>
      <c r="V39" s="98" t="inlineStr">
        <is>
          <t>M</t>
        </is>
      </c>
      <c r="W39" s="97" t="n"/>
      <c r="X39" s="97" t="n"/>
      <c r="Y39" s="97" t="n"/>
      <c r="Z39" s="97" t="n"/>
      <c r="AA39" s="104" t="inlineStr">
        <is>
          <t>T</t>
        </is>
      </c>
      <c r="AB39" s="97" t="n"/>
      <c r="AC39" s="98" t="inlineStr">
        <is>
          <t>M</t>
        </is>
      </c>
      <c r="AD39" s="103" t="inlineStr">
        <is>
          <t>N</t>
        </is>
      </c>
      <c r="AE39" s="97" t="n"/>
      <c r="AF39" s="104" t="inlineStr">
        <is>
          <t>T</t>
        </is>
      </c>
      <c r="AG39" s="98" t="inlineStr">
        <is>
          <t>M</t>
        </is>
      </c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8" t="inlineStr">
        <is>
          <t>M</t>
        </is>
      </c>
      <c r="T40" s="98" t="inlineStr">
        <is>
          <t>M</t>
        </is>
      </c>
      <c r="U40" s="104" t="inlineStr">
        <is>
          <t>T</t>
        </is>
      </c>
      <c r="V40" s="98" t="inlineStr">
        <is>
          <t>M</t>
        </is>
      </c>
      <c r="W40" s="98" t="inlineStr">
        <is>
          <t>M</t>
        </is>
      </c>
      <c r="X40" s="97" t="n"/>
      <c r="Y40" s="98" t="inlineStr">
        <is>
          <t>M</t>
        </is>
      </c>
      <c r="Z40" s="98" t="inlineStr">
        <is>
          <t>M</t>
        </is>
      </c>
      <c r="AA40" s="98" t="inlineStr">
        <is>
          <t>M</t>
        </is>
      </c>
      <c r="AB40" s="104" t="inlineStr">
        <is>
          <t>T</t>
        </is>
      </c>
      <c r="AC40" s="98" t="inlineStr">
        <is>
          <t>M</t>
        </is>
      </c>
      <c r="AD40" s="98" t="inlineStr">
        <is>
          <t>M</t>
        </is>
      </c>
      <c r="AE40" s="98" t="inlineStr">
        <is>
          <t>M</t>
        </is>
      </c>
      <c r="AF40" s="98" t="inlineStr">
        <is>
          <t>M</t>
        </is>
      </c>
      <c r="AG40" s="98" t="inlineStr">
        <is>
          <t>M</t>
        </is>
      </c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102" t="inlineStr">
        <is>
          <t>D</t>
        </is>
      </c>
      <c r="D41" s="102" t="inlineStr">
        <is>
          <t>D</t>
        </is>
      </c>
      <c r="E41" s="102" t="inlineStr">
        <is>
          <t>D</t>
        </is>
      </c>
      <c r="F41" s="97" t="n"/>
      <c r="G41" s="97" t="n"/>
      <c r="H41" s="97" t="n"/>
      <c r="I41" s="97" t="n"/>
      <c r="J41" s="97" t="n"/>
      <c r="K41" s="104" t="inlineStr">
        <is>
          <t>T</t>
        </is>
      </c>
      <c r="L41" s="104" t="inlineStr">
        <is>
          <t>T</t>
        </is>
      </c>
      <c r="M41" s="97" t="n"/>
      <c r="N41" s="102" t="inlineStr">
        <is>
          <t>D</t>
        </is>
      </c>
      <c r="O41" s="97" t="n"/>
      <c r="P41" s="97" t="n"/>
      <c r="Q41" s="97" t="n"/>
      <c r="R41" s="97" t="n"/>
      <c r="S41" s="97" t="n"/>
      <c r="T41" s="97" t="n"/>
      <c r="U41" s="97" t="n"/>
      <c r="V41" s="102" t="inlineStr">
        <is>
          <t>D</t>
        </is>
      </c>
      <c r="W41" s="98" t="inlineStr">
        <is>
          <t>M</t>
        </is>
      </c>
      <c r="X41" s="104" t="inlineStr">
        <is>
          <t>T</t>
        </is>
      </c>
      <c r="Y41" s="103" t="inlineStr">
        <is>
          <t>N</t>
        </is>
      </c>
      <c r="Z41" s="97" t="n"/>
      <c r="AA41" s="104" t="inlineStr">
        <is>
          <t>T</t>
        </is>
      </c>
      <c r="AB41" s="97" t="n"/>
      <c r="AC41" s="97" t="n"/>
      <c r="AD41" s="97" t="n"/>
      <c r="AE41" s="104" t="inlineStr">
        <is>
          <t>T</t>
        </is>
      </c>
      <c r="AF41" s="102" t="inlineStr">
        <is>
          <t>D</t>
        </is>
      </c>
      <c r="AG41" s="103" t="inlineStr">
        <is>
          <t>N</t>
        </is>
      </c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97" t="n"/>
      <c r="G42" s="104" t="inlineStr">
        <is>
          <t>T</t>
        </is>
      </c>
      <c r="H42" s="104" t="inlineStr">
        <is>
          <t>T</t>
        </is>
      </c>
      <c r="I42" s="103" t="inlineStr">
        <is>
          <t>N</t>
        </is>
      </c>
      <c r="J42" s="97" t="n"/>
      <c r="K42" s="104" t="inlineStr">
        <is>
          <t>T</t>
        </is>
      </c>
      <c r="L42" s="103" t="inlineStr">
        <is>
          <t>N</t>
        </is>
      </c>
      <c r="M42" s="97" t="n"/>
      <c r="N42" s="97" t="n"/>
      <c r="O42" s="104" t="inlineStr">
        <is>
          <t>T</t>
        </is>
      </c>
      <c r="P42" s="97" t="n"/>
      <c r="Q42" s="97" t="n"/>
      <c r="R42" s="104" t="inlineStr">
        <is>
          <t>T</t>
        </is>
      </c>
      <c r="S42" s="103" t="inlineStr">
        <is>
          <t>N</t>
        </is>
      </c>
      <c r="T42" s="97" t="n"/>
      <c r="U42" s="97" t="n"/>
      <c r="V42" s="104" t="inlineStr">
        <is>
          <t>T</t>
        </is>
      </c>
      <c r="W42" s="97" t="n"/>
      <c r="X42" s="97" t="n"/>
      <c r="Y42" s="97" t="n"/>
      <c r="Z42" s="102" t="inlineStr">
        <is>
          <t>D</t>
        </is>
      </c>
      <c r="AA42" s="97" t="n"/>
      <c r="AB42" s="97" t="n"/>
      <c r="AC42" s="97" t="n"/>
      <c r="AD42" s="97" t="n"/>
      <c r="AE42" s="103" t="inlineStr">
        <is>
          <t>N</t>
        </is>
      </c>
      <c r="AF42" s="97" t="n"/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97" t="n"/>
      <c r="G43" s="103" t="inlineStr">
        <is>
          <t>N</t>
        </is>
      </c>
      <c r="H43" s="97" t="n"/>
      <c r="I43" s="103" t="inlineStr">
        <is>
          <t>N</t>
        </is>
      </c>
      <c r="J43" s="97" t="n"/>
      <c r="K43" s="103" t="inlineStr">
        <is>
          <t>N</t>
        </is>
      </c>
      <c r="L43" s="97" t="n"/>
      <c r="M43" s="97" t="n"/>
      <c r="N43" s="103" t="inlineStr">
        <is>
          <t>N</t>
        </is>
      </c>
      <c r="O43" s="97" t="n"/>
      <c r="P43" s="97" t="n"/>
      <c r="Q43" s="97" t="n"/>
      <c r="R43" s="103" t="inlineStr">
        <is>
          <t>N</t>
        </is>
      </c>
      <c r="S43" s="97" t="n"/>
      <c r="T43" s="97" t="n"/>
      <c r="U43" s="97" t="n"/>
      <c r="V43" s="97" t="n"/>
      <c r="W43" s="103" t="inlineStr">
        <is>
          <t>N</t>
        </is>
      </c>
      <c r="X43" s="97" t="n"/>
      <c r="Y43" s="103" t="inlineStr">
        <is>
          <t>N</t>
        </is>
      </c>
      <c r="Z43" s="97" t="n"/>
      <c r="AA43" s="97" t="n"/>
      <c r="AB43" s="103" t="inlineStr">
        <is>
          <t>N</t>
        </is>
      </c>
      <c r="AC43" s="97" t="n"/>
      <c r="AD43" s="97" t="n"/>
      <c r="AE43" s="97" t="n"/>
      <c r="AF43" s="103" t="inlineStr">
        <is>
          <t>N</t>
        </is>
      </c>
      <c r="AG43" s="97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102" t="inlineStr">
        <is>
          <t>D</t>
        </is>
      </c>
      <c r="J44" s="104" t="inlineStr">
        <is>
          <t>T</t>
        </is>
      </c>
      <c r="K44" s="97" t="n"/>
      <c r="L44" s="102" t="inlineStr">
        <is>
          <t>D</t>
        </is>
      </c>
      <c r="M44" s="97" t="n"/>
      <c r="N44" s="97" t="n"/>
      <c r="O44" s="103" t="inlineStr">
        <is>
          <t>N</t>
        </is>
      </c>
      <c r="P44" s="97" t="n"/>
      <c r="Q44" s="97" t="n"/>
      <c r="R44" s="97" t="n"/>
      <c r="S44" s="102" t="inlineStr">
        <is>
          <t>D</t>
        </is>
      </c>
      <c r="T44" s="104" t="inlineStr">
        <is>
          <t>T</t>
        </is>
      </c>
      <c r="U44" s="97" t="n"/>
      <c r="V44" s="98" t="inlineStr">
        <is>
          <t>M</t>
        </is>
      </c>
      <c r="W44" s="97" t="n"/>
      <c r="X44" s="97" t="n"/>
      <c r="Y44" s="97" t="n"/>
      <c r="Z44" s="97" t="n"/>
      <c r="AA44" s="97" t="n"/>
      <c r="AB44" s="97" t="n"/>
      <c r="AC44" s="102" t="inlineStr">
        <is>
          <t>D</t>
        </is>
      </c>
      <c r="AD44" s="97" t="n"/>
      <c r="AE44" s="97" t="n"/>
      <c r="AF44" s="97" t="n"/>
      <c r="AG44" s="104" t="inlineStr">
        <is>
          <t>T</t>
        </is>
      </c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8" t="inlineStr">
        <is>
          <t>M</t>
        </is>
      </c>
      <c r="E45" s="98" t="inlineStr">
        <is>
          <t>M</t>
        </is>
      </c>
      <c r="F45" s="97" t="n"/>
      <c r="G45" s="98" t="inlineStr">
        <is>
          <t>M</t>
        </is>
      </c>
      <c r="H45" s="97" t="n"/>
      <c r="I45" s="97" t="n"/>
      <c r="J45" s="98" t="inlineStr">
        <is>
          <t>M</t>
        </is>
      </c>
      <c r="K45" s="98" t="inlineStr">
        <is>
          <t>M</t>
        </is>
      </c>
      <c r="L45" s="97" t="n"/>
      <c r="M45" s="97" t="n"/>
      <c r="N45" s="98" t="inlineStr">
        <is>
          <t>M</t>
        </is>
      </c>
      <c r="O45" s="98" t="inlineStr">
        <is>
          <t>M</t>
        </is>
      </c>
      <c r="P45" s="97" t="n"/>
      <c r="Q45" s="98" t="inlineStr">
        <is>
          <t>M</t>
        </is>
      </c>
      <c r="R45" s="98" t="inlineStr">
        <is>
          <t>M</t>
        </is>
      </c>
      <c r="S45" s="98" t="inlineStr">
        <is>
          <t>M</t>
        </is>
      </c>
      <c r="T45" s="97" t="n"/>
      <c r="U45" s="98" t="inlineStr">
        <is>
          <t>M</t>
        </is>
      </c>
      <c r="V45" s="97" t="n"/>
      <c r="W45" s="97" t="n"/>
      <c r="X45" s="98" t="inlineStr">
        <is>
          <t>M</t>
        </is>
      </c>
      <c r="Y45" s="97" t="n"/>
      <c r="Z45" s="97" t="n"/>
      <c r="AA45" s="97" t="n"/>
      <c r="AB45" s="98" t="inlineStr">
        <is>
          <t>M</t>
        </is>
      </c>
      <c r="AC45" s="103" t="inlineStr">
        <is>
          <t>N</t>
        </is>
      </c>
      <c r="AD45" s="97" t="n"/>
      <c r="AE45" s="98" t="inlineStr">
        <is>
          <t>M</t>
        </is>
      </c>
      <c r="AF45" s="98" t="inlineStr">
        <is>
          <t>M</t>
        </is>
      </c>
      <c r="AG45" s="98" t="inlineStr">
        <is>
          <t>M</t>
        </is>
      </c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102" t="inlineStr">
        <is>
          <t>D</t>
        </is>
      </c>
      <c r="F46" s="104" t="inlineStr">
        <is>
          <t>T</t>
        </is>
      </c>
      <c r="G46" s="97" t="n"/>
      <c r="H46" s="97" t="n"/>
      <c r="I46" s="104" t="inlineStr">
        <is>
          <t>T</t>
        </is>
      </c>
      <c r="J46" s="97" t="n"/>
      <c r="K46" s="97" t="n"/>
      <c r="L46" s="97" t="n"/>
      <c r="M46" s="102" t="inlineStr">
        <is>
          <t>D</t>
        </is>
      </c>
      <c r="N46" s="97" t="n"/>
      <c r="O46" s="97" t="n"/>
      <c r="P46" s="97" t="n"/>
      <c r="Q46" s="103" t="inlineStr">
        <is>
          <t>N</t>
        </is>
      </c>
      <c r="R46" s="97" t="n"/>
      <c r="S46" s="102" t="inlineStr">
        <is>
          <t>D</t>
        </is>
      </c>
      <c r="T46" s="104" t="inlineStr">
        <is>
          <t>T</t>
        </is>
      </c>
      <c r="U46" s="104" t="inlineStr">
        <is>
          <t>T</t>
        </is>
      </c>
      <c r="V46" s="97" t="n"/>
      <c r="W46" s="97" t="n"/>
      <c r="X46" s="97" t="n"/>
      <c r="Y46" s="97" t="n"/>
      <c r="Z46" s="97" t="n"/>
      <c r="AA46" s="97" t="n"/>
      <c r="AB46" s="97" t="n"/>
      <c r="AC46" s="103" t="inlineStr">
        <is>
          <t>N</t>
        </is>
      </c>
      <c r="AD46" s="97" t="n"/>
      <c r="AE46" s="103" t="inlineStr">
        <is>
          <t>N</t>
        </is>
      </c>
      <c r="AF46" s="97" t="n"/>
      <c r="AG46" s="102" t="inlineStr">
        <is>
          <t>D</t>
        </is>
      </c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102" t="inlineStr">
        <is>
          <t>D</t>
        </is>
      </c>
      <c r="D47" s="97" t="n"/>
      <c r="E47" s="102" t="inlineStr">
        <is>
          <t>D</t>
        </is>
      </c>
      <c r="F47" s="97" t="n"/>
      <c r="G47" s="103" t="inlineStr">
        <is>
          <t>N</t>
        </is>
      </c>
      <c r="H47" s="97" t="n"/>
      <c r="I47" s="97" t="n"/>
      <c r="J47" s="97" t="n"/>
      <c r="K47" s="97" t="n"/>
      <c r="L47" s="102" t="inlineStr">
        <is>
          <t>D</t>
        </is>
      </c>
      <c r="M47" s="97" t="n"/>
      <c r="N47" s="97" t="n"/>
      <c r="O47" s="97" t="n"/>
      <c r="P47" s="102" t="inlineStr">
        <is>
          <t>D</t>
        </is>
      </c>
      <c r="Q47" s="97" t="n"/>
      <c r="R47" s="97" t="n"/>
      <c r="S47" s="102" t="inlineStr">
        <is>
          <t>D</t>
        </is>
      </c>
      <c r="T47" s="97" t="n"/>
      <c r="U47" s="103" t="inlineStr">
        <is>
          <t>N</t>
        </is>
      </c>
      <c r="V47" s="97" t="n"/>
      <c r="W47" s="97" t="n"/>
      <c r="X47" s="97" t="n"/>
      <c r="Y47" s="97" t="n"/>
      <c r="Z47" s="102" t="inlineStr">
        <is>
          <t>D</t>
        </is>
      </c>
      <c r="AA47" s="97" t="n"/>
      <c r="AB47" s="97" t="n"/>
      <c r="AC47" s="97" t="n"/>
      <c r="AD47" s="102" t="inlineStr">
        <is>
          <t>D</t>
        </is>
      </c>
      <c r="AE47" s="97" t="n"/>
      <c r="AF47" s="102" t="inlineStr">
        <is>
          <t>D</t>
        </is>
      </c>
      <c r="AG47" s="103" t="inlineStr">
        <is>
          <t>N</t>
        </is>
      </c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8" t="inlineStr">
        <is>
          <t>M</t>
        </is>
      </c>
      <c r="D49" s="102" t="inlineStr">
        <is>
          <t>D</t>
        </is>
      </c>
      <c r="E49" s="97" t="n"/>
      <c r="F49" s="102" t="inlineStr">
        <is>
          <t>D</t>
        </is>
      </c>
      <c r="G49" s="97" t="n"/>
      <c r="H49" s="97" t="n"/>
      <c r="I49" s="98" t="inlineStr">
        <is>
          <t>M</t>
        </is>
      </c>
      <c r="J49" s="97" t="n"/>
      <c r="K49" s="102" t="inlineStr">
        <is>
          <t>D</t>
        </is>
      </c>
      <c r="L49" s="97" t="n"/>
      <c r="M49" s="102" t="inlineStr">
        <is>
          <t>D</t>
        </is>
      </c>
      <c r="N49" s="98" t="inlineStr">
        <is>
          <t>M</t>
        </is>
      </c>
      <c r="O49" s="97" t="n"/>
      <c r="P49" s="97" t="n"/>
      <c r="Q49" s="97" t="n"/>
      <c r="R49" s="97" t="n"/>
      <c r="S49" s="97" t="n"/>
      <c r="T49" s="104" t="inlineStr">
        <is>
          <t>T</t>
        </is>
      </c>
      <c r="U49" s="97" t="n"/>
      <c r="V49" s="97" t="n"/>
      <c r="W49" s="102" t="inlineStr">
        <is>
          <t>D</t>
        </is>
      </c>
      <c r="X49" s="102" t="inlineStr">
        <is>
          <t>D</t>
        </is>
      </c>
      <c r="Y49" s="104" t="inlineStr">
        <is>
          <t>T</t>
        </is>
      </c>
      <c r="Z49" s="97" t="n"/>
      <c r="AA49" s="102" t="inlineStr">
        <is>
          <t>D</t>
        </is>
      </c>
      <c r="AB49" s="97" t="n"/>
      <c r="AC49" s="103" t="inlineStr">
        <is>
          <t>N</t>
        </is>
      </c>
      <c r="AD49" s="97" t="n"/>
      <c r="AE49" s="97" t="n"/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97" t="n"/>
      <c r="F50" s="103" t="inlineStr">
        <is>
          <t>N</t>
        </is>
      </c>
      <c r="G50" s="97" t="n"/>
      <c r="H50" s="97" t="n"/>
      <c r="I50" s="97" t="n"/>
      <c r="J50" s="102" t="inlineStr">
        <is>
          <t>D</t>
        </is>
      </c>
      <c r="K50" s="102" t="inlineStr">
        <is>
          <t>D</t>
        </is>
      </c>
      <c r="L50" s="98" t="inlineStr">
        <is>
          <t>M</t>
        </is>
      </c>
      <c r="M50" s="104" t="inlineStr">
        <is>
          <t>T</t>
        </is>
      </c>
      <c r="N50" s="97" t="n"/>
      <c r="O50" s="97" t="n"/>
      <c r="P50" s="97" t="n"/>
      <c r="Q50" s="97" t="n"/>
      <c r="R50" s="97" t="n"/>
      <c r="S50" s="97" t="n"/>
      <c r="T50" s="103" t="inlineStr">
        <is>
          <t>N</t>
        </is>
      </c>
      <c r="U50" s="97" t="n"/>
      <c r="V50" s="97" t="n"/>
      <c r="W50" s="102" t="inlineStr">
        <is>
          <t>D</t>
        </is>
      </c>
      <c r="X50" s="97" t="n"/>
      <c r="Y50" s="102" t="inlineStr">
        <is>
          <t>D</t>
        </is>
      </c>
      <c r="Z50" s="97" t="n"/>
      <c r="AA50" s="97" t="n"/>
      <c r="AB50" s="97" t="n"/>
      <c r="AC50" s="104" t="inlineStr">
        <is>
          <t>T</t>
        </is>
      </c>
      <c r="AD50" s="104" t="inlineStr">
        <is>
          <t>T</t>
        </is>
      </c>
      <c r="AE50" s="97" t="n"/>
      <c r="AF50" s="102" t="inlineStr">
        <is>
          <t>D</t>
        </is>
      </c>
      <c r="AG50" s="103" t="inlineStr">
        <is>
          <t>N</t>
        </is>
      </c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103" t="inlineStr">
        <is>
          <t>N</t>
        </is>
      </c>
      <c r="E52" s="97" t="n"/>
      <c r="F52" s="97" t="n"/>
      <c r="G52" s="97" t="n"/>
      <c r="H52" s="103" t="inlineStr">
        <is>
          <t>N</t>
        </is>
      </c>
      <c r="I52" s="97" t="n"/>
      <c r="J52" s="97" t="n"/>
      <c r="K52" s="103" t="inlineStr">
        <is>
          <t>N</t>
        </is>
      </c>
      <c r="L52" s="97" t="n"/>
      <c r="M52" s="97" t="n"/>
      <c r="N52" s="97" t="n"/>
      <c r="O52" s="97" t="n"/>
      <c r="P52" s="103" t="inlineStr">
        <is>
          <t>N</t>
        </is>
      </c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103" t="inlineStr">
        <is>
          <t>N</t>
        </is>
      </c>
      <c r="E53" s="97" t="n"/>
      <c r="F53" s="97" t="n"/>
      <c r="G53" s="97" t="n"/>
      <c r="H53" s="97" t="n"/>
      <c r="I53" s="97" t="n"/>
      <c r="J53" s="103" t="inlineStr">
        <is>
          <t>N</t>
        </is>
      </c>
      <c r="K53" s="103" t="inlineStr">
        <is>
          <t>N</t>
        </is>
      </c>
      <c r="L53" s="103" t="inlineStr">
        <is>
          <t>N</t>
        </is>
      </c>
      <c r="M53" s="97" t="n"/>
      <c r="N53" s="97" t="n"/>
      <c r="O53" s="97" t="n"/>
      <c r="P53" s="97" t="n"/>
      <c r="Q53" s="97" t="n"/>
      <c r="R53" s="103" t="inlineStr">
        <is>
          <t>N</t>
        </is>
      </c>
      <c r="S53" s="103" t="inlineStr">
        <is>
          <t>N</t>
        </is>
      </c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103" t="inlineStr">
        <is>
          <t>N</t>
        </is>
      </c>
      <c r="AD53" s="97" t="n"/>
      <c r="AE53" s="103" t="inlineStr">
        <is>
          <t>N</t>
        </is>
      </c>
      <c r="AF53" s="103" t="inlineStr">
        <is>
          <t>N</t>
        </is>
      </c>
      <c r="AG53" s="103" t="inlineStr">
        <is>
          <t>N</t>
        </is>
      </c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104" t="inlineStr">
        <is>
          <t>T</t>
        </is>
      </c>
      <c r="U54" s="103" t="inlineStr">
        <is>
          <t>N</t>
        </is>
      </c>
      <c r="V54" s="97" t="n"/>
      <c r="W54" s="97" t="n"/>
      <c r="X54" s="97" t="n"/>
      <c r="Y54" s="97" t="n"/>
      <c r="Z54" s="104" t="inlineStr">
        <is>
          <t>T</t>
        </is>
      </c>
      <c r="AA54" s="104" t="inlineStr">
        <is>
          <t>T</t>
        </is>
      </c>
      <c r="AB54" s="103" t="inlineStr">
        <is>
          <t>N</t>
        </is>
      </c>
      <c r="AC54" s="97" t="n"/>
      <c r="AD54" s="97" t="n"/>
      <c r="AE54" s="97" t="n"/>
      <c r="AF54" s="97" t="n"/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8" t="inlineStr">
        <is>
          <t>M</t>
        </is>
      </c>
      <c r="E55" s="98" t="inlineStr">
        <is>
          <t>M</t>
        </is>
      </c>
      <c r="F55" s="97" t="n"/>
      <c r="G55" s="98" t="inlineStr">
        <is>
          <t>M</t>
        </is>
      </c>
      <c r="H55" s="98" t="inlineStr">
        <is>
          <t>M</t>
        </is>
      </c>
      <c r="I55" s="97" t="n"/>
      <c r="J55" s="97" t="n"/>
      <c r="K55" s="98" t="inlineStr">
        <is>
          <t>M</t>
        </is>
      </c>
      <c r="L55" s="98" t="inlineStr">
        <is>
          <t>M</t>
        </is>
      </c>
      <c r="M55" s="97" t="n"/>
      <c r="N55" s="98" t="inlineStr">
        <is>
          <t>M</t>
        </is>
      </c>
      <c r="O55" s="98" t="inlineStr">
        <is>
          <t>M</t>
        </is>
      </c>
      <c r="P55" s="97" t="n"/>
      <c r="Q55" s="97" t="n"/>
      <c r="R55" s="97" t="n"/>
      <c r="S55" s="97" t="n"/>
      <c r="T55" s="97" t="n"/>
      <c r="U55" s="98" t="inlineStr">
        <is>
          <t>M</t>
        </is>
      </c>
      <c r="V55" s="98" t="inlineStr">
        <is>
          <t>M</t>
        </is>
      </c>
      <c r="W55" s="98" t="inlineStr">
        <is>
          <t>M</t>
        </is>
      </c>
      <c r="X55" s="98" t="inlineStr">
        <is>
          <t>M</t>
        </is>
      </c>
      <c r="Y55" s="98" t="inlineStr">
        <is>
          <t>M</t>
        </is>
      </c>
      <c r="Z55" s="97" t="n"/>
      <c r="AA55" s="97" t="n"/>
      <c r="AB55" s="98" t="inlineStr">
        <is>
          <t>M</t>
        </is>
      </c>
      <c r="AC55" s="97" t="n"/>
      <c r="AD55" s="98" t="inlineStr">
        <is>
          <t>M</t>
        </is>
      </c>
      <c r="AE55" s="98" t="inlineStr">
        <is>
          <t>M</t>
        </is>
      </c>
      <c r="AF55" s="98" t="inlineStr">
        <is>
          <t>M</t>
        </is>
      </c>
      <c r="AG55" s="98" t="inlineStr">
        <is>
          <t>M</t>
        </is>
      </c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97" t="n"/>
      <c r="F56" s="97" t="n"/>
      <c r="G56" s="102" t="inlineStr">
        <is>
          <t>D</t>
        </is>
      </c>
      <c r="H56" s="97" t="n"/>
      <c r="I56" s="102" t="inlineStr">
        <is>
          <t>D</t>
        </is>
      </c>
      <c r="J56" s="97" t="n"/>
      <c r="K56" s="97" t="n"/>
      <c r="L56" s="104" t="inlineStr">
        <is>
          <t>T</t>
        </is>
      </c>
      <c r="M56" s="97" t="n"/>
      <c r="N56" s="102" t="inlineStr">
        <is>
          <t>D</t>
        </is>
      </c>
      <c r="O56" s="104" t="inlineStr">
        <is>
          <t>T</t>
        </is>
      </c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97" t="n"/>
      <c r="F57" s="97" t="n"/>
      <c r="G57" s="97" t="n"/>
      <c r="H57" s="97" t="n"/>
      <c r="I57" s="97" t="n"/>
      <c r="J57" s="102" t="inlineStr">
        <is>
          <t>D</t>
        </is>
      </c>
      <c r="K57" s="97" t="n"/>
      <c r="L57" s="104" t="inlineStr">
        <is>
          <t>T</t>
        </is>
      </c>
      <c r="M57" s="103" t="inlineStr">
        <is>
          <t>N</t>
        </is>
      </c>
      <c r="N57" s="97" t="n"/>
      <c r="O57" s="97" t="n"/>
      <c r="P57" s="97" t="n"/>
      <c r="Q57" s="104" t="inlineStr">
        <is>
          <t>T</t>
        </is>
      </c>
      <c r="R57" s="103" t="inlineStr">
        <is>
          <t>N</t>
        </is>
      </c>
      <c r="S57" s="97" t="n"/>
      <c r="T57" s="97" t="n"/>
      <c r="U57" s="97" t="n"/>
      <c r="V57" s="97" t="n"/>
      <c r="W57" s="102" t="inlineStr">
        <is>
          <t>D</t>
        </is>
      </c>
      <c r="X57" s="97" t="n"/>
      <c r="Y57" s="97" t="n"/>
      <c r="Z57" s="103" t="inlineStr">
        <is>
          <t>N</t>
        </is>
      </c>
      <c r="AA57" s="97" t="n"/>
      <c r="AB57" s="103" t="inlineStr">
        <is>
          <t>N</t>
        </is>
      </c>
      <c r="AC57" s="97" t="n"/>
      <c r="AD57" s="97" t="n"/>
      <c r="AE57" s="97" t="n"/>
      <c r="AF57" s="97" t="n"/>
      <c r="AG57" s="97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104" t="inlineStr">
        <is>
          <t>T</t>
        </is>
      </c>
      <c r="F58" s="104" t="inlineStr">
        <is>
          <t>T</t>
        </is>
      </c>
      <c r="G58" s="97" t="n"/>
      <c r="H58" s="103" t="inlineStr">
        <is>
          <t>N</t>
        </is>
      </c>
      <c r="I58" s="97" t="n"/>
      <c r="J58" s="97" t="n"/>
      <c r="K58" s="97" t="n"/>
      <c r="L58" s="97" t="n"/>
      <c r="M58" s="103" t="inlineStr">
        <is>
          <t>N</t>
        </is>
      </c>
      <c r="N58" s="97" t="n"/>
      <c r="O58" s="97" t="n"/>
      <c r="P58" s="97" t="n"/>
      <c r="Q58" s="102" t="inlineStr">
        <is>
          <t>D</t>
        </is>
      </c>
      <c r="R58" s="104" t="inlineStr">
        <is>
          <t>T</t>
        </is>
      </c>
      <c r="S58" s="97" t="n"/>
      <c r="T58" s="103" t="inlineStr">
        <is>
          <t>N</t>
        </is>
      </c>
      <c r="U58" s="97" t="n"/>
      <c r="V58" s="104" t="inlineStr">
        <is>
          <t>T</t>
        </is>
      </c>
      <c r="W58" s="97" t="n"/>
      <c r="X58" s="97" t="n"/>
      <c r="Y58" s="97" t="n"/>
      <c r="Z58" s="97" t="n"/>
      <c r="AA58" s="103" t="inlineStr">
        <is>
          <t>N</t>
        </is>
      </c>
      <c r="AB58" s="97" t="n"/>
      <c r="AC58" s="97" t="n"/>
      <c r="AD58" s="97" t="n"/>
      <c r="AE58" s="102" t="inlineStr">
        <is>
          <t>D</t>
        </is>
      </c>
      <c r="AF58" s="104" t="inlineStr">
        <is>
          <t>T</t>
        </is>
      </c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103" t="inlineStr">
        <is>
          <t>N</t>
        </is>
      </c>
      <c r="D60" s="97" t="n"/>
      <c r="E60" s="97" t="n"/>
      <c r="F60" s="104" t="inlineStr">
        <is>
          <t>T</t>
        </is>
      </c>
      <c r="G60" s="97" t="n"/>
      <c r="H60" s="104" t="inlineStr">
        <is>
          <t>T</t>
        </is>
      </c>
      <c r="I60" s="97" t="n"/>
      <c r="J60" s="103" t="inlineStr">
        <is>
          <t>N</t>
        </is>
      </c>
      <c r="K60" s="97" t="n"/>
      <c r="L60" s="97" t="n"/>
      <c r="M60" s="97" t="n"/>
      <c r="N60" s="97" t="n"/>
      <c r="O60" s="103" t="inlineStr">
        <is>
          <t>N</t>
        </is>
      </c>
      <c r="P60" s="97" t="n"/>
      <c r="Q60" s="102" t="inlineStr">
        <is>
          <t>D</t>
        </is>
      </c>
      <c r="R60" s="97" t="n"/>
      <c r="S60" s="97" t="n"/>
      <c r="T60" s="97" t="n"/>
      <c r="U60" s="97" t="n"/>
      <c r="V60" s="103" t="inlineStr">
        <is>
          <t>N</t>
        </is>
      </c>
      <c r="W60" s="97" t="n"/>
      <c r="X60" s="102" t="inlineStr">
        <is>
          <t>D</t>
        </is>
      </c>
      <c r="Y60" s="97" t="n"/>
      <c r="Z60" s="104" t="inlineStr">
        <is>
          <t>T</t>
        </is>
      </c>
      <c r="AA60" s="97" t="n"/>
      <c r="AB60" s="104" t="inlineStr">
        <is>
          <t>T</t>
        </is>
      </c>
      <c r="AC60" s="97" t="n"/>
      <c r="AD60" s="97" t="n"/>
      <c r="AE60" s="102" t="inlineStr">
        <is>
          <t>D</t>
        </is>
      </c>
      <c r="AF60" s="97" t="n"/>
      <c r="AG60" s="98" t="inlineStr">
        <is>
          <t>M</t>
        </is>
      </c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8" t="inlineStr">
        <is>
          <t>M</t>
        </is>
      </c>
      <c r="D61" s="102" t="inlineStr">
        <is>
          <t>D</t>
        </is>
      </c>
      <c r="E61" s="97" t="n"/>
      <c r="F61" s="97" t="n"/>
      <c r="G61" s="97" t="n"/>
      <c r="H61" s="103" t="inlineStr">
        <is>
          <t>N</t>
        </is>
      </c>
      <c r="I61" s="97" t="n"/>
      <c r="J61" s="97" t="n"/>
      <c r="K61" s="102" t="inlineStr">
        <is>
          <t>D</t>
        </is>
      </c>
      <c r="L61" s="104" t="inlineStr">
        <is>
          <t>T</t>
        </is>
      </c>
      <c r="M61" s="97" t="n"/>
      <c r="N61" s="97" t="n"/>
      <c r="O61" s="104" t="inlineStr">
        <is>
          <t>T</t>
        </is>
      </c>
      <c r="P61" s="97" t="n"/>
      <c r="Q61" s="97" t="n"/>
      <c r="R61" s="102" t="inlineStr">
        <is>
          <t>D</t>
        </is>
      </c>
      <c r="S61" s="97" t="n"/>
      <c r="T61" s="97" t="n"/>
      <c r="U61" s="97" t="n"/>
      <c r="V61" s="97" t="n"/>
      <c r="W61" s="102" t="inlineStr">
        <is>
          <t>D</t>
        </is>
      </c>
      <c r="X61" s="97" t="n"/>
      <c r="Y61" s="102" t="inlineStr">
        <is>
          <t>D</t>
        </is>
      </c>
      <c r="Z61" s="97" t="n"/>
      <c r="AA61" s="97" t="n"/>
      <c r="AB61" s="97" t="n"/>
      <c r="AC61" s="97" t="n"/>
      <c r="AD61" s="102" t="inlineStr">
        <is>
          <t>D</t>
        </is>
      </c>
      <c r="AE61" s="97" t="n"/>
      <c r="AF61" s="97" t="n"/>
      <c r="AG61" s="97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97" t="n"/>
      <c r="H62" s="97" t="n"/>
      <c r="I62" s="102" t="inlineStr">
        <is>
          <t>D</t>
        </is>
      </c>
      <c r="J62" s="102" t="inlineStr">
        <is>
          <t>D</t>
        </is>
      </c>
      <c r="K62" s="97" t="n"/>
      <c r="L62" s="103" t="inlineStr">
        <is>
          <t>N</t>
        </is>
      </c>
      <c r="M62" s="97" t="n"/>
      <c r="N62" s="102" t="inlineStr">
        <is>
          <t>D</t>
        </is>
      </c>
      <c r="O62" s="97" t="n"/>
      <c r="P62" s="97" t="n"/>
      <c r="Q62" s="97" t="n"/>
      <c r="R62" s="97" t="n"/>
      <c r="S62" s="97" t="n"/>
      <c r="T62" s="97" t="n"/>
      <c r="U62" s="102" t="inlineStr">
        <is>
          <t>D</t>
        </is>
      </c>
      <c r="V62" s="103" t="inlineStr">
        <is>
          <t>N</t>
        </is>
      </c>
      <c r="W62" s="97" t="n"/>
      <c r="X62" s="97" t="n"/>
      <c r="Y62" s="102" t="inlineStr">
        <is>
          <t>D</t>
        </is>
      </c>
      <c r="Z62" s="102" t="inlineStr">
        <is>
          <t>D</t>
        </is>
      </c>
      <c r="AA62" s="97" t="n"/>
      <c r="AB62" s="97" t="n"/>
      <c r="AC62" s="97" t="n"/>
      <c r="AD62" s="97" t="n"/>
      <c r="AE62" s="97" t="n"/>
      <c r="AF62" s="97" t="n"/>
      <c r="AG62" s="97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97" t="n"/>
      <c r="G63" s="102" t="inlineStr">
        <is>
          <t>D</t>
        </is>
      </c>
      <c r="H63" s="103" t="inlineStr">
        <is>
          <t>N</t>
        </is>
      </c>
      <c r="I63" s="97" t="n"/>
      <c r="J63" s="97" t="n"/>
      <c r="K63" s="97" t="n"/>
      <c r="L63" s="97" t="n"/>
      <c r="M63" s="97" t="n"/>
      <c r="N63" s="102" t="inlineStr">
        <is>
          <t>D</t>
        </is>
      </c>
      <c r="O63" s="97" t="n"/>
      <c r="P63" s="102" t="inlineStr">
        <is>
          <t>D</t>
        </is>
      </c>
      <c r="Q63" s="97" t="n"/>
      <c r="R63" s="97" t="n"/>
      <c r="S63" s="97" t="n"/>
      <c r="T63" s="102" t="inlineStr">
        <is>
          <t>D</t>
        </is>
      </c>
      <c r="U63" s="102" t="inlineStr">
        <is>
          <t>D</t>
        </is>
      </c>
      <c r="V63" s="97" t="n"/>
      <c r="W63" s="97" t="n"/>
      <c r="X63" s="97" t="n"/>
      <c r="Y63" s="97" t="n"/>
      <c r="Z63" s="97" t="n"/>
      <c r="AA63" s="97" t="n"/>
      <c r="AB63" s="98" t="inlineStr">
        <is>
          <t>M</t>
        </is>
      </c>
      <c r="AC63" s="97" t="n"/>
      <c r="AD63" s="104" t="inlineStr">
        <is>
          <t>T</t>
        </is>
      </c>
      <c r="AE63" s="102" t="inlineStr">
        <is>
          <t>D</t>
        </is>
      </c>
      <c r="AF63" s="97" t="n"/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7" t="n"/>
      <c r="F64" s="103" t="inlineStr">
        <is>
          <t>N</t>
        </is>
      </c>
      <c r="G64" s="97" t="n"/>
      <c r="H64" s="97" t="n"/>
      <c r="I64" s="103" t="inlineStr">
        <is>
          <t>N</t>
        </is>
      </c>
      <c r="J64" s="104" t="inlineStr">
        <is>
          <t>T</t>
        </is>
      </c>
      <c r="K64" s="103" t="inlineStr">
        <is>
          <t>N</t>
        </is>
      </c>
      <c r="L64" s="97" t="n"/>
      <c r="M64" s="103" t="inlineStr">
        <is>
          <t>N</t>
        </is>
      </c>
      <c r="N64" s="104" t="inlineStr">
        <is>
          <t>T</t>
        </is>
      </c>
      <c r="O64" s="97" t="n"/>
      <c r="P64" s="97" t="n"/>
      <c r="Q64" s="97" t="n"/>
      <c r="R64" s="97" t="n"/>
      <c r="S64" s="97" t="n"/>
      <c r="T64" s="103" t="inlineStr">
        <is>
          <t>N</t>
        </is>
      </c>
      <c r="U64" s="104" t="inlineStr">
        <is>
          <t>T</t>
        </is>
      </c>
      <c r="V64" s="97" t="n"/>
      <c r="W64" s="97" t="n"/>
      <c r="X64" s="103" t="inlineStr">
        <is>
          <t>N</t>
        </is>
      </c>
      <c r="Y64" s="97" t="n"/>
      <c r="Z64" s="97" t="n"/>
      <c r="AA64" s="103" t="inlineStr">
        <is>
          <t>N</t>
        </is>
      </c>
      <c r="AB64" s="104" t="inlineStr">
        <is>
          <t>T</t>
        </is>
      </c>
      <c r="AC64" s="97" t="n"/>
      <c r="AD64" s="103" t="inlineStr">
        <is>
          <t>N</t>
        </is>
      </c>
      <c r="AE64" s="97" t="n"/>
      <c r="AF64" s="97" t="n"/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97" t="n"/>
      <c r="G65" s="97" t="n"/>
      <c r="H65" s="102" t="inlineStr">
        <is>
          <t>D</t>
        </is>
      </c>
      <c r="I65" s="97" t="n"/>
      <c r="J65" s="102" t="inlineStr">
        <is>
          <t>D</t>
        </is>
      </c>
      <c r="K65" s="97" t="n"/>
      <c r="L65" s="97" t="n"/>
      <c r="M65" s="102" t="inlineStr">
        <is>
          <t>D</t>
        </is>
      </c>
      <c r="N65" s="97" t="n"/>
      <c r="O65" s="102" t="inlineStr">
        <is>
          <t>D</t>
        </is>
      </c>
      <c r="P65" s="97" t="n"/>
      <c r="Q65" s="97" t="n"/>
      <c r="R65" s="97" t="n"/>
      <c r="S65" s="97" t="n"/>
      <c r="T65" s="97" t="n"/>
      <c r="U65" s="97" t="n"/>
      <c r="V65" s="102" t="inlineStr">
        <is>
          <t>D</t>
        </is>
      </c>
      <c r="W65" s="102" t="inlineStr">
        <is>
          <t>D</t>
        </is>
      </c>
      <c r="X65" s="97" t="n"/>
      <c r="Y65" s="97" t="n"/>
      <c r="Z65" s="97" t="n"/>
      <c r="AA65" s="104" t="inlineStr">
        <is>
          <t>T</t>
        </is>
      </c>
      <c r="AB65" s="97" t="n"/>
      <c r="AC65" s="102" t="inlineStr">
        <is>
          <t>D</t>
        </is>
      </c>
      <c r="AD65" s="97" t="n"/>
      <c r="AE65" s="104" t="inlineStr">
        <is>
          <t>T</t>
        </is>
      </c>
      <c r="AF65" s="97" t="n"/>
      <c r="AG65" s="97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8" t="inlineStr">
        <is>
          <t>M</t>
        </is>
      </c>
      <c r="D66" s="103" t="inlineStr">
        <is>
          <t>N</t>
        </is>
      </c>
      <c r="E66" s="97" t="n"/>
      <c r="F66" s="97" t="n"/>
      <c r="G66" s="104" t="inlineStr">
        <is>
          <t>T</t>
        </is>
      </c>
      <c r="H66" s="104" t="inlineStr">
        <is>
          <t>T</t>
        </is>
      </c>
      <c r="I66" s="97" t="n"/>
      <c r="J66" s="103" t="inlineStr">
        <is>
          <t>N</t>
        </is>
      </c>
      <c r="K66" s="97" t="n"/>
      <c r="L66" s="102" t="inlineStr">
        <is>
          <t>D</t>
        </is>
      </c>
      <c r="M66" s="97" t="n"/>
      <c r="N66" s="103" t="inlineStr">
        <is>
          <t>N</t>
        </is>
      </c>
      <c r="O66" s="97" t="n"/>
      <c r="P66" s="97" t="n"/>
      <c r="Q66" s="102" t="inlineStr">
        <is>
          <t>D</t>
        </is>
      </c>
      <c r="R66" s="103" t="inlineStr">
        <is>
          <t>N</t>
        </is>
      </c>
      <c r="S66" s="104" t="inlineStr">
        <is>
          <t>T</t>
        </is>
      </c>
      <c r="T66" s="97" t="n"/>
      <c r="U66" s="103" t="inlineStr">
        <is>
          <t>N</t>
        </is>
      </c>
      <c r="V66" s="97" t="n"/>
      <c r="W66" s="97" t="n"/>
      <c r="X66" s="104" t="inlineStr">
        <is>
          <t>T</t>
        </is>
      </c>
      <c r="Y66" s="103" t="inlineStr">
        <is>
          <t>N</t>
        </is>
      </c>
      <c r="Z66" s="104" t="inlineStr">
        <is>
          <t>T</t>
        </is>
      </c>
      <c r="AA66" s="104" t="inlineStr">
        <is>
          <t>T</t>
        </is>
      </c>
      <c r="AB66" s="103" t="inlineStr">
        <is>
          <t>N</t>
        </is>
      </c>
      <c r="AC66" s="97" t="n"/>
      <c r="AD66" s="97" t="n"/>
      <c r="AE66" s="97" t="n"/>
      <c r="AF66" s="97" t="n"/>
      <c r="AG66" s="102" t="inlineStr">
        <is>
          <t>D</t>
        </is>
      </c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8" t="inlineStr">
        <is>
          <t>M</t>
        </is>
      </c>
      <c r="E67" s="103" t="inlineStr">
        <is>
          <t>N</t>
        </is>
      </c>
      <c r="F67" s="98" t="inlineStr">
        <is>
          <t>M</t>
        </is>
      </c>
      <c r="G67" s="97" t="n"/>
      <c r="H67" s="97" t="n"/>
      <c r="I67" s="97" t="n"/>
      <c r="J67" s="98" t="inlineStr">
        <is>
          <t>M</t>
        </is>
      </c>
      <c r="K67" s="98" t="inlineStr">
        <is>
          <t>M</t>
        </is>
      </c>
      <c r="L67" s="98" t="inlineStr">
        <is>
          <t>M</t>
        </is>
      </c>
      <c r="M67" s="98" t="inlineStr">
        <is>
          <t>M</t>
        </is>
      </c>
      <c r="N67" s="97" t="n"/>
      <c r="O67" s="103" t="inlineStr">
        <is>
          <t>N</t>
        </is>
      </c>
      <c r="P67" s="97" t="n"/>
      <c r="Q67" s="97" t="n"/>
      <c r="R67" s="98" t="inlineStr">
        <is>
          <t>M</t>
        </is>
      </c>
      <c r="S67" s="98" t="inlineStr">
        <is>
          <t>M</t>
        </is>
      </c>
      <c r="T67" s="98" t="inlineStr">
        <is>
          <t>M</t>
        </is>
      </c>
      <c r="U67" s="97" t="n"/>
      <c r="V67" s="97" t="n"/>
      <c r="W67" s="103" t="inlineStr">
        <is>
          <t>N</t>
        </is>
      </c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8" t="inlineStr">
        <is>
          <t>M</t>
        </is>
      </c>
      <c r="D68" s="97" t="n"/>
      <c r="E68" s="97" t="n"/>
      <c r="F68" s="103" t="inlineStr">
        <is>
          <t>N</t>
        </is>
      </c>
      <c r="G68" s="97" t="n"/>
      <c r="H68" s="102" t="inlineStr">
        <is>
          <t>D</t>
        </is>
      </c>
      <c r="I68" s="97" t="n"/>
      <c r="J68" s="97" t="n"/>
      <c r="K68" s="97" t="n"/>
      <c r="L68" s="97" t="n"/>
      <c r="M68" s="103" t="inlineStr">
        <is>
          <t>N</t>
        </is>
      </c>
      <c r="N68" s="97" t="n"/>
      <c r="O68" s="97" t="n"/>
      <c r="P68" s="102" t="inlineStr">
        <is>
          <t>D</t>
        </is>
      </c>
      <c r="Q68" s="97" t="n"/>
      <c r="R68" s="97" t="n"/>
      <c r="S68" s="97" t="n"/>
      <c r="T68" s="103" t="inlineStr">
        <is>
          <t>N</t>
        </is>
      </c>
      <c r="U68" s="97" t="n"/>
      <c r="V68" s="102" t="inlineStr">
        <is>
          <t>D</t>
        </is>
      </c>
      <c r="W68" s="97" t="n"/>
      <c r="X68" s="97" t="n"/>
      <c r="Y68" s="97" t="n"/>
      <c r="Z68" s="97" t="n"/>
      <c r="AA68" s="103" t="inlineStr">
        <is>
          <t>N</t>
        </is>
      </c>
      <c r="AB68" s="97" t="n"/>
      <c r="AC68" s="104" t="inlineStr">
        <is>
          <t>T</t>
        </is>
      </c>
      <c r="AD68" s="98" t="inlineStr">
        <is>
          <t>M</t>
        </is>
      </c>
      <c r="AE68" s="97" t="n"/>
      <c r="AF68" s="97" t="n"/>
      <c r="AG68" s="97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104" t="inlineStr">
        <is>
          <t>T</t>
        </is>
      </c>
      <c r="E69" s="97" t="n"/>
      <c r="F69" s="102" t="inlineStr">
        <is>
          <t>D</t>
        </is>
      </c>
      <c r="G69" s="98" t="inlineStr">
        <is>
          <t>M</t>
        </is>
      </c>
      <c r="H69" s="97" t="n"/>
      <c r="I69" s="97" t="n"/>
      <c r="J69" s="97" t="n"/>
      <c r="K69" s="97" t="n"/>
      <c r="L69" s="97" t="n"/>
      <c r="M69" s="98" t="inlineStr">
        <is>
          <t>M</t>
        </is>
      </c>
      <c r="N69" s="97" t="n"/>
      <c r="O69" s="103" t="inlineStr">
        <is>
          <t>N</t>
        </is>
      </c>
      <c r="P69" s="104" t="inlineStr">
        <is>
          <t>T</t>
        </is>
      </c>
      <c r="Q69" s="97" t="n"/>
      <c r="R69" s="97" t="n"/>
      <c r="S69" s="97" t="n"/>
      <c r="T69" s="98" t="inlineStr">
        <is>
          <t>M</t>
        </is>
      </c>
      <c r="U69" s="97" t="n"/>
      <c r="V69" s="97" t="n"/>
      <c r="W69" s="104" t="inlineStr">
        <is>
          <t>T</t>
        </is>
      </c>
      <c r="X69" s="103" t="inlineStr">
        <is>
          <t>N</t>
        </is>
      </c>
      <c r="Y69" s="104" t="inlineStr">
        <is>
          <t>T</t>
        </is>
      </c>
      <c r="Z69" s="97" t="n"/>
      <c r="AA69" s="102" t="inlineStr">
        <is>
          <t>D</t>
        </is>
      </c>
      <c r="AB69" s="97" t="n"/>
      <c r="AC69" s="104" t="inlineStr">
        <is>
          <t>T</t>
        </is>
      </c>
      <c r="AD69" s="97" t="n"/>
      <c r="AE69" s="97" t="n"/>
      <c r="AF69" s="97" t="n"/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104" t="inlineStr">
        <is>
          <t>T</t>
        </is>
      </c>
      <c r="D70" s="97" t="n"/>
      <c r="E70" s="104" t="inlineStr">
        <is>
          <t>T</t>
        </is>
      </c>
      <c r="F70" s="104" t="inlineStr">
        <is>
          <t>T</t>
        </is>
      </c>
      <c r="G70" s="103" t="inlineStr">
        <is>
          <t>N</t>
        </is>
      </c>
      <c r="H70" s="97" t="n"/>
      <c r="I70" s="97" t="n"/>
      <c r="J70" s="97" t="n"/>
      <c r="K70" s="97" t="n"/>
      <c r="L70" s="104" t="inlineStr">
        <is>
          <t>T</t>
        </is>
      </c>
      <c r="M70" s="104" t="inlineStr">
        <is>
          <t>T</t>
        </is>
      </c>
      <c r="N70" s="103" t="inlineStr">
        <is>
          <t>N</t>
        </is>
      </c>
      <c r="O70" s="97" t="n"/>
      <c r="P70" s="97" t="n"/>
      <c r="Q70" s="97" t="n"/>
      <c r="R70" s="97" t="n"/>
      <c r="S70" s="104" t="inlineStr">
        <is>
          <t>T</t>
        </is>
      </c>
      <c r="T70" s="104" t="inlineStr">
        <is>
          <t>T</t>
        </is>
      </c>
      <c r="U70" s="103" t="inlineStr">
        <is>
          <t>N</t>
        </is>
      </c>
      <c r="V70" s="97" t="n"/>
      <c r="W70" s="97" t="n"/>
      <c r="X70" s="97" t="n"/>
      <c r="Y70" s="97" t="n"/>
      <c r="Z70" s="97" t="n"/>
      <c r="AA70" s="97" t="n"/>
      <c r="AB70" s="104" t="inlineStr">
        <is>
          <t>T</t>
        </is>
      </c>
      <c r="AC70" s="97" t="n"/>
      <c r="AD70" s="104" t="inlineStr">
        <is>
          <t>T</t>
        </is>
      </c>
      <c r="AE70" s="103" t="inlineStr">
        <is>
          <t>N</t>
        </is>
      </c>
      <c r="AF70" s="97" t="n"/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102" t="inlineStr">
        <is>
          <t>D</t>
        </is>
      </c>
      <c r="E71" s="97" t="n"/>
      <c r="F71" s="97" t="n"/>
      <c r="G71" s="97" t="n"/>
      <c r="H71" s="97" t="n"/>
      <c r="I71" s="97" t="n"/>
      <c r="J71" s="102" t="inlineStr">
        <is>
          <t>D</t>
        </is>
      </c>
      <c r="K71" s="97" t="n"/>
      <c r="L71" s="97" t="n"/>
      <c r="M71" s="97" t="n"/>
      <c r="N71" s="97" t="n"/>
      <c r="O71" s="103" t="inlineStr">
        <is>
          <t>N</t>
        </is>
      </c>
      <c r="P71" s="97" t="n"/>
      <c r="Q71" s="102" t="inlineStr">
        <is>
          <t>D</t>
        </is>
      </c>
      <c r="R71" s="102" t="inlineStr">
        <is>
          <t>D</t>
        </is>
      </c>
      <c r="S71" s="102" t="inlineStr">
        <is>
          <t>D</t>
        </is>
      </c>
      <c r="T71" s="97" t="n"/>
      <c r="U71" s="97" t="n"/>
      <c r="V71" s="97" t="n"/>
      <c r="W71" s="97" t="n"/>
      <c r="X71" s="97" t="n"/>
      <c r="Y71" s="102" t="inlineStr">
        <is>
          <t>D</t>
        </is>
      </c>
      <c r="Z71" s="103" t="inlineStr">
        <is>
          <t>N</t>
        </is>
      </c>
      <c r="AA71" s="97" t="n"/>
      <c r="AB71" s="97" t="n"/>
      <c r="AC71" s="97" t="n"/>
      <c r="AD71" s="97" t="n"/>
      <c r="AE71" s="97" t="n"/>
      <c r="AF71" s="97" t="n"/>
      <c r="AG71" s="102" t="inlineStr">
        <is>
          <t>D</t>
        </is>
      </c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103" t="inlineStr">
        <is>
          <t>N</t>
        </is>
      </c>
      <c r="E73" s="97" t="n"/>
      <c r="F73" s="97" t="n"/>
      <c r="G73" s="97" t="n"/>
      <c r="H73" s="102" t="inlineStr">
        <is>
          <t>D</t>
        </is>
      </c>
      <c r="I73" s="98" t="inlineStr">
        <is>
          <t>M</t>
        </is>
      </c>
      <c r="J73" s="97" t="n"/>
      <c r="K73" s="97" t="n"/>
      <c r="L73" s="97" t="n"/>
      <c r="M73" s="97" t="n"/>
      <c r="N73" s="103" t="inlineStr">
        <is>
          <t>N</t>
        </is>
      </c>
      <c r="O73" s="98" t="inlineStr">
        <is>
          <t>M</t>
        </is>
      </c>
      <c r="P73" s="103" t="inlineStr">
        <is>
          <t>N</t>
        </is>
      </c>
      <c r="Q73" s="97" t="n"/>
      <c r="R73" s="103" t="inlineStr">
        <is>
          <t>N</t>
        </is>
      </c>
      <c r="S73" s="97" t="n"/>
      <c r="T73" s="97" t="n"/>
      <c r="U73" s="103" t="inlineStr">
        <is>
          <t>N</t>
        </is>
      </c>
      <c r="V73" s="104" t="inlineStr">
        <is>
          <t>T</t>
        </is>
      </c>
      <c r="W73" s="97" t="n"/>
      <c r="X73" s="97" t="n"/>
      <c r="Y73" s="97" t="n"/>
      <c r="Z73" s="97" t="n"/>
      <c r="AA73" s="97" t="n"/>
      <c r="AB73" s="103" t="inlineStr">
        <is>
          <t>N</t>
        </is>
      </c>
      <c r="AC73" s="98" t="inlineStr">
        <is>
          <t>M</t>
        </is>
      </c>
      <c r="AD73" s="97" t="n"/>
      <c r="AE73" s="103" t="inlineStr">
        <is>
          <t>N</t>
        </is>
      </c>
      <c r="AF73" s="103" t="inlineStr">
        <is>
          <t>N</t>
        </is>
      </c>
      <c r="AG73" s="97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MAX(0,CONFIG!$B$11-C75)</f>
        <v/>
      </c>
      <c r="D78" s="109">
        <f>MAX(0,CONFIG!$B$9-D75)</f>
        <v/>
      </c>
      <c r="E78" s="109">
        <f>MAX(0,CONFIG!$B$9-E75)</f>
        <v/>
      </c>
      <c r="F78" s="109">
        <f>MAX(0,CONFIG!$B$9-F75)</f>
        <v/>
      </c>
      <c r="G78" s="109">
        <f>MAX(0,CONFIG!$B$9-G75)</f>
        <v/>
      </c>
      <c r="H78" s="109">
        <f>MAX(0,CONFIG!$B$9-H75)</f>
        <v/>
      </c>
      <c r="I78" s="109">
        <f>MAX(0,CONFIG!$B$10-I75)</f>
        <v/>
      </c>
      <c r="J78" s="109">
        <f>MAX(0,CONFIG!$B$11-J75)</f>
        <v/>
      </c>
      <c r="K78" s="109">
        <f>MAX(0,CONFIG!$B$9-K75)</f>
        <v/>
      </c>
      <c r="L78" s="109">
        <f>MAX(0,CONFIG!$B$9-L75)</f>
        <v/>
      </c>
      <c r="M78" s="109">
        <f>MAX(0,CONFIG!$B$9-M75)</f>
        <v/>
      </c>
      <c r="N78" s="109">
        <f>MAX(0,CONFIG!$B$9-N75)</f>
        <v/>
      </c>
      <c r="O78" s="109">
        <f>MAX(0,CONFIG!$B$9-O75)</f>
        <v/>
      </c>
      <c r="P78" s="109">
        <f>MAX(0,CONFIG!$B$10-P75)</f>
        <v/>
      </c>
      <c r="Q78" s="109">
        <f>MAX(0,CONFIG!$B$11-Q75)</f>
        <v/>
      </c>
      <c r="R78" s="109">
        <f>MAX(0,CONFIG!$B$9-R75)</f>
        <v/>
      </c>
      <c r="S78" s="109">
        <f>MAX(0,CONFIG!$B$9-S75)</f>
        <v/>
      </c>
      <c r="T78" s="109">
        <f>MAX(0,CONFIG!$B$9-T75)</f>
        <v/>
      </c>
      <c r="U78" s="109">
        <f>MAX(0,CONFIG!$B$9-U75)</f>
        <v/>
      </c>
      <c r="V78" s="109">
        <f>MAX(0,CONFIG!$B$9-V75)</f>
        <v/>
      </c>
      <c r="W78" s="109">
        <f>MAX(0,CONFIG!$B$10-W75)</f>
        <v/>
      </c>
      <c r="X78" s="109">
        <f>MAX(0,CONFIG!$B$11-X75)</f>
        <v/>
      </c>
      <c r="Y78" s="109">
        <f>MAX(0,CONFIG!$B$9-Y75)</f>
        <v/>
      </c>
      <c r="Z78" s="109">
        <f>MAX(0,CONFIG!$B$9-Z75)</f>
        <v/>
      </c>
      <c r="AA78" s="109">
        <f>MAX(0,CONFIG!$B$9-AA75)</f>
        <v/>
      </c>
      <c r="AB78" s="109">
        <f>MAX(0,CONFIG!$B$9-AB75)</f>
        <v/>
      </c>
      <c r="AC78" s="109">
        <f>MAX(0,CONFIG!$B$9-AC75)</f>
        <v/>
      </c>
      <c r="AD78" s="109">
        <f>MAX(0,CONFIG!$B$10-AD75)</f>
        <v/>
      </c>
      <c r="AE78" s="109">
        <f>MAX(0,CONFIG!$B$11-AE75)</f>
        <v/>
      </c>
      <c r="AF78" s="109">
        <f>MAX(0,CONFIG!$B$9-AF75)</f>
        <v/>
      </c>
      <c r="AG78" s="109">
        <f>MAX(0,CONFIG!$B$9-AG75)</f>
        <v/>
      </c>
    </row>
    <row r="79">
      <c r="A79" s="108" t="inlineStr">
        <is>
          <t>falta tarde</t>
        </is>
      </c>
      <c r="C79" s="109">
        <f>MAX(0,CONFIG!$C$11-C76)</f>
        <v/>
      </c>
      <c r="D79" s="109">
        <f>MAX(0,CONFIG!$C$9-D76)</f>
        <v/>
      </c>
      <c r="E79" s="109">
        <f>MAX(0,CONFIG!$C$9-E76)</f>
        <v/>
      </c>
      <c r="F79" s="109">
        <f>MAX(0,CONFIG!$C$9-F76)</f>
        <v/>
      </c>
      <c r="G79" s="109">
        <f>MAX(0,CONFIG!$C$9-G76)</f>
        <v/>
      </c>
      <c r="H79" s="109">
        <f>MAX(0,CONFIG!$C$9-H76)</f>
        <v/>
      </c>
      <c r="I79" s="109">
        <f>MAX(0,CONFIG!$C$10-I76)</f>
        <v/>
      </c>
      <c r="J79" s="109">
        <f>MAX(0,CONFIG!$C$11-J76)</f>
        <v/>
      </c>
      <c r="K79" s="109">
        <f>MAX(0,CONFIG!$C$9-K76)</f>
        <v/>
      </c>
      <c r="L79" s="109">
        <f>MAX(0,CONFIG!$C$9-L76)</f>
        <v/>
      </c>
      <c r="M79" s="109">
        <f>MAX(0,CONFIG!$C$9-M76)</f>
        <v/>
      </c>
      <c r="N79" s="109">
        <f>MAX(0,CONFIG!$C$9-N76)</f>
        <v/>
      </c>
      <c r="O79" s="109">
        <f>MAX(0,CONFIG!$C$9-O76)</f>
        <v/>
      </c>
      <c r="P79" s="109">
        <f>MAX(0,CONFIG!$C$10-P76)</f>
        <v/>
      </c>
      <c r="Q79" s="109">
        <f>MAX(0,CONFIG!$C$11-Q76)</f>
        <v/>
      </c>
      <c r="R79" s="109">
        <f>MAX(0,CONFIG!$C$9-R76)</f>
        <v/>
      </c>
      <c r="S79" s="109">
        <f>MAX(0,CONFIG!$C$9-S76)</f>
        <v/>
      </c>
      <c r="T79" s="109">
        <f>MAX(0,CONFIG!$C$9-T76)</f>
        <v/>
      </c>
      <c r="U79" s="109">
        <f>MAX(0,CONFIG!$C$9-U76)</f>
        <v/>
      </c>
      <c r="V79" s="109">
        <f>MAX(0,CONFIG!$C$9-V76)</f>
        <v/>
      </c>
      <c r="W79" s="109">
        <f>MAX(0,CONFIG!$C$10-W76)</f>
        <v/>
      </c>
      <c r="X79" s="109">
        <f>MAX(0,CONFIG!$C$11-X76)</f>
        <v/>
      </c>
      <c r="Y79" s="109">
        <f>MAX(0,CONFIG!$C$9-Y76)</f>
        <v/>
      </c>
      <c r="Z79" s="109">
        <f>MAX(0,CONFIG!$C$9-Z76)</f>
        <v/>
      </c>
      <c r="AA79" s="109">
        <f>MAX(0,CONFIG!$C$9-AA76)</f>
        <v/>
      </c>
      <c r="AB79" s="109">
        <f>MAX(0,CONFIG!$C$9-AB76)</f>
        <v/>
      </c>
      <c r="AC79" s="109">
        <f>MAX(0,CONFIG!$C$9-AC76)</f>
        <v/>
      </c>
      <c r="AD79" s="109">
        <f>MAX(0,CONFIG!$C$10-AD76)</f>
        <v/>
      </c>
      <c r="AE79" s="109">
        <f>MAX(0,CONFIG!$C$11-AE76)</f>
        <v/>
      </c>
      <c r="AF79" s="109">
        <f>MAX(0,CONFIG!$C$9-AF76)</f>
        <v/>
      </c>
      <c r="AG79" s="109">
        <f>MAX(0,CONFIG!$C$9-AG76)</f>
        <v/>
      </c>
    </row>
    <row r="80">
      <c r="A80" s="108" t="inlineStr">
        <is>
          <t>falta noite</t>
        </is>
      </c>
      <c r="C80" s="109">
        <f>MAX(0,CONFIG!$D$11-C77)</f>
        <v/>
      </c>
      <c r="D80" s="109">
        <f>MAX(0,CONFIG!$D$9-D77)</f>
        <v/>
      </c>
      <c r="E80" s="109">
        <f>MAX(0,CONFIG!$D$9-E77)</f>
        <v/>
      </c>
      <c r="F80" s="109">
        <f>MAX(0,CONFIG!$D$9-F77)</f>
        <v/>
      </c>
      <c r="G80" s="109">
        <f>MAX(0,CONFIG!$D$9-G77)</f>
        <v/>
      </c>
      <c r="H80" s="109">
        <f>MAX(0,CONFIG!$D$9-H77)</f>
        <v/>
      </c>
      <c r="I80" s="109">
        <f>MAX(0,CONFIG!$D$10-I77)</f>
        <v/>
      </c>
      <c r="J80" s="109">
        <f>MAX(0,CONFIG!$D$11-J77)</f>
        <v/>
      </c>
      <c r="K80" s="109">
        <f>MAX(0,CONFIG!$D$9-K77)</f>
        <v/>
      </c>
      <c r="L80" s="109">
        <f>MAX(0,CONFIG!$D$9-L77)</f>
        <v/>
      </c>
      <c r="M80" s="109">
        <f>MAX(0,CONFIG!$D$9-M77)</f>
        <v/>
      </c>
      <c r="N80" s="109">
        <f>MAX(0,CONFIG!$D$9-N77)</f>
        <v/>
      </c>
      <c r="O80" s="109">
        <f>MAX(0,CONFIG!$D$9-O77)</f>
        <v/>
      </c>
      <c r="P80" s="109">
        <f>MAX(0,CONFIG!$D$10-P77)</f>
        <v/>
      </c>
      <c r="Q80" s="109">
        <f>MAX(0,CONFIG!$D$11-Q77)</f>
        <v/>
      </c>
      <c r="R80" s="109">
        <f>MAX(0,CONFIG!$D$9-R77)</f>
        <v/>
      </c>
      <c r="S80" s="109">
        <f>MAX(0,CONFIG!$D$9-S77)</f>
        <v/>
      </c>
      <c r="T80" s="109">
        <f>MAX(0,CONFIG!$D$9-T77)</f>
        <v/>
      </c>
      <c r="U80" s="109">
        <f>MAX(0,CONFIG!$D$9-U77)</f>
        <v/>
      </c>
      <c r="V80" s="109">
        <f>MAX(0,CONFIG!$D$9-V77)</f>
        <v/>
      </c>
      <c r="W80" s="109">
        <f>MAX(0,CONFIG!$D$10-W77)</f>
        <v/>
      </c>
      <c r="X80" s="109">
        <f>MAX(0,CONFIG!$D$11-X77)</f>
        <v/>
      </c>
      <c r="Y80" s="109">
        <f>MAX(0,CONFIG!$D$9-Y77)</f>
        <v/>
      </c>
      <c r="Z80" s="109">
        <f>MAX(0,CONFIG!$D$9-Z77)</f>
        <v/>
      </c>
      <c r="AA80" s="109">
        <f>MAX(0,CONFIG!$D$9-AA77)</f>
        <v/>
      </c>
      <c r="AB80" s="109">
        <f>MAX(0,CONFIG!$D$9-AB77)</f>
        <v/>
      </c>
      <c r="AC80" s="109">
        <f>MAX(0,CONFIG!$D$9-AC77)</f>
        <v/>
      </c>
      <c r="AD80" s="109">
        <f>MAX(0,CONFIG!$D$10-AD77)</f>
        <v/>
      </c>
      <c r="AE80" s="109">
        <f>MAX(0,CONFIG!$D$11-AE77)</f>
        <v/>
      </c>
      <c r="AF80" s="109">
        <f>MAX(0,CONFIG!$D$9-AF77)</f>
        <v/>
      </c>
      <c r="AG80" s="109">
        <f>MAX(0,CONFIG!$D$9-AG77)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abril · 2026</t>
        </is>
      </c>
      <c r="C1" s="88" t="inlineStr">
        <is>
          <t>códigos Senior — mudança de abril: passa a 2/40/41</t>
        </is>
      </c>
    </row>
    <row r="2">
      <c r="C2" s="90" t="n">
        <v>1</v>
      </c>
      <c r="D2" s="90" t="n">
        <v>2</v>
      </c>
      <c r="E2" s="89" t="n">
        <v>3</v>
      </c>
      <c r="F2" s="91" t="n">
        <v>4</v>
      </c>
      <c r="G2" s="91" t="n">
        <v>5</v>
      </c>
      <c r="H2" s="90" t="n">
        <v>6</v>
      </c>
      <c r="I2" s="90" t="n">
        <v>7</v>
      </c>
      <c r="J2" s="90" t="n">
        <v>8</v>
      </c>
      <c r="K2" s="90" t="n">
        <v>9</v>
      </c>
      <c r="L2" s="90" t="n">
        <v>10</v>
      </c>
      <c r="M2" s="91" t="n">
        <v>11</v>
      </c>
      <c r="N2" s="91" t="n">
        <v>12</v>
      </c>
      <c r="O2" s="90" t="n">
        <v>13</v>
      </c>
      <c r="P2" s="90" t="n">
        <v>14</v>
      </c>
      <c r="Q2" s="90" t="n">
        <v>15</v>
      </c>
      <c r="R2" s="90" t="n">
        <v>16</v>
      </c>
      <c r="S2" s="90" t="n">
        <v>17</v>
      </c>
      <c r="T2" s="91" t="n">
        <v>18</v>
      </c>
      <c r="U2" s="91" t="n">
        <v>19</v>
      </c>
      <c r="V2" s="90" t="n">
        <v>20</v>
      </c>
      <c r="W2" s="89" t="n">
        <v>21</v>
      </c>
      <c r="X2" s="90" t="n">
        <v>22</v>
      </c>
      <c r="Y2" s="90" t="n">
        <v>23</v>
      </c>
      <c r="Z2" s="90" t="n">
        <v>24</v>
      </c>
      <c r="AA2" s="91" t="n">
        <v>25</v>
      </c>
      <c r="AB2" s="91" t="n">
        <v>26</v>
      </c>
      <c r="AC2" s="90" t="n">
        <v>27</v>
      </c>
      <c r="AD2" s="90" t="n">
        <v>28</v>
      </c>
      <c r="AE2" s="90" t="n">
        <v>29</v>
      </c>
      <c r="AF2" s="90" t="n">
        <v>30</v>
      </c>
      <c r="AG2" s="110" t="n"/>
    </row>
    <row r="3">
      <c r="C3" s="93" t="inlineStr">
        <is>
          <t>qua</t>
        </is>
      </c>
      <c r="D3" s="93" t="inlineStr">
        <is>
          <t>qui</t>
        </is>
      </c>
      <c r="E3" s="92" t="inlineStr">
        <is>
          <t>paix</t>
        </is>
      </c>
      <c r="F3" s="94" t="inlineStr">
        <is>
          <t>sáb</t>
        </is>
      </c>
      <c r="G3" s="94" t="inlineStr">
        <is>
          <t>dom</t>
        </is>
      </c>
      <c r="H3" s="93" t="inlineStr">
        <is>
          <t>seg</t>
        </is>
      </c>
      <c r="I3" s="93" t="inlineStr">
        <is>
          <t>ter</t>
        </is>
      </c>
      <c r="J3" s="93" t="inlineStr">
        <is>
          <t>qua</t>
        </is>
      </c>
      <c r="K3" s="93" t="inlineStr">
        <is>
          <t>qui</t>
        </is>
      </c>
      <c r="L3" s="93" t="inlineStr">
        <is>
          <t>sex</t>
        </is>
      </c>
      <c r="M3" s="94" t="inlineStr">
        <is>
          <t>sáb</t>
        </is>
      </c>
      <c r="N3" s="94" t="inlineStr">
        <is>
          <t>dom</t>
        </is>
      </c>
      <c r="O3" s="93" t="inlineStr">
        <is>
          <t>seg</t>
        </is>
      </c>
      <c r="P3" s="93" t="inlineStr">
        <is>
          <t>ter</t>
        </is>
      </c>
      <c r="Q3" s="93" t="inlineStr">
        <is>
          <t>qua</t>
        </is>
      </c>
      <c r="R3" s="93" t="inlineStr">
        <is>
          <t>qui</t>
        </is>
      </c>
      <c r="S3" s="93" t="inlineStr">
        <is>
          <t>sex</t>
        </is>
      </c>
      <c r="T3" s="94" t="inlineStr">
        <is>
          <t>sáb</t>
        </is>
      </c>
      <c r="U3" s="94" t="inlineStr">
        <is>
          <t>dom</t>
        </is>
      </c>
      <c r="V3" s="93" t="inlineStr">
        <is>
          <t>seg</t>
        </is>
      </c>
      <c r="W3" s="92" t="inlineStr">
        <is>
          <t>tira</t>
        </is>
      </c>
      <c r="X3" s="93" t="inlineStr">
        <is>
          <t>qua</t>
        </is>
      </c>
      <c r="Y3" s="93" t="inlineStr">
        <is>
          <t>qui</t>
        </is>
      </c>
      <c r="Z3" s="93" t="inlineStr">
        <is>
          <t>sex</t>
        </is>
      </c>
      <c r="AA3" s="94" t="inlineStr">
        <is>
          <t>sáb</t>
        </is>
      </c>
      <c r="AB3" s="94" t="inlineStr">
        <is>
          <t>dom</t>
        </is>
      </c>
      <c r="AC3" s="93" t="inlineStr">
        <is>
          <t>seg</t>
        </is>
      </c>
      <c r="AD3" s="93" t="inlineStr">
        <is>
          <t>ter</t>
        </is>
      </c>
      <c r="AE3" s="93" t="inlineStr">
        <is>
          <t>qua</t>
        </is>
      </c>
      <c r="AF3" s="93" t="inlineStr">
        <is>
          <t>qui</t>
        </is>
      </c>
      <c r="AG3" s="110" t="n"/>
    </row>
    <row r="4" hidden="1">
      <c r="A4" t="inlineStr">
        <is>
          <t>máscara fds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98" t="inlineStr">
        <is>
          <t>M</t>
        </is>
      </c>
      <c r="E8" s="98" t="inlineStr">
        <is>
          <t>M</t>
        </is>
      </c>
      <c r="F8" s="97" t="n"/>
      <c r="G8" s="97" t="n"/>
      <c r="H8" s="111" t="inlineStr">
        <is>
          <t>C</t>
        </is>
      </c>
      <c r="I8" s="111" t="inlineStr">
        <is>
          <t>C</t>
        </is>
      </c>
      <c r="J8" s="98" t="inlineStr">
        <is>
          <t>M</t>
        </is>
      </c>
      <c r="K8" s="98" t="inlineStr">
        <is>
          <t>M</t>
        </is>
      </c>
      <c r="L8" s="97" t="n"/>
      <c r="M8" s="97" t="n"/>
      <c r="N8" s="97" t="n"/>
      <c r="O8" s="111" t="inlineStr">
        <is>
          <t>C</t>
        </is>
      </c>
      <c r="P8" s="111" t="inlineStr">
        <is>
          <t>C</t>
        </is>
      </c>
      <c r="Q8" s="98" t="inlineStr">
        <is>
          <t>M</t>
        </is>
      </c>
      <c r="R8" s="98" t="inlineStr">
        <is>
          <t>M</t>
        </is>
      </c>
      <c r="S8" s="111" t="inlineStr">
        <is>
          <t>C</t>
        </is>
      </c>
      <c r="T8" s="98" t="inlineStr">
        <is>
          <t>M</t>
        </is>
      </c>
      <c r="U8" s="98" t="inlineStr">
        <is>
          <t>M</t>
        </is>
      </c>
      <c r="V8" s="111" t="inlineStr">
        <is>
          <t>C</t>
        </is>
      </c>
      <c r="W8" s="111" t="inlineStr">
        <is>
          <t>C</t>
        </is>
      </c>
      <c r="X8" s="98" t="inlineStr">
        <is>
          <t>M</t>
        </is>
      </c>
      <c r="Y8" s="98" t="inlineStr">
        <is>
          <t>M</t>
        </is>
      </c>
      <c r="Z8" s="97" t="n"/>
      <c r="AA8" s="97" t="n"/>
      <c r="AB8" s="97" t="n"/>
      <c r="AC8" s="111" t="inlineStr">
        <is>
          <t>C</t>
        </is>
      </c>
      <c r="AD8" s="111" t="inlineStr">
        <is>
          <t>C</t>
        </is>
      </c>
      <c r="AE8" s="98" t="inlineStr">
        <is>
          <t>M</t>
        </is>
      </c>
      <c r="AF8" s="98" t="inlineStr">
        <is>
          <t>M</t>
        </is>
      </c>
      <c r="AG8" s="110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ROUND(B8*4.29,0)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8" t="inlineStr">
        <is>
          <t>M</t>
        </is>
      </c>
      <c r="D9" s="111" t="inlineStr">
        <is>
          <t>C</t>
        </is>
      </c>
      <c r="E9" s="111" t="inlineStr">
        <is>
          <t>C</t>
        </is>
      </c>
      <c r="F9" s="98" t="inlineStr">
        <is>
          <t>M</t>
        </is>
      </c>
      <c r="G9" s="98" t="inlineStr">
        <is>
          <t>M</t>
        </is>
      </c>
      <c r="H9" s="98" t="inlineStr">
        <is>
          <t>M</t>
        </is>
      </c>
      <c r="I9" s="98" t="inlineStr">
        <is>
          <t>M</t>
        </is>
      </c>
      <c r="J9" s="98" t="inlineStr">
        <is>
          <t>M</t>
        </is>
      </c>
      <c r="K9" s="111" t="inlineStr">
        <is>
          <t>C</t>
        </is>
      </c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  <c r="AA9" s="97" t="n"/>
      <c r="AB9" s="97" t="n"/>
      <c r="AC9" s="97" t="n"/>
      <c r="AD9" s="98" t="inlineStr">
        <is>
          <t>M</t>
        </is>
      </c>
      <c r="AE9" s="98" t="inlineStr">
        <is>
          <t>M</t>
        </is>
      </c>
      <c r="AF9" s="111" t="inlineStr">
        <is>
          <t>C</t>
        </is>
      </c>
      <c r="AG9" s="110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ROUND(B9*4.29,0)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110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ROUND(B10*4.29,0)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8" t="inlineStr">
        <is>
          <t>M</t>
        </is>
      </c>
      <c r="D11" s="102" t="inlineStr">
        <is>
          <t>D</t>
        </is>
      </c>
      <c r="E11" s="98" t="inlineStr">
        <is>
          <t>M</t>
        </is>
      </c>
      <c r="F11" s="97" t="n"/>
      <c r="G11" s="97" t="n"/>
      <c r="H11" s="98" t="inlineStr">
        <is>
          <t>M</t>
        </is>
      </c>
      <c r="I11" s="98" t="inlineStr">
        <is>
          <t>M</t>
        </is>
      </c>
      <c r="J11" s="98" t="inlineStr">
        <is>
          <t>M</t>
        </is>
      </c>
      <c r="K11" s="98" t="inlineStr">
        <is>
          <t>M</t>
        </is>
      </c>
      <c r="L11" s="98" t="inlineStr">
        <is>
          <t>M</t>
        </is>
      </c>
      <c r="M11" s="103" t="inlineStr">
        <is>
          <t>N</t>
        </is>
      </c>
      <c r="N11" s="97" t="n"/>
      <c r="O11" s="98" t="inlineStr">
        <is>
          <t>M</t>
        </is>
      </c>
      <c r="P11" s="98" t="inlineStr">
        <is>
          <t>M</t>
        </is>
      </c>
      <c r="Q11" s="98" t="inlineStr">
        <is>
          <t>M</t>
        </is>
      </c>
      <c r="R11" s="98" t="inlineStr">
        <is>
          <t>M</t>
        </is>
      </c>
      <c r="S11" s="98" t="inlineStr">
        <is>
          <t>M</t>
        </is>
      </c>
      <c r="T11" s="98" t="inlineStr">
        <is>
          <t>M</t>
        </is>
      </c>
      <c r="U11" s="97" t="n"/>
      <c r="V11" s="98" t="inlineStr">
        <is>
          <t>M</t>
        </is>
      </c>
      <c r="W11" s="98" t="inlineStr">
        <is>
          <t>M</t>
        </is>
      </c>
      <c r="X11" s="98" t="inlineStr">
        <is>
          <t>M</t>
        </is>
      </c>
      <c r="Y11" s="98" t="inlineStr">
        <is>
          <t>M</t>
        </is>
      </c>
      <c r="Z11" s="98" t="inlineStr">
        <is>
          <t>M</t>
        </is>
      </c>
      <c r="AA11" s="103" t="inlineStr">
        <is>
          <t>N</t>
        </is>
      </c>
      <c r="AB11" s="97" t="n"/>
      <c r="AC11" s="98" t="inlineStr">
        <is>
          <t>M</t>
        </is>
      </c>
      <c r="AD11" s="98" t="inlineStr">
        <is>
          <t>M</t>
        </is>
      </c>
      <c r="AE11" s="102" t="inlineStr">
        <is>
          <t>D</t>
        </is>
      </c>
      <c r="AF11" s="102" t="inlineStr">
        <is>
          <t>D</t>
        </is>
      </c>
      <c r="AG11" s="110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ROUND(B11*4.29,0)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8" t="inlineStr">
        <is>
          <t>M</t>
        </is>
      </c>
      <c r="D12" s="98" t="inlineStr">
        <is>
          <t>M</t>
        </is>
      </c>
      <c r="E12" s="102" t="inlineStr">
        <is>
          <t>D</t>
        </is>
      </c>
      <c r="F12" s="97" t="n"/>
      <c r="G12" s="97" t="n"/>
      <c r="H12" s="98" t="inlineStr">
        <is>
          <t>M</t>
        </is>
      </c>
      <c r="I12" s="102" t="inlineStr">
        <is>
          <t>D</t>
        </is>
      </c>
      <c r="J12" s="98" t="inlineStr">
        <is>
          <t>M</t>
        </is>
      </c>
      <c r="K12" s="98" t="inlineStr">
        <is>
          <t>M</t>
        </is>
      </c>
      <c r="L12" s="98" t="inlineStr">
        <is>
          <t>M</t>
        </is>
      </c>
      <c r="M12" s="97" t="n"/>
      <c r="N12" s="97" t="n"/>
      <c r="O12" s="98" t="inlineStr">
        <is>
          <t>M</t>
        </is>
      </c>
      <c r="P12" s="98" t="inlineStr">
        <is>
          <t>M</t>
        </is>
      </c>
      <c r="Q12" s="98" t="inlineStr">
        <is>
          <t>M</t>
        </is>
      </c>
      <c r="R12" s="98" t="inlineStr">
        <is>
          <t>M</t>
        </is>
      </c>
      <c r="S12" s="98" t="inlineStr">
        <is>
          <t>M</t>
        </is>
      </c>
      <c r="T12" s="97" t="n"/>
      <c r="U12" s="102" t="inlineStr">
        <is>
          <t>D</t>
        </is>
      </c>
      <c r="V12" s="98" t="inlineStr">
        <is>
          <t>M</t>
        </is>
      </c>
      <c r="W12" s="98" t="inlineStr">
        <is>
          <t>M</t>
        </is>
      </c>
      <c r="X12" s="98" t="inlineStr">
        <is>
          <t>M</t>
        </is>
      </c>
      <c r="Y12" s="98" t="inlineStr">
        <is>
          <t>M</t>
        </is>
      </c>
      <c r="Z12" s="98" t="inlineStr">
        <is>
          <t>M</t>
        </is>
      </c>
      <c r="AA12" s="102" t="inlineStr">
        <is>
          <t>D</t>
        </is>
      </c>
      <c r="AB12" s="97" t="n"/>
      <c r="AC12" s="98" t="inlineStr">
        <is>
          <t>M</t>
        </is>
      </c>
      <c r="AD12" s="98" t="inlineStr">
        <is>
          <t>M</t>
        </is>
      </c>
      <c r="AE12" s="98" t="inlineStr">
        <is>
          <t>M</t>
        </is>
      </c>
      <c r="AF12" s="102" t="inlineStr">
        <is>
          <t>D</t>
        </is>
      </c>
      <c r="AG12" s="110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ROUND(B12*4.29,0)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98" t="inlineStr">
        <is>
          <t>M</t>
        </is>
      </c>
      <c r="E13" s="97" t="n"/>
      <c r="F13" s="97" t="n"/>
      <c r="G13" s="102" t="inlineStr">
        <is>
          <t>D</t>
        </is>
      </c>
      <c r="H13" s="98" t="inlineStr">
        <is>
          <t>M</t>
        </is>
      </c>
      <c r="I13" s="98" t="inlineStr">
        <is>
          <t>M</t>
        </is>
      </c>
      <c r="J13" s="98" t="inlineStr">
        <is>
          <t>M</t>
        </is>
      </c>
      <c r="K13" s="98" t="inlineStr">
        <is>
          <t>M</t>
        </is>
      </c>
      <c r="L13" s="98" t="inlineStr">
        <is>
          <t>M</t>
        </is>
      </c>
      <c r="M13" s="97" t="n"/>
      <c r="N13" s="97" t="n"/>
      <c r="O13" s="98" t="inlineStr">
        <is>
          <t>M</t>
        </is>
      </c>
      <c r="P13" s="98" t="inlineStr">
        <is>
          <t>M</t>
        </is>
      </c>
      <c r="Q13" s="98" t="inlineStr">
        <is>
          <t>M</t>
        </is>
      </c>
      <c r="R13" s="98" t="inlineStr">
        <is>
          <t>M</t>
        </is>
      </c>
      <c r="S13" s="98" t="inlineStr">
        <is>
          <t>M</t>
        </is>
      </c>
      <c r="T13" s="97" t="n"/>
      <c r="U13" s="103" t="inlineStr">
        <is>
          <t>N</t>
        </is>
      </c>
      <c r="V13" s="98" t="inlineStr">
        <is>
          <t>M</t>
        </is>
      </c>
      <c r="W13" s="97" t="n"/>
      <c r="X13" s="98" t="inlineStr">
        <is>
          <t>M</t>
        </is>
      </c>
      <c r="Y13" s="98" t="inlineStr">
        <is>
          <t>M</t>
        </is>
      </c>
      <c r="Z13" s="98" t="inlineStr">
        <is>
          <t>M</t>
        </is>
      </c>
      <c r="AA13" s="97" t="n"/>
      <c r="AB13" s="97" t="n"/>
      <c r="AC13" s="98" t="inlineStr">
        <is>
          <t>M</t>
        </is>
      </c>
      <c r="AD13" s="98" t="inlineStr">
        <is>
          <t>M</t>
        </is>
      </c>
      <c r="AE13" s="98" t="inlineStr">
        <is>
          <t>M</t>
        </is>
      </c>
      <c r="AF13" s="98" t="inlineStr">
        <is>
          <t>M</t>
        </is>
      </c>
      <c r="AG13" s="110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ROUND(B13*4.29,0)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8" t="inlineStr">
        <is>
          <t>M</t>
        </is>
      </c>
      <c r="D14" s="98" t="inlineStr">
        <is>
          <t>M</t>
        </is>
      </c>
      <c r="E14" s="103" t="inlineStr">
        <is>
          <t>N</t>
        </is>
      </c>
      <c r="F14" s="97" t="n"/>
      <c r="G14" s="102" t="inlineStr">
        <is>
          <t>D</t>
        </is>
      </c>
      <c r="H14" s="98" t="inlineStr">
        <is>
          <t>M</t>
        </is>
      </c>
      <c r="I14" s="98" t="inlineStr">
        <is>
          <t>M</t>
        </is>
      </c>
      <c r="J14" s="98" t="inlineStr">
        <is>
          <t>M</t>
        </is>
      </c>
      <c r="K14" s="98" t="inlineStr">
        <is>
          <t>M</t>
        </is>
      </c>
      <c r="L14" s="102" t="inlineStr">
        <is>
          <t>D</t>
        </is>
      </c>
      <c r="M14" s="97" t="n"/>
      <c r="N14" s="97" t="n"/>
      <c r="O14" s="98" t="inlineStr">
        <is>
          <t>M</t>
        </is>
      </c>
      <c r="P14" s="98" t="inlineStr">
        <is>
          <t>M</t>
        </is>
      </c>
      <c r="Q14" s="98" t="inlineStr">
        <is>
          <t>M</t>
        </is>
      </c>
      <c r="R14" s="98" t="inlineStr">
        <is>
          <t>M</t>
        </is>
      </c>
      <c r="S14" s="98" t="inlineStr">
        <is>
          <t>M</t>
        </is>
      </c>
      <c r="T14" s="98" t="inlineStr">
        <is>
          <t>M</t>
        </is>
      </c>
      <c r="U14" s="97" t="n"/>
      <c r="V14" s="98" t="inlineStr">
        <is>
          <t>M</t>
        </is>
      </c>
      <c r="W14" s="98" t="inlineStr">
        <is>
          <t>M</t>
        </is>
      </c>
      <c r="X14" s="98" t="inlineStr">
        <is>
          <t>M</t>
        </is>
      </c>
      <c r="Y14" s="98" t="inlineStr">
        <is>
          <t>M</t>
        </is>
      </c>
      <c r="Z14" s="102" t="inlineStr">
        <is>
          <t>D</t>
        </is>
      </c>
      <c r="AA14" s="97" t="n"/>
      <c r="AB14" s="97" t="n"/>
      <c r="AC14" s="98" t="inlineStr">
        <is>
          <t>M</t>
        </is>
      </c>
      <c r="AD14" s="98" t="inlineStr">
        <is>
          <t>M</t>
        </is>
      </c>
      <c r="AE14" s="98" t="inlineStr">
        <is>
          <t>M</t>
        </is>
      </c>
      <c r="AF14" s="98" t="inlineStr">
        <is>
          <t>M</t>
        </is>
      </c>
      <c r="AG14" s="110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ROUND(B14*4.29,0)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8" t="inlineStr">
        <is>
          <t>M</t>
        </is>
      </c>
      <c r="D15" s="98" t="inlineStr">
        <is>
          <t>M</t>
        </is>
      </c>
      <c r="E15" s="98" t="inlineStr">
        <is>
          <t>M</t>
        </is>
      </c>
      <c r="F15" s="97" t="n"/>
      <c r="G15" s="103" t="inlineStr">
        <is>
          <t>N</t>
        </is>
      </c>
      <c r="H15" s="98" t="inlineStr">
        <is>
          <t>M</t>
        </is>
      </c>
      <c r="I15" s="98" t="inlineStr">
        <is>
          <t>M</t>
        </is>
      </c>
      <c r="J15" s="98" t="inlineStr">
        <is>
          <t>M</t>
        </is>
      </c>
      <c r="K15" s="98" t="inlineStr">
        <is>
          <t>M</t>
        </is>
      </c>
      <c r="L15" s="98" t="inlineStr">
        <is>
          <t>M</t>
        </is>
      </c>
      <c r="M15" s="97" t="n"/>
      <c r="N15" s="97" t="n"/>
      <c r="O15" s="98" t="inlineStr">
        <is>
          <t>M</t>
        </is>
      </c>
      <c r="P15" s="98" t="inlineStr">
        <is>
          <t>M</t>
        </is>
      </c>
      <c r="Q15" s="98" t="inlineStr">
        <is>
          <t>M</t>
        </is>
      </c>
      <c r="R15" s="98" t="inlineStr">
        <is>
          <t>M</t>
        </is>
      </c>
      <c r="S15" s="98" t="inlineStr">
        <is>
          <t>M</t>
        </is>
      </c>
      <c r="T15" s="103" t="inlineStr">
        <is>
          <t>N</t>
        </is>
      </c>
      <c r="U15" s="97" t="n"/>
      <c r="V15" s="98" t="inlineStr">
        <is>
          <t>M</t>
        </is>
      </c>
      <c r="W15" s="98" t="inlineStr">
        <is>
          <t>M</t>
        </is>
      </c>
      <c r="X15" s="98" t="inlineStr">
        <is>
          <t>M</t>
        </is>
      </c>
      <c r="Y15" s="98" t="inlineStr">
        <is>
          <t>M</t>
        </is>
      </c>
      <c r="Z15" s="98" t="inlineStr">
        <is>
          <t>M</t>
        </is>
      </c>
      <c r="AA15" s="97" t="n"/>
      <c r="AB15" s="97" t="n"/>
      <c r="AC15" s="98" t="inlineStr">
        <is>
          <t>M</t>
        </is>
      </c>
      <c r="AD15" s="98" t="inlineStr">
        <is>
          <t>M</t>
        </is>
      </c>
      <c r="AE15" s="98" t="inlineStr">
        <is>
          <t>M</t>
        </is>
      </c>
      <c r="AF15" s="98" t="inlineStr">
        <is>
          <t>M</t>
        </is>
      </c>
      <c r="AG15" s="110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ROUND(B15*4.29,0)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102" t="inlineStr">
        <is>
          <t>D</t>
        </is>
      </c>
      <c r="M16" s="97" t="n"/>
      <c r="N16" s="97" t="n"/>
      <c r="O16" s="102" t="inlineStr">
        <is>
          <t>D</t>
        </is>
      </c>
      <c r="P16" s="97" t="n"/>
      <c r="Q16" s="97" t="n"/>
      <c r="R16" s="97" t="n"/>
      <c r="S16" s="102" t="inlineStr">
        <is>
          <t>D</t>
        </is>
      </c>
      <c r="T16" s="97" t="n"/>
      <c r="U16" s="98" t="inlineStr">
        <is>
          <t>M</t>
        </is>
      </c>
      <c r="V16" s="104" t="inlineStr">
        <is>
          <t>T</t>
        </is>
      </c>
      <c r="W16" s="104" t="inlineStr">
        <is>
          <t>T</t>
        </is>
      </c>
      <c r="X16" s="97" t="n"/>
      <c r="Y16" s="97" t="n"/>
      <c r="Z16" s="104" t="inlineStr">
        <is>
          <t>T</t>
        </is>
      </c>
      <c r="AA16" s="97" t="n"/>
      <c r="AB16" s="102" t="inlineStr">
        <is>
          <t>D</t>
        </is>
      </c>
      <c r="AC16" s="102" t="inlineStr">
        <is>
          <t>D</t>
        </is>
      </c>
      <c r="AD16" s="104" t="inlineStr">
        <is>
          <t>T</t>
        </is>
      </c>
      <c r="AE16" s="97" t="n"/>
      <c r="AF16" s="97" t="n"/>
      <c r="AG16" s="110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ROUND(B16*4.29,0)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104" t="inlineStr">
        <is>
          <t>T</t>
        </is>
      </c>
      <c r="D17" s="112" t="inlineStr">
        <is>
          <t>E</t>
        </is>
      </c>
      <c r="E17" s="103" t="inlineStr">
        <is>
          <t>N</t>
        </is>
      </c>
      <c r="F17" s="98" t="inlineStr">
        <is>
          <t>M</t>
        </is>
      </c>
      <c r="G17" s="97" t="n"/>
      <c r="H17" s="103" t="inlineStr">
        <is>
          <t>N</t>
        </is>
      </c>
      <c r="I17" s="112" t="inlineStr">
        <is>
          <t>E</t>
        </is>
      </c>
      <c r="J17" s="98" t="inlineStr">
        <is>
          <t>M</t>
        </is>
      </c>
      <c r="K17" s="97" t="n"/>
      <c r="L17" s="97" t="n"/>
      <c r="M17" s="104" t="inlineStr">
        <is>
          <t>T</t>
        </is>
      </c>
      <c r="N17" s="103" t="inlineStr">
        <is>
          <t>N</t>
        </is>
      </c>
      <c r="O17" s="103" t="inlineStr">
        <is>
          <t>N</t>
        </is>
      </c>
      <c r="P17" s="112" t="inlineStr">
        <is>
          <t>E</t>
        </is>
      </c>
      <c r="Q17" s="104" t="inlineStr">
        <is>
          <t>T</t>
        </is>
      </c>
      <c r="R17" s="102" t="inlineStr">
        <is>
          <t>D</t>
        </is>
      </c>
      <c r="S17" s="104" t="inlineStr">
        <is>
          <t>T</t>
        </is>
      </c>
      <c r="T17" s="97" t="n"/>
      <c r="U17" s="97" t="n"/>
      <c r="V17" s="111" t="inlineStr">
        <is>
          <t>C</t>
        </is>
      </c>
      <c r="W17" s="97" t="n"/>
      <c r="X17" s="104" t="inlineStr">
        <is>
          <t>T</t>
        </is>
      </c>
      <c r="Y17" s="103" t="inlineStr">
        <is>
          <t>N</t>
        </is>
      </c>
      <c r="Z17" s="97" t="n"/>
      <c r="AA17" s="97" t="n"/>
      <c r="AB17" s="103" t="inlineStr">
        <is>
          <t>N</t>
        </is>
      </c>
      <c r="AC17" s="103" t="inlineStr">
        <is>
          <t>N</t>
        </is>
      </c>
      <c r="AD17" s="98" t="inlineStr">
        <is>
          <t>M</t>
        </is>
      </c>
      <c r="AE17" s="111" t="inlineStr">
        <is>
          <t>C</t>
        </is>
      </c>
      <c r="AF17" s="103" t="inlineStr">
        <is>
          <t>N</t>
        </is>
      </c>
      <c r="AG17" s="110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ROUND(B17*4.29,0)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102" t="inlineStr">
        <is>
          <t>D</t>
        </is>
      </c>
      <c r="D18" s="98" t="inlineStr">
        <is>
          <t>M</t>
        </is>
      </c>
      <c r="E18" s="102" t="inlineStr">
        <is>
          <t>D</t>
        </is>
      </c>
      <c r="F18" s="97" t="n"/>
      <c r="G18" s="97" t="n"/>
      <c r="H18" s="97" t="n"/>
      <c r="I18" s="97" t="n"/>
      <c r="J18" s="102" t="inlineStr">
        <is>
          <t>D</t>
        </is>
      </c>
      <c r="K18" s="97" t="n"/>
      <c r="L18" s="103" t="inlineStr">
        <is>
          <t>N</t>
        </is>
      </c>
      <c r="M18" s="97" t="n"/>
      <c r="N18" s="102" t="inlineStr">
        <is>
          <t>D</t>
        </is>
      </c>
      <c r="O18" s="102" t="inlineStr">
        <is>
          <t>D</t>
        </is>
      </c>
      <c r="P18" s="97" t="n"/>
      <c r="Q18" s="102" t="inlineStr">
        <is>
          <t>D</t>
        </is>
      </c>
      <c r="R18" s="97" t="n"/>
      <c r="S18" s="97" t="n"/>
      <c r="T18" s="97" t="n"/>
      <c r="U18" s="102" t="inlineStr">
        <is>
          <t>D</t>
        </is>
      </c>
      <c r="V18" s="102" t="inlineStr">
        <is>
          <t>D</t>
        </is>
      </c>
      <c r="W18" s="97" t="n"/>
      <c r="X18" s="102" t="inlineStr">
        <is>
          <t>D</t>
        </is>
      </c>
      <c r="Y18" s="97" t="n"/>
      <c r="Z18" s="97" t="n"/>
      <c r="AA18" s="103" t="inlineStr">
        <is>
          <t>N</t>
        </is>
      </c>
      <c r="AB18" s="97" t="n"/>
      <c r="AC18" s="102" t="inlineStr">
        <is>
          <t>D</t>
        </is>
      </c>
      <c r="AD18" s="97" t="n"/>
      <c r="AE18" s="102" t="inlineStr">
        <is>
          <t>D</t>
        </is>
      </c>
      <c r="AF18" s="97" t="n"/>
      <c r="AG18" s="110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ROUND(B18*4.29,0)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97" t="n"/>
      <c r="E19" s="103" t="inlineStr">
        <is>
          <t>N</t>
        </is>
      </c>
      <c r="F19" s="97" t="n"/>
      <c r="G19" s="103" t="inlineStr">
        <is>
          <t>N</t>
        </is>
      </c>
      <c r="H19" s="97" t="n"/>
      <c r="I19" s="97" t="n"/>
      <c r="J19" s="103" t="inlineStr">
        <is>
          <t>N</t>
        </is>
      </c>
      <c r="K19" s="103" t="inlineStr">
        <is>
          <t>N</t>
        </is>
      </c>
      <c r="L19" s="97" t="n"/>
      <c r="M19" s="97" t="n"/>
      <c r="N19" s="103" t="inlineStr">
        <is>
          <t>N</t>
        </is>
      </c>
      <c r="O19" s="103" t="inlineStr">
        <is>
          <t>N</t>
        </is>
      </c>
      <c r="P19" s="97" t="n"/>
      <c r="Q19" s="103" t="inlineStr">
        <is>
          <t>N</t>
        </is>
      </c>
      <c r="R19" s="103" t="inlineStr">
        <is>
          <t>N</t>
        </is>
      </c>
      <c r="S19" s="97" t="n"/>
      <c r="T19" s="97" t="n"/>
      <c r="U19" s="97" t="n"/>
      <c r="V19" s="97" t="n"/>
      <c r="W19" s="97" t="n"/>
      <c r="X19" s="103" t="inlineStr">
        <is>
          <t>N</t>
        </is>
      </c>
      <c r="Y19" s="103" t="inlineStr">
        <is>
          <t>N</t>
        </is>
      </c>
      <c r="Z19" s="97" t="n"/>
      <c r="AA19" s="97" t="n"/>
      <c r="AB19" s="103" t="inlineStr">
        <is>
          <t>N</t>
        </is>
      </c>
      <c r="AC19" s="97" t="n"/>
      <c r="AD19" s="97" t="n"/>
      <c r="AE19" s="103" t="inlineStr">
        <is>
          <t>N</t>
        </is>
      </c>
      <c r="AF19" s="97" t="n"/>
      <c r="AG19" s="110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ROUND(B19*4.29,0)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103" t="inlineStr">
        <is>
          <t>N</t>
        </is>
      </c>
      <c r="D20" s="103" t="inlineStr">
        <is>
          <t>N</t>
        </is>
      </c>
      <c r="E20" s="103" t="inlineStr">
        <is>
          <t>N</t>
        </is>
      </c>
      <c r="F20" s="97" t="n"/>
      <c r="G20" s="97" t="n"/>
      <c r="H20" s="103" t="inlineStr">
        <is>
          <t>N</t>
        </is>
      </c>
      <c r="I20" s="97" t="n"/>
      <c r="J20" s="103" t="inlineStr">
        <is>
          <t>N</t>
        </is>
      </c>
      <c r="K20" s="103" t="inlineStr">
        <is>
          <t>N</t>
        </is>
      </c>
      <c r="L20" s="97" t="n"/>
      <c r="M20" s="97" t="n"/>
      <c r="N20" s="97" t="n"/>
      <c r="O20" s="97" t="n"/>
      <c r="P20" s="97" t="n"/>
      <c r="Q20" s="103" t="inlineStr">
        <is>
          <t>N</t>
        </is>
      </c>
      <c r="R20" s="103" t="inlineStr">
        <is>
          <t>N</t>
        </is>
      </c>
      <c r="S20" s="97" t="n"/>
      <c r="T20" s="103" t="inlineStr">
        <is>
          <t>N</t>
        </is>
      </c>
      <c r="U20" s="97" t="n"/>
      <c r="V20" s="97" t="n"/>
      <c r="W20" s="103" t="inlineStr">
        <is>
          <t>N</t>
        </is>
      </c>
      <c r="X20" s="103" t="inlineStr">
        <is>
          <t>N</t>
        </is>
      </c>
      <c r="Y20" s="103" t="inlineStr">
        <is>
          <t>N</t>
        </is>
      </c>
      <c r="Z20" s="97" t="n"/>
      <c r="AA20" s="97" t="n"/>
      <c r="AB20" s="97" t="n"/>
      <c r="AC20" s="97" t="n"/>
      <c r="AD20" s="97" t="n"/>
      <c r="AE20" s="103" t="inlineStr">
        <is>
          <t>N</t>
        </is>
      </c>
      <c r="AF20" s="97" t="n"/>
      <c r="AG20" s="110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ROUND(B20*4.29,0)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103" t="inlineStr">
        <is>
          <t>N</t>
        </is>
      </c>
      <c r="D21" s="97" t="n"/>
      <c r="E21" s="103" t="inlineStr">
        <is>
          <t>N</t>
        </is>
      </c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110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ROUND(B21*4.29,0)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102" t="inlineStr">
        <is>
          <t>D</t>
        </is>
      </c>
      <c r="D22" s="102" t="inlineStr">
        <is>
          <t>D</t>
        </is>
      </c>
      <c r="E22" s="97" t="n"/>
      <c r="F22" s="97" t="n"/>
      <c r="G22" s="97" t="n"/>
      <c r="H22" s="97" t="n"/>
      <c r="I22" s="104" t="inlineStr">
        <is>
          <t>T</t>
        </is>
      </c>
      <c r="J22" s="97" t="n"/>
      <c r="K22" s="102" t="inlineStr">
        <is>
          <t>D</t>
        </is>
      </c>
      <c r="L22" s="98" t="inlineStr">
        <is>
          <t>M</t>
        </is>
      </c>
      <c r="M22" s="97" t="n"/>
      <c r="N22" s="102" t="inlineStr">
        <is>
          <t>D</t>
        </is>
      </c>
      <c r="O22" s="97" t="n"/>
      <c r="P22" s="98" t="inlineStr">
        <is>
          <t>M</t>
        </is>
      </c>
      <c r="Q22" s="102" t="inlineStr">
        <is>
          <t>D</t>
        </is>
      </c>
      <c r="R22" s="98" t="inlineStr">
        <is>
          <t>M</t>
        </is>
      </c>
      <c r="S22" s="97" t="n"/>
      <c r="T22" s="97" t="n"/>
      <c r="U22" s="102" t="inlineStr">
        <is>
          <t>D</t>
        </is>
      </c>
      <c r="V22" s="97" t="n"/>
      <c r="W22" s="102" t="inlineStr">
        <is>
          <t>D</t>
        </is>
      </c>
      <c r="X22" s="97" t="n"/>
      <c r="Y22" s="97" t="n"/>
      <c r="Z22" s="103" t="inlineStr">
        <is>
          <t>N</t>
        </is>
      </c>
      <c r="AA22" s="97" t="n"/>
      <c r="AB22" s="102" t="inlineStr">
        <is>
          <t>D</t>
        </is>
      </c>
      <c r="AC22" s="97" t="n"/>
      <c r="AD22" s="102" t="inlineStr">
        <is>
          <t>D</t>
        </is>
      </c>
      <c r="AE22" s="98" t="inlineStr">
        <is>
          <t>M</t>
        </is>
      </c>
      <c r="AF22" s="102" t="inlineStr">
        <is>
          <t>D</t>
        </is>
      </c>
      <c r="AG22" s="110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ROUND(B22*4.29,0)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102" t="inlineStr">
        <is>
          <t>D</t>
        </is>
      </c>
      <c r="E23" s="97" t="n"/>
      <c r="F23" s="97" t="n"/>
      <c r="G23" s="97" t="n"/>
      <c r="H23" s="102" t="inlineStr">
        <is>
          <t>D</t>
        </is>
      </c>
      <c r="I23" s="97" t="n"/>
      <c r="J23" s="97" t="n"/>
      <c r="K23" s="97" t="n"/>
      <c r="L23" s="97" t="n"/>
      <c r="M23" s="102" t="inlineStr">
        <is>
          <t>D</t>
        </is>
      </c>
      <c r="N23" s="102" t="inlineStr">
        <is>
          <t>D</t>
        </is>
      </c>
      <c r="O23" s="97" t="n"/>
      <c r="P23" s="102" t="inlineStr">
        <is>
          <t>D</t>
        </is>
      </c>
      <c r="Q23" s="97" t="n"/>
      <c r="R23" s="102" t="inlineStr">
        <is>
          <t>D</t>
        </is>
      </c>
      <c r="S23" s="97" t="n"/>
      <c r="T23" s="102" t="inlineStr">
        <is>
          <t>D</t>
        </is>
      </c>
      <c r="U23" s="97" t="n"/>
      <c r="V23" s="102" t="inlineStr">
        <is>
          <t>D</t>
        </is>
      </c>
      <c r="W23" s="102" t="inlineStr">
        <is>
          <t>D</t>
        </is>
      </c>
      <c r="X23" s="97" t="n"/>
      <c r="Y23" s="102" t="inlineStr">
        <is>
          <t>D</t>
        </is>
      </c>
      <c r="Z23" s="97" t="n"/>
      <c r="AA23" s="97" t="n"/>
      <c r="AB23" s="97" t="n"/>
      <c r="AC23" s="102" t="inlineStr">
        <is>
          <t>D</t>
        </is>
      </c>
      <c r="AD23" s="102" t="inlineStr">
        <is>
          <t>D</t>
        </is>
      </c>
      <c r="AE23" s="97" t="n"/>
      <c r="AF23" s="102" t="inlineStr">
        <is>
          <t>D</t>
        </is>
      </c>
      <c r="AG23" s="110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ROUND(B23*4.29,0)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8" t="inlineStr">
        <is>
          <t>M</t>
        </is>
      </c>
      <c r="D24" s="97" t="n"/>
      <c r="E24" s="104" t="inlineStr">
        <is>
          <t>T</t>
        </is>
      </c>
      <c r="F24" s="103" t="inlineStr">
        <is>
          <t>N</t>
        </is>
      </c>
      <c r="G24" s="97" t="n"/>
      <c r="H24" s="98" t="inlineStr">
        <is>
          <t>M</t>
        </is>
      </c>
      <c r="I24" s="102" t="inlineStr">
        <is>
          <t>D</t>
        </is>
      </c>
      <c r="J24" s="97" t="n"/>
      <c r="K24" s="104" t="inlineStr">
        <is>
          <t>T</t>
        </is>
      </c>
      <c r="L24" s="97" t="n"/>
      <c r="M24" s="103" t="inlineStr">
        <is>
          <t>N</t>
        </is>
      </c>
      <c r="N24" s="97" t="n"/>
      <c r="O24" s="104" t="inlineStr">
        <is>
          <t>T</t>
        </is>
      </c>
      <c r="P24" s="102" t="inlineStr">
        <is>
          <t>D</t>
        </is>
      </c>
      <c r="Q24" s="98" t="inlineStr">
        <is>
          <t>M</t>
        </is>
      </c>
      <c r="R24" s="102" t="inlineStr">
        <is>
          <t>D</t>
        </is>
      </c>
      <c r="S24" s="97" t="n"/>
      <c r="T24" s="97" t="n"/>
      <c r="U24" s="97" t="n"/>
      <c r="V24" s="97" t="n"/>
      <c r="W24" s="97" t="n"/>
      <c r="X24" s="97" t="n"/>
      <c r="Y24" s="102" t="inlineStr">
        <is>
          <t>D</t>
        </is>
      </c>
      <c r="Z24" s="102" t="inlineStr">
        <is>
          <t>D</t>
        </is>
      </c>
      <c r="AA24" s="102" t="inlineStr">
        <is>
          <t>D</t>
        </is>
      </c>
      <c r="AB24" s="97" t="n"/>
      <c r="AC24" s="97" t="n"/>
      <c r="AD24" s="102" t="inlineStr">
        <is>
          <t>D</t>
        </is>
      </c>
      <c r="AE24" s="97" t="n"/>
      <c r="AF24" s="102" t="inlineStr">
        <is>
          <t>D</t>
        </is>
      </c>
      <c r="AG24" s="110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ROUND(B24*4.29,0)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103" t="inlineStr">
        <is>
          <t>N</t>
        </is>
      </c>
      <c r="D25" s="97" t="n"/>
      <c r="E25" s="97" t="n"/>
      <c r="F25" s="97" t="n"/>
      <c r="G25" s="97" t="n"/>
      <c r="H25" s="97" t="n"/>
      <c r="I25" s="103" t="inlineStr">
        <is>
          <t>N</t>
        </is>
      </c>
      <c r="J25" s="103" t="inlineStr">
        <is>
          <t>N</t>
        </is>
      </c>
      <c r="K25" s="97" t="n"/>
      <c r="L25" s="97" t="n"/>
      <c r="M25" s="97" t="n"/>
      <c r="N25" s="103" t="inlineStr">
        <is>
          <t>N</t>
        </is>
      </c>
      <c r="O25" s="97" t="n"/>
      <c r="P25" s="103" t="inlineStr">
        <is>
          <t>N</t>
        </is>
      </c>
      <c r="Q25" s="103" t="inlineStr">
        <is>
          <t>N</t>
        </is>
      </c>
      <c r="R25" s="97" t="n"/>
      <c r="S25" s="97" t="n"/>
      <c r="T25" s="97" t="n"/>
      <c r="U25" s="103" t="inlineStr">
        <is>
          <t>N</t>
        </is>
      </c>
      <c r="V25" s="103" t="inlineStr">
        <is>
          <t>N</t>
        </is>
      </c>
      <c r="W25" s="103" t="inlineStr">
        <is>
          <t>N</t>
        </is>
      </c>
      <c r="X25" s="97" t="n"/>
      <c r="Y25" s="97" t="n"/>
      <c r="Z25" s="97" t="n"/>
      <c r="AA25" s="97" t="n"/>
      <c r="AB25" s="103" t="inlineStr">
        <is>
          <t>N</t>
        </is>
      </c>
      <c r="AC25" s="103" t="inlineStr">
        <is>
          <t>N</t>
        </is>
      </c>
      <c r="AD25" s="103" t="inlineStr">
        <is>
          <t>N</t>
        </is>
      </c>
      <c r="AE25" s="103" t="inlineStr">
        <is>
          <t>N</t>
        </is>
      </c>
      <c r="AF25" s="97" t="n"/>
      <c r="AG25" s="110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ROUND(B25*4.29,0)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104" t="inlineStr">
        <is>
          <t>T</t>
        </is>
      </c>
      <c r="E26" s="104" t="inlineStr">
        <is>
          <t>T</t>
        </is>
      </c>
      <c r="F26" s="97" t="n"/>
      <c r="G26" s="103" t="inlineStr">
        <is>
          <t>N</t>
        </is>
      </c>
      <c r="H26" s="98" t="inlineStr">
        <is>
          <t>M</t>
        </is>
      </c>
      <c r="I26" s="103" t="inlineStr">
        <is>
          <t>N</t>
        </is>
      </c>
      <c r="J26" s="97" t="n"/>
      <c r="K26" s="104" t="inlineStr">
        <is>
          <t>T</t>
        </is>
      </c>
      <c r="L26" s="103" t="inlineStr">
        <is>
          <t>N</t>
        </is>
      </c>
      <c r="M26" s="97" t="n"/>
      <c r="N26" s="97" t="n"/>
      <c r="O26" s="104" t="inlineStr">
        <is>
          <t>T</t>
        </is>
      </c>
      <c r="P26" s="103" t="inlineStr">
        <is>
          <t>N</t>
        </is>
      </c>
      <c r="Q26" s="97" t="n"/>
      <c r="R26" s="97" t="n"/>
      <c r="S26" s="104" t="inlineStr">
        <is>
          <t>T</t>
        </is>
      </c>
      <c r="T26" s="97" t="n"/>
      <c r="U26" s="103" t="inlineStr">
        <is>
          <t>N</t>
        </is>
      </c>
      <c r="V26" s="104" t="inlineStr">
        <is>
          <t>T</t>
        </is>
      </c>
      <c r="W26" s="97" t="n"/>
      <c r="X26" s="97" t="n"/>
      <c r="Y26" s="104" t="inlineStr">
        <is>
          <t>T</t>
        </is>
      </c>
      <c r="Z26" s="102" t="inlineStr">
        <is>
          <t>D</t>
        </is>
      </c>
      <c r="AA26" s="97" t="n"/>
      <c r="AB26" s="103" t="inlineStr">
        <is>
          <t>N</t>
        </is>
      </c>
      <c r="AC26" s="98" t="inlineStr">
        <is>
          <t>M</t>
        </is>
      </c>
      <c r="AD26" s="97" t="n"/>
      <c r="AE26" s="97" t="n"/>
      <c r="AF26" s="103" t="inlineStr">
        <is>
          <t>N</t>
        </is>
      </c>
      <c r="AG26" s="110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ROUND(B26*4.29,0)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103" t="inlineStr">
        <is>
          <t>N</t>
        </is>
      </c>
      <c r="E27" s="103" t="inlineStr">
        <is>
          <t>N</t>
        </is>
      </c>
      <c r="F27" s="97" t="n"/>
      <c r="G27" s="103" t="inlineStr">
        <is>
          <t>N</t>
        </is>
      </c>
      <c r="H27" s="98" t="inlineStr">
        <is>
          <t>M</t>
        </is>
      </c>
      <c r="I27" s="103" t="inlineStr">
        <is>
          <t>N</t>
        </is>
      </c>
      <c r="J27" s="97" t="n"/>
      <c r="K27" s="97" t="n"/>
      <c r="L27" s="97" t="n"/>
      <c r="M27" s="97" t="n"/>
      <c r="N27" s="103" t="inlineStr">
        <is>
          <t>N</t>
        </is>
      </c>
      <c r="O27" s="98" t="inlineStr">
        <is>
          <t>M</t>
        </is>
      </c>
      <c r="P27" s="103" t="inlineStr">
        <is>
          <t>N</t>
        </is>
      </c>
      <c r="Q27" s="97" t="n"/>
      <c r="R27" s="103" t="inlineStr">
        <is>
          <t>N</t>
        </is>
      </c>
      <c r="S27" s="97" t="n"/>
      <c r="T27" s="97" t="n"/>
      <c r="U27" s="97" t="n"/>
      <c r="V27" s="103" t="inlineStr">
        <is>
          <t>N</t>
        </is>
      </c>
      <c r="W27" s="97" t="n"/>
      <c r="X27" s="97" t="n"/>
      <c r="Y27" s="103" t="inlineStr">
        <is>
          <t>N</t>
        </is>
      </c>
      <c r="Z27" s="97" t="n"/>
      <c r="AA27" s="103" t="inlineStr">
        <is>
          <t>N</t>
        </is>
      </c>
      <c r="AB27" s="97" t="n"/>
      <c r="AC27" s="97" t="n"/>
      <c r="AD27" s="97" t="n"/>
      <c r="AE27" s="97" t="n"/>
      <c r="AF27" s="103" t="inlineStr">
        <is>
          <t>N</t>
        </is>
      </c>
      <c r="AG27" s="110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ROUND(B27*4.29,0)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103" t="inlineStr">
        <is>
          <t>N</t>
        </is>
      </c>
      <c r="E28" s="104" t="inlineStr">
        <is>
          <t>T</t>
        </is>
      </c>
      <c r="F28" s="103" t="inlineStr">
        <is>
          <t>N</t>
        </is>
      </c>
      <c r="G28" s="97" t="n"/>
      <c r="H28" s="102" t="inlineStr">
        <is>
          <t>D</t>
        </is>
      </c>
      <c r="I28" s="97" t="n"/>
      <c r="J28" s="98" t="inlineStr">
        <is>
          <t>M</t>
        </is>
      </c>
      <c r="K28" s="102" t="inlineStr">
        <is>
          <t>D</t>
        </is>
      </c>
      <c r="L28" s="97" t="n"/>
      <c r="M28" s="97" t="n"/>
      <c r="N28" s="97" t="n"/>
      <c r="O28" s="97" t="n"/>
      <c r="P28" s="104" t="inlineStr">
        <is>
          <t>T</t>
        </is>
      </c>
      <c r="Q28" s="103" t="inlineStr">
        <is>
          <t>N</t>
        </is>
      </c>
      <c r="R28" s="97" t="n"/>
      <c r="S28" s="102" t="inlineStr">
        <is>
          <t>D</t>
        </is>
      </c>
      <c r="T28" s="97" t="n"/>
      <c r="U28" s="97" t="n"/>
      <c r="V28" s="97" t="n"/>
      <c r="W28" s="97" t="n"/>
      <c r="X28" s="97" t="n"/>
      <c r="Y28" s="97" t="n"/>
      <c r="Z28" s="102" t="inlineStr">
        <is>
          <t>D</t>
        </is>
      </c>
      <c r="AA28" s="104" t="inlineStr">
        <is>
          <t>T</t>
        </is>
      </c>
      <c r="AB28" s="102" t="inlineStr">
        <is>
          <t>D</t>
        </is>
      </c>
      <c r="AC28" s="97" t="n"/>
      <c r="AD28" s="97" t="n"/>
      <c r="AE28" s="104" t="inlineStr">
        <is>
          <t>T</t>
        </is>
      </c>
      <c r="AF28" s="104" t="inlineStr">
        <is>
          <t>T</t>
        </is>
      </c>
      <c r="AG28" s="110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ROUND(B28*4.29,0)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8" t="inlineStr">
        <is>
          <t>M</t>
        </is>
      </c>
      <c r="D29" s="98" t="inlineStr">
        <is>
          <t>M</t>
        </is>
      </c>
      <c r="E29" s="98" t="inlineStr">
        <is>
          <t>M</t>
        </is>
      </c>
      <c r="F29" s="97" t="n"/>
      <c r="G29" s="97" t="n"/>
      <c r="H29" s="103" t="inlineStr">
        <is>
          <t>N</t>
        </is>
      </c>
      <c r="I29" s="97" t="n"/>
      <c r="J29" s="97" t="n"/>
      <c r="K29" s="97" t="n"/>
      <c r="L29" s="97" t="n"/>
      <c r="M29" s="98" t="inlineStr">
        <is>
          <t>M</t>
        </is>
      </c>
      <c r="N29" s="103" t="inlineStr">
        <is>
          <t>N</t>
        </is>
      </c>
      <c r="O29" s="103" t="inlineStr">
        <is>
          <t>N</t>
        </is>
      </c>
      <c r="P29" s="97" t="n"/>
      <c r="Q29" s="98" t="inlineStr">
        <is>
          <t>M</t>
        </is>
      </c>
      <c r="R29" s="98" t="inlineStr">
        <is>
          <t>M</t>
        </is>
      </c>
      <c r="S29" s="98" t="inlineStr">
        <is>
          <t>M</t>
        </is>
      </c>
      <c r="T29" s="97" t="n"/>
      <c r="U29" s="97" t="n"/>
      <c r="V29" s="103" t="inlineStr">
        <is>
          <t>N</t>
        </is>
      </c>
      <c r="W29" s="97" t="n"/>
      <c r="X29" s="98" t="inlineStr">
        <is>
          <t>M</t>
        </is>
      </c>
      <c r="Y29" s="97" t="n"/>
      <c r="Z29" s="97" t="n"/>
      <c r="AA29" s="98" t="inlineStr">
        <is>
          <t>M</t>
        </is>
      </c>
      <c r="AB29" s="98" t="inlineStr">
        <is>
          <t>M</t>
        </is>
      </c>
      <c r="AC29" s="103" t="inlineStr">
        <is>
          <t>N</t>
        </is>
      </c>
      <c r="AD29" s="97" t="n"/>
      <c r="AE29" s="97" t="n"/>
      <c r="AF29" s="98" t="inlineStr">
        <is>
          <t>M</t>
        </is>
      </c>
      <c r="AG29" s="110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ROUND(B29*4.29,0)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97" t="n"/>
      <c r="E30" s="103" t="inlineStr">
        <is>
          <t>N</t>
        </is>
      </c>
      <c r="F30" s="97" t="n"/>
      <c r="G30" s="103" t="inlineStr">
        <is>
          <t>N</t>
        </is>
      </c>
      <c r="H30" s="97" t="n"/>
      <c r="I30" s="103" t="inlineStr">
        <is>
          <t>N</t>
        </is>
      </c>
      <c r="J30" s="104" t="inlineStr">
        <is>
          <t>T</t>
        </is>
      </c>
      <c r="K30" s="97" t="n"/>
      <c r="L30" s="103" t="inlineStr">
        <is>
          <t>N</t>
        </is>
      </c>
      <c r="M30" s="97" t="n"/>
      <c r="N30" s="97" t="n"/>
      <c r="O30" s="97" t="n"/>
      <c r="P30" s="103" t="inlineStr">
        <is>
          <t>N</t>
        </is>
      </c>
      <c r="Q30" s="104" t="inlineStr">
        <is>
          <t>T</t>
        </is>
      </c>
      <c r="R30" s="97" t="n"/>
      <c r="S30" s="97" t="n"/>
      <c r="T30" s="97" t="n"/>
      <c r="U30" s="103" t="inlineStr">
        <is>
          <t>N</t>
        </is>
      </c>
      <c r="V30" s="103" t="inlineStr">
        <is>
          <t>N</t>
        </is>
      </c>
      <c r="W30" s="97" t="n"/>
      <c r="X30" s="104" t="inlineStr">
        <is>
          <t>T</t>
        </is>
      </c>
      <c r="Y30" s="97" t="n"/>
      <c r="Z30" s="97" t="n"/>
      <c r="AA30" s="103" t="inlineStr">
        <is>
          <t>N</t>
        </is>
      </c>
      <c r="AB30" s="97" t="n"/>
      <c r="AC30" s="97" t="n"/>
      <c r="AD30" s="103" t="inlineStr">
        <is>
          <t>N</t>
        </is>
      </c>
      <c r="AE30" s="104" t="inlineStr">
        <is>
          <t>T</t>
        </is>
      </c>
      <c r="AF30" s="97" t="n"/>
      <c r="AG30" s="110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ROUND(B30*4.29,0)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104" t="inlineStr">
        <is>
          <t>T</t>
        </is>
      </c>
      <c r="D31" s="97" t="n"/>
      <c r="E31" s="98" t="inlineStr">
        <is>
          <t>M</t>
        </is>
      </c>
      <c r="F31" s="103" t="inlineStr">
        <is>
          <t>N</t>
        </is>
      </c>
      <c r="G31" s="97" t="n"/>
      <c r="H31" s="102" t="inlineStr">
        <is>
          <t>D</t>
        </is>
      </c>
      <c r="I31" s="103" t="inlineStr">
        <is>
          <t>N</t>
        </is>
      </c>
      <c r="J31" s="104" t="inlineStr">
        <is>
          <t>T</t>
        </is>
      </c>
      <c r="K31" s="104" t="inlineStr">
        <is>
          <t>T</t>
        </is>
      </c>
      <c r="L31" s="97" t="n"/>
      <c r="M31" s="97" t="n"/>
      <c r="N31" s="97" t="n"/>
      <c r="O31" s="97" t="n"/>
      <c r="P31" s="103" t="inlineStr">
        <is>
          <t>N</t>
        </is>
      </c>
      <c r="Q31" s="97" t="n"/>
      <c r="R31" s="103" t="inlineStr">
        <is>
          <t>N</t>
        </is>
      </c>
      <c r="S31" s="103" t="inlineStr">
        <is>
          <t>N</t>
        </is>
      </c>
      <c r="T31" s="97" t="n"/>
      <c r="U31" s="97" t="n"/>
      <c r="V31" s="97" t="n"/>
      <c r="W31" s="97" t="n"/>
      <c r="X31" s="102" t="inlineStr">
        <is>
          <t>D</t>
        </is>
      </c>
      <c r="Y31" s="97" t="n"/>
      <c r="Z31" s="98" t="inlineStr">
        <is>
          <t>M</t>
        </is>
      </c>
      <c r="AA31" s="102" t="inlineStr">
        <is>
          <t>D</t>
        </is>
      </c>
      <c r="AB31" s="103" t="inlineStr">
        <is>
          <t>N</t>
        </is>
      </c>
      <c r="AC31" s="104" t="inlineStr">
        <is>
          <t>T</t>
        </is>
      </c>
      <c r="AD31" s="103" t="inlineStr">
        <is>
          <t>N</t>
        </is>
      </c>
      <c r="AE31" s="97" t="n"/>
      <c r="AF31" s="103" t="inlineStr">
        <is>
          <t>N</t>
        </is>
      </c>
      <c r="AG31" s="110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ROUND(B31*4.29,0)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102" t="inlineStr">
        <is>
          <t>D</t>
        </is>
      </c>
      <c r="E32" s="98" t="inlineStr">
        <is>
          <t>M</t>
        </is>
      </c>
      <c r="F32" s="97" t="n"/>
      <c r="G32" s="98" t="inlineStr">
        <is>
          <t>M</t>
        </is>
      </c>
      <c r="H32" s="104" t="inlineStr">
        <is>
          <t>T</t>
        </is>
      </c>
      <c r="I32" s="97" t="n"/>
      <c r="J32" s="97" t="n"/>
      <c r="K32" s="97" t="n"/>
      <c r="L32" s="102" t="inlineStr">
        <is>
          <t>D</t>
        </is>
      </c>
      <c r="M32" s="97" t="n"/>
      <c r="N32" s="102" t="inlineStr">
        <is>
          <t>D</t>
        </is>
      </c>
      <c r="O32" s="102" t="inlineStr">
        <is>
          <t>D</t>
        </is>
      </c>
      <c r="P32" s="102" t="inlineStr">
        <is>
          <t>D</t>
        </is>
      </c>
      <c r="Q32" s="97" t="n"/>
      <c r="R32" s="98" t="inlineStr">
        <is>
          <t>M</t>
        </is>
      </c>
      <c r="S32" s="97" t="n"/>
      <c r="T32" s="97" t="n"/>
      <c r="U32" s="97" t="n"/>
      <c r="V32" s="102" t="inlineStr">
        <is>
          <t>D</t>
        </is>
      </c>
      <c r="W32" s="97" t="n"/>
      <c r="X32" s="97" t="n"/>
      <c r="Y32" s="104" t="inlineStr">
        <is>
          <t>T</t>
        </is>
      </c>
      <c r="Z32" s="97" t="n"/>
      <c r="AA32" s="97" t="n"/>
      <c r="AB32" s="102" t="inlineStr">
        <is>
          <t>D</t>
        </is>
      </c>
      <c r="AC32" s="104" t="inlineStr">
        <is>
          <t>T</t>
        </is>
      </c>
      <c r="AD32" s="97" t="n"/>
      <c r="AE32" s="97" t="n"/>
      <c r="AF32" s="97" t="n"/>
      <c r="AG32" s="110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ROUND(B32*4.29,0)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110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ROUND(B33*4.29,0)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102" t="inlineStr">
        <is>
          <t>D</t>
        </is>
      </c>
      <c r="D34" s="98" t="inlineStr">
        <is>
          <t>M</t>
        </is>
      </c>
      <c r="E34" s="97" t="n"/>
      <c r="F34" s="97" t="n"/>
      <c r="G34" s="97" t="n"/>
      <c r="H34" s="97" t="n"/>
      <c r="I34" s="102" t="inlineStr">
        <is>
          <t>D</t>
        </is>
      </c>
      <c r="J34" s="97" t="n"/>
      <c r="K34" s="97" t="n"/>
      <c r="L34" s="97" t="n"/>
      <c r="M34" s="102" t="inlineStr">
        <is>
          <t>D</t>
        </is>
      </c>
      <c r="N34" s="98" t="inlineStr">
        <is>
          <t>M</t>
        </is>
      </c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102" t="inlineStr">
        <is>
          <t>D</t>
        </is>
      </c>
      <c r="AE34" s="103" t="inlineStr">
        <is>
          <t>N</t>
        </is>
      </c>
      <c r="AF34" s="97" t="n"/>
      <c r="AG34" s="110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ROUND(B34*4.29,0)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103" t="inlineStr">
        <is>
          <t>N</t>
        </is>
      </c>
      <c r="E35" s="97" t="n"/>
      <c r="F35" s="103" t="inlineStr">
        <is>
          <t>N</t>
        </is>
      </c>
      <c r="G35" s="97" t="n"/>
      <c r="H35" s="103" t="inlineStr">
        <is>
          <t>N</t>
        </is>
      </c>
      <c r="I35" s="104" t="inlineStr">
        <is>
          <t>T</t>
        </is>
      </c>
      <c r="J35" s="103" t="inlineStr">
        <is>
          <t>N</t>
        </is>
      </c>
      <c r="K35" s="97" t="n"/>
      <c r="L35" s="97" t="n"/>
      <c r="M35" s="97" t="n"/>
      <c r="N35" s="97" t="n"/>
      <c r="O35" s="104" t="inlineStr">
        <is>
          <t>T</t>
        </is>
      </c>
      <c r="P35" s="102" t="inlineStr">
        <is>
          <t>D</t>
        </is>
      </c>
      <c r="Q35" s="97" t="n"/>
      <c r="R35" s="97" t="n"/>
      <c r="S35" s="103" t="inlineStr">
        <is>
          <t>N</t>
        </is>
      </c>
      <c r="T35" s="97" t="n"/>
      <c r="U35" s="97" t="n"/>
      <c r="V35" s="97" t="n"/>
      <c r="W35" s="97" t="n"/>
      <c r="X35" s="98" t="inlineStr">
        <is>
          <t>M</t>
        </is>
      </c>
      <c r="Y35" s="104" t="inlineStr">
        <is>
          <t>T</t>
        </is>
      </c>
      <c r="Z35" s="97" t="n"/>
      <c r="AA35" s="104" t="inlineStr">
        <is>
          <t>T</t>
        </is>
      </c>
      <c r="AB35" s="103" t="inlineStr">
        <is>
          <t>N</t>
        </is>
      </c>
      <c r="AC35" s="103" t="inlineStr">
        <is>
          <t>N</t>
        </is>
      </c>
      <c r="AD35" s="97" t="n"/>
      <c r="AE35" s="104" t="inlineStr">
        <is>
          <t>T</t>
        </is>
      </c>
      <c r="AF35" s="104" t="inlineStr">
        <is>
          <t>T</t>
        </is>
      </c>
      <c r="AG35" s="110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ROUND(B35*4.29,0)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102" t="inlineStr">
        <is>
          <t>D</t>
        </is>
      </c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104" t="inlineStr">
        <is>
          <t>T</t>
        </is>
      </c>
      <c r="S36" s="98" t="inlineStr">
        <is>
          <t>M</t>
        </is>
      </c>
      <c r="T36" s="102" t="inlineStr">
        <is>
          <t>D</t>
        </is>
      </c>
      <c r="U36" s="97" t="n"/>
      <c r="V36" s="102" t="inlineStr">
        <is>
          <t>D</t>
        </is>
      </c>
      <c r="W36" s="103" t="inlineStr">
        <is>
          <t>N</t>
        </is>
      </c>
      <c r="X36" s="104" t="inlineStr">
        <is>
          <t>T</t>
        </is>
      </c>
      <c r="Y36" s="97" t="n"/>
      <c r="Z36" s="97" t="n"/>
      <c r="AA36" s="97" t="n"/>
      <c r="AB36" s="97" t="n"/>
      <c r="AC36" s="97" t="n"/>
      <c r="AD36" s="97" t="n"/>
      <c r="AE36" s="97" t="n"/>
      <c r="AF36" s="104" t="inlineStr">
        <is>
          <t>T</t>
        </is>
      </c>
      <c r="AG36" s="110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ROUND(B36*4.29,0)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103" t="inlineStr">
        <is>
          <t>N</t>
        </is>
      </c>
      <c r="D37" s="97" t="n"/>
      <c r="E37" s="104" t="inlineStr">
        <is>
          <t>T</t>
        </is>
      </c>
      <c r="F37" s="97" t="n"/>
      <c r="G37" s="102" t="inlineStr">
        <is>
          <t>D</t>
        </is>
      </c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8" t="inlineStr">
        <is>
          <t>M</t>
        </is>
      </c>
      <c r="Z37" s="102" t="inlineStr">
        <is>
          <t>D</t>
        </is>
      </c>
      <c r="AA37" s="98" t="inlineStr">
        <is>
          <t>M</t>
        </is>
      </c>
      <c r="AB37" s="97" t="n"/>
      <c r="AC37" s="98" t="inlineStr">
        <is>
          <t>M</t>
        </is>
      </c>
      <c r="AD37" s="102" t="inlineStr">
        <is>
          <t>D</t>
        </is>
      </c>
      <c r="AE37" s="102" t="inlineStr">
        <is>
          <t>D</t>
        </is>
      </c>
      <c r="AF37" s="97" t="n"/>
      <c r="AG37" s="110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ROUND(B37*4.29,0)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110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ROUND(B38*4.29,0)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102" t="inlineStr">
        <is>
          <t>D</t>
        </is>
      </c>
      <c r="D39" s="97" t="n"/>
      <c r="E39" s="97" t="n"/>
      <c r="F39" s="97" t="n"/>
      <c r="G39" s="97" t="n"/>
      <c r="H39" s="97" t="n"/>
      <c r="I39" s="97" t="n"/>
      <c r="J39" s="102" t="inlineStr">
        <is>
          <t>D</t>
        </is>
      </c>
      <c r="K39" s="97" t="n"/>
      <c r="L39" s="103" t="inlineStr">
        <is>
          <t>N</t>
        </is>
      </c>
      <c r="M39" s="97" t="n"/>
      <c r="N39" s="97" t="n"/>
      <c r="O39" s="97" t="n"/>
      <c r="P39" s="97" t="n"/>
      <c r="Q39" s="102" t="inlineStr">
        <is>
          <t>D</t>
        </is>
      </c>
      <c r="R39" s="97" t="n"/>
      <c r="S39" s="97" t="n"/>
      <c r="T39" s="103" t="inlineStr">
        <is>
          <t>N</t>
        </is>
      </c>
      <c r="U39" s="97" t="n"/>
      <c r="V39" s="97" t="n"/>
      <c r="W39" s="98" t="inlineStr">
        <is>
          <t>M</t>
        </is>
      </c>
      <c r="X39" s="98" t="inlineStr">
        <is>
          <t>M</t>
        </is>
      </c>
      <c r="Y39" s="97" t="n"/>
      <c r="Z39" s="97" t="n"/>
      <c r="AA39" s="103" t="inlineStr">
        <is>
          <t>N</t>
        </is>
      </c>
      <c r="AB39" s="97" t="n"/>
      <c r="AC39" s="104" t="inlineStr">
        <is>
          <t>T</t>
        </is>
      </c>
      <c r="AD39" s="104" t="inlineStr">
        <is>
          <t>T</t>
        </is>
      </c>
      <c r="AE39" s="97" t="n"/>
      <c r="AF39" s="97" t="n"/>
      <c r="AG39" s="110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ROUND(B39*4.29,0)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8" t="inlineStr">
        <is>
          <t>M</t>
        </is>
      </c>
      <c r="D40" s="104" t="inlineStr">
        <is>
          <t>T</t>
        </is>
      </c>
      <c r="E40" s="98" t="inlineStr">
        <is>
          <t>M</t>
        </is>
      </c>
      <c r="F40" s="98" t="inlineStr">
        <is>
          <t>M</t>
        </is>
      </c>
      <c r="G40" s="97" t="n"/>
      <c r="H40" s="98" t="inlineStr">
        <is>
          <t>M</t>
        </is>
      </c>
      <c r="I40" s="98" t="inlineStr">
        <is>
          <t>M</t>
        </is>
      </c>
      <c r="J40" s="98" t="inlineStr">
        <is>
          <t>M</t>
        </is>
      </c>
      <c r="K40" s="104" t="inlineStr">
        <is>
          <t>T</t>
        </is>
      </c>
      <c r="L40" s="98" t="inlineStr">
        <is>
          <t>M</t>
        </is>
      </c>
      <c r="M40" s="98" t="inlineStr">
        <is>
          <t>M</t>
        </is>
      </c>
      <c r="N40" s="97" t="n"/>
      <c r="O40" s="98" t="inlineStr">
        <is>
          <t>M</t>
        </is>
      </c>
      <c r="P40" s="98" t="inlineStr">
        <is>
          <t>M</t>
        </is>
      </c>
      <c r="Q40" s="98" t="inlineStr">
        <is>
          <t>M</t>
        </is>
      </c>
      <c r="R40" s="104" t="inlineStr">
        <is>
          <t>T</t>
        </is>
      </c>
      <c r="S40" s="102" t="inlineStr">
        <is>
          <t>D</t>
        </is>
      </c>
      <c r="T40" s="97" t="n"/>
      <c r="U40" s="97" t="n"/>
      <c r="V40" s="98" t="inlineStr">
        <is>
          <t>M</t>
        </is>
      </c>
      <c r="W40" s="102" t="inlineStr">
        <is>
          <t>D</t>
        </is>
      </c>
      <c r="X40" s="98" t="inlineStr">
        <is>
          <t>M</t>
        </is>
      </c>
      <c r="Y40" s="97" t="n"/>
      <c r="Z40" s="98" t="inlineStr">
        <is>
          <t>M</t>
        </is>
      </c>
      <c r="AA40" s="98" t="inlineStr">
        <is>
          <t>M</t>
        </is>
      </c>
      <c r="AB40" s="97" t="n"/>
      <c r="AC40" s="98" t="inlineStr">
        <is>
          <t>M</t>
        </is>
      </c>
      <c r="AD40" s="98" t="inlineStr">
        <is>
          <t>M</t>
        </is>
      </c>
      <c r="AE40" s="98" t="inlineStr">
        <is>
          <t>M</t>
        </is>
      </c>
      <c r="AF40" s="97" t="n"/>
      <c r="AG40" s="110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ROUND(B40*4.29,0)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104" t="inlineStr">
        <is>
          <t>T</t>
        </is>
      </c>
      <c r="I41" s="104" t="inlineStr">
        <is>
          <t>T</t>
        </is>
      </c>
      <c r="J41" s="97" t="n"/>
      <c r="K41" s="97" t="n"/>
      <c r="L41" s="102" t="inlineStr">
        <is>
          <t>D</t>
        </is>
      </c>
      <c r="M41" s="97" t="n"/>
      <c r="N41" s="97" t="n"/>
      <c r="O41" s="97" t="n"/>
      <c r="P41" s="97" t="n"/>
      <c r="Q41" s="97" t="n"/>
      <c r="R41" s="97" t="n"/>
      <c r="S41" s="103" t="inlineStr">
        <is>
          <t>N</t>
        </is>
      </c>
      <c r="T41" s="97" t="n"/>
      <c r="U41" s="102" t="inlineStr">
        <is>
          <t>D</t>
        </is>
      </c>
      <c r="V41" s="97" t="n"/>
      <c r="W41" s="102" t="inlineStr">
        <is>
          <t>D</t>
        </is>
      </c>
      <c r="X41" s="97" t="n"/>
      <c r="Y41" s="97" t="n"/>
      <c r="Z41" s="97" t="n"/>
      <c r="AA41" s="97" t="n"/>
      <c r="AB41" s="102" t="inlineStr">
        <is>
          <t>D</t>
        </is>
      </c>
      <c r="AC41" s="102" t="inlineStr">
        <is>
          <t>D</t>
        </is>
      </c>
      <c r="AD41" s="103" t="inlineStr">
        <is>
          <t>N</t>
        </is>
      </c>
      <c r="AE41" s="97" t="n"/>
      <c r="AF41" s="97" t="n"/>
      <c r="AG41" s="110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ROUND(B41*4.29,0)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104" t="inlineStr">
        <is>
          <t>T</t>
        </is>
      </c>
      <c r="D42" s="104" t="inlineStr">
        <is>
          <t>T</t>
        </is>
      </c>
      <c r="E42" s="97" t="n"/>
      <c r="F42" s="104" t="inlineStr">
        <is>
          <t>T</t>
        </is>
      </c>
      <c r="G42" s="104" t="inlineStr">
        <is>
          <t>T</t>
        </is>
      </c>
      <c r="H42" s="97" t="n"/>
      <c r="I42" s="97" t="n"/>
      <c r="J42" s="104" t="inlineStr">
        <is>
          <t>T</t>
        </is>
      </c>
      <c r="K42" s="104" t="inlineStr">
        <is>
          <t>T</t>
        </is>
      </c>
      <c r="L42" s="97" t="n"/>
      <c r="M42" s="103" t="inlineStr">
        <is>
          <t>N</t>
        </is>
      </c>
      <c r="N42" s="97" t="n"/>
      <c r="O42" s="97" t="n"/>
      <c r="P42" s="102" t="inlineStr">
        <is>
          <t>D</t>
        </is>
      </c>
      <c r="Q42" s="97" t="n"/>
      <c r="R42" s="102" t="inlineStr">
        <is>
          <t>D</t>
        </is>
      </c>
      <c r="S42" s="97" t="n"/>
      <c r="T42" s="97" t="n"/>
      <c r="U42" s="97" t="n"/>
      <c r="V42" s="97" t="n"/>
      <c r="W42" s="104" t="inlineStr">
        <is>
          <t>T</t>
        </is>
      </c>
      <c r="X42" s="104" t="inlineStr">
        <is>
          <t>T</t>
        </is>
      </c>
      <c r="Y42" s="102" t="inlineStr">
        <is>
          <t>D</t>
        </is>
      </c>
      <c r="Z42" s="97" t="n"/>
      <c r="AA42" s="97" t="n"/>
      <c r="AB42" s="97" t="n"/>
      <c r="AC42" s="104" t="inlineStr">
        <is>
          <t>T</t>
        </is>
      </c>
      <c r="AD42" s="98" t="inlineStr">
        <is>
          <t>M</t>
        </is>
      </c>
      <c r="AE42" s="97" t="n"/>
      <c r="AF42" s="97" t="n"/>
      <c r="AG42" s="110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ROUND(B42*4.29,0)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103" t="inlineStr">
        <is>
          <t>N</t>
        </is>
      </c>
      <c r="F43" s="97" t="n"/>
      <c r="G43" s="103" t="inlineStr">
        <is>
          <t>N</t>
        </is>
      </c>
      <c r="H43" s="97" t="n"/>
      <c r="I43" s="103" t="inlineStr">
        <is>
          <t>N</t>
        </is>
      </c>
      <c r="J43" s="97" t="n"/>
      <c r="K43" s="103" t="inlineStr">
        <is>
          <t>N</t>
        </is>
      </c>
      <c r="L43" s="97" t="n"/>
      <c r="M43" s="97" t="n"/>
      <c r="N43" s="97" t="n"/>
      <c r="O43" s="97" t="n"/>
      <c r="P43" s="103" t="inlineStr">
        <is>
          <t>N</t>
        </is>
      </c>
      <c r="Q43" s="97" t="n"/>
      <c r="R43" s="97" t="n"/>
      <c r="S43" s="97" t="n"/>
      <c r="T43" s="103" t="inlineStr">
        <is>
          <t>N</t>
        </is>
      </c>
      <c r="U43" s="97" t="n"/>
      <c r="V43" s="103" t="inlineStr">
        <is>
          <t>N</t>
        </is>
      </c>
      <c r="W43" s="97" t="n"/>
      <c r="X43" s="97" t="n"/>
      <c r="Y43" s="103" t="inlineStr">
        <is>
          <t>N</t>
        </is>
      </c>
      <c r="Z43" s="97" t="n"/>
      <c r="AA43" s="97" t="n"/>
      <c r="AB43" s="97" t="n"/>
      <c r="AC43" s="103" t="inlineStr">
        <is>
          <t>N</t>
        </is>
      </c>
      <c r="AD43" s="97" t="n"/>
      <c r="AE43" s="97" t="n"/>
      <c r="AF43" s="97" t="n"/>
      <c r="AG43" s="110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ROUND(B43*4.29,0)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8" t="inlineStr">
        <is>
          <t>M</t>
        </is>
      </c>
      <c r="F44" s="102" t="inlineStr">
        <is>
          <t>D</t>
        </is>
      </c>
      <c r="G44" s="97" t="n"/>
      <c r="H44" s="97" t="n"/>
      <c r="I44" s="102" t="inlineStr">
        <is>
          <t>D</t>
        </is>
      </c>
      <c r="J44" s="102" t="inlineStr">
        <is>
          <t>D</t>
        </is>
      </c>
      <c r="K44" s="97" t="n"/>
      <c r="L44" s="97" t="n"/>
      <c r="M44" s="97" t="n"/>
      <c r="N44" s="97" t="n"/>
      <c r="O44" s="97" t="n"/>
      <c r="P44" s="102" t="inlineStr">
        <is>
          <t>D</t>
        </is>
      </c>
      <c r="Q44" s="97" t="n"/>
      <c r="R44" s="97" t="n"/>
      <c r="S44" s="97" t="n"/>
      <c r="T44" s="97" t="n"/>
      <c r="U44" s="102" t="inlineStr">
        <is>
          <t>D</t>
        </is>
      </c>
      <c r="V44" s="97" t="n"/>
      <c r="W44" s="102" t="inlineStr">
        <is>
          <t>D</t>
        </is>
      </c>
      <c r="X44" s="102" t="inlineStr">
        <is>
          <t>D</t>
        </is>
      </c>
      <c r="Y44" s="97" t="n"/>
      <c r="Z44" s="97" t="n"/>
      <c r="AA44" s="97" t="n"/>
      <c r="AB44" s="97" t="n"/>
      <c r="AC44" s="97" t="n"/>
      <c r="AD44" s="102" t="inlineStr">
        <is>
          <t>D</t>
        </is>
      </c>
      <c r="AE44" s="102" t="inlineStr">
        <is>
          <t>D</t>
        </is>
      </c>
      <c r="AF44" s="97" t="n"/>
      <c r="AG44" s="110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ROUND(B44*4.29,0)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8" t="inlineStr">
        <is>
          <t>M</t>
        </is>
      </c>
      <c r="E45" s="98" t="inlineStr">
        <is>
          <t>M</t>
        </is>
      </c>
      <c r="F45" s="97" t="n"/>
      <c r="G45" s="98" t="inlineStr">
        <is>
          <t>M</t>
        </is>
      </c>
      <c r="H45" s="98" t="inlineStr">
        <is>
          <t>M</t>
        </is>
      </c>
      <c r="I45" s="98" t="inlineStr">
        <is>
          <t>M</t>
        </is>
      </c>
      <c r="J45" s="97" t="n"/>
      <c r="K45" s="98" t="inlineStr">
        <is>
          <t>M</t>
        </is>
      </c>
      <c r="L45" s="97" t="n"/>
      <c r="M45" s="97" t="n"/>
      <c r="N45" s="98" t="inlineStr">
        <is>
          <t>M</t>
        </is>
      </c>
      <c r="O45" s="97" t="n"/>
      <c r="P45" s="98" t="inlineStr">
        <is>
          <t>M</t>
        </is>
      </c>
      <c r="Q45" s="97" t="n"/>
      <c r="R45" s="98" t="inlineStr">
        <is>
          <t>M</t>
        </is>
      </c>
      <c r="S45" s="97" t="n"/>
      <c r="T45" s="103" t="inlineStr">
        <is>
          <t>N</t>
        </is>
      </c>
      <c r="U45" s="97" t="n"/>
      <c r="V45" s="98" t="inlineStr">
        <is>
          <t>M</t>
        </is>
      </c>
      <c r="W45" s="97" t="n"/>
      <c r="X45" s="97" t="n"/>
      <c r="Y45" s="98" t="inlineStr">
        <is>
          <t>M</t>
        </is>
      </c>
      <c r="Z45" s="103" t="inlineStr">
        <is>
          <t>N</t>
        </is>
      </c>
      <c r="AA45" s="97" t="n"/>
      <c r="AB45" s="97" t="n"/>
      <c r="AC45" s="98" t="inlineStr">
        <is>
          <t>M</t>
        </is>
      </c>
      <c r="AD45" s="98" t="inlineStr">
        <is>
          <t>M</t>
        </is>
      </c>
      <c r="AE45" s="97" t="n"/>
      <c r="AF45" s="98" t="inlineStr">
        <is>
          <t>M</t>
        </is>
      </c>
      <c r="AG45" s="110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ROUND(B45*4.29,0)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102" t="inlineStr">
        <is>
          <t>D</t>
        </is>
      </c>
      <c r="D46" s="97" t="n"/>
      <c r="E46" s="103" t="inlineStr">
        <is>
          <t>N</t>
        </is>
      </c>
      <c r="F46" s="97" t="n"/>
      <c r="G46" s="97" t="n"/>
      <c r="H46" s="103" t="inlineStr">
        <is>
          <t>N</t>
        </is>
      </c>
      <c r="I46" s="97" t="n"/>
      <c r="J46" s="102" t="inlineStr">
        <is>
          <t>D</t>
        </is>
      </c>
      <c r="K46" s="97" t="n"/>
      <c r="L46" s="97" t="n"/>
      <c r="M46" s="97" t="n"/>
      <c r="N46" s="97" t="n"/>
      <c r="O46" s="97" t="n"/>
      <c r="P46" s="97" t="n"/>
      <c r="Q46" s="98" t="inlineStr">
        <is>
          <t>M</t>
        </is>
      </c>
      <c r="R46" s="97" t="n"/>
      <c r="S46" s="97" t="n"/>
      <c r="T46" s="103" t="inlineStr">
        <is>
          <t>N</t>
        </is>
      </c>
      <c r="U46" s="104" t="inlineStr">
        <is>
          <t>T</t>
        </is>
      </c>
      <c r="V46" s="97" t="n"/>
      <c r="W46" s="97" t="n"/>
      <c r="X46" s="102" t="inlineStr">
        <is>
          <t>D</t>
        </is>
      </c>
      <c r="Y46" s="97" t="n"/>
      <c r="Z46" s="103" t="inlineStr">
        <is>
          <t>N</t>
        </is>
      </c>
      <c r="AA46" s="97" t="n"/>
      <c r="AB46" s="97" t="n"/>
      <c r="AC46" s="97" t="n"/>
      <c r="AD46" s="97" t="n"/>
      <c r="AE46" s="102" t="inlineStr">
        <is>
          <t>D</t>
        </is>
      </c>
      <c r="AF46" s="97" t="n"/>
      <c r="AG46" s="110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ROUND(B46*4.29,0)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97" t="n"/>
      <c r="F47" s="97" t="n"/>
      <c r="G47" s="97" t="n"/>
      <c r="H47" s="97" t="n"/>
      <c r="I47" s="103" t="inlineStr">
        <is>
          <t>N</t>
        </is>
      </c>
      <c r="J47" s="97" t="n"/>
      <c r="K47" s="97" t="n"/>
      <c r="L47" s="103" t="inlineStr">
        <is>
          <t>N</t>
        </is>
      </c>
      <c r="M47" s="97" t="n"/>
      <c r="N47" s="97" t="n"/>
      <c r="O47" s="97" t="n"/>
      <c r="P47" s="97" t="n"/>
      <c r="Q47" s="97" t="n"/>
      <c r="R47" s="97" t="n"/>
      <c r="S47" s="97" t="n"/>
      <c r="T47" s="102" t="inlineStr">
        <is>
          <t>D</t>
        </is>
      </c>
      <c r="U47" s="102" t="inlineStr">
        <is>
          <t>D</t>
        </is>
      </c>
      <c r="V47" s="97" t="n"/>
      <c r="W47" s="103" t="inlineStr">
        <is>
          <t>N</t>
        </is>
      </c>
      <c r="X47" s="97" t="n"/>
      <c r="Y47" s="102" t="inlineStr">
        <is>
          <t>D</t>
        </is>
      </c>
      <c r="Z47" s="97" t="n"/>
      <c r="AA47" s="97" t="n"/>
      <c r="AB47" s="97" t="n"/>
      <c r="AC47" s="97" t="n"/>
      <c r="AD47" s="103" t="inlineStr">
        <is>
          <t>N</t>
        </is>
      </c>
      <c r="AE47" s="97" t="n"/>
      <c r="AF47" s="97" t="n"/>
      <c r="AG47" s="110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ROUND(B47*4.29,0)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110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ROUND(B48*4.29,0)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104" t="inlineStr">
        <is>
          <t>T</t>
        </is>
      </c>
      <c r="F49" s="102" t="inlineStr">
        <is>
          <t>D</t>
        </is>
      </c>
      <c r="G49" s="102" t="inlineStr">
        <is>
          <t>D</t>
        </is>
      </c>
      <c r="H49" s="102" t="inlineStr">
        <is>
          <t>D</t>
        </is>
      </c>
      <c r="I49" s="97" t="n"/>
      <c r="J49" s="102" t="inlineStr">
        <is>
          <t>D</t>
        </is>
      </c>
      <c r="K49" s="97" t="n"/>
      <c r="L49" s="97" t="n"/>
      <c r="M49" s="104" t="inlineStr">
        <is>
          <t>T</t>
        </is>
      </c>
      <c r="N49" s="97" t="n"/>
      <c r="O49" s="102" t="inlineStr">
        <is>
          <t>D</t>
        </is>
      </c>
      <c r="P49" s="97" t="n"/>
      <c r="Q49" s="102" t="inlineStr">
        <is>
          <t>D</t>
        </is>
      </c>
      <c r="R49" s="98" t="inlineStr">
        <is>
          <t>M</t>
        </is>
      </c>
      <c r="S49" s="97" t="n"/>
      <c r="T49" s="97" t="n"/>
      <c r="U49" s="97" t="n"/>
      <c r="V49" s="104" t="inlineStr">
        <is>
          <t>T</t>
        </is>
      </c>
      <c r="W49" s="97" t="n"/>
      <c r="X49" s="102" t="inlineStr">
        <is>
          <t>D</t>
        </is>
      </c>
      <c r="Y49" s="97" t="n"/>
      <c r="Z49" s="103" t="inlineStr">
        <is>
          <t>N</t>
        </is>
      </c>
      <c r="AA49" s="97" t="n"/>
      <c r="AB49" s="97" t="n"/>
      <c r="AC49" s="102" t="inlineStr">
        <is>
          <t>D</t>
        </is>
      </c>
      <c r="AD49" s="97" t="n"/>
      <c r="AE49" s="102" t="inlineStr">
        <is>
          <t>D</t>
        </is>
      </c>
      <c r="AF49" s="98" t="inlineStr">
        <is>
          <t>M</t>
        </is>
      </c>
      <c r="AG49" s="110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ROUND(B49*4.29,0)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97" t="n"/>
      <c r="F50" s="97" t="n"/>
      <c r="G50" s="97" t="n"/>
      <c r="H50" s="97" t="n"/>
      <c r="I50" s="104" t="inlineStr">
        <is>
          <t>T</t>
        </is>
      </c>
      <c r="J50" s="97" t="n"/>
      <c r="K50" s="97" t="n"/>
      <c r="L50" s="102" t="inlineStr">
        <is>
          <t>D</t>
        </is>
      </c>
      <c r="M50" s="104" t="inlineStr">
        <is>
          <t>T</t>
        </is>
      </c>
      <c r="N50" s="97" t="n"/>
      <c r="O50" s="97" t="n"/>
      <c r="P50" s="98" t="inlineStr">
        <is>
          <t>M</t>
        </is>
      </c>
      <c r="Q50" s="97" t="n"/>
      <c r="R50" s="97" t="n"/>
      <c r="S50" s="103" t="inlineStr">
        <is>
          <t>N</t>
        </is>
      </c>
      <c r="T50" s="97" t="n"/>
      <c r="U50" s="98" t="inlineStr">
        <is>
          <t>M</t>
        </is>
      </c>
      <c r="V50" s="97" t="n"/>
      <c r="W50" s="102" t="inlineStr">
        <is>
          <t>D</t>
        </is>
      </c>
      <c r="X50" s="97" t="n"/>
      <c r="Y50" s="97" t="n"/>
      <c r="Z50" s="104" t="inlineStr">
        <is>
          <t>T</t>
        </is>
      </c>
      <c r="AA50" s="97" t="n"/>
      <c r="AB50" s="98" t="inlineStr">
        <is>
          <t>M</t>
        </is>
      </c>
      <c r="AC50" s="97" t="n"/>
      <c r="AD50" s="102" t="inlineStr">
        <is>
          <t>D</t>
        </is>
      </c>
      <c r="AE50" s="97" t="n"/>
      <c r="AF50" s="97" t="n"/>
      <c r="AG50" s="110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ROUND(B50*4.29,0)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110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ROUND(B51*4.29,0)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103" t="inlineStr">
        <is>
          <t>N</t>
        </is>
      </c>
      <c r="E52" s="97" t="n"/>
      <c r="F52" s="97" t="n"/>
      <c r="G52" s="97" t="n"/>
      <c r="H52" s="103" t="inlineStr">
        <is>
          <t>N</t>
        </is>
      </c>
      <c r="I52" s="97" t="n"/>
      <c r="J52" s="97" t="n"/>
      <c r="K52" s="97" t="n"/>
      <c r="L52" s="97" t="n"/>
      <c r="M52" s="103" t="inlineStr">
        <is>
          <t>N</t>
        </is>
      </c>
      <c r="N52" s="97" t="n"/>
      <c r="O52" s="103" t="inlineStr">
        <is>
          <t>N</t>
        </is>
      </c>
      <c r="P52" s="97" t="n"/>
      <c r="Q52" s="97" t="n"/>
      <c r="R52" s="103" t="inlineStr">
        <is>
          <t>N</t>
        </is>
      </c>
      <c r="S52" s="97" t="n"/>
      <c r="T52" s="97" t="n"/>
      <c r="U52" s="97" t="n"/>
      <c r="V52" s="97" t="n"/>
      <c r="W52" s="103" t="inlineStr">
        <is>
          <t>N</t>
        </is>
      </c>
      <c r="X52" s="97" t="n"/>
      <c r="Y52" s="97" t="n"/>
      <c r="Z52" s="97" t="n"/>
      <c r="AA52" s="103" t="inlineStr">
        <is>
          <t>N</t>
        </is>
      </c>
      <c r="AB52" s="97" t="n"/>
      <c r="AC52" s="103" t="inlineStr">
        <is>
          <t>N</t>
        </is>
      </c>
      <c r="AD52" s="97" t="n"/>
      <c r="AE52" s="97" t="n"/>
      <c r="AF52" s="97" t="n"/>
      <c r="AG52" s="110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ROUND(B52*4.29,0)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102" t="inlineStr">
        <is>
          <t>D</t>
        </is>
      </c>
      <c r="F53" s="97" t="n"/>
      <c r="G53" s="97" t="n"/>
      <c r="H53" s="98" t="inlineStr">
        <is>
          <t>M</t>
        </is>
      </c>
      <c r="I53" s="98" t="inlineStr">
        <is>
          <t>M</t>
        </is>
      </c>
      <c r="J53" s="97" t="n"/>
      <c r="K53" s="97" t="n"/>
      <c r="L53" s="97" t="n"/>
      <c r="M53" s="103" t="inlineStr">
        <is>
          <t>N</t>
        </is>
      </c>
      <c r="N53" s="97" t="n"/>
      <c r="O53" s="98" t="inlineStr">
        <is>
          <t>M</t>
        </is>
      </c>
      <c r="P53" s="103" t="inlineStr">
        <is>
          <t>N</t>
        </is>
      </c>
      <c r="Q53" s="97" t="n"/>
      <c r="R53" s="104" t="inlineStr">
        <is>
          <t>T</t>
        </is>
      </c>
      <c r="S53" s="97" t="n"/>
      <c r="T53" s="97" t="n"/>
      <c r="U53" s="97" t="n"/>
      <c r="V53" s="97" t="n"/>
      <c r="W53" s="97" t="n"/>
      <c r="X53" s="103" t="inlineStr">
        <is>
          <t>N</t>
        </is>
      </c>
      <c r="Y53" s="97" t="n"/>
      <c r="Z53" s="97" t="n"/>
      <c r="AA53" s="103" t="inlineStr">
        <is>
          <t>N</t>
        </is>
      </c>
      <c r="AB53" s="97" t="n"/>
      <c r="AC53" s="98" t="inlineStr">
        <is>
          <t>M</t>
        </is>
      </c>
      <c r="AD53" s="98" t="inlineStr">
        <is>
          <t>M</t>
        </is>
      </c>
      <c r="AE53" s="97" t="n"/>
      <c r="AF53" s="97" t="n"/>
      <c r="AG53" s="110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ROUND(B53*4.29,0)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103" t="inlineStr">
        <is>
          <t>N</t>
        </is>
      </c>
      <c r="F54" s="103" t="inlineStr">
        <is>
          <t>N</t>
        </is>
      </c>
      <c r="G54" s="97" t="n"/>
      <c r="H54" s="97" t="n"/>
      <c r="I54" s="97" t="n"/>
      <c r="J54" s="97" t="n"/>
      <c r="K54" s="103" t="inlineStr">
        <is>
          <t>N</t>
        </is>
      </c>
      <c r="L54" s="97" t="n"/>
      <c r="M54" s="103" t="inlineStr">
        <is>
          <t>N</t>
        </is>
      </c>
      <c r="N54" s="97" t="n"/>
      <c r="O54" s="97" t="n"/>
      <c r="P54" s="97" t="n"/>
      <c r="Q54" s="97" t="n"/>
      <c r="R54" s="103" t="inlineStr">
        <is>
          <t>N</t>
        </is>
      </c>
      <c r="S54" s="97" t="n"/>
      <c r="T54" s="97" t="n"/>
      <c r="U54" s="103" t="inlineStr">
        <is>
          <t>N</t>
        </is>
      </c>
      <c r="V54" s="104" t="inlineStr">
        <is>
          <t>T</t>
        </is>
      </c>
      <c r="W54" s="97" t="n"/>
      <c r="X54" s="97" t="n"/>
      <c r="Y54" s="103" t="inlineStr">
        <is>
          <t>N</t>
        </is>
      </c>
      <c r="Z54" s="97" t="n"/>
      <c r="AA54" s="97" t="n"/>
      <c r="AB54" s="97" t="n"/>
      <c r="AC54" s="97" t="n"/>
      <c r="AD54" s="97" t="n"/>
      <c r="AE54" s="97" t="n"/>
      <c r="AF54" s="103" t="inlineStr">
        <is>
          <t>N</t>
        </is>
      </c>
      <c r="AG54" s="110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ROUND(B54*4.29,0)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8" t="inlineStr">
        <is>
          <t>M</t>
        </is>
      </c>
      <c r="F55" s="98" t="inlineStr">
        <is>
          <t>M</t>
        </is>
      </c>
      <c r="G55" s="97" t="n"/>
      <c r="H55" s="97" t="n"/>
      <c r="I55" s="98" t="inlineStr">
        <is>
          <t>M</t>
        </is>
      </c>
      <c r="J55" s="97" t="n"/>
      <c r="K55" s="98" t="inlineStr">
        <is>
          <t>M</t>
        </is>
      </c>
      <c r="L55" s="97" t="n"/>
      <c r="M55" s="98" t="inlineStr">
        <is>
          <t>M</t>
        </is>
      </c>
      <c r="N55" s="98" t="inlineStr">
        <is>
          <t>M</t>
        </is>
      </c>
      <c r="O55" s="98" t="inlineStr">
        <is>
          <t>M</t>
        </is>
      </c>
      <c r="P55" s="98" t="inlineStr">
        <is>
          <t>M</t>
        </is>
      </c>
      <c r="Q55" s="97" t="n"/>
      <c r="R55" s="97" t="n"/>
      <c r="S55" s="103" t="inlineStr">
        <is>
          <t>N</t>
        </is>
      </c>
      <c r="T55" s="97" t="n"/>
      <c r="U55" s="97" t="n"/>
      <c r="V55" s="98" t="inlineStr">
        <is>
          <t>M</t>
        </is>
      </c>
      <c r="W55" s="98" t="inlineStr">
        <is>
          <t>M</t>
        </is>
      </c>
      <c r="X55" s="98" t="inlineStr">
        <is>
          <t>M</t>
        </is>
      </c>
      <c r="Y55" s="97" t="n"/>
      <c r="Z55" s="97" t="n"/>
      <c r="AA55" s="97" t="n"/>
      <c r="AB55" s="97" t="n"/>
      <c r="AC55" s="98" t="inlineStr">
        <is>
          <t>M</t>
        </is>
      </c>
      <c r="AD55" s="97" t="n"/>
      <c r="AE55" s="98" t="inlineStr">
        <is>
          <t>M</t>
        </is>
      </c>
      <c r="AF55" s="98" t="inlineStr">
        <is>
          <t>M</t>
        </is>
      </c>
      <c r="AG55" s="110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ROUND(B55*4.29,0)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104" t="inlineStr">
        <is>
          <t>T</t>
        </is>
      </c>
      <c r="F56" s="102" t="inlineStr">
        <is>
          <t>D</t>
        </is>
      </c>
      <c r="G56" s="97" t="n"/>
      <c r="H56" s="97" t="n"/>
      <c r="I56" s="102" t="inlineStr">
        <is>
          <t>D</t>
        </is>
      </c>
      <c r="J56" s="97" t="n"/>
      <c r="K56" s="102" t="inlineStr">
        <is>
          <t>D</t>
        </is>
      </c>
      <c r="L56" s="97" t="n"/>
      <c r="M56" s="97" t="n"/>
      <c r="N56" s="97" t="n"/>
      <c r="O56" s="97" t="n"/>
      <c r="P56" s="97" t="n"/>
      <c r="Q56" s="97" t="n"/>
      <c r="R56" s="104" t="inlineStr">
        <is>
          <t>T</t>
        </is>
      </c>
      <c r="S56" s="97" t="n"/>
      <c r="T56" s="102" t="inlineStr">
        <is>
          <t>D</t>
        </is>
      </c>
      <c r="U56" s="98" t="inlineStr">
        <is>
          <t>M</t>
        </is>
      </c>
      <c r="V56" s="97" t="n"/>
      <c r="W56" s="97" t="n"/>
      <c r="X56" s="97" t="n"/>
      <c r="Y56" s="102" t="inlineStr">
        <is>
          <t>D</t>
        </is>
      </c>
      <c r="Z56" s="103" t="inlineStr">
        <is>
          <t>N</t>
        </is>
      </c>
      <c r="AA56" s="97" t="n"/>
      <c r="AB56" s="97" t="n"/>
      <c r="AC56" s="97" t="n"/>
      <c r="AD56" s="104" t="inlineStr">
        <is>
          <t>T</t>
        </is>
      </c>
      <c r="AE56" s="97" t="n"/>
      <c r="AF56" s="97" t="n"/>
      <c r="AG56" s="110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ROUND(B56*4.29,0)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103" t="inlineStr">
        <is>
          <t>N</t>
        </is>
      </c>
      <c r="D57" s="97" t="n"/>
      <c r="E57" s="103" t="inlineStr">
        <is>
          <t>N</t>
        </is>
      </c>
      <c r="F57" s="97" t="n"/>
      <c r="G57" s="97" t="n"/>
      <c r="H57" s="97" t="n"/>
      <c r="I57" s="97" t="n"/>
      <c r="J57" s="97" t="n"/>
      <c r="K57" s="103" t="inlineStr">
        <is>
          <t>N</t>
        </is>
      </c>
      <c r="L57" s="97" t="n"/>
      <c r="M57" s="98" t="inlineStr">
        <is>
          <t>M</t>
        </is>
      </c>
      <c r="N57" s="104" t="inlineStr">
        <is>
          <t>T</t>
        </is>
      </c>
      <c r="O57" s="103" t="inlineStr">
        <is>
          <t>N</t>
        </is>
      </c>
      <c r="P57" s="97" t="n"/>
      <c r="Q57" s="103" t="inlineStr">
        <is>
          <t>N</t>
        </is>
      </c>
      <c r="R57" s="97" t="n"/>
      <c r="S57" s="97" t="n"/>
      <c r="T57" s="97" t="n"/>
      <c r="U57" s="97" t="n"/>
      <c r="V57" s="103" t="inlineStr">
        <is>
          <t>N</t>
        </is>
      </c>
      <c r="W57" s="97" t="n"/>
      <c r="X57" s="97" t="n"/>
      <c r="Y57" s="97" t="n"/>
      <c r="Z57" s="103" t="inlineStr">
        <is>
          <t>N</t>
        </is>
      </c>
      <c r="AA57" s="97" t="n"/>
      <c r="AB57" s="97" t="n"/>
      <c r="AC57" s="97" t="n"/>
      <c r="AD57" s="103" t="inlineStr">
        <is>
          <t>N</t>
        </is>
      </c>
      <c r="AE57" s="97" t="n"/>
      <c r="AF57" s="103" t="inlineStr">
        <is>
          <t>N</t>
        </is>
      </c>
      <c r="AG57" s="110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ROUND(B57*4.29,0)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97" t="n"/>
      <c r="F58" s="104" t="inlineStr">
        <is>
          <t>T</t>
        </is>
      </c>
      <c r="G58" s="102" t="inlineStr">
        <is>
          <t>D</t>
        </is>
      </c>
      <c r="H58" s="102" t="inlineStr">
        <is>
          <t>D</t>
        </is>
      </c>
      <c r="I58" s="97" t="n"/>
      <c r="J58" s="103" t="inlineStr">
        <is>
          <t>N</t>
        </is>
      </c>
      <c r="K58" s="97" t="n"/>
      <c r="L58" s="97" t="n"/>
      <c r="M58" s="97" t="n"/>
      <c r="N58" s="97" t="n"/>
      <c r="O58" s="102" t="inlineStr">
        <is>
          <t>D</t>
        </is>
      </c>
      <c r="P58" s="97" t="n"/>
      <c r="Q58" s="97" t="n"/>
      <c r="R58" s="97" t="n"/>
      <c r="S58" s="102" t="inlineStr">
        <is>
          <t>D</t>
        </is>
      </c>
      <c r="T58" s="97" t="n"/>
      <c r="U58" s="97" t="n"/>
      <c r="V58" s="97" t="n"/>
      <c r="W58" s="97" t="n"/>
      <c r="X58" s="103" t="inlineStr">
        <is>
          <t>N</t>
        </is>
      </c>
      <c r="Y58" s="97" t="n"/>
      <c r="Z58" s="97" t="n"/>
      <c r="AA58" s="102" t="inlineStr">
        <is>
          <t>D</t>
        </is>
      </c>
      <c r="AB58" s="97" t="n"/>
      <c r="AC58" s="97" t="n"/>
      <c r="AD58" s="97" t="n"/>
      <c r="AE58" s="103" t="inlineStr">
        <is>
          <t>N</t>
        </is>
      </c>
      <c r="AF58" s="97" t="n"/>
      <c r="AG58" s="110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ROUND(B58*4.29,0)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110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ROUND(B59*4.29,0)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98" t="inlineStr">
        <is>
          <t>M</t>
        </is>
      </c>
      <c r="E60" s="102" t="inlineStr">
        <is>
          <t>D</t>
        </is>
      </c>
      <c r="F60" s="97" t="n"/>
      <c r="G60" s="97" t="n"/>
      <c r="H60" s="97" t="n"/>
      <c r="I60" s="97" t="n"/>
      <c r="J60" s="97" t="n"/>
      <c r="K60" s="97" t="n"/>
      <c r="L60" s="103" t="inlineStr">
        <is>
          <t>N</t>
        </is>
      </c>
      <c r="M60" s="97" t="n"/>
      <c r="N60" s="102" t="inlineStr">
        <is>
          <t>D</t>
        </is>
      </c>
      <c r="O60" s="97" t="n"/>
      <c r="P60" s="104" t="inlineStr">
        <is>
          <t>T</t>
        </is>
      </c>
      <c r="Q60" s="104" t="inlineStr">
        <is>
          <t>T</t>
        </is>
      </c>
      <c r="R60" s="97" t="n"/>
      <c r="S60" s="97" t="n"/>
      <c r="T60" s="97" t="n"/>
      <c r="U60" s="103" t="inlineStr">
        <is>
          <t>N</t>
        </is>
      </c>
      <c r="V60" s="97" t="n"/>
      <c r="W60" s="98" t="inlineStr">
        <is>
          <t>M</t>
        </is>
      </c>
      <c r="X60" s="104" t="inlineStr">
        <is>
          <t>T</t>
        </is>
      </c>
      <c r="Y60" s="97" t="n"/>
      <c r="Z60" s="97" t="n"/>
      <c r="AA60" s="97" t="n"/>
      <c r="AB60" s="102" t="inlineStr">
        <is>
          <t>D</t>
        </is>
      </c>
      <c r="AC60" s="97" t="n"/>
      <c r="AD60" s="97" t="n"/>
      <c r="AE60" s="97" t="n"/>
      <c r="AF60" s="97" t="n"/>
      <c r="AG60" s="110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ROUND(B60*4.29,0)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110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ROUND(B61*4.29,0)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104" t="inlineStr">
        <is>
          <t>T</t>
        </is>
      </c>
      <c r="S62" s="97" t="n"/>
      <c r="T62" s="102" t="inlineStr">
        <is>
          <t>D</t>
        </is>
      </c>
      <c r="U62" s="97" t="n"/>
      <c r="V62" s="102" t="inlineStr">
        <is>
          <t>D</t>
        </is>
      </c>
      <c r="W62" s="103" t="inlineStr">
        <is>
          <t>N</t>
        </is>
      </c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102" t="inlineStr">
        <is>
          <t>D</t>
        </is>
      </c>
      <c r="AG62" s="110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ROUND(B62*4.29,0)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102" t="inlineStr">
        <is>
          <t>D</t>
        </is>
      </c>
      <c r="E63" s="102" t="inlineStr">
        <is>
          <t>D</t>
        </is>
      </c>
      <c r="F63" s="102" t="inlineStr">
        <is>
          <t>D</t>
        </is>
      </c>
      <c r="G63" s="97" t="n"/>
      <c r="H63" s="97" t="n"/>
      <c r="I63" s="97" t="n"/>
      <c r="J63" s="102" t="inlineStr">
        <is>
          <t>D</t>
        </is>
      </c>
      <c r="K63" s="102" t="inlineStr">
        <is>
          <t>D</t>
        </is>
      </c>
      <c r="L63" s="97" t="n"/>
      <c r="M63" s="97" t="n"/>
      <c r="N63" s="97" t="n"/>
      <c r="O63" s="97" t="n"/>
      <c r="P63" s="97" t="n"/>
      <c r="Q63" s="97" t="n"/>
      <c r="R63" s="102" t="inlineStr">
        <is>
          <t>D</t>
        </is>
      </c>
      <c r="S63" s="97" t="n"/>
      <c r="T63" s="102" t="inlineStr">
        <is>
          <t>D</t>
        </is>
      </c>
      <c r="U63" s="97" t="n"/>
      <c r="V63" s="97" t="n"/>
      <c r="W63" s="97" t="n"/>
      <c r="X63" s="102" t="inlineStr">
        <is>
          <t>D</t>
        </is>
      </c>
      <c r="Y63" s="102" t="inlineStr">
        <is>
          <t>D</t>
        </is>
      </c>
      <c r="Z63" s="97" t="n"/>
      <c r="AA63" s="97" t="n"/>
      <c r="AB63" s="97" t="n"/>
      <c r="AC63" s="97" t="n"/>
      <c r="AD63" s="97" t="n"/>
      <c r="AE63" s="102" t="inlineStr">
        <is>
          <t>D</t>
        </is>
      </c>
      <c r="AF63" s="97" t="n"/>
      <c r="AG63" s="110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ROUND(B63*4.29,0)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103" t="inlineStr">
        <is>
          <t>N</t>
        </is>
      </c>
      <c r="D64" s="97" t="n"/>
      <c r="E64" s="97" t="n"/>
      <c r="F64" s="103" t="inlineStr">
        <is>
          <t>N</t>
        </is>
      </c>
      <c r="G64" s="103" t="inlineStr">
        <is>
          <t>N</t>
        </is>
      </c>
      <c r="H64" s="97" t="n"/>
      <c r="I64" s="97" t="n"/>
      <c r="J64" s="103" t="inlineStr">
        <is>
          <t>N</t>
        </is>
      </c>
      <c r="K64" s="97" t="n"/>
      <c r="L64" s="103" t="inlineStr">
        <is>
          <t>N</t>
        </is>
      </c>
      <c r="M64" s="97" t="n"/>
      <c r="N64" s="97" t="n"/>
      <c r="O64" s="103" t="inlineStr">
        <is>
          <t>N</t>
        </is>
      </c>
      <c r="P64" s="97" t="n"/>
      <c r="Q64" s="103" t="inlineStr">
        <is>
          <t>N</t>
        </is>
      </c>
      <c r="R64" s="97" t="n"/>
      <c r="S64" s="97" t="n"/>
      <c r="T64" s="97" t="n"/>
      <c r="U64" s="97" t="n"/>
      <c r="V64" s="103" t="inlineStr">
        <is>
          <t>N</t>
        </is>
      </c>
      <c r="W64" s="97" t="n"/>
      <c r="X64" s="103" t="inlineStr">
        <is>
          <t>N</t>
        </is>
      </c>
      <c r="Y64" s="97" t="n"/>
      <c r="Z64" s="97" t="n"/>
      <c r="AA64" s="97" t="n"/>
      <c r="AB64" s="97" t="n"/>
      <c r="AC64" s="103" t="inlineStr">
        <is>
          <t>N</t>
        </is>
      </c>
      <c r="AD64" s="97" t="n"/>
      <c r="AE64" s="103" t="inlineStr">
        <is>
          <t>N</t>
        </is>
      </c>
      <c r="AF64" s="97" t="n"/>
      <c r="AG64" s="110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ROUND(B64*4.29,0)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102" t="inlineStr">
        <is>
          <t>D</t>
        </is>
      </c>
      <c r="D65" s="104" t="inlineStr">
        <is>
          <t>T</t>
        </is>
      </c>
      <c r="E65" s="97" t="n"/>
      <c r="F65" s="97" t="n"/>
      <c r="G65" s="97" t="n"/>
      <c r="H65" s="97" t="n"/>
      <c r="I65" s="97" t="n"/>
      <c r="J65" s="104" t="inlineStr">
        <is>
          <t>T</t>
        </is>
      </c>
      <c r="K65" s="104" t="inlineStr">
        <is>
          <t>T</t>
        </is>
      </c>
      <c r="L65" s="102" t="inlineStr">
        <is>
          <t>D</t>
        </is>
      </c>
      <c r="M65" s="97" t="n"/>
      <c r="N65" s="97" t="n"/>
      <c r="O65" s="97" t="n"/>
      <c r="P65" s="97" t="n"/>
      <c r="Q65" s="97" t="n"/>
      <c r="R65" s="97" t="n"/>
      <c r="S65" s="102" t="inlineStr">
        <is>
          <t>D</t>
        </is>
      </c>
      <c r="T65" s="102" t="inlineStr">
        <is>
          <t>D</t>
        </is>
      </c>
      <c r="U65" s="97" t="n"/>
      <c r="V65" s="97" t="n"/>
      <c r="W65" s="97" t="n"/>
      <c r="X65" s="97" t="n"/>
      <c r="Y65" s="97" t="n"/>
      <c r="Z65" s="102" t="inlineStr">
        <is>
          <t>D</t>
        </is>
      </c>
      <c r="AA65" s="102" t="inlineStr">
        <is>
          <t>D</t>
        </is>
      </c>
      <c r="AB65" s="97" t="n"/>
      <c r="AC65" s="97" t="n"/>
      <c r="AD65" s="97" t="n"/>
      <c r="AE65" s="102" t="inlineStr">
        <is>
          <t>D</t>
        </is>
      </c>
      <c r="AF65" s="97" t="n"/>
      <c r="AG65" s="110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ROUND(B65*4.29,0)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97" t="n"/>
      <c r="F66" s="104" t="inlineStr">
        <is>
          <t>T</t>
        </is>
      </c>
      <c r="G66" s="103" t="inlineStr">
        <is>
          <t>N</t>
        </is>
      </c>
      <c r="H66" s="103" t="inlineStr">
        <is>
          <t>N</t>
        </is>
      </c>
      <c r="I66" s="97" t="n"/>
      <c r="J66" s="104" t="inlineStr">
        <is>
          <t>T</t>
        </is>
      </c>
      <c r="K66" s="103" t="inlineStr">
        <is>
          <t>N</t>
        </is>
      </c>
      <c r="L66" s="104" t="inlineStr">
        <is>
          <t>T</t>
        </is>
      </c>
      <c r="M66" s="97" t="n"/>
      <c r="N66" s="97" t="n"/>
      <c r="O66" s="103" t="inlineStr">
        <is>
          <t>N</t>
        </is>
      </c>
      <c r="P66" s="104" t="inlineStr">
        <is>
          <t>T</t>
        </is>
      </c>
      <c r="Q66" s="97" t="n"/>
      <c r="R66" s="103" t="inlineStr">
        <is>
          <t>N</t>
        </is>
      </c>
      <c r="S66" s="104" t="inlineStr">
        <is>
          <t>T</t>
        </is>
      </c>
      <c r="T66" s="97" t="n"/>
      <c r="U66" s="97" t="n"/>
      <c r="V66" s="104" t="inlineStr">
        <is>
          <t>T</t>
        </is>
      </c>
      <c r="W66" s="102" t="inlineStr">
        <is>
          <t>D</t>
        </is>
      </c>
      <c r="X66" s="97" t="n"/>
      <c r="Y66" s="103" t="inlineStr">
        <is>
          <t>N</t>
        </is>
      </c>
      <c r="Z66" s="104" t="inlineStr">
        <is>
          <t>T</t>
        </is>
      </c>
      <c r="AA66" s="97" t="n"/>
      <c r="AB66" s="97" t="n"/>
      <c r="AC66" s="97" t="n"/>
      <c r="AD66" s="97" t="n"/>
      <c r="AE66" s="97" t="n"/>
      <c r="AF66" s="97" t="n"/>
      <c r="AG66" s="110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ROUND(B66*4.29,0)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7" t="n"/>
      <c r="E67" s="97" t="n"/>
      <c r="F67" s="97" t="n"/>
      <c r="G67" s="97" t="n"/>
      <c r="H67" s="97" t="n"/>
      <c r="I67" s="97" t="n"/>
      <c r="J67" s="98" t="inlineStr">
        <is>
          <t>M</t>
        </is>
      </c>
      <c r="K67" s="97" t="n"/>
      <c r="L67" s="97" t="n"/>
      <c r="M67" s="103" t="inlineStr">
        <is>
          <t>N</t>
        </is>
      </c>
      <c r="N67" s="98" t="inlineStr">
        <is>
          <t>M</t>
        </is>
      </c>
      <c r="O67" s="98" t="inlineStr">
        <is>
          <t>M</t>
        </is>
      </c>
      <c r="P67" s="97" t="n"/>
      <c r="Q67" s="98" t="inlineStr">
        <is>
          <t>M</t>
        </is>
      </c>
      <c r="R67" s="97" t="n"/>
      <c r="S67" s="103" t="inlineStr">
        <is>
          <t>N</t>
        </is>
      </c>
      <c r="T67" s="97" t="n"/>
      <c r="U67" s="103" t="inlineStr">
        <is>
          <t>N</t>
        </is>
      </c>
      <c r="V67" s="98" t="inlineStr">
        <is>
          <t>M</t>
        </is>
      </c>
      <c r="W67" s="103" t="inlineStr">
        <is>
          <t>N</t>
        </is>
      </c>
      <c r="X67" s="98" t="inlineStr">
        <is>
          <t>M</t>
        </is>
      </c>
      <c r="Y67" s="97" t="n"/>
      <c r="Z67" s="97" t="n"/>
      <c r="AA67" s="97" t="n"/>
      <c r="AB67" s="97" t="n"/>
      <c r="AC67" s="98" t="inlineStr">
        <is>
          <t>M</t>
        </is>
      </c>
      <c r="AD67" s="103" t="inlineStr">
        <is>
          <t>N</t>
        </is>
      </c>
      <c r="AE67" s="98" t="inlineStr">
        <is>
          <t>M</t>
        </is>
      </c>
      <c r="AF67" s="97" t="n"/>
      <c r="AG67" s="110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ROUND(B67*4.29,0)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97" t="n"/>
      <c r="E68" s="102" t="inlineStr">
        <is>
          <t>D</t>
        </is>
      </c>
      <c r="F68" s="98" t="inlineStr">
        <is>
          <t>M</t>
        </is>
      </c>
      <c r="G68" s="98" t="inlineStr">
        <is>
          <t>M</t>
        </is>
      </c>
      <c r="H68" s="97" t="n"/>
      <c r="I68" s="97" t="n"/>
      <c r="J68" s="103" t="inlineStr">
        <is>
          <t>N</t>
        </is>
      </c>
      <c r="K68" s="97" t="n"/>
      <c r="L68" s="102" t="inlineStr">
        <is>
          <t>D</t>
        </is>
      </c>
      <c r="M68" s="97" t="n"/>
      <c r="N68" s="97" t="n"/>
      <c r="O68" s="97" t="n"/>
      <c r="P68" s="97" t="n"/>
      <c r="Q68" s="103" t="inlineStr">
        <is>
          <t>N</t>
        </is>
      </c>
      <c r="R68" s="97" t="n"/>
      <c r="S68" s="103" t="inlineStr">
        <is>
          <t>N</t>
        </is>
      </c>
      <c r="T68" s="97" t="n"/>
      <c r="U68" s="97" t="n"/>
      <c r="V68" s="97" t="n"/>
      <c r="W68" s="97" t="n"/>
      <c r="X68" s="103" t="inlineStr">
        <is>
          <t>N</t>
        </is>
      </c>
      <c r="Y68" s="97" t="n"/>
      <c r="Z68" s="97" t="n"/>
      <c r="AA68" s="102" t="inlineStr">
        <is>
          <t>D</t>
        </is>
      </c>
      <c r="AB68" s="97" t="n"/>
      <c r="AC68" s="97" t="n"/>
      <c r="AD68" s="97" t="n"/>
      <c r="AE68" s="103" t="inlineStr">
        <is>
          <t>N</t>
        </is>
      </c>
      <c r="AF68" s="97" t="n"/>
      <c r="AG68" s="110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ROUND(B68*4.29,0)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102" t="inlineStr">
        <is>
          <t>D</t>
        </is>
      </c>
      <c r="D69" s="104" t="inlineStr">
        <is>
          <t>T</t>
        </is>
      </c>
      <c r="E69" s="98" t="inlineStr">
        <is>
          <t>M</t>
        </is>
      </c>
      <c r="F69" s="97" t="n"/>
      <c r="G69" s="97" t="n"/>
      <c r="H69" s="104" t="inlineStr">
        <is>
          <t>T</t>
        </is>
      </c>
      <c r="I69" s="97" t="n"/>
      <c r="J69" s="102" t="inlineStr">
        <is>
          <t>D</t>
        </is>
      </c>
      <c r="K69" s="97" t="n"/>
      <c r="L69" s="97" t="n"/>
      <c r="M69" s="98" t="inlineStr">
        <is>
          <t>M</t>
        </is>
      </c>
      <c r="N69" s="97" t="n"/>
      <c r="O69" s="97" t="n"/>
      <c r="P69" s="97" t="n"/>
      <c r="Q69" s="104" t="inlineStr">
        <is>
          <t>T</t>
        </is>
      </c>
      <c r="R69" s="97" t="n"/>
      <c r="S69" s="102" t="inlineStr">
        <is>
          <t>D</t>
        </is>
      </c>
      <c r="T69" s="98" t="inlineStr">
        <is>
          <t>M</t>
        </is>
      </c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110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ROUND(B69*4.29,0)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103" t="inlineStr">
        <is>
          <t>N</t>
        </is>
      </c>
      <c r="E70" s="103" t="inlineStr">
        <is>
          <t>N</t>
        </is>
      </c>
      <c r="F70" s="97" t="n"/>
      <c r="G70" s="102" t="inlineStr">
        <is>
          <t>D</t>
        </is>
      </c>
      <c r="H70" s="97" t="n"/>
      <c r="I70" s="103" t="inlineStr">
        <is>
          <t>N</t>
        </is>
      </c>
      <c r="J70" s="97" t="n"/>
      <c r="K70" s="98" t="inlineStr">
        <is>
          <t>M</t>
        </is>
      </c>
      <c r="L70" s="97" t="n"/>
      <c r="M70" s="97" t="n"/>
      <c r="N70" s="98" t="inlineStr">
        <is>
          <t>M</t>
        </is>
      </c>
      <c r="O70" s="97" t="n"/>
      <c r="P70" s="98" t="inlineStr">
        <is>
          <t>M</t>
        </is>
      </c>
      <c r="Q70" s="103" t="inlineStr">
        <is>
          <t>N</t>
        </is>
      </c>
      <c r="R70" s="104" t="inlineStr">
        <is>
          <t>T</t>
        </is>
      </c>
      <c r="S70" s="97" t="n"/>
      <c r="T70" s="97" t="n"/>
      <c r="U70" s="97" t="n"/>
      <c r="V70" s="97" t="n"/>
      <c r="W70" s="102" t="inlineStr">
        <is>
          <t>D</t>
        </is>
      </c>
      <c r="X70" s="97" t="n"/>
      <c r="Y70" s="104" t="inlineStr">
        <is>
          <t>T</t>
        </is>
      </c>
      <c r="Z70" s="97" t="n"/>
      <c r="AA70" s="98" t="inlineStr">
        <is>
          <t>M</t>
        </is>
      </c>
      <c r="AB70" s="97" t="n"/>
      <c r="AC70" s="97" t="n"/>
      <c r="AD70" s="97" t="n"/>
      <c r="AE70" s="97" t="n"/>
      <c r="AF70" s="103" t="inlineStr">
        <is>
          <t>N</t>
        </is>
      </c>
      <c r="AG70" s="110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ROUND(B70*4.29,0)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103" t="inlineStr">
        <is>
          <t>N</t>
        </is>
      </c>
      <c r="G71" s="97" t="n"/>
      <c r="H71" s="104" t="inlineStr">
        <is>
          <t>T</t>
        </is>
      </c>
      <c r="I71" s="104" t="inlineStr">
        <is>
          <t>T</t>
        </is>
      </c>
      <c r="J71" s="97" t="n"/>
      <c r="K71" s="97" t="n"/>
      <c r="L71" s="97" t="n"/>
      <c r="M71" s="102" t="inlineStr">
        <is>
          <t>D</t>
        </is>
      </c>
      <c r="N71" s="97" t="n"/>
      <c r="O71" s="102" t="inlineStr">
        <is>
          <t>D</t>
        </is>
      </c>
      <c r="P71" s="97" t="n"/>
      <c r="Q71" s="102" t="inlineStr">
        <is>
          <t>D</t>
        </is>
      </c>
      <c r="R71" s="97" t="n"/>
      <c r="S71" s="97" t="n"/>
      <c r="T71" s="97" t="n"/>
      <c r="U71" s="97" t="n"/>
      <c r="V71" s="97" t="n"/>
      <c r="W71" s="104" t="inlineStr">
        <is>
          <t>T</t>
        </is>
      </c>
      <c r="X71" s="97" t="n"/>
      <c r="Y71" s="104" t="inlineStr">
        <is>
          <t>T</t>
        </is>
      </c>
      <c r="Z71" s="102" t="inlineStr">
        <is>
          <t>D</t>
        </is>
      </c>
      <c r="AA71" s="97" t="n"/>
      <c r="AB71" s="97" t="n"/>
      <c r="AC71" s="102" t="inlineStr">
        <is>
          <t>D</t>
        </is>
      </c>
      <c r="AD71" s="103" t="inlineStr">
        <is>
          <t>N</t>
        </is>
      </c>
      <c r="AE71" s="97" t="n"/>
      <c r="AF71" s="97" t="n"/>
      <c r="AG71" s="110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ROUND(B71*4.29,0)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7" t="n"/>
      <c r="D72" s="97" t="n"/>
      <c r="E72" s="97" t="n"/>
      <c r="F72" s="97" t="n"/>
      <c r="G72" s="97" t="n"/>
      <c r="H72" s="97" t="n"/>
      <c r="I72" s="113" t="inlineStr">
        <is>
          <t>t</t>
        </is>
      </c>
      <c r="J72" s="97" t="n"/>
      <c r="K72" s="97" t="n"/>
      <c r="L72" s="104" t="inlineStr">
        <is>
          <t>T</t>
        </is>
      </c>
      <c r="M72" s="102" t="inlineStr">
        <is>
          <t>D</t>
        </is>
      </c>
      <c r="N72" s="104" t="inlineStr">
        <is>
          <t>T</t>
        </is>
      </c>
      <c r="O72" s="97" t="n"/>
      <c r="P72" s="113" t="inlineStr">
        <is>
          <t>t</t>
        </is>
      </c>
      <c r="Q72" s="104" t="inlineStr">
        <is>
          <t>T</t>
        </is>
      </c>
      <c r="R72" s="104" t="inlineStr">
        <is>
          <t>T</t>
        </is>
      </c>
      <c r="S72" s="102" t="inlineStr">
        <is>
          <t>D</t>
        </is>
      </c>
      <c r="T72" s="97" t="n"/>
      <c r="U72" s="97" t="n"/>
      <c r="V72" s="97" t="n"/>
      <c r="W72" s="113" t="inlineStr">
        <is>
          <t>t</t>
        </is>
      </c>
      <c r="X72" s="97" t="n"/>
      <c r="Y72" s="97" t="n"/>
      <c r="Z72" s="104" t="inlineStr">
        <is>
          <t>T</t>
        </is>
      </c>
      <c r="AA72" s="103" t="inlineStr">
        <is>
          <t>N</t>
        </is>
      </c>
      <c r="AB72" s="104" t="inlineStr">
        <is>
          <t>T</t>
        </is>
      </c>
      <c r="AC72" s="97" t="n"/>
      <c r="AD72" s="113" t="inlineStr">
        <is>
          <t>t</t>
        </is>
      </c>
      <c r="AE72" s="103" t="inlineStr">
        <is>
          <t>N</t>
        </is>
      </c>
      <c r="AF72" s="97" t="n"/>
      <c r="AG72" s="110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ROUND(B72*4.29,0)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102" t="inlineStr">
        <is>
          <t>D</t>
        </is>
      </c>
      <c r="F73" s="104" t="inlineStr">
        <is>
          <t>T</t>
        </is>
      </c>
      <c r="G73" s="97" t="n"/>
      <c r="H73" s="97" t="n"/>
      <c r="I73" s="97" t="n"/>
      <c r="J73" s="97" t="n"/>
      <c r="K73" s="102" t="inlineStr">
        <is>
          <t>D</t>
        </is>
      </c>
      <c r="L73" s="98" t="inlineStr">
        <is>
          <t>M</t>
        </is>
      </c>
      <c r="M73" s="102" t="inlineStr">
        <is>
          <t>D</t>
        </is>
      </c>
      <c r="N73" s="97" t="n"/>
      <c r="O73" s="102" t="inlineStr">
        <is>
          <t>D</t>
        </is>
      </c>
      <c r="P73" s="97" t="n"/>
      <c r="Q73" s="97" t="n"/>
      <c r="R73" s="97" t="n"/>
      <c r="S73" s="102" t="inlineStr">
        <is>
          <t>D</t>
        </is>
      </c>
      <c r="T73" s="104" t="inlineStr">
        <is>
          <t>T</t>
        </is>
      </c>
      <c r="U73" s="97" t="n"/>
      <c r="V73" s="97" t="n"/>
      <c r="W73" s="97" t="n"/>
      <c r="X73" s="103" t="inlineStr">
        <is>
          <t>N</t>
        </is>
      </c>
      <c r="Y73" s="97" t="n"/>
      <c r="Z73" s="98" t="inlineStr">
        <is>
          <t>M</t>
        </is>
      </c>
      <c r="AA73" s="97" t="n"/>
      <c r="AB73" s="102" t="inlineStr">
        <is>
          <t>D</t>
        </is>
      </c>
      <c r="AC73" s="103" t="inlineStr">
        <is>
          <t>N</t>
        </is>
      </c>
      <c r="AD73" s="97" t="n"/>
      <c r="AE73" s="104" t="inlineStr">
        <is>
          <t>T</t>
        </is>
      </c>
      <c r="AF73" s="97" t="n"/>
      <c r="AG73" s="110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ROUND(B73*4.29,0)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MAX(0,CONFIG!$B$9-D75)</f>
        <v/>
      </c>
      <c r="E78" s="109">
        <f>MAX(0,CONFIG!$B$9-E75)</f>
        <v/>
      </c>
      <c r="F78" s="109">
        <f>MAX(0,CONFIG!$B$10-F75)</f>
        <v/>
      </c>
      <c r="G78" s="109">
        <f>MAX(0,CONFIG!$B$11-G75)</f>
        <v/>
      </c>
      <c r="H78" s="109">
        <f>MAX(0,CONFIG!$B$9-H75)</f>
        <v/>
      </c>
      <c r="I78" s="109">
        <f>MAX(0,CONFIG!$B$9-I75)</f>
        <v/>
      </c>
      <c r="J78" s="109">
        <f>MAX(0,CONFIG!$B$9-J75)</f>
        <v/>
      </c>
      <c r="K78" s="109">
        <f>MAX(0,CONFIG!$B$9-K75)</f>
        <v/>
      </c>
      <c r="L78" s="109">
        <f>MAX(0,CONFIG!$B$9-L75)</f>
        <v/>
      </c>
      <c r="M78" s="109">
        <f>MAX(0,CONFIG!$B$10-M75)</f>
        <v/>
      </c>
      <c r="N78" s="109">
        <f>MAX(0,CONFIG!$B$11-N75)</f>
        <v/>
      </c>
      <c r="O78" s="109">
        <f>MAX(0,CONFIG!$B$9-O75)</f>
        <v/>
      </c>
      <c r="P78" s="109">
        <f>MAX(0,CONFIG!$B$9-P75)</f>
        <v/>
      </c>
      <c r="Q78" s="109">
        <f>MAX(0,CONFIG!$B$9-Q75)</f>
        <v/>
      </c>
      <c r="R78" s="109">
        <f>MAX(0,CONFIG!$B$9-R75)</f>
        <v/>
      </c>
      <c r="S78" s="109">
        <f>MAX(0,CONFIG!$B$9-S75)</f>
        <v/>
      </c>
      <c r="T78" s="109">
        <f>MAX(0,CONFIG!$B$10-T75)</f>
        <v/>
      </c>
      <c r="U78" s="109">
        <f>MAX(0,CONFIG!$B$11-U75)</f>
        <v/>
      </c>
      <c r="V78" s="109">
        <f>MAX(0,CONFIG!$B$9-V75)</f>
        <v/>
      </c>
      <c r="W78" s="109">
        <f>MAX(0,CONFIG!$B$9-W75)</f>
        <v/>
      </c>
      <c r="X78" s="109">
        <f>MAX(0,CONFIG!$B$9-X75)</f>
        <v/>
      </c>
      <c r="Y78" s="109">
        <f>MAX(0,CONFIG!$B$9-Y75)</f>
        <v/>
      </c>
      <c r="Z78" s="109">
        <f>MAX(0,CONFIG!$B$9-Z75)</f>
        <v/>
      </c>
      <c r="AA78" s="109">
        <f>MAX(0,CONFIG!$B$10-AA75)</f>
        <v/>
      </c>
      <c r="AB78" s="109">
        <f>MAX(0,CONFIG!$B$11-AB75)</f>
        <v/>
      </c>
      <c r="AC78" s="109">
        <f>MAX(0,CONFIG!$B$9-AC75)</f>
        <v/>
      </c>
      <c r="AD78" s="109">
        <f>MAX(0,CONFIG!$B$9-AD75)</f>
        <v/>
      </c>
      <c r="AE78" s="109">
        <f>MAX(0,CONFIG!$B$9-AE75)</f>
        <v/>
      </c>
      <c r="AF78" s="109">
        <f>MAX(0,CONFIG!$B$9-AF75)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MAX(0,CONFIG!$C$9-D76)</f>
        <v/>
      </c>
      <c r="E79" s="109">
        <f>MAX(0,CONFIG!$C$9-E76)</f>
        <v/>
      </c>
      <c r="F79" s="109">
        <f>MAX(0,CONFIG!$C$10-F76)</f>
        <v/>
      </c>
      <c r="G79" s="109">
        <f>MAX(0,CONFIG!$C$11-G76)</f>
        <v/>
      </c>
      <c r="H79" s="109">
        <f>MAX(0,CONFIG!$C$9-H76)</f>
        <v/>
      </c>
      <c r="I79" s="109">
        <f>MAX(0,CONFIG!$C$9-I76)</f>
        <v/>
      </c>
      <c r="J79" s="109">
        <f>MAX(0,CONFIG!$C$9-J76)</f>
        <v/>
      </c>
      <c r="K79" s="109">
        <f>MAX(0,CONFIG!$C$9-K76)</f>
        <v/>
      </c>
      <c r="L79" s="109">
        <f>MAX(0,CONFIG!$C$9-L76)</f>
        <v/>
      </c>
      <c r="M79" s="109">
        <f>MAX(0,CONFIG!$C$10-M76)</f>
        <v/>
      </c>
      <c r="N79" s="109">
        <f>MAX(0,CONFIG!$C$11-N76)</f>
        <v/>
      </c>
      <c r="O79" s="109">
        <f>MAX(0,CONFIG!$C$9-O76)</f>
        <v/>
      </c>
      <c r="P79" s="109">
        <f>MAX(0,CONFIG!$C$9-P76)</f>
        <v/>
      </c>
      <c r="Q79" s="109">
        <f>MAX(0,CONFIG!$C$9-Q76)</f>
        <v/>
      </c>
      <c r="R79" s="109">
        <f>MAX(0,CONFIG!$C$9-R76)</f>
        <v/>
      </c>
      <c r="S79" s="109">
        <f>MAX(0,CONFIG!$C$9-S76)</f>
        <v/>
      </c>
      <c r="T79" s="109">
        <f>MAX(0,CONFIG!$C$10-T76)</f>
        <v/>
      </c>
      <c r="U79" s="109">
        <f>MAX(0,CONFIG!$C$11-U76)</f>
        <v/>
      </c>
      <c r="V79" s="109">
        <f>MAX(0,CONFIG!$C$9-V76)</f>
        <v/>
      </c>
      <c r="W79" s="109">
        <f>MAX(0,CONFIG!$C$9-W76)</f>
        <v/>
      </c>
      <c r="X79" s="109">
        <f>MAX(0,CONFIG!$C$9-X76)</f>
        <v/>
      </c>
      <c r="Y79" s="109">
        <f>MAX(0,CONFIG!$C$9-Y76)</f>
        <v/>
      </c>
      <c r="Z79" s="109">
        <f>MAX(0,CONFIG!$C$9-Z76)</f>
        <v/>
      </c>
      <c r="AA79" s="109">
        <f>MAX(0,CONFIG!$C$10-AA76)</f>
        <v/>
      </c>
      <c r="AB79" s="109">
        <f>MAX(0,CONFIG!$C$11-AB76)</f>
        <v/>
      </c>
      <c r="AC79" s="109">
        <f>MAX(0,CONFIG!$C$9-AC76)</f>
        <v/>
      </c>
      <c r="AD79" s="109">
        <f>MAX(0,CONFIG!$C$9-AD76)</f>
        <v/>
      </c>
      <c r="AE79" s="109">
        <f>MAX(0,CONFIG!$C$9-AE76)</f>
        <v/>
      </c>
      <c r="AF79" s="109">
        <f>MAX(0,CONFIG!$C$9-AF76)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MAX(0,CONFIG!$D$9-D77)</f>
        <v/>
      </c>
      <c r="E80" s="109">
        <f>MAX(0,CONFIG!$D$9-E77)</f>
        <v/>
      </c>
      <c r="F80" s="109">
        <f>MAX(0,CONFIG!$D$10-F77)</f>
        <v/>
      </c>
      <c r="G80" s="109">
        <f>MAX(0,CONFIG!$D$11-G77)</f>
        <v/>
      </c>
      <c r="H80" s="109">
        <f>MAX(0,CONFIG!$D$9-H77)</f>
        <v/>
      </c>
      <c r="I80" s="109">
        <f>MAX(0,CONFIG!$D$9-I77)</f>
        <v/>
      </c>
      <c r="J80" s="109">
        <f>MAX(0,CONFIG!$D$9-J77)</f>
        <v/>
      </c>
      <c r="K80" s="109">
        <f>MAX(0,CONFIG!$D$9-K77)</f>
        <v/>
      </c>
      <c r="L80" s="109">
        <f>MAX(0,CONFIG!$D$9-L77)</f>
        <v/>
      </c>
      <c r="M80" s="109">
        <f>MAX(0,CONFIG!$D$10-M77)</f>
        <v/>
      </c>
      <c r="N80" s="109">
        <f>MAX(0,CONFIG!$D$11-N77)</f>
        <v/>
      </c>
      <c r="O80" s="109">
        <f>MAX(0,CONFIG!$D$9-O77)</f>
        <v/>
      </c>
      <c r="P80" s="109">
        <f>MAX(0,CONFIG!$D$9-P77)</f>
        <v/>
      </c>
      <c r="Q80" s="109">
        <f>MAX(0,CONFIG!$D$9-Q77)</f>
        <v/>
      </c>
      <c r="R80" s="109">
        <f>MAX(0,CONFIG!$D$9-R77)</f>
        <v/>
      </c>
      <c r="S80" s="109">
        <f>MAX(0,CONFIG!$D$9-S77)</f>
        <v/>
      </c>
      <c r="T80" s="109">
        <f>MAX(0,CONFIG!$D$10-T77)</f>
        <v/>
      </c>
      <c r="U80" s="109">
        <f>MAX(0,CONFIG!$D$11-U77)</f>
        <v/>
      </c>
      <c r="V80" s="109">
        <f>MAX(0,CONFIG!$D$9-V77)</f>
        <v/>
      </c>
      <c r="W80" s="109">
        <f>MAX(0,CONFIG!$D$9-W77)</f>
        <v/>
      </c>
      <c r="X80" s="109">
        <f>MAX(0,CONFIG!$D$9-X77)</f>
        <v/>
      </c>
      <c r="Y80" s="109">
        <f>MAX(0,CONFIG!$D$9-Y77)</f>
        <v/>
      </c>
      <c r="Z80" s="109">
        <f>MAX(0,CONFIG!$D$9-Z77)</f>
        <v/>
      </c>
      <c r="AA80" s="109">
        <f>MAX(0,CONFIG!$D$10-AA77)</f>
        <v/>
      </c>
      <c r="AB80" s="109">
        <f>MAX(0,CONFIG!$D$11-AB77)</f>
        <v/>
      </c>
      <c r="AC80" s="109">
        <f>MAX(0,CONFIG!$D$9-AC77)</f>
        <v/>
      </c>
      <c r="AD80" s="109">
        <f>MAX(0,CONFIG!$D$9-AD77)</f>
        <v/>
      </c>
      <c r="AE80" s="109">
        <f>MAX(0,CONFIG!$D$9-AE77)</f>
        <v/>
      </c>
      <c r="AF80" s="109">
        <f>MAX(0,CONFIG!$D$9-AF77)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E8C79A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maio · 2026</t>
        </is>
      </c>
      <c r="C1" s="88" t="inlineStr">
        <is>
          <t>reconstruído da grade; dias 1–2 vêm do arquivo de abril; DIA 3 NÃO EXISTE em nenhum arquivo</t>
        </is>
      </c>
    </row>
    <row r="2">
      <c r="C2" s="89" t="n">
        <v>1</v>
      </c>
      <c r="D2" s="91" t="n">
        <v>2</v>
      </c>
      <c r="E2" s="91" t="n">
        <v>3</v>
      </c>
      <c r="F2" s="90" t="n">
        <v>4</v>
      </c>
      <c r="G2" s="90" t="n">
        <v>5</v>
      </c>
      <c r="H2" s="90" t="n">
        <v>6</v>
      </c>
      <c r="I2" s="90" t="n">
        <v>7</v>
      </c>
      <c r="J2" s="90" t="n">
        <v>8</v>
      </c>
      <c r="K2" s="91" t="n">
        <v>9</v>
      </c>
      <c r="L2" s="91" t="n">
        <v>10</v>
      </c>
      <c r="M2" s="90" t="n">
        <v>11</v>
      </c>
      <c r="N2" s="90" t="n">
        <v>12</v>
      </c>
      <c r="O2" s="90" t="n">
        <v>13</v>
      </c>
      <c r="P2" s="90" t="n">
        <v>14</v>
      </c>
      <c r="Q2" s="90" t="n">
        <v>15</v>
      </c>
      <c r="R2" s="91" t="n">
        <v>16</v>
      </c>
      <c r="S2" s="91" t="n">
        <v>17</v>
      </c>
      <c r="T2" s="90" t="n">
        <v>18</v>
      </c>
      <c r="U2" s="90" t="n">
        <v>19</v>
      </c>
      <c r="V2" s="90" t="n">
        <v>20</v>
      </c>
      <c r="W2" s="90" t="n">
        <v>21</v>
      </c>
      <c r="X2" s="90" t="n">
        <v>22</v>
      </c>
      <c r="Y2" s="91" t="n">
        <v>23</v>
      </c>
      <c r="Z2" s="91" t="n">
        <v>24</v>
      </c>
      <c r="AA2" s="90" t="n">
        <v>25</v>
      </c>
      <c r="AB2" s="90" t="n">
        <v>26</v>
      </c>
      <c r="AC2" s="90" t="n">
        <v>27</v>
      </c>
      <c r="AD2" s="90" t="n">
        <v>28</v>
      </c>
      <c r="AE2" s="90" t="n">
        <v>29</v>
      </c>
      <c r="AF2" s="91" t="n">
        <v>30</v>
      </c>
      <c r="AG2" s="91" t="n">
        <v>31</v>
      </c>
    </row>
    <row r="3">
      <c r="C3" s="92" t="inlineStr">
        <is>
          <t>trab</t>
        </is>
      </c>
      <c r="D3" s="94" t="inlineStr">
        <is>
          <t>sáb</t>
        </is>
      </c>
      <c r="E3" s="94" t="inlineStr">
        <is>
          <t>dom</t>
        </is>
      </c>
      <c r="F3" s="93" t="inlineStr">
        <is>
          <t>seg</t>
        </is>
      </c>
      <c r="G3" s="93" t="inlineStr">
        <is>
          <t>ter</t>
        </is>
      </c>
      <c r="H3" s="93" t="inlineStr">
        <is>
          <t>qua</t>
        </is>
      </c>
      <c r="I3" s="93" t="inlineStr">
        <is>
          <t>qui</t>
        </is>
      </c>
      <c r="J3" s="93" t="inlineStr">
        <is>
          <t>sex</t>
        </is>
      </c>
      <c r="K3" s="94" t="inlineStr">
        <is>
          <t>sáb</t>
        </is>
      </c>
      <c r="L3" s="94" t="inlineStr">
        <is>
          <t>dom</t>
        </is>
      </c>
      <c r="M3" s="93" t="inlineStr">
        <is>
          <t>seg</t>
        </is>
      </c>
      <c r="N3" s="93" t="inlineStr">
        <is>
          <t>ter</t>
        </is>
      </c>
      <c r="O3" s="93" t="inlineStr">
        <is>
          <t>qua</t>
        </is>
      </c>
      <c r="P3" s="93" t="inlineStr">
        <is>
          <t>qui</t>
        </is>
      </c>
      <c r="Q3" s="93" t="inlineStr">
        <is>
          <t>sex</t>
        </is>
      </c>
      <c r="R3" s="94" t="inlineStr">
        <is>
          <t>sáb</t>
        </is>
      </c>
      <c r="S3" s="94" t="inlineStr">
        <is>
          <t>dom</t>
        </is>
      </c>
      <c r="T3" s="93" t="inlineStr">
        <is>
          <t>seg</t>
        </is>
      </c>
      <c r="U3" s="93" t="inlineStr">
        <is>
          <t>ter</t>
        </is>
      </c>
      <c r="V3" s="93" t="inlineStr">
        <is>
          <t>qua</t>
        </is>
      </c>
      <c r="W3" s="93" t="inlineStr">
        <is>
          <t>qui</t>
        </is>
      </c>
      <c r="X3" s="93" t="inlineStr">
        <is>
          <t>sex</t>
        </is>
      </c>
      <c r="Y3" s="94" t="inlineStr">
        <is>
          <t>sáb</t>
        </is>
      </c>
      <c r="Z3" s="94" t="inlineStr">
        <is>
          <t>dom</t>
        </is>
      </c>
      <c r="AA3" s="93" t="inlineStr">
        <is>
          <t>seg</t>
        </is>
      </c>
      <c r="AB3" s="93" t="inlineStr">
        <is>
          <t>ter</t>
        </is>
      </c>
      <c r="AC3" s="93" t="inlineStr">
        <is>
          <t>qua</t>
        </is>
      </c>
      <c r="AD3" s="93" t="inlineStr">
        <is>
          <t>qui</t>
        </is>
      </c>
      <c r="AE3" s="93" t="inlineStr">
        <is>
          <t>sex</t>
        </is>
      </c>
      <c r="AF3" s="94" t="inlineStr">
        <is>
          <t>sáb</t>
        </is>
      </c>
      <c r="AG3" s="94" t="inlineStr">
        <is>
          <t>dom</t>
        </is>
      </c>
    </row>
    <row r="4" hidden="1">
      <c r="A4" t="inlineStr">
        <is>
          <t>máscara fds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</row>
    <row r="5" hidden="1">
      <c r="A5" t="inlineStr">
        <is>
          <t>máscara sexta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</row>
    <row r="6" hidden="1">
      <c r="A6" t="inlineStr">
        <is>
          <t>máscara feriado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111" t="inlineStr">
        <is>
          <t>C</t>
        </is>
      </c>
      <c r="D8" s="98" t="inlineStr">
        <is>
          <t>M</t>
        </is>
      </c>
      <c r="E8" s="97" t="n"/>
      <c r="F8" s="98" t="inlineStr">
        <is>
          <t>M</t>
        </is>
      </c>
      <c r="G8" s="98" t="inlineStr">
        <is>
          <t>M</t>
        </is>
      </c>
      <c r="H8" s="98" t="inlineStr">
        <is>
          <t>M</t>
        </is>
      </c>
      <c r="I8" s="98" t="inlineStr">
        <is>
          <t>M</t>
        </is>
      </c>
      <c r="J8" s="98" t="inlineStr">
        <is>
          <t>M</t>
        </is>
      </c>
      <c r="K8" s="97" t="n"/>
      <c r="L8" s="97" t="n"/>
      <c r="M8" s="98" t="inlineStr">
        <is>
          <t>M</t>
        </is>
      </c>
      <c r="N8" s="98" t="inlineStr">
        <is>
          <t>M</t>
        </is>
      </c>
      <c r="O8" s="98" t="inlineStr">
        <is>
          <t>M</t>
        </is>
      </c>
      <c r="P8" s="98" t="inlineStr">
        <is>
          <t>M</t>
        </is>
      </c>
      <c r="Q8" s="98" t="inlineStr">
        <is>
          <t>M</t>
        </is>
      </c>
      <c r="R8" s="97" t="n"/>
      <c r="S8" s="97" t="n"/>
      <c r="T8" s="98" t="inlineStr">
        <is>
          <t>M</t>
        </is>
      </c>
      <c r="U8" s="98" t="inlineStr">
        <is>
          <t>M</t>
        </is>
      </c>
      <c r="V8" s="98" t="inlineStr">
        <is>
          <t>M</t>
        </is>
      </c>
      <c r="W8" s="98" t="inlineStr">
        <is>
          <t>M</t>
        </is>
      </c>
      <c r="X8" s="98" t="inlineStr">
        <is>
          <t>M</t>
        </is>
      </c>
      <c r="Y8" s="97" t="n"/>
      <c r="Z8" s="97" t="n"/>
      <c r="AA8" s="98" t="inlineStr">
        <is>
          <t>M</t>
        </is>
      </c>
      <c r="AB8" s="98" t="inlineStr">
        <is>
          <t>M</t>
        </is>
      </c>
      <c r="AC8" s="98" t="inlineStr">
        <is>
          <t>M</t>
        </is>
      </c>
      <c r="AD8" s="98" t="inlineStr">
        <is>
          <t>M</t>
        </is>
      </c>
      <c r="AE8" s="98" t="inlineStr">
        <is>
          <t>M</t>
        </is>
      </c>
      <c r="AF8" s="97" t="n"/>
      <c r="AG8" s="97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7" t="n"/>
      <c r="D9" s="97" t="n"/>
      <c r="E9" s="97" t="n"/>
      <c r="F9" s="98" t="inlineStr">
        <is>
          <t>M</t>
        </is>
      </c>
      <c r="G9" s="98" t="inlineStr">
        <is>
          <t>M</t>
        </is>
      </c>
      <c r="H9" s="98" t="inlineStr">
        <is>
          <t>M</t>
        </is>
      </c>
      <c r="I9" s="98" t="inlineStr">
        <is>
          <t>M</t>
        </is>
      </c>
      <c r="J9" s="98" t="inlineStr">
        <is>
          <t>M</t>
        </is>
      </c>
      <c r="K9" s="97" t="n"/>
      <c r="L9" s="97" t="n"/>
      <c r="M9" s="98" t="inlineStr">
        <is>
          <t>M</t>
        </is>
      </c>
      <c r="N9" s="98" t="inlineStr">
        <is>
          <t>M</t>
        </is>
      </c>
      <c r="O9" s="98" t="inlineStr">
        <is>
          <t>M</t>
        </is>
      </c>
      <c r="P9" s="98" t="inlineStr">
        <is>
          <t>M</t>
        </is>
      </c>
      <c r="Q9" s="98" t="inlineStr">
        <is>
          <t>M</t>
        </is>
      </c>
      <c r="R9" s="97" t="n"/>
      <c r="S9" s="97" t="n"/>
      <c r="T9" s="98" t="inlineStr">
        <is>
          <t>M</t>
        </is>
      </c>
      <c r="U9" s="98" t="inlineStr">
        <is>
          <t>M</t>
        </is>
      </c>
      <c r="V9" s="98" t="inlineStr">
        <is>
          <t>M</t>
        </is>
      </c>
      <c r="W9" s="98" t="inlineStr">
        <is>
          <t>M</t>
        </is>
      </c>
      <c r="X9" s="98" t="inlineStr">
        <is>
          <t>M</t>
        </is>
      </c>
      <c r="Y9" s="97" t="n"/>
      <c r="Z9" s="97" t="n"/>
      <c r="AA9" s="98" t="inlineStr">
        <is>
          <t>M</t>
        </is>
      </c>
      <c r="AB9" s="98" t="inlineStr">
        <is>
          <t>M</t>
        </is>
      </c>
      <c r="AC9" s="98" t="inlineStr">
        <is>
          <t>M</t>
        </is>
      </c>
      <c r="AD9" s="98" t="inlineStr">
        <is>
          <t>M</t>
        </is>
      </c>
      <c r="AE9" s="98" t="inlineStr">
        <is>
          <t>M</t>
        </is>
      </c>
      <c r="AF9" s="97" t="n"/>
      <c r="AG9" s="97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97" t="n"/>
      <c r="E11" s="97" t="n"/>
      <c r="F11" s="98" t="inlineStr">
        <is>
          <t>M</t>
        </is>
      </c>
      <c r="G11" s="98" t="inlineStr">
        <is>
          <t>M</t>
        </is>
      </c>
      <c r="H11" s="98" t="inlineStr">
        <is>
          <t>M</t>
        </is>
      </c>
      <c r="I11" s="98" t="inlineStr">
        <is>
          <t>M</t>
        </is>
      </c>
      <c r="J11" s="98" t="inlineStr">
        <is>
          <t>M</t>
        </is>
      </c>
      <c r="K11" s="103" t="inlineStr">
        <is>
          <t>N</t>
        </is>
      </c>
      <c r="L11" s="97" t="n"/>
      <c r="M11" s="98" t="inlineStr">
        <is>
          <t>M</t>
        </is>
      </c>
      <c r="N11" s="98" t="inlineStr">
        <is>
          <t>M</t>
        </is>
      </c>
      <c r="O11" s="98" t="inlineStr">
        <is>
          <t>M</t>
        </is>
      </c>
      <c r="P11" s="102" t="inlineStr">
        <is>
          <t>D</t>
        </is>
      </c>
      <c r="Q11" s="98" t="inlineStr">
        <is>
          <t>M</t>
        </is>
      </c>
      <c r="R11" s="98" t="inlineStr">
        <is>
          <t>M</t>
        </is>
      </c>
      <c r="S11" s="97" t="n"/>
      <c r="T11" s="98" t="inlineStr">
        <is>
          <t>M</t>
        </is>
      </c>
      <c r="U11" s="98" t="inlineStr">
        <is>
          <t>M</t>
        </is>
      </c>
      <c r="V11" s="98" t="inlineStr">
        <is>
          <t>M</t>
        </is>
      </c>
      <c r="W11" s="98" t="inlineStr">
        <is>
          <t>M</t>
        </is>
      </c>
      <c r="X11" s="98" t="inlineStr">
        <is>
          <t>M</t>
        </is>
      </c>
      <c r="Y11" s="97" t="n"/>
      <c r="Z11" s="103" t="inlineStr">
        <is>
          <t>N</t>
        </is>
      </c>
      <c r="AA11" s="98" t="inlineStr">
        <is>
          <t>M</t>
        </is>
      </c>
      <c r="AB11" s="102" t="inlineStr">
        <is>
          <t>D</t>
        </is>
      </c>
      <c r="AC11" s="98" t="inlineStr">
        <is>
          <t>M</t>
        </is>
      </c>
      <c r="AD11" s="102" t="inlineStr">
        <is>
          <t>D</t>
        </is>
      </c>
      <c r="AE11" s="98" t="inlineStr">
        <is>
          <t>M</t>
        </is>
      </c>
      <c r="AF11" s="97" t="n"/>
      <c r="AG11" s="97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8" t="inlineStr">
        <is>
          <t>M</t>
        </is>
      </c>
      <c r="D12" s="97" t="n"/>
      <c r="E12" s="97" t="n"/>
      <c r="F12" s="98" t="inlineStr">
        <is>
          <t>M</t>
        </is>
      </c>
      <c r="G12" s="98" t="inlineStr">
        <is>
          <t>M</t>
        </is>
      </c>
      <c r="H12" s="98" t="inlineStr">
        <is>
          <t>M</t>
        </is>
      </c>
      <c r="I12" s="98" t="inlineStr">
        <is>
          <t>M</t>
        </is>
      </c>
      <c r="J12" s="98" t="inlineStr">
        <is>
          <t>M</t>
        </is>
      </c>
      <c r="K12" s="102" t="inlineStr">
        <is>
          <t>D</t>
        </is>
      </c>
      <c r="L12" s="97" t="n"/>
      <c r="M12" s="98" t="inlineStr">
        <is>
          <t>M</t>
        </is>
      </c>
      <c r="N12" s="102" t="inlineStr">
        <is>
          <t>D</t>
        </is>
      </c>
      <c r="O12" s="98" t="inlineStr">
        <is>
          <t>M</t>
        </is>
      </c>
      <c r="P12" s="98" t="inlineStr">
        <is>
          <t>M</t>
        </is>
      </c>
      <c r="Q12" s="98" t="inlineStr">
        <is>
          <t>M</t>
        </is>
      </c>
      <c r="R12" s="97" t="n"/>
      <c r="S12" s="97" t="n"/>
      <c r="T12" s="98" t="inlineStr">
        <is>
          <t>M</t>
        </is>
      </c>
      <c r="U12" s="98" t="inlineStr">
        <is>
          <t>M</t>
        </is>
      </c>
      <c r="V12" s="98" t="inlineStr">
        <is>
          <t>M</t>
        </is>
      </c>
      <c r="W12" s="98" t="inlineStr">
        <is>
          <t>M</t>
        </is>
      </c>
      <c r="X12" s="102" t="inlineStr">
        <is>
          <t>D</t>
        </is>
      </c>
      <c r="Y12" s="102" t="inlineStr">
        <is>
          <t>D</t>
        </is>
      </c>
      <c r="Z12" s="97" t="n"/>
      <c r="AA12" s="102" t="inlineStr">
        <is>
          <t>D</t>
        </is>
      </c>
      <c r="AB12" s="98" t="inlineStr">
        <is>
          <t>M</t>
        </is>
      </c>
      <c r="AC12" s="98" t="inlineStr">
        <is>
          <t>M</t>
        </is>
      </c>
      <c r="AD12" s="102" t="inlineStr">
        <is>
          <t>D</t>
        </is>
      </c>
      <c r="AE12" s="98" t="inlineStr">
        <is>
          <t>M</t>
        </is>
      </c>
      <c r="AF12" s="104" t="inlineStr">
        <is>
          <t>T</t>
        </is>
      </c>
      <c r="AG12" s="97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103" t="inlineStr">
        <is>
          <t>N</t>
        </is>
      </c>
      <c r="E13" s="97" t="n"/>
      <c r="F13" s="98" t="inlineStr">
        <is>
          <t>M</t>
        </is>
      </c>
      <c r="G13" s="98" t="inlineStr">
        <is>
          <t>M</t>
        </is>
      </c>
      <c r="H13" s="98" t="inlineStr">
        <is>
          <t>M</t>
        </is>
      </c>
      <c r="I13" s="98" t="inlineStr">
        <is>
          <t>M</t>
        </is>
      </c>
      <c r="J13" s="98" t="inlineStr">
        <is>
          <t>M</t>
        </is>
      </c>
      <c r="K13" s="97" t="n"/>
      <c r="L13" s="97" t="n"/>
      <c r="M13" s="98" t="inlineStr">
        <is>
          <t>M</t>
        </is>
      </c>
      <c r="N13" s="98" t="inlineStr">
        <is>
          <t>M</t>
        </is>
      </c>
      <c r="O13" s="98" t="inlineStr">
        <is>
          <t>M</t>
        </is>
      </c>
      <c r="P13" s="98" t="inlineStr">
        <is>
          <t>M</t>
        </is>
      </c>
      <c r="Q13" s="98" t="inlineStr">
        <is>
          <t>M</t>
        </is>
      </c>
      <c r="R13" s="103" t="inlineStr">
        <is>
          <t>N</t>
        </is>
      </c>
      <c r="S13" s="97" t="n"/>
      <c r="T13" s="98" t="inlineStr">
        <is>
          <t>M</t>
        </is>
      </c>
      <c r="U13" s="98" t="inlineStr">
        <is>
          <t>M</t>
        </is>
      </c>
      <c r="V13" s="98" t="inlineStr">
        <is>
          <t>M</t>
        </is>
      </c>
      <c r="W13" s="98" t="inlineStr">
        <is>
          <t>M</t>
        </is>
      </c>
      <c r="X13" s="98" t="inlineStr">
        <is>
          <t>M</t>
        </is>
      </c>
      <c r="Y13" s="97" t="n"/>
      <c r="Z13" s="97" t="n"/>
      <c r="AA13" s="98" t="inlineStr">
        <is>
          <t>M</t>
        </is>
      </c>
      <c r="AB13" s="98" t="inlineStr">
        <is>
          <t>M</t>
        </is>
      </c>
      <c r="AC13" s="98" t="inlineStr">
        <is>
          <t>M</t>
        </is>
      </c>
      <c r="AD13" s="98" t="inlineStr">
        <is>
          <t>M</t>
        </is>
      </c>
      <c r="AE13" s="98" t="inlineStr">
        <is>
          <t>M</t>
        </is>
      </c>
      <c r="AF13" s="103" t="inlineStr">
        <is>
          <t>N</t>
        </is>
      </c>
      <c r="AG13" s="97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7" t="n"/>
      <c r="D14" s="97" t="n"/>
      <c r="E14" s="97" t="n"/>
      <c r="F14" s="98" t="inlineStr">
        <is>
          <t>M</t>
        </is>
      </c>
      <c r="G14" s="98" t="inlineStr">
        <is>
          <t>M</t>
        </is>
      </c>
      <c r="H14" s="98" t="inlineStr">
        <is>
          <t>M</t>
        </is>
      </c>
      <c r="I14" s="98" t="inlineStr">
        <is>
          <t>M</t>
        </is>
      </c>
      <c r="J14" s="98" t="inlineStr">
        <is>
          <t>M</t>
        </is>
      </c>
      <c r="K14" s="97" t="n"/>
      <c r="L14" s="97" t="n"/>
      <c r="M14" s="98" t="inlineStr">
        <is>
          <t>M</t>
        </is>
      </c>
      <c r="N14" s="98" t="inlineStr">
        <is>
          <t>M</t>
        </is>
      </c>
      <c r="O14" s="98" t="inlineStr">
        <is>
          <t>M</t>
        </is>
      </c>
      <c r="P14" s="98" t="inlineStr">
        <is>
          <t>M</t>
        </is>
      </c>
      <c r="Q14" s="98" t="inlineStr">
        <is>
          <t>M</t>
        </is>
      </c>
      <c r="R14" s="97" t="n"/>
      <c r="S14" s="102" t="inlineStr">
        <is>
          <t>D</t>
        </is>
      </c>
      <c r="T14" s="98" t="inlineStr">
        <is>
          <t>M</t>
        </is>
      </c>
      <c r="U14" s="98" t="inlineStr">
        <is>
          <t>M</t>
        </is>
      </c>
      <c r="V14" s="98" t="inlineStr">
        <is>
          <t>M</t>
        </is>
      </c>
      <c r="W14" s="98" t="inlineStr">
        <is>
          <t>M</t>
        </is>
      </c>
      <c r="X14" s="98" t="inlineStr">
        <is>
          <t>M</t>
        </is>
      </c>
      <c r="Y14" s="97" t="n"/>
      <c r="Z14" s="97" t="n"/>
      <c r="AA14" s="98" t="inlineStr">
        <is>
          <t>M</t>
        </is>
      </c>
      <c r="AB14" s="97" t="n"/>
      <c r="AC14" s="98" t="inlineStr">
        <is>
          <t>M</t>
        </is>
      </c>
      <c r="AD14" s="98" t="inlineStr">
        <is>
          <t>M</t>
        </is>
      </c>
      <c r="AE14" s="98" t="inlineStr">
        <is>
          <t>M</t>
        </is>
      </c>
      <c r="AF14" s="97" t="n"/>
      <c r="AG14" s="102" t="inlineStr">
        <is>
          <t>D</t>
        </is>
      </c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8" t="inlineStr">
        <is>
          <t>M</t>
        </is>
      </c>
      <c r="D15" s="103" t="inlineStr">
        <is>
          <t>N</t>
        </is>
      </c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8" t="inlineStr">
        <is>
          <t>M</t>
        </is>
      </c>
      <c r="V15" s="98" t="inlineStr">
        <is>
          <t>M</t>
        </is>
      </c>
      <c r="W15" s="98" t="inlineStr">
        <is>
          <t>M</t>
        </is>
      </c>
      <c r="X15" s="98" t="inlineStr">
        <is>
          <t>M</t>
        </is>
      </c>
      <c r="Y15" s="97" t="n"/>
      <c r="Z15" s="97" t="n"/>
      <c r="AA15" s="98" t="inlineStr">
        <is>
          <t>M</t>
        </is>
      </c>
      <c r="AB15" s="98" t="inlineStr">
        <is>
          <t>M</t>
        </is>
      </c>
      <c r="AC15" s="98" t="inlineStr">
        <is>
          <t>M</t>
        </is>
      </c>
      <c r="AD15" s="98" t="inlineStr">
        <is>
          <t>M</t>
        </is>
      </c>
      <c r="AE15" s="102" t="inlineStr">
        <is>
          <t>D</t>
        </is>
      </c>
      <c r="AF15" s="97" t="n"/>
      <c r="AG15" s="98" t="inlineStr">
        <is>
          <t>M</t>
        </is>
      </c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02" t="inlineStr">
        <is>
          <t>D</t>
        </is>
      </c>
      <c r="D16" s="97" t="n"/>
      <c r="E16" s="97" t="n"/>
      <c r="F16" s="102" t="inlineStr">
        <is>
          <t>D</t>
        </is>
      </c>
      <c r="G16" s="104" t="inlineStr">
        <is>
          <t>T</t>
        </is>
      </c>
      <c r="H16" s="97" t="n"/>
      <c r="I16" s="97" t="n"/>
      <c r="J16" s="102" t="inlineStr">
        <is>
          <t>D</t>
        </is>
      </c>
      <c r="K16" s="97" t="n"/>
      <c r="L16" s="97" t="n"/>
      <c r="M16" s="102" t="inlineStr">
        <is>
          <t>D</t>
        </is>
      </c>
      <c r="N16" s="97" t="n"/>
      <c r="O16" s="97" t="n"/>
      <c r="P16" s="97" t="n"/>
      <c r="Q16" s="102" t="inlineStr">
        <is>
          <t>D</t>
        </is>
      </c>
      <c r="R16" s="97" t="n"/>
      <c r="S16" s="104" t="inlineStr">
        <is>
          <t>T</t>
        </is>
      </c>
      <c r="T16" s="102" t="inlineStr">
        <is>
          <t>D</t>
        </is>
      </c>
      <c r="U16" s="97" t="n"/>
      <c r="V16" s="97" t="n"/>
      <c r="W16" s="97" t="n"/>
      <c r="X16" s="104" t="inlineStr">
        <is>
          <t>T</t>
        </is>
      </c>
      <c r="Y16" s="97" t="n"/>
      <c r="Z16" s="102" t="inlineStr">
        <is>
          <t>D</t>
        </is>
      </c>
      <c r="AA16" s="104" t="inlineStr">
        <is>
          <t>T</t>
        </is>
      </c>
      <c r="AB16" s="104" t="inlineStr">
        <is>
          <t>T</t>
        </is>
      </c>
      <c r="AC16" s="97" t="n"/>
      <c r="AD16" s="97" t="n"/>
      <c r="AE16" s="104" t="inlineStr">
        <is>
          <t>T</t>
        </is>
      </c>
      <c r="AF16" s="97" t="n"/>
      <c r="AG16" s="102" t="inlineStr">
        <is>
          <t>D</t>
        </is>
      </c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97" t="n"/>
      <c r="E17" s="97" t="n"/>
      <c r="F17" s="104" t="inlineStr">
        <is>
          <t>T</t>
        </is>
      </c>
      <c r="G17" s="98" t="inlineStr">
        <is>
          <t>M</t>
        </is>
      </c>
      <c r="H17" s="102" t="inlineStr">
        <is>
          <t>D</t>
        </is>
      </c>
      <c r="I17" s="97" t="n"/>
      <c r="J17" s="104" t="inlineStr">
        <is>
          <t>T</t>
        </is>
      </c>
      <c r="K17" s="103" t="inlineStr">
        <is>
          <t>N</t>
        </is>
      </c>
      <c r="L17" s="97" t="n"/>
      <c r="M17" s="97" t="n"/>
      <c r="N17" s="98" t="inlineStr">
        <is>
          <t>M</t>
        </is>
      </c>
      <c r="O17" s="97" t="n"/>
      <c r="P17" s="103" t="inlineStr">
        <is>
          <t>N</t>
        </is>
      </c>
      <c r="Q17" s="97" t="n"/>
      <c r="R17" s="98" t="inlineStr">
        <is>
          <t>M</t>
        </is>
      </c>
      <c r="S17" s="97" t="n"/>
      <c r="T17" s="104" t="inlineStr">
        <is>
          <t>T</t>
        </is>
      </c>
      <c r="U17" s="103" t="inlineStr">
        <is>
          <t>N</t>
        </is>
      </c>
      <c r="V17" s="97" t="n"/>
      <c r="W17" s="98" t="inlineStr">
        <is>
          <t>M</t>
        </is>
      </c>
      <c r="X17" s="102" t="inlineStr">
        <is>
          <t>D</t>
        </is>
      </c>
      <c r="Y17" s="103" t="inlineStr">
        <is>
          <t>N</t>
        </is>
      </c>
      <c r="Z17" s="97" t="n"/>
      <c r="AA17" s="103" t="inlineStr">
        <is>
          <t>N</t>
        </is>
      </c>
      <c r="AB17" s="98" t="inlineStr">
        <is>
          <t>M</t>
        </is>
      </c>
      <c r="AC17" s="97" t="n"/>
      <c r="AD17" s="103" t="inlineStr">
        <is>
          <t>N</t>
        </is>
      </c>
      <c r="AE17" s="97" t="n"/>
      <c r="AF17" s="97" t="n"/>
      <c r="AG17" s="103" t="inlineStr">
        <is>
          <t>N</t>
        </is>
      </c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97" t="n"/>
      <c r="E18" s="97" t="n"/>
      <c r="F18" s="98" t="inlineStr">
        <is>
          <t>M</t>
        </is>
      </c>
      <c r="G18" s="102" t="inlineStr">
        <is>
          <t>D</t>
        </is>
      </c>
      <c r="H18" s="102" t="inlineStr">
        <is>
          <t>D</t>
        </is>
      </c>
      <c r="I18" s="97" t="n"/>
      <c r="J18" s="97" t="n"/>
      <c r="K18" s="98" t="inlineStr">
        <is>
          <t>M</t>
        </is>
      </c>
      <c r="L18" s="97" t="n"/>
      <c r="M18" s="102" t="inlineStr">
        <is>
          <t>D</t>
        </is>
      </c>
      <c r="N18" s="97" t="n"/>
      <c r="O18" s="102" t="inlineStr">
        <is>
          <t>D</t>
        </is>
      </c>
      <c r="P18" s="97" t="n"/>
      <c r="Q18" s="97" t="n"/>
      <c r="R18" s="97" t="n"/>
      <c r="S18" s="102" t="inlineStr">
        <is>
          <t>D</t>
        </is>
      </c>
      <c r="T18" s="102" t="inlineStr">
        <is>
          <t>D</t>
        </is>
      </c>
      <c r="U18" s="102" t="inlineStr">
        <is>
          <t>D</t>
        </is>
      </c>
      <c r="V18" s="102" t="inlineStr">
        <is>
          <t>D</t>
        </is>
      </c>
      <c r="W18" s="97" t="n"/>
      <c r="X18" s="97" t="n"/>
      <c r="Y18" s="97" t="n"/>
      <c r="Z18" s="97" t="n"/>
      <c r="AA18" s="97" t="n"/>
      <c r="AB18" s="102" t="inlineStr">
        <is>
          <t>D</t>
        </is>
      </c>
      <c r="AC18" s="102" t="inlineStr">
        <is>
          <t>D</t>
        </is>
      </c>
      <c r="AD18" s="97" t="n"/>
      <c r="AE18" s="97" t="n"/>
      <c r="AF18" s="97" t="n"/>
      <c r="AG18" s="102" t="inlineStr">
        <is>
          <t>D</t>
        </is>
      </c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97" t="n"/>
      <c r="E19" s="97" t="n"/>
      <c r="F19" s="97" t="n"/>
      <c r="G19" s="97" t="n"/>
      <c r="H19" s="103" t="inlineStr">
        <is>
          <t>N</t>
        </is>
      </c>
      <c r="I19" s="103" t="inlineStr">
        <is>
          <t>N</t>
        </is>
      </c>
      <c r="J19" s="97" t="n"/>
      <c r="K19" s="97" t="n"/>
      <c r="L19" s="103" t="inlineStr">
        <is>
          <t>N</t>
        </is>
      </c>
      <c r="M19" s="103" t="inlineStr">
        <is>
          <t>N</t>
        </is>
      </c>
      <c r="N19" s="97" t="n"/>
      <c r="O19" s="103" t="inlineStr">
        <is>
          <t>N</t>
        </is>
      </c>
      <c r="P19" s="103" t="inlineStr">
        <is>
          <t>N</t>
        </is>
      </c>
      <c r="Q19" s="97" t="n"/>
      <c r="R19" s="97" t="n"/>
      <c r="S19" s="97" t="n"/>
      <c r="T19" s="97" t="n"/>
      <c r="U19" s="97" t="n"/>
      <c r="V19" s="103" t="inlineStr">
        <is>
          <t>N</t>
        </is>
      </c>
      <c r="W19" s="97" t="n"/>
      <c r="X19" s="103" t="inlineStr">
        <is>
          <t>N</t>
        </is>
      </c>
      <c r="Y19" s="97" t="n"/>
      <c r="Z19" s="103" t="inlineStr">
        <is>
          <t>N</t>
        </is>
      </c>
      <c r="AA19" s="97" t="n"/>
      <c r="AB19" s="97" t="n"/>
      <c r="AC19" s="103" t="inlineStr">
        <is>
          <t>N</t>
        </is>
      </c>
      <c r="AD19" s="103" t="inlineStr">
        <is>
          <t>N</t>
        </is>
      </c>
      <c r="AE19" s="97" t="n"/>
      <c r="AF19" s="103" t="inlineStr">
        <is>
          <t>N</t>
        </is>
      </c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103" t="inlineStr">
        <is>
          <t>N</t>
        </is>
      </c>
      <c r="E20" s="97" t="n"/>
      <c r="F20" s="97" t="n"/>
      <c r="G20" s="103" t="inlineStr">
        <is>
          <t>N</t>
        </is>
      </c>
      <c r="H20" s="103" t="inlineStr">
        <is>
          <t>N</t>
        </is>
      </c>
      <c r="I20" s="97" t="n"/>
      <c r="J20" s="97" t="n"/>
      <c r="K20" s="97" t="n"/>
      <c r="L20" s="103" t="inlineStr">
        <is>
          <t>N</t>
        </is>
      </c>
      <c r="M20" s="97" t="n"/>
      <c r="N20" s="103" t="inlineStr">
        <is>
          <t>N</t>
        </is>
      </c>
      <c r="O20" s="103" t="inlineStr">
        <is>
          <t>N</t>
        </is>
      </c>
      <c r="P20" s="103" t="inlineStr">
        <is>
          <t>N</t>
        </is>
      </c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97" t="n"/>
      <c r="E21" s="97" t="n"/>
      <c r="F21" s="104" t="inlineStr">
        <is>
          <t>T</t>
        </is>
      </c>
      <c r="G21" s="102" t="inlineStr">
        <is>
          <t>D</t>
        </is>
      </c>
      <c r="H21" s="98" t="inlineStr">
        <is>
          <t>M</t>
        </is>
      </c>
      <c r="I21" s="97" t="n"/>
      <c r="J21" s="97" t="n"/>
      <c r="K21" s="97" t="n"/>
      <c r="L21" s="103" t="inlineStr">
        <is>
          <t>N</t>
        </is>
      </c>
      <c r="M21" s="104" t="inlineStr">
        <is>
          <t>T</t>
        </is>
      </c>
      <c r="N21" s="102" t="inlineStr">
        <is>
          <t>D</t>
        </is>
      </c>
      <c r="O21" s="104" t="inlineStr">
        <is>
          <t>T</t>
        </is>
      </c>
      <c r="P21" s="102" t="inlineStr">
        <is>
          <t>D</t>
        </is>
      </c>
      <c r="Q21" s="97" t="n"/>
      <c r="R21" s="97" t="n"/>
      <c r="S21" s="97" t="n"/>
      <c r="T21" s="104" t="inlineStr">
        <is>
          <t>T</t>
        </is>
      </c>
      <c r="U21" s="97" t="n"/>
      <c r="V21" s="104" t="inlineStr">
        <is>
          <t>T</t>
        </is>
      </c>
      <c r="W21" s="103" t="inlineStr">
        <is>
          <t>N</t>
        </is>
      </c>
      <c r="X21" s="97" t="n"/>
      <c r="Y21" s="103" t="inlineStr">
        <is>
          <t>N</t>
        </is>
      </c>
      <c r="Z21" s="97" t="n"/>
      <c r="AA21" s="104" t="inlineStr">
        <is>
          <t>T</t>
        </is>
      </c>
      <c r="AB21" s="98" t="inlineStr">
        <is>
          <t>M</t>
        </is>
      </c>
      <c r="AC21" s="104" t="inlineStr">
        <is>
          <t>T</t>
        </is>
      </c>
      <c r="AD21" s="97" t="n"/>
      <c r="AE21" s="97" t="n"/>
      <c r="AF21" s="98" t="inlineStr">
        <is>
          <t>M</t>
        </is>
      </c>
      <c r="AG21" s="102" t="inlineStr">
        <is>
          <t>D</t>
        </is>
      </c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104" t="inlineStr">
        <is>
          <t>T</t>
        </is>
      </c>
      <c r="D22" s="97" t="n"/>
      <c r="E22" s="97" t="n"/>
      <c r="F22" s="97" t="n"/>
      <c r="G22" s="102" t="inlineStr">
        <is>
          <t>D</t>
        </is>
      </c>
      <c r="H22" s="97" t="n"/>
      <c r="I22" s="102" t="inlineStr">
        <is>
          <t>D</t>
        </is>
      </c>
      <c r="J22" s="97" t="n"/>
      <c r="K22" s="102" t="inlineStr">
        <is>
          <t>D</t>
        </is>
      </c>
      <c r="L22" s="97" t="n"/>
      <c r="M22" s="97" t="n"/>
      <c r="N22" s="102" t="inlineStr">
        <is>
          <t>D</t>
        </is>
      </c>
      <c r="O22" s="98" t="inlineStr">
        <is>
          <t>M</t>
        </is>
      </c>
      <c r="P22" s="98" t="inlineStr">
        <is>
          <t>M</t>
        </is>
      </c>
      <c r="Q22" s="97" t="n"/>
      <c r="R22" s="102" t="inlineStr">
        <is>
          <t>D</t>
        </is>
      </c>
      <c r="S22" s="97" t="n"/>
      <c r="T22" s="103" t="inlineStr">
        <is>
          <t>N</t>
        </is>
      </c>
      <c r="U22" s="97" t="n"/>
      <c r="V22" s="97" t="n"/>
      <c r="W22" s="104" t="inlineStr">
        <is>
          <t>T</t>
        </is>
      </c>
      <c r="X22" s="97" t="n"/>
      <c r="Y22" s="102" t="inlineStr">
        <is>
          <t>D</t>
        </is>
      </c>
      <c r="Z22" s="98" t="inlineStr">
        <is>
          <t>M</t>
        </is>
      </c>
      <c r="AA22" s="97" t="n"/>
      <c r="AB22" s="102" t="inlineStr">
        <is>
          <t>D</t>
        </is>
      </c>
      <c r="AC22" s="97" t="n"/>
      <c r="AD22" s="102" t="inlineStr">
        <is>
          <t>D</t>
        </is>
      </c>
      <c r="AE22" s="103" t="inlineStr">
        <is>
          <t>N</t>
        </is>
      </c>
      <c r="AF22" s="97" t="n"/>
      <c r="AG22" s="97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97" t="n"/>
      <c r="F23" s="102" t="inlineStr">
        <is>
          <t>D</t>
        </is>
      </c>
      <c r="G23" s="102" t="inlineStr">
        <is>
          <t>D</t>
        </is>
      </c>
      <c r="H23" s="97" t="n"/>
      <c r="I23" s="102" t="inlineStr">
        <is>
          <t>D</t>
        </is>
      </c>
      <c r="J23" s="97" t="n"/>
      <c r="K23" s="97" t="n"/>
      <c r="L23" s="97" t="n"/>
      <c r="M23" s="102" t="inlineStr">
        <is>
          <t>D</t>
        </is>
      </c>
      <c r="N23" s="97" t="n"/>
      <c r="O23" s="97" t="n"/>
      <c r="P23" s="97" t="n"/>
      <c r="Q23" s="97" t="n"/>
      <c r="R23" s="102" t="inlineStr">
        <is>
          <t>D</t>
        </is>
      </c>
      <c r="S23" s="102" t="inlineStr">
        <is>
          <t>D</t>
        </is>
      </c>
      <c r="T23" s="97" t="n"/>
      <c r="U23" s="102" t="inlineStr">
        <is>
          <t>D</t>
        </is>
      </c>
      <c r="V23" s="97" t="n"/>
      <c r="W23" s="102" t="inlineStr">
        <is>
          <t>D</t>
        </is>
      </c>
      <c r="X23" s="97" t="n"/>
      <c r="Y23" s="97" t="n"/>
      <c r="Z23" s="102" t="inlineStr">
        <is>
          <t>D</t>
        </is>
      </c>
      <c r="AA23" s="102" t="inlineStr">
        <is>
          <t>D</t>
        </is>
      </c>
      <c r="AB23" s="102" t="inlineStr">
        <is>
          <t>D</t>
        </is>
      </c>
      <c r="AC23" s="97" t="n"/>
      <c r="AD23" s="102" t="inlineStr">
        <is>
          <t>D</t>
        </is>
      </c>
      <c r="AE23" s="97" t="n"/>
      <c r="AF23" s="97" t="n"/>
      <c r="AG23" s="97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102" t="inlineStr">
        <is>
          <t>D</t>
        </is>
      </c>
      <c r="E24" s="97" t="n"/>
      <c r="F24" s="97" t="n"/>
      <c r="G24" s="102" t="inlineStr">
        <is>
          <t>D</t>
        </is>
      </c>
      <c r="H24" s="97" t="n"/>
      <c r="I24" s="102" t="inlineStr">
        <is>
          <t>D</t>
        </is>
      </c>
      <c r="J24" s="97" t="n"/>
      <c r="K24" s="102" t="inlineStr">
        <is>
          <t>D</t>
        </is>
      </c>
      <c r="L24" s="97" t="n"/>
      <c r="M24" s="103" t="inlineStr">
        <is>
          <t>N</t>
        </is>
      </c>
      <c r="N24" s="97" t="n"/>
      <c r="O24" s="97" t="n"/>
      <c r="P24" s="102" t="inlineStr">
        <is>
          <t>D</t>
        </is>
      </c>
      <c r="Q24" s="97" t="n"/>
      <c r="R24" s="102" t="inlineStr">
        <is>
          <t>D</t>
        </is>
      </c>
      <c r="S24" s="97" t="n"/>
      <c r="T24" s="97" t="n"/>
      <c r="U24" s="102" t="inlineStr">
        <is>
          <t>D</t>
        </is>
      </c>
      <c r="V24" s="98" t="inlineStr">
        <is>
          <t>M</t>
        </is>
      </c>
      <c r="W24" s="102" t="inlineStr">
        <is>
          <t>D</t>
        </is>
      </c>
      <c r="X24" s="98" t="inlineStr">
        <is>
          <t>M</t>
        </is>
      </c>
      <c r="Y24" s="97" t="n"/>
      <c r="Z24" s="97" t="n"/>
      <c r="AA24" s="98" t="inlineStr">
        <is>
          <t>M</t>
        </is>
      </c>
      <c r="AB24" s="102" t="inlineStr">
        <is>
          <t>D</t>
        </is>
      </c>
      <c r="AC24" s="98" t="inlineStr">
        <is>
          <t>M</t>
        </is>
      </c>
      <c r="AD24" s="98" t="inlineStr">
        <is>
          <t>M</t>
        </is>
      </c>
      <c r="AE24" s="98" t="inlineStr">
        <is>
          <t>M</t>
        </is>
      </c>
      <c r="AF24" s="97" t="n"/>
      <c r="AG24" s="97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97" t="n"/>
      <c r="G25" s="103" t="inlineStr">
        <is>
          <t>N</t>
        </is>
      </c>
      <c r="H25" s="103" t="inlineStr">
        <is>
          <t>N</t>
        </is>
      </c>
      <c r="I25" s="97" t="n"/>
      <c r="J25" s="97" t="n"/>
      <c r="K25" s="97" t="n"/>
      <c r="L25" s="103" t="inlineStr">
        <is>
          <t>N</t>
        </is>
      </c>
      <c r="M25" s="97" t="n"/>
      <c r="N25" s="103" t="inlineStr">
        <is>
          <t>N</t>
        </is>
      </c>
      <c r="O25" s="103" t="inlineStr">
        <is>
          <t>N</t>
        </is>
      </c>
      <c r="P25" s="97" t="n"/>
      <c r="Q25" s="97" t="n"/>
      <c r="R25" s="97" t="n"/>
      <c r="S25" s="103" t="inlineStr">
        <is>
          <t>N</t>
        </is>
      </c>
      <c r="T25" s="103" t="inlineStr">
        <is>
          <t>N</t>
        </is>
      </c>
      <c r="U25" s="97" t="n"/>
      <c r="V25" s="103" t="inlineStr">
        <is>
          <t>N</t>
        </is>
      </c>
      <c r="W25" s="97" t="n"/>
      <c r="X25" s="97" t="n"/>
      <c r="Y25" s="97" t="n"/>
      <c r="Z25" s="103" t="inlineStr">
        <is>
          <t>N</t>
        </is>
      </c>
      <c r="AA25" s="103" t="inlineStr">
        <is>
          <t>N</t>
        </is>
      </c>
      <c r="AB25" s="103" t="inlineStr">
        <is>
          <t>N</t>
        </is>
      </c>
      <c r="AC25" s="103" t="inlineStr">
        <is>
          <t>N</t>
        </is>
      </c>
      <c r="AD25" s="97" t="n"/>
      <c r="AE25" s="97" t="n"/>
      <c r="AF25" s="97" t="n"/>
      <c r="AG25" s="97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8" t="inlineStr">
        <is>
          <t>M</t>
        </is>
      </c>
      <c r="D26" s="103" t="inlineStr">
        <is>
          <t>N</t>
        </is>
      </c>
      <c r="E26" s="97" t="n"/>
      <c r="F26" s="103" t="inlineStr">
        <is>
          <t>N</t>
        </is>
      </c>
      <c r="G26" s="103" t="inlineStr">
        <is>
          <t>N</t>
        </is>
      </c>
      <c r="H26" s="97" t="n"/>
      <c r="I26" s="104" t="inlineStr">
        <is>
          <t>T</t>
        </is>
      </c>
      <c r="J26" s="104" t="inlineStr">
        <is>
          <t>T</t>
        </is>
      </c>
      <c r="K26" s="97" t="n"/>
      <c r="L26" s="97" t="n"/>
      <c r="M26" s="97" t="n"/>
      <c r="N26" s="97" t="n"/>
      <c r="O26" s="97" t="n"/>
      <c r="P26" s="97" t="n"/>
      <c r="Q26" s="102" t="inlineStr">
        <is>
          <t>D</t>
        </is>
      </c>
      <c r="R26" s="103" t="inlineStr">
        <is>
          <t>N</t>
        </is>
      </c>
      <c r="S26" s="103" t="inlineStr">
        <is>
          <t>N</t>
        </is>
      </c>
      <c r="T26" s="97" t="n"/>
      <c r="U26" s="103" t="inlineStr">
        <is>
          <t>N</t>
        </is>
      </c>
      <c r="V26" s="104" t="inlineStr">
        <is>
          <t>T</t>
        </is>
      </c>
      <c r="W26" s="102" t="inlineStr">
        <is>
          <t>D</t>
        </is>
      </c>
      <c r="X26" s="97" t="n"/>
      <c r="Y26" s="97" t="n"/>
      <c r="Z26" s="104" t="inlineStr">
        <is>
          <t>T</t>
        </is>
      </c>
      <c r="AA26" s="103" t="inlineStr">
        <is>
          <t>N</t>
        </is>
      </c>
      <c r="AB26" s="103" t="inlineStr">
        <is>
          <t>N</t>
        </is>
      </c>
      <c r="AC26" s="97" t="n"/>
      <c r="AD26" s="102" t="inlineStr">
        <is>
          <t>D</t>
        </is>
      </c>
      <c r="AE26" s="97" t="n"/>
      <c r="AF26" s="97" t="n"/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103" t="inlineStr">
        <is>
          <t>N</t>
        </is>
      </c>
      <c r="E27" s="97" t="n"/>
      <c r="F27" s="98" t="inlineStr">
        <is>
          <t>M</t>
        </is>
      </c>
      <c r="G27" s="103" t="inlineStr">
        <is>
          <t>N</t>
        </is>
      </c>
      <c r="H27" s="97" t="n"/>
      <c r="I27" s="103" t="inlineStr">
        <is>
          <t>N</t>
        </is>
      </c>
      <c r="J27" s="104" t="inlineStr">
        <is>
          <t>T</t>
        </is>
      </c>
      <c r="K27" s="97" t="n"/>
      <c r="L27" s="97" t="n"/>
      <c r="M27" s="98" t="inlineStr">
        <is>
          <t>M</t>
        </is>
      </c>
      <c r="N27" s="103" t="inlineStr">
        <is>
          <t>N</t>
        </is>
      </c>
      <c r="O27" s="97" t="n"/>
      <c r="P27" s="103" t="inlineStr">
        <is>
          <t>N</t>
        </is>
      </c>
      <c r="Q27" s="97" t="n"/>
      <c r="R27" s="97" t="n"/>
      <c r="S27" s="97" t="n"/>
      <c r="T27" s="97" t="n"/>
      <c r="U27" s="103" t="inlineStr">
        <is>
          <t>N</t>
        </is>
      </c>
      <c r="V27" s="97" t="n"/>
      <c r="W27" s="103" t="inlineStr">
        <is>
          <t>N</t>
        </is>
      </c>
      <c r="X27" s="97" t="n"/>
      <c r="Y27" s="103" t="inlineStr">
        <is>
          <t>N</t>
        </is>
      </c>
      <c r="Z27" s="97" t="n"/>
      <c r="AA27" s="97" t="n"/>
      <c r="AB27" s="97" t="n"/>
      <c r="AC27" s="97" t="n"/>
      <c r="AD27" s="103" t="inlineStr">
        <is>
          <t>N</t>
        </is>
      </c>
      <c r="AE27" s="97" t="n"/>
      <c r="AF27" s="103" t="inlineStr">
        <is>
          <t>N</t>
        </is>
      </c>
      <c r="AG27" s="97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102" t="inlineStr">
        <is>
          <t>D</t>
        </is>
      </c>
      <c r="E28" s="97" t="n"/>
      <c r="F28" s="102" t="inlineStr">
        <is>
          <t>D</t>
        </is>
      </c>
      <c r="G28" s="98" t="inlineStr">
        <is>
          <t>M</t>
        </is>
      </c>
      <c r="H28" s="104" t="inlineStr">
        <is>
          <t>T</t>
        </is>
      </c>
      <c r="I28" s="97" t="n"/>
      <c r="J28" s="97" t="n"/>
      <c r="K28" s="97" t="n"/>
      <c r="L28" s="98" t="inlineStr">
        <is>
          <t>M</t>
        </is>
      </c>
      <c r="M28" s="97" t="n"/>
      <c r="N28" s="98" t="inlineStr">
        <is>
          <t>M</t>
        </is>
      </c>
      <c r="O28" s="97" t="n"/>
      <c r="P28" s="103" t="inlineStr">
        <is>
          <t>N</t>
        </is>
      </c>
      <c r="Q28" s="97" t="n"/>
      <c r="R28" s="102" t="inlineStr">
        <is>
          <t>D</t>
        </is>
      </c>
      <c r="S28" s="97" t="n"/>
      <c r="T28" s="102" t="inlineStr">
        <is>
          <t>D</t>
        </is>
      </c>
      <c r="U28" s="102" t="inlineStr">
        <is>
          <t>D</t>
        </is>
      </c>
      <c r="V28" s="104" t="inlineStr">
        <is>
          <t>T</t>
        </is>
      </c>
      <c r="W28" s="97" t="n"/>
      <c r="X28" s="97" t="n"/>
      <c r="Y28" s="97" t="n"/>
      <c r="Z28" s="97" t="n"/>
      <c r="AA28" s="97" t="n"/>
      <c r="AB28" s="97" t="n"/>
      <c r="AC28" s="104" t="inlineStr">
        <is>
          <t>T</t>
        </is>
      </c>
      <c r="AD28" s="103" t="inlineStr">
        <is>
          <t>N</t>
        </is>
      </c>
      <c r="AE28" s="103" t="inlineStr">
        <is>
          <t>N</t>
        </is>
      </c>
      <c r="AF28" s="97" t="n"/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8" t="inlineStr">
        <is>
          <t>M</t>
        </is>
      </c>
      <c r="D29" s="97" t="n"/>
      <c r="E29" s="97" t="n"/>
      <c r="F29" s="103" t="inlineStr">
        <is>
          <t>N</t>
        </is>
      </c>
      <c r="G29" s="97" t="n"/>
      <c r="H29" s="97" t="n"/>
      <c r="I29" s="98" t="inlineStr">
        <is>
          <t>M</t>
        </is>
      </c>
      <c r="J29" s="104" t="inlineStr">
        <is>
          <t>T</t>
        </is>
      </c>
      <c r="K29" s="98" t="inlineStr">
        <is>
          <t>M</t>
        </is>
      </c>
      <c r="L29" s="97" t="n"/>
      <c r="M29" s="97" t="n"/>
      <c r="N29" s="97" t="n"/>
      <c r="O29" s="98" t="inlineStr">
        <is>
          <t>M</t>
        </is>
      </c>
      <c r="P29" s="98" t="inlineStr">
        <is>
          <t>M</t>
        </is>
      </c>
      <c r="Q29" s="103" t="inlineStr">
        <is>
          <t>N</t>
        </is>
      </c>
      <c r="R29" s="97" t="n"/>
      <c r="S29" s="98" t="inlineStr">
        <is>
          <t>M</t>
        </is>
      </c>
      <c r="T29" s="103" t="inlineStr">
        <is>
          <t>N</t>
        </is>
      </c>
      <c r="U29" s="97" t="n"/>
      <c r="V29" s="98" t="inlineStr">
        <is>
          <t>M</t>
        </is>
      </c>
      <c r="W29" s="98" t="inlineStr">
        <is>
          <t>M</t>
        </is>
      </c>
      <c r="X29" s="97" t="n"/>
      <c r="Y29" s="98" t="inlineStr">
        <is>
          <t>M</t>
        </is>
      </c>
      <c r="Z29" s="97" t="n"/>
      <c r="AA29" s="103" t="inlineStr">
        <is>
          <t>N</t>
        </is>
      </c>
      <c r="AB29" s="97" t="n"/>
      <c r="AC29" s="98" t="inlineStr">
        <is>
          <t>M</t>
        </is>
      </c>
      <c r="AD29" s="97" t="n"/>
      <c r="AE29" s="97" t="n"/>
      <c r="AF29" s="98" t="inlineStr">
        <is>
          <t>M</t>
        </is>
      </c>
      <c r="AG29" s="98" t="inlineStr">
        <is>
          <t>M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97" t="n"/>
      <c r="E30" s="97" t="n"/>
      <c r="F30" s="97" t="n"/>
      <c r="G30" s="97" t="n"/>
      <c r="H30" s="103" t="inlineStr">
        <is>
          <t>N</t>
        </is>
      </c>
      <c r="I30" s="104" t="inlineStr">
        <is>
          <t>T</t>
        </is>
      </c>
      <c r="J30" s="97" t="n"/>
      <c r="K30" s="97" t="n"/>
      <c r="L30" s="103" t="inlineStr">
        <is>
          <t>N</t>
        </is>
      </c>
      <c r="M30" s="97" t="n"/>
      <c r="N30" s="104" t="inlineStr">
        <is>
          <t>T</t>
        </is>
      </c>
      <c r="O30" s="103" t="inlineStr">
        <is>
          <t>N</t>
        </is>
      </c>
      <c r="P30" s="97" t="n"/>
      <c r="Q30" s="103" t="inlineStr">
        <is>
          <t>N</t>
        </is>
      </c>
      <c r="R30" s="97" t="n"/>
      <c r="S30" s="97" t="n"/>
      <c r="T30" s="97" t="n"/>
      <c r="U30" s="97" t="n"/>
      <c r="V30" s="103" t="inlineStr">
        <is>
          <t>N</t>
        </is>
      </c>
      <c r="W30" s="104" t="inlineStr">
        <is>
          <t>T</t>
        </is>
      </c>
      <c r="X30" s="97" t="n"/>
      <c r="Y30" s="97" t="n"/>
      <c r="Z30" s="103" t="inlineStr">
        <is>
          <t>N</t>
        </is>
      </c>
      <c r="AA30" s="97" t="n"/>
      <c r="AB30" s="97" t="n"/>
      <c r="AC30" s="103" t="inlineStr">
        <is>
          <t>N</t>
        </is>
      </c>
      <c r="AD30" s="97" t="n"/>
      <c r="AE30" s="104" t="inlineStr">
        <is>
          <t>T</t>
        </is>
      </c>
      <c r="AF30" s="97" t="n"/>
      <c r="AG30" s="103" t="inlineStr">
        <is>
          <t>N</t>
        </is>
      </c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102" t="inlineStr">
        <is>
          <t>D</t>
        </is>
      </c>
      <c r="D31" s="97" t="n"/>
      <c r="E31" s="97" t="n"/>
      <c r="F31" s="102" t="inlineStr">
        <is>
          <t>D</t>
        </is>
      </c>
      <c r="G31" s="97" t="n"/>
      <c r="H31" s="104" t="inlineStr">
        <is>
          <t>T</t>
        </is>
      </c>
      <c r="I31" s="97" t="n"/>
      <c r="J31" s="97" t="n"/>
      <c r="K31" s="102" t="inlineStr">
        <is>
          <t>D</t>
        </is>
      </c>
      <c r="L31" s="98" t="inlineStr">
        <is>
          <t>M</t>
        </is>
      </c>
      <c r="M31" s="98" t="inlineStr">
        <is>
          <t>M</t>
        </is>
      </c>
      <c r="N31" s="103" t="inlineStr">
        <is>
          <t>N</t>
        </is>
      </c>
      <c r="O31" s="104" t="inlineStr">
        <is>
          <t>T</t>
        </is>
      </c>
      <c r="P31" s="97" t="n"/>
      <c r="Q31" s="102" t="inlineStr">
        <is>
          <t>D</t>
        </is>
      </c>
      <c r="R31" s="97" t="n"/>
      <c r="S31" s="97" t="n"/>
      <c r="T31" s="98" t="inlineStr">
        <is>
          <t>M</t>
        </is>
      </c>
      <c r="U31" s="104" t="inlineStr">
        <is>
          <t>T</t>
        </is>
      </c>
      <c r="V31" s="103" t="inlineStr">
        <is>
          <t>N</t>
        </is>
      </c>
      <c r="W31" s="97" t="n"/>
      <c r="X31" s="97" t="n"/>
      <c r="Y31" s="103" t="inlineStr">
        <is>
          <t>N</t>
        </is>
      </c>
      <c r="Z31" s="97" t="n"/>
      <c r="AA31" s="104" t="inlineStr">
        <is>
          <t>T</t>
        </is>
      </c>
      <c r="AB31" s="103" t="inlineStr">
        <is>
          <t>N</t>
        </is>
      </c>
      <c r="AC31" s="104" t="inlineStr">
        <is>
          <t>T</t>
        </is>
      </c>
      <c r="AD31" s="97" t="n"/>
      <c r="AE31" s="97" t="n"/>
      <c r="AF31" s="102" t="inlineStr">
        <is>
          <t>D</t>
        </is>
      </c>
      <c r="AG31" s="97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102" t="inlineStr">
        <is>
          <t>D</t>
        </is>
      </c>
      <c r="D32" s="98" t="inlineStr">
        <is>
          <t>M</t>
        </is>
      </c>
      <c r="E32" s="97" t="n"/>
      <c r="F32" s="102" t="inlineStr">
        <is>
          <t>D</t>
        </is>
      </c>
      <c r="G32" s="97" t="n"/>
      <c r="H32" s="97" t="n"/>
      <c r="I32" s="97" t="n"/>
      <c r="J32" s="98" t="inlineStr">
        <is>
          <t>M</t>
        </is>
      </c>
      <c r="K32" s="97" t="n"/>
      <c r="L32" s="103" t="inlineStr">
        <is>
          <t>N</t>
        </is>
      </c>
      <c r="M32" s="103" t="inlineStr">
        <is>
          <t>N</t>
        </is>
      </c>
      <c r="N32" s="97" t="n"/>
      <c r="O32" s="97" t="n"/>
      <c r="P32" s="98" t="inlineStr">
        <is>
          <t>M</t>
        </is>
      </c>
      <c r="Q32" s="102" t="inlineStr">
        <is>
          <t>D</t>
        </is>
      </c>
      <c r="R32" s="97" t="n"/>
      <c r="S32" s="97" t="n"/>
      <c r="T32" s="102" t="inlineStr">
        <is>
          <t>D</t>
        </is>
      </c>
      <c r="U32" s="97" t="n"/>
      <c r="V32" s="97" t="n"/>
      <c r="W32" s="104" t="inlineStr">
        <is>
          <t>T</t>
        </is>
      </c>
      <c r="X32" s="97" t="n"/>
      <c r="Y32" s="98" t="inlineStr">
        <is>
          <t>M</t>
        </is>
      </c>
      <c r="Z32" s="98" t="inlineStr">
        <is>
          <t>M</t>
        </is>
      </c>
      <c r="AA32" s="103" t="inlineStr">
        <is>
          <t>N</t>
        </is>
      </c>
      <c r="AB32" s="97" t="n"/>
      <c r="AC32" s="97" t="n"/>
      <c r="AD32" s="104" t="inlineStr">
        <is>
          <t>T</t>
        </is>
      </c>
      <c r="AE32" s="102" t="inlineStr">
        <is>
          <t>D</t>
        </is>
      </c>
      <c r="AF32" s="97" t="n"/>
      <c r="AG32" s="97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8" t="inlineStr">
        <is>
          <t>M</t>
        </is>
      </c>
      <c r="D34" s="97" t="n"/>
      <c r="E34" s="97" t="n"/>
      <c r="F34" s="97" t="n"/>
      <c r="G34" s="102" t="inlineStr">
        <is>
          <t>D</t>
        </is>
      </c>
      <c r="H34" s="97" t="n"/>
      <c r="I34" s="98" t="inlineStr">
        <is>
          <t>M</t>
        </is>
      </c>
      <c r="J34" s="103" t="inlineStr">
        <is>
          <t>N</t>
        </is>
      </c>
      <c r="K34" s="97" t="n"/>
      <c r="L34" s="97" t="n"/>
      <c r="M34" s="97" t="n"/>
      <c r="N34" s="102" t="inlineStr">
        <is>
          <t>D</t>
        </is>
      </c>
      <c r="O34" s="102" t="inlineStr">
        <is>
          <t>D</t>
        </is>
      </c>
      <c r="P34" s="97" t="n"/>
      <c r="Q34" s="98" t="inlineStr">
        <is>
          <t>M</t>
        </is>
      </c>
      <c r="R34" s="97" t="n"/>
      <c r="S34" s="97" t="n"/>
      <c r="T34" s="97" t="n"/>
      <c r="U34" s="97" t="n"/>
      <c r="V34" s="102" t="inlineStr">
        <is>
          <t>D</t>
        </is>
      </c>
      <c r="W34" s="97" t="n"/>
      <c r="X34" s="97" t="n"/>
      <c r="Y34" s="102" t="inlineStr">
        <is>
          <t>D</t>
        </is>
      </c>
      <c r="Z34" s="98" t="inlineStr">
        <is>
          <t>M</t>
        </is>
      </c>
      <c r="AA34" s="97" t="n"/>
      <c r="AB34" s="102" t="inlineStr">
        <is>
          <t>D</t>
        </is>
      </c>
      <c r="AC34" s="98" t="inlineStr">
        <is>
          <t>M</t>
        </is>
      </c>
      <c r="AD34" s="97" t="n"/>
      <c r="AE34" s="97" t="n"/>
      <c r="AF34" s="102" t="inlineStr">
        <is>
          <t>D</t>
        </is>
      </c>
      <c r="AG34" s="97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104" t="inlineStr">
        <is>
          <t>T</t>
        </is>
      </c>
      <c r="D35" s="97" t="n"/>
      <c r="E35" s="97" t="n"/>
      <c r="F35" s="103" t="inlineStr">
        <is>
          <t>N</t>
        </is>
      </c>
      <c r="G35" s="97" t="n"/>
      <c r="H35" s="97" t="n"/>
      <c r="I35" s="97" t="n"/>
      <c r="J35" s="97" t="n"/>
      <c r="K35" s="104" t="inlineStr">
        <is>
          <t>T</t>
        </is>
      </c>
      <c r="L35" s="102" t="inlineStr">
        <is>
          <t>D</t>
        </is>
      </c>
      <c r="M35" s="103" t="inlineStr">
        <is>
          <t>N</t>
        </is>
      </c>
      <c r="N35" s="97" t="n"/>
      <c r="O35" s="104" t="inlineStr">
        <is>
          <t>T</t>
        </is>
      </c>
      <c r="P35" s="97" t="n"/>
      <c r="Q35" s="97" t="n"/>
      <c r="R35" s="97" t="n"/>
      <c r="S35" s="102" t="inlineStr">
        <is>
          <t>D</t>
        </is>
      </c>
      <c r="T35" s="97" t="n"/>
      <c r="U35" s="103" t="inlineStr">
        <is>
          <t>N</t>
        </is>
      </c>
      <c r="V35" s="103" t="inlineStr">
        <is>
          <t>N</t>
        </is>
      </c>
      <c r="W35" s="97" t="n"/>
      <c r="X35" s="97" t="n"/>
      <c r="Y35" s="104" t="inlineStr">
        <is>
          <t>T</t>
        </is>
      </c>
      <c r="Z35" s="97" t="n"/>
      <c r="AA35" s="98" t="inlineStr">
        <is>
          <t>M</t>
        </is>
      </c>
      <c r="AB35" s="102" t="inlineStr">
        <is>
          <t>D</t>
        </is>
      </c>
      <c r="AC35" s="97" t="n"/>
      <c r="AD35" s="104" t="inlineStr">
        <is>
          <t>T</t>
        </is>
      </c>
      <c r="AE35" s="97" t="n"/>
      <c r="AF35" s="97" t="n"/>
      <c r="AG35" s="97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103" t="inlineStr">
        <is>
          <t>N</t>
        </is>
      </c>
      <c r="D36" s="97" t="n"/>
      <c r="E36" s="97" t="n"/>
      <c r="F36" s="97" t="n"/>
      <c r="G36" s="103" t="inlineStr">
        <is>
          <t>N</t>
        </is>
      </c>
      <c r="H36" s="97" t="n"/>
      <c r="I36" s="104" t="inlineStr">
        <is>
          <t>T</t>
        </is>
      </c>
      <c r="J36" s="102" t="inlineStr">
        <is>
          <t>D</t>
        </is>
      </c>
      <c r="K36" s="97" t="n"/>
      <c r="L36" s="97" t="n"/>
      <c r="M36" s="97" t="n"/>
      <c r="N36" s="103" t="inlineStr">
        <is>
          <t>N</t>
        </is>
      </c>
      <c r="O36" s="97" t="n"/>
      <c r="P36" s="104" t="inlineStr">
        <is>
          <t>T</t>
        </is>
      </c>
      <c r="Q36" s="97" t="n"/>
      <c r="R36" s="102" t="inlineStr">
        <is>
          <t>D</t>
        </is>
      </c>
      <c r="S36" s="97" t="n"/>
      <c r="T36" s="103" t="inlineStr">
        <is>
          <t>N</t>
        </is>
      </c>
      <c r="U36" s="97" t="n"/>
      <c r="V36" s="97" t="n"/>
      <c r="W36" s="97" t="n"/>
      <c r="X36" s="104" t="inlineStr">
        <is>
          <t>T</t>
        </is>
      </c>
      <c r="Y36" s="97" t="n"/>
      <c r="Z36" s="103" t="inlineStr">
        <is>
          <t>N</t>
        </is>
      </c>
      <c r="AA36" s="97" t="n"/>
      <c r="AB36" s="103" t="inlineStr">
        <is>
          <t>N</t>
        </is>
      </c>
      <c r="AC36" s="97" t="n"/>
      <c r="AD36" s="98" t="inlineStr">
        <is>
          <t>M</t>
        </is>
      </c>
      <c r="AE36" s="103" t="inlineStr">
        <is>
          <t>N</t>
        </is>
      </c>
      <c r="AF36" s="97" t="n"/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97" t="n"/>
      <c r="E37" s="97" t="n"/>
      <c r="F37" s="97" t="n"/>
      <c r="G37" s="97" t="n"/>
      <c r="H37" s="103" t="inlineStr">
        <is>
          <t>N</t>
        </is>
      </c>
      <c r="I37" s="97" t="n"/>
      <c r="J37" s="98" t="inlineStr">
        <is>
          <t>M</t>
        </is>
      </c>
      <c r="K37" s="103" t="inlineStr">
        <is>
          <t>N</t>
        </is>
      </c>
      <c r="L37" s="97" t="n"/>
      <c r="M37" s="98" t="inlineStr">
        <is>
          <t>M</t>
        </is>
      </c>
      <c r="N37" s="97" t="n"/>
      <c r="O37" s="97" t="n"/>
      <c r="P37" s="97" t="n"/>
      <c r="Q37" s="103" t="inlineStr">
        <is>
          <t>N</t>
        </is>
      </c>
      <c r="R37" s="97" t="n"/>
      <c r="S37" s="103" t="inlineStr">
        <is>
          <t>N</t>
        </is>
      </c>
      <c r="T37" s="97" t="n"/>
      <c r="U37" s="98" t="inlineStr">
        <is>
          <t>M</t>
        </is>
      </c>
      <c r="V37" s="98" t="inlineStr">
        <is>
          <t>M</t>
        </is>
      </c>
      <c r="W37" s="97" t="n"/>
      <c r="X37" s="98" t="inlineStr">
        <is>
          <t>M</t>
        </is>
      </c>
      <c r="Y37" s="97" t="n"/>
      <c r="Z37" s="103" t="inlineStr">
        <is>
          <t>N</t>
        </is>
      </c>
      <c r="AA37" s="98" t="inlineStr">
        <is>
          <t>M</t>
        </is>
      </c>
      <c r="AB37" s="103" t="inlineStr">
        <is>
          <t>N</t>
        </is>
      </c>
      <c r="AC37" s="97" t="n"/>
      <c r="AD37" s="103" t="inlineStr">
        <is>
          <t>N</t>
        </is>
      </c>
      <c r="AE37" s="97" t="n"/>
      <c r="AF37" s="97" t="n"/>
      <c r="AG37" s="97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8" t="inlineStr">
        <is>
          <t>M</t>
        </is>
      </c>
      <c r="J38" s="97" t="n"/>
      <c r="K38" s="103" t="inlineStr">
        <is>
          <t>N</t>
        </is>
      </c>
      <c r="L38" s="97" t="n"/>
      <c r="M38" s="97" t="n"/>
      <c r="N38" s="104" t="inlineStr">
        <is>
          <t>T</t>
        </is>
      </c>
      <c r="O38" s="97" t="n"/>
      <c r="P38" s="97" t="n"/>
      <c r="Q38" s="103" t="inlineStr">
        <is>
          <t>N</t>
        </is>
      </c>
      <c r="R38" s="97" t="n"/>
      <c r="S38" s="97" t="n"/>
      <c r="T38" s="98" t="inlineStr">
        <is>
          <t>M</t>
        </is>
      </c>
      <c r="U38" s="97" t="n"/>
      <c r="V38" s="97" t="n"/>
      <c r="W38" s="103" t="inlineStr">
        <is>
          <t>N</t>
        </is>
      </c>
      <c r="X38" s="97" t="n"/>
      <c r="Y38" s="97" t="n"/>
      <c r="Z38" s="97" t="n"/>
      <c r="AA38" s="104" t="inlineStr">
        <is>
          <t>T</t>
        </is>
      </c>
      <c r="AB38" s="97" t="n"/>
      <c r="AC38" s="97" t="n"/>
      <c r="AD38" s="97" t="n"/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103" t="inlineStr">
        <is>
          <t>N</t>
        </is>
      </c>
      <c r="E39" s="97" t="n"/>
      <c r="F39" s="104" t="inlineStr">
        <is>
          <t>T</t>
        </is>
      </c>
      <c r="G39" s="98" t="inlineStr">
        <is>
          <t>M</t>
        </is>
      </c>
      <c r="H39" s="104" t="inlineStr">
        <is>
          <t>T</t>
        </is>
      </c>
      <c r="I39" s="97" t="n"/>
      <c r="J39" s="98" t="inlineStr">
        <is>
          <t>M</t>
        </is>
      </c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8" t="inlineStr">
        <is>
          <t>M</t>
        </is>
      </c>
      <c r="AF39" s="103" t="inlineStr">
        <is>
          <t>N</t>
        </is>
      </c>
      <c r="AG39" s="97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102" t="inlineStr">
        <is>
          <t>D</t>
        </is>
      </c>
      <c r="D40" s="98" t="inlineStr">
        <is>
          <t>M</t>
        </is>
      </c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97" t="n"/>
      <c r="I41" s="97" t="n"/>
      <c r="J41" s="102" t="inlineStr">
        <is>
          <t>D</t>
        </is>
      </c>
      <c r="K41" s="102" t="inlineStr">
        <is>
          <t>D</t>
        </is>
      </c>
      <c r="L41" s="97" t="n"/>
      <c r="M41" s="102" t="inlineStr">
        <is>
          <t>D</t>
        </is>
      </c>
      <c r="N41" s="97" t="n"/>
      <c r="O41" s="97" t="n"/>
      <c r="P41" s="97" t="n"/>
      <c r="Q41" s="102" t="inlineStr">
        <is>
          <t>D</t>
        </is>
      </c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103" t="inlineStr">
        <is>
          <t>N</t>
        </is>
      </c>
      <c r="D42" s="97" t="n"/>
      <c r="E42" s="97" t="n"/>
      <c r="F42" s="103" t="inlineStr">
        <is>
          <t>N</t>
        </is>
      </c>
      <c r="G42" s="97" t="n"/>
      <c r="H42" s="97" t="n"/>
      <c r="I42" s="97" t="n"/>
      <c r="J42" s="104" t="inlineStr">
        <is>
          <t>T</t>
        </is>
      </c>
      <c r="K42" s="97" t="n"/>
      <c r="L42" s="98" t="inlineStr">
        <is>
          <t>M</t>
        </is>
      </c>
      <c r="M42" s="104" t="inlineStr">
        <is>
          <t>T</t>
        </is>
      </c>
      <c r="N42" s="97" t="n"/>
      <c r="O42" s="97" t="n"/>
      <c r="P42" s="97" t="n"/>
      <c r="Q42" s="97" t="n"/>
      <c r="R42" s="104" t="inlineStr">
        <is>
          <t>T</t>
        </is>
      </c>
      <c r="S42" s="103" t="inlineStr">
        <is>
          <t>N</t>
        </is>
      </c>
      <c r="T42" s="97" t="n"/>
      <c r="U42" s="97" t="n"/>
      <c r="V42" s="103" t="inlineStr">
        <is>
          <t>N</t>
        </is>
      </c>
      <c r="W42" s="97" t="n"/>
      <c r="X42" s="104" t="inlineStr">
        <is>
          <t>T</t>
        </is>
      </c>
      <c r="Y42" s="104" t="inlineStr">
        <is>
          <t>T</t>
        </is>
      </c>
      <c r="Z42" s="97" t="n"/>
      <c r="AA42" s="97" t="n"/>
      <c r="AB42" s="103" t="inlineStr">
        <is>
          <t>N</t>
        </is>
      </c>
      <c r="AC42" s="97" t="n"/>
      <c r="AD42" s="97" t="n"/>
      <c r="AE42" s="102" t="inlineStr">
        <is>
          <t>D</t>
        </is>
      </c>
      <c r="AF42" s="97" t="n"/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103" t="inlineStr">
        <is>
          <t>N</t>
        </is>
      </c>
      <c r="G43" s="97" t="n"/>
      <c r="H43" s="97" t="n"/>
      <c r="I43" s="103" t="inlineStr">
        <is>
          <t>N</t>
        </is>
      </c>
      <c r="J43" s="97" t="n"/>
      <c r="K43" s="97" t="n"/>
      <c r="L43" s="97" t="n"/>
      <c r="M43" s="103" t="inlineStr">
        <is>
          <t>N</t>
        </is>
      </c>
      <c r="N43" s="97" t="n"/>
      <c r="O43" s="97" t="n"/>
      <c r="P43" s="103" t="inlineStr">
        <is>
          <t>N</t>
        </is>
      </c>
      <c r="Q43" s="97" t="n"/>
      <c r="R43" s="97" t="n"/>
      <c r="S43" s="97" t="n"/>
      <c r="T43" s="97" t="n"/>
      <c r="U43" s="103" t="inlineStr">
        <is>
          <t>N</t>
        </is>
      </c>
      <c r="V43" s="97" t="n"/>
      <c r="W43" s="97" t="n"/>
      <c r="X43" s="103" t="inlineStr">
        <is>
          <t>N</t>
        </is>
      </c>
      <c r="Y43" s="97" t="n"/>
      <c r="Z43" s="97" t="n"/>
      <c r="AA43" s="97" t="n"/>
      <c r="AB43" s="97" t="n"/>
      <c r="AC43" s="97" t="n"/>
      <c r="AD43" s="103" t="inlineStr">
        <is>
          <t>N</t>
        </is>
      </c>
      <c r="AE43" s="97" t="n"/>
      <c r="AF43" s="103" t="inlineStr">
        <is>
          <t>N</t>
        </is>
      </c>
      <c r="AG43" s="97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97" t="n"/>
      <c r="J44" s="103" t="inlineStr">
        <is>
          <t>N</t>
        </is>
      </c>
      <c r="K44" s="97" t="n"/>
      <c r="L44" s="102" t="inlineStr">
        <is>
          <t>D</t>
        </is>
      </c>
      <c r="M44" s="97" t="n"/>
      <c r="N44" s="102" t="inlineStr">
        <is>
          <t>D</t>
        </is>
      </c>
      <c r="O44" s="97" t="n"/>
      <c r="P44" s="97" t="n"/>
      <c r="Q44" s="102" t="inlineStr">
        <is>
          <t>D</t>
        </is>
      </c>
      <c r="R44" s="97" t="n"/>
      <c r="S44" s="97" t="n"/>
      <c r="T44" s="97" t="n"/>
      <c r="U44" s="102" t="inlineStr">
        <is>
          <t>D</t>
        </is>
      </c>
      <c r="V44" s="97" t="n"/>
      <c r="W44" s="102" t="inlineStr">
        <is>
          <t>D</t>
        </is>
      </c>
      <c r="X44" s="97" t="n"/>
      <c r="Y44" s="97" t="n"/>
      <c r="Z44" s="97" t="n"/>
      <c r="AA44" s="97" t="n"/>
      <c r="AB44" s="97" t="n"/>
      <c r="AC44" s="104" t="inlineStr">
        <is>
          <t>T</t>
        </is>
      </c>
      <c r="AD44" s="97" t="n"/>
      <c r="AE44" s="104" t="inlineStr">
        <is>
          <t>T</t>
        </is>
      </c>
      <c r="AF44" s="102" t="inlineStr">
        <is>
          <t>D</t>
        </is>
      </c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7" t="n"/>
      <c r="E45" s="97" t="n"/>
      <c r="F45" s="98" t="inlineStr">
        <is>
          <t>M</t>
        </is>
      </c>
      <c r="G45" s="98" t="inlineStr">
        <is>
          <t>M</t>
        </is>
      </c>
      <c r="H45" s="97" t="n"/>
      <c r="I45" s="98" t="inlineStr">
        <is>
          <t>M</t>
        </is>
      </c>
      <c r="J45" s="98" t="inlineStr">
        <is>
          <t>M</t>
        </is>
      </c>
      <c r="K45" s="97" t="n"/>
      <c r="L45" s="97" t="n"/>
      <c r="M45" s="98" t="inlineStr">
        <is>
          <t>M</t>
        </is>
      </c>
      <c r="N45" s="97" t="n"/>
      <c r="O45" s="97" t="n"/>
      <c r="P45" s="98" t="inlineStr">
        <is>
          <t>M</t>
        </is>
      </c>
      <c r="Q45" s="97" t="n"/>
      <c r="R45" s="103" t="inlineStr">
        <is>
          <t>N</t>
        </is>
      </c>
      <c r="S45" s="97" t="n"/>
      <c r="T45" s="97" t="n"/>
      <c r="U45" s="97" t="n"/>
      <c r="V45" s="97" t="n"/>
      <c r="W45" s="98" t="inlineStr">
        <is>
          <t>M</t>
        </is>
      </c>
      <c r="X45" s="98" t="inlineStr">
        <is>
          <t>M</t>
        </is>
      </c>
      <c r="Y45" s="97" t="n"/>
      <c r="Z45" s="102" t="inlineStr">
        <is>
          <t>D</t>
        </is>
      </c>
      <c r="AA45" s="98" t="inlineStr">
        <is>
          <t>M</t>
        </is>
      </c>
      <c r="AB45" s="98" t="inlineStr">
        <is>
          <t>M</t>
        </is>
      </c>
      <c r="AC45" s="97" t="n"/>
      <c r="AD45" s="98" t="inlineStr">
        <is>
          <t>M</t>
        </is>
      </c>
      <c r="AE45" s="98" t="inlineStr">
        <is>
          <t>M</t>
        </is>
      </c>
      <c r="AF45" s="97" t="n"/>
      <c r="AG45" s="97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97" t="n"/>
      <c r="H46" s="102" t="inlineStr">
        <is>
          <t>D</t>
        </is>
      </c>
      <c r="I46" s="97" t="n"/>
      <c r="J46" s="103" t="inlineStr">
        <is>
          <t>N</t>
        </is>
      </c>
      <c r="K46" s="97" t="n"/>
      <c r="L46" s="97" t="n"/>
      <c r="M46" s="97" t="n"/>
      <c r="N46" s="97" t="n"/>
      <c r="O46" s="102" t="inlineStr">
        <is>
          <t>D</t>
        </is>
      </c>
      <c r="P46" s="97" t="n"/>
      <c r="Q46" s="97" t="n"/>
      <c r="R46" s="97" t="n"/>
      <c r="S46" s="103" t="inlineStr">
        <is>
          <t>N</t>
        </is>
      </c>
      <c r="T46" s="97" t="n"/>
      <c r="U46" s="97" t="n"/>
      <c r="V46" s="102" t="inlineStr">
        <is>
          <t>D</t>
        </is>
      </c>
      <c r="W46" s="97" t="n"/>
      <c r="X46" s="103" t="inlineStr">
        <is>
          <t>N</t>
        </is>
      </c>
      <c r="Y46" s="97" t="n"/>
      <c r="Z46" s="97" t="n"/>
      <c r="AA46" s="97" t="n"/>
      <c r="AB46" s="97" t="n"/>
      <c r="AC46" s="102" t="inlineStr">
        <is>
          <t>D</t>
        </is>
      </c>
      <c r="AD46" s="97" t="n"/>
      <c r="AE46" s="103" t="inlineStr">
        <is>
          <t>N</t>
        </is>
      </c>
      <c r="AF46" s="97" t="n"/>
      <c r="AG46" s="97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102" t="inlineStr">
        <is>
          <t>D</t>
        </is>
      </c>
      <c r="E47" s="97" t="n"/>
      <c r="F47" s="102" t="inlineStr">
        <is>
          <t>D</t>
        </is>
      </c>
      <c r="G47" s="103" t="inlineStr">
        <is>
          <t>N</t>
        </is>
      </c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102" t="inlineStr">
        <is>
          <t>D</t>
        </is>
      </c>
      <c r="S47" s="102" t="inlineStr">
        <is>
          <t>D</t>
        </is>
      </c>
      <c r="T47" s="97" t="n"/>
      <c r="U47" s="103" t="inlineStr">
        <is>
          <t>N</t>
        </is>
      </c>
      <c r="V47" s="97" t="n"/>
      <c r="W47" s="97" t="n"/>
      <c r="X47" s="103" t="inlineStr">
        <is>
          <t>N</t>
        </is>
      </c>
      <c r="Y47" s="97" t="n"/>
      <c r="Z47" s="97" t="n"/>
      <c r="AA47" s="97" t="n"/>
      <c r="AB47" s="103" t="inlineStr">
        <is>
          <t>N</t>
        </is>
      </c>
      <c r="AC47" s="97" t="n"/>
      <c r="AD47" s="102" t="inlineStr">
        <is>
          <t>D</t>
        </is>
      </c>
      <c r="AE47" s="97" t="n"/>
      <c r="AF47" s="97" t="n"/>
      <c r="AG47" s="97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97" t="n"/>
      <c r="H49" s="102" t="inlineStr">
        <is>
          <t>D</t>
        </is>
      </c>
      <c r="I49" s="97" t="n"/>
      <c r="J49" s="97" t="n"/>
      <c r="K49" s="104" t="inlineStr">
        <is>
          <t>T</t>
        </is>
      </c>
      <c r="L49" s="97" t="n"/>
      <c r="M49" s="97" t="n"/>
      <c r="N49" s="97" t="n"/>
      <c r="O49" s="102" t="inlineStr">
        <is>
          <t>D</t>
        </is>
      </c>
      <c r="P49" s="97" t="n"/>
      <c r="Q49" s="97" t="n"/>
      <c r="R49" s="97" t="n"/>
      <c r="S49" s="102" t="inlineStr">
        <is>
          <t>D</t>
        </is>
      </c>
      <c r="T49" s="102" t="inlineStr">
        <is>
          <t>D</t>
        </is>
      </c>
      <c r="U49" s="97" t="n"/>
      <c r="V49" s="102" t="inlineStr">
        <is>
          <t>D</t>
        </is>
      </c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102" t="inlineStr">
        <is>
          <t>D</t>
        </is>
      </c>
      <c r="E50" s="97" t="n"/>
      <c r="F50" s="97" t="n"/>
      <c r="G50" s="97" t="n"/>
      <c r="H50" s="97" t="n"/>
      <c r="I50" s="97" t="n"/>
      <c r="J50" s="103" t="inlineStr">
        <is>
          <t>N</t>
        </is>
      </c>
      <c r="K50" s="97" t="n"/>
      <c r="L50" s="103" t="inlineStr">
        <is>
          <t>N</t>
        </is>
      </c>
      <c r="M50" s="97" t="n"/>
      <c r="N50" s="98" t="inlineStr">
        <is>
          <t>M</t>
        </is>
      </c>
      <c r="O50" s="97" t="n"/>
      <c r="P50" s="104" t="inlineStr">
        <is>
          <t>T</t>
        </is>
      </c>
      <c r="Q50" s="104" t="inlineStr">
        <is>
          <t>T</t>
        </is>
      </c>
      <c r="R50" s="97" t="n"/>
      <c r="S50" s="98" t="inlineStr">
        <is>
          <t>M</t>
        </is>
      </c>
      <c r="T50" s="97" t="n"/>
      <c r="U50" s="102" t="inlineStr">
        <is>
          <t>D</t>
        </is>
      </c>
      <c r="V50" s="97" t="n"/>
      <c r="W50" s="104" t="inlineStr">
        <is>
          <t>T</t>
        </is>
      </c>
      <c r="X50" s="104" t="inlineStr">
        <is>
          <t>T</t>
        </is>
      </c>
      <c r="Y50" s="97" t="n"/>
      <c r="Z50" s="97" t="n"/>
      <c r="AA50" s="104" t="inlineStr">
        <is>
          <t>T</t>
        </is>
      </c>
      <c r="AB50" s="102" t="inlineStr">
        <is>
          <t>D</t>
        </is>
      </c>
      <c r="AC50" s="97" t="n"/>
      <c r="AD50" s="104" t="inlineStr">
        <is>
          <t>T</t>
        </is>
      </c>
      <c r="AE50" s="97" t="n"/>
      <c r="AF50" s="97" t="n"/>
      <c r="AG50" s="97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103" t="inlineStr">
        <is>
          <t>N</t>
        </is>
      </c>
      <c r="D52" s="97" t="n"/>
      <c r="E52" s="97" t="n"/>
      <c r="F52" s="103" t="inlineStr">
        <is>
          <t>N</t>
        </is>
      </c>
      <c r="G52" s="97" t="n"/>
      <c r="H52" s="97" t="n"/>
      <c r="I52" s="97" t="n"/>
      <c r="J52" s="97" t="n"/>
      <c r="K52" s="103" t="inlineStr">
        <is>
          <t>N</t>
        </is>
      </c>
      <c r="L52" s="97" t="n"/>
      <c r="M52" s="103" t="inlineStr">
        <is>
          <t>N</t>
        </is>
      </c>
      <c r="N52" s="97" t="n"/>
      <c r="O52" s="97" t="n"/>
      <c r="P52" s="97" t="n"/>
      <c r="Q52" s="97" t="n"/>
      <c r="R52" s="103" t="inlineStr">
        <is>
          <t>N</t>
        </is>
      </c>
      <c r="S52" s="97" t="n"/>
      <c r="T52" s="103" t="inlineStr">
        <is>
          <t>N</t>
        </is>
      </c>
      <c r="U52" s="97" t="n"/>
      <c r="V52" s="97" t="n"/>
      <c r="W52" s="97" t="n"/>
      <c r="X52" s="103" t="inlineStr">
        <is>
          <t>N</t>
        </is>
      </c>
      <c r="Y52" s="97" t="n"/>
      <c r="Z52" s="97" t="n"/>
      <c r="AA52" s="103" t="inlineStr">
        <is>
          <t>N</t>
        </is>
      </c>
      <c r="AB52" s="97" t="n"/>
      <c r="AC52" s="97" t="n"/>
      <c r="AD52" s="97" t="n"/>
      <c r="AE52" s="103" t="inlineStr">
        <is>
          <t>N</t>
        </is>
      </c>
      <c r="AF52" s="97" t="n"/>
      <c r="AG52" s="97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97" t="n"/>
      <c r="G53" s="103" t="inlineStr">
        <is>
          <t>N</t>
        </is>
      </c>
      <c r="H53" s="97" t="n"/>
      <c r="I53" s="97" t="n"/>
      <c r="J53" s="97" t="n"/>
      <c r="K53" s="98" t="inlineStr">
        <is>
          <t>M</t>
        </is>
      </c>
      <c r="L53" s="97" t="n"/>
      <c r="M53" s="103" t="inlineStr">
        <is>
          <t>N</t>
        </is>
      </c>
      <c r="N53" s="97" t="n"/>
      <c r="O53" s="97" t="n"/>
      <c r="P53" s="97" t="n"/>
      <c r="Q53" s="103" t="inlineStr">
        <is>
          <t>N</t>
        </is>
      </c>
      <c r="R53" s="97" t="n"/>
      <c r="S53" s="97" t="n"/>
      <c r="T53" s="103" t="inlineStr">
        <is>
          <t>N</t>
        </is>
      </c>
      <c r="U53" s="103" t="inlineStr">
        <is>
          <t>N</t>
        </is>
      </c>
      <c r="V53" s="97" t="n"/>
      <c r="W53" s="97" t="n"/>
      <c r="X53" s="97" t="n"/>
      <c r="Y53" s="97" t="n"/>
      <c r="Z53" s="97" t="n"/>
      <c r="AA53" s="103" t="inlineStr">
        <is>
          <t>N</t>
        </is>
      </c>
      <c r="AB53" s="97" t="n"/>
      <c r="AC53" s="97" t="n"/>
      <c r="AD53" s="97" t="n"/>
      <c r="AE53" s="97" t="n"/>
      <c r="AF53" s="103" t="inlineStr">
        <is>
          <t>N</t>
        </is>
      </c>
      <c r="AG53" s="97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103" t="inlineStr">
        <is>
          <t>N</t>
        </is>
      </c>
      <c r="E54" s="97" t="n"/>
      <c r="F54" s="97" t="n"/>
      <c r="G54" s="97" t="n"/>
      <c r="H54" s="97" t="n"/>
      <c r="I54" s="103" t="inlineStr">
        <is>
          <t>N</t>
        </is>
      </c>
      <c r="J54" s="97" t="n"/>
      <c r="K54" s="103" t="inlineStr">
        <is>
          <t>N</t>
        </is>
      </c>
      <c r="L54" s="97" t="n"/>
      <c r="M54" s="97" t="n"/>
      <c r="N54" s="97" t="n"/>
      <c r="O54" s="97" t="n"/>
      <c r="P54" s="103" t="inlineStr">
        <is>
          <t>N</t>
        </is>
      </c>
      <c r="Q54" s="97" t="n"/>
      <c r="R54" s="103" t="inlineStr">
        <is>
          <t>N</t>
        </is>
      </c>
      <c r="S54" s="97" t="n"/>
      <c r="T54" s="97" t="n"/>
      <c r="U54" s="97" t="n"/>
      <c r="V54" s="97" t="n"/>
      <c r="W54" s="103" t="inlineStr">
        <is>
          <t>N</t>
        </is>
      </c>
      <c r="X54" s="97" t="n"/>
      <c r="Y54" s="103" t="inlineStr">
        <is>
          <t>N</t>
        </is>
      </c>
      <c r="Z54" s="97" t="n"/>
      <c r="AA54" s="97" t="n"/>
      <c r="AB54" s="97" t="n"/>
      <c r="AC54" s="97" t="n"/>
      <c r="AD54" s="103" t="inlineStr">
        <is>
          <t>N</t>
        </is>
      </c>
      <c r="AE54" s="97" t="n"/>
      <c r="AF54" s="97" t="n"/>
      <c r="AG54" s="103" t="inlineStr">
        <is>
          <t>N</t>
        </is>
      </c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8" t="inlineStr">
        <is>
          <t>M</t>
        </is>
      </c>
      <c r="X55" s="97" t="n"/>
      <c r="Y55" s="98" t="inlineStr">
        <is>
          <t>M</t>
        </is>
      </c>
      <c r="Z55" s="98" t="inlineStr">
        <is>
          <t>M</t>
        </is>
      </c>
      <c r="AA55" s="98" t="inlineStr">
        <is>
          <t>M</t>
        </is>
      </c>
      <c r="AB55" s="97" t="n"/>
      <c r="AC55" s="98" t="inlineStr">
        <is>
          <t>M</t>
        </is>
      </c>
      <c r="AD55" s="98" t="inlineStr">
        <is>
          <t>M</t>
        </is>
      </c>
      <c r="AE55" s="98" t="inlineStr">
        <is>
          <t>M</t>
        </is>
      </c>
      <c r="AF55" s="97" t="n"/>
      <c r="AG55" s="97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102" t="inlineStr">
        <is>
          <t>D</t>
        </is>
      </c>
      <c r="E56" s="97" t="n"/>
      <c r="F56" s="97" t="n"/>
      <c r="G56" s="102" t="inlineStr">
        <is>
          <t>D</t>
        </is>
      </c>
      <c r="H56" s="97" t="n"/>
      <c r="I56" s="102" t="inlineStr">
        <is>
          <t>D</t>
        </is>
      </c>
      <c r="J56" s="97" t="n"/>
      <c r="K56" s="97" t="n"/>
      <c r="L56" s="97" t="n"/>
      <c r="M56" s="97" t="n"/>
      <c r="N56" s="102" t="inlineStr">
        <is>
          <t>D</t>
        </is>
      </c>
      <c r="O56" s="97" t="n"/>
      <c r="P56" s="102" t="inlineStr">
        <is>
          <t>D</t>
        </is>
      </c>
      <c r="Q56" s="97" t="n"/>
      <c r="R56" s="97" t="n"/>
      <c r="S56" s="97" t="n"/>
      <c r="T56" s="97" t="n"/>
      <c r="U56" s="104" t="inlineStr">
        <is>
          <t>T</t>
        </is>
      </c>
      <c r="V56" s="97" t="n"/>
      <c r="W56" s="102" t="inlineStr">
        <is>
          <t>D</t>
        </is>
      </c>
      <c r="X56" s="97" t="n"/>
      <c r="Y56" s="98" t="inlineStr">
        <is>
          <t>M</t>
        </is>
      </c>
      <c r="Z56" s="97" t="n"/>
      <c r="AA56" s="97" t="n"/>
      <c r="AB56" s="102" t="inlineStr">
        <is>
          <t>D</t>
        </is>
      </c>
      <c r="AC56" s="97" t="n"/>
      <c r="AD56" s="102" t="inlineStr">
        <is>
          <t>D</t>
        </is>
      </c>
      <c r="AE56" s="97" t="n"/>
      <c r="AF56" s="97" t="n"/>
      <c r="AG56" s="97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104" t="inlineStr">
        <is>
          <t>T</t>
        </is>
      </c>
      <c r="V57" s="97" t="n"/>
      <c r="W57" s="103" t="inlineStr">
        <is>
          <t>N</t>
        </is>
      </c>
      <c r="X57" s="97" t="n"/>
      <c r="Y57" s="97" t="n"/>
      <c r="Z57" s="97" t="n"/>
      <c r="AA57" s="97" t="n"/>
      <c r="AB57" s="97" t="n"/>
      <c r="AC57" s="103" t="inlineStr">
        <is>
          <t>N</t>
        </is>
      </c>
      <c r="AD57" s="97" t="n"/>
      <c r="AE57" s="97" t="n"/>
      <c r="AF57" s="97" t="n"/>
      <c r="AG57" s="103" t="inlineStr">
        <is>
          <t>N</t>
        </is>
      </c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102" t="inlineStr">
        <is>
          <t>D</t>
        </is>
      </c>
      <c r="D58" s="97" t="n"/>
      <c r="E58" s="97" t="n"/>
      <c r="F58" s="102" t="inlineStr">
        <is>
          <t>D</t>
        </is>
      </c>
      <c r="G58" s="97" t="n"/>
      <c r="H58" s="103" t="inlineStr">
        <is>
          <t>N</t>
        </is>
      </c>
      <c r="I58" s="97" t="n"/>
      <c r="J58" s="97" t="n"/>
      <c r="K58" s="97" t="n"/>
      <c r="L58" s="97" t="n"/>
      <c r="M58" s="97" t="n"/>
      <c r="N58" s="97" t="n"/>
      <c r="O58" s="103" t="inlineStr">
        <is>
          <t>N</t>
        </is>
      </c>
      <c r="P58" s="97" t="n"/>
      <c r="Q58" s="97" t="n"/>
      <c r="R58" s="97" t="n"/>
      <c r="S58" s="102" t="inlineStr">
        <is>
          <t>D</t>
        </is>
      </c>
      <c r="T58" s="97" t="n"/>
      <c r="U58" s="97" t="n"/>
      <c r="V58" s="103" t="inlineStr">
        <is>
          <t>N</t>
        </is>
      </c>
      <c r="W58" s="97" t="n"/>
      <c r="X58" s="97" t="n"/>
      <c r="Y58" s="102" t="inlineStr">
        <is>
          <t>D</t>
        </is>
      </c>
      <c r="Z58" s="97" t="n"/>
      <c r="AA58" s="102" t="inlineStr">
        <is>
          <t>D</t>
        </is>
      </c>
      <c r="AB58" s="97" t="n"/>
      <c r="AC58" s="103" t="inlineStr">
        <is>
          <t>N</t>
        </is>
      </c>
      <c r="AD58" s="97" t="n"/>
      <c r="AE58" s="97" t="n"/>
      <c r="AF58" s="97" t="n"/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103" t="inlineStr">
        <is>
          <t>N</t>
        </is>
      </c>
      <c r="I59" s="97" t="n"/>
      <c r="J59" s="97" t="n"/>
      <c r="K59" s="97" t="n"/>
      <c r="L59" s="102" t="inlineStr">
        <is>
          <t>D</t>
        </is>
      </c>
      <c r="M59" s="104" t="inlineStr">
        <is>
          <t>T</t>
        </is>
      </c>
      <c r="N59" s="97" t="n"/>
      <c r="O59" s="97" t="n"/>
      <c r="P59" s="97" t="n"/>
      <c r="Q59" s="104" t="inlineStr">
        <is>
          <t>T</t>
        </is>
      </c>
      <c r="R59" s="103" t="inlineStr">
        <is>
          <t>N</t>
        </is>
      </c>
      <c r="S59" s="97" t="n"/>
      <c r="T59" s="104" t="inlineStr">
        <is>
          <t>T</t>
        </is>
      </c>
      <c r="U59" s="97" t="n"/>
      <c r="V59" s="97" t="n"/>
      <c r="W59" s="97" t="n"/>
      <c r="X59" s="103" t="inlineStr">
        <is>
          <t>N</t>
        </is>
      </c>
      <c r="Y59" s="97" t="n"/>
      <c r="Z59" s="104" t="inlineStr">
        <is>
          <t>T</t>
        </is>
      </c>
      <c r="AA59" s="104" t="inlineStr">
        <is>
          <t>T</t>
        </is>
      </c>
      <c r="AB59" s="98" t="inlineStr">
        <is>
          <t>M</t>
        </is>
      </c>
      <c r="AC59" s="104" t="inlineStr">
        <is>
          <t>T</t>
        </is>
      </c>
      <c r="AD59" s="97" t="n"/>
      <c r="AE59" s="104" t="inlineStr">
        <is>
          <t>T</t>
        </is>
      </c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102" t="inlineStr">
        <is>
          <t>D</t>
        </is>
      </c>
      <c r="D60" s="97" t="n"/>
      <c r="E60" s="97" t="n"/>
      <c r="F60" s="97" t="n"/>
      <c r="G60" s="104" t="inlineStr">
        <is>
          <t>T</t>
        </is>
      </c>
      <c r="H60" s="97" t="n"/>
      <c r="I60" s="104" t="inlineStr">
        <is>
          <t>T</t>
        </is>
      </c>
      <c r="J60" s="97" t="n"/>
      <c r="K60" s="97" t="n"/>
      <c r="L60" s="102" t="inlineStr">
        <is>
          <t>D</t>
        </is>
      </c>
      <c r="M60" s="97" t="n"/>
      <c r="N60" s="97" t="n"/>
      <c r="O60" s="97" t="n"/>
      <c r="P60" s="97" t="n"/>
      <c r="Q60" s="103" t="inlineStr">
        <is>
          <t>N</t>
        </is>
      </c>
      <c r="R60" s="97" t="n"/>
      <c r="S60" s="103" t="inlineStr">
        <is>
          <t>N</t>
        </is>
      </c>
      <c r="T60" s="97" t="n"/>
      <c r="U60" s="104" t="inlineStr">
        <is>
          <t>T</t>
        </is>
      </c>
      <c r="V60" s="97" t="n"/>
      <c r="W60" s="104" t="inlineStr">
        <is>
          <t>T</t>
        </is>
      </c>
      <c r="X60" s="97" t="n"/>
      <c r="Y60" s="97" t="n"/>
      <c r="Z60" s="102" t="inlineStr">
        <is>
          <t>D</t>
        </is>
      </c>
      <c r="AA60" s="97" t="n"/>
      <c r="AB60" s="97" t="n"/>
      <c r="AC60" s="97" t="n"/>
      <c r="AD60" s="97" t="n"/>
      <c r="AE60" s="103" t="inlineStr">
        <is>
          <t>N</t>
        </is>
      </c>
      <c r="AF60" s="97" t="n"/>
      <c r="AG60" s="102" t="inlineStr">
        <is>
          <t>D</t>
        </is>
      </c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102" t="inlineStr">
        <is>
          <t>D</t>
        </is>
      </c>
      <c r="D61" s="97" t="n"/>
      <c r="E61" s="97" t="n"/>
      <c r="F61" s="97" t="n"/>
      <c r="G61" s="97" t="n"/>
      <c r="H61" s="97" t="n"/>
      <c r="I61" s="104" t="inlineStr">
        <is>
          <t>T</t>
        </is>
      </c>
      <c r="J61" s="103" t="inlineStr">
        <is>
          <t>N</t>
        </is>
      </c>
      <c r="K61" s="97" t="n"/>
      <c r="L61" s="104" t="inlineStr">
        <is>
          <t>T</t>
        </is>
      </c>
      <c r="M61" s="102" t="inlineStr">
        <is>
          <t>D</t>
        </is>
      </c>
      <c r="N61" s="97" t="n"/>
      <c r="O61" s="97" t="n"/>
      <c r="P61" s="102" t="inlineStr">
        <is>
          <t>D</t>
        </is>
      </c>
      <c r="Q61" s="97" t="n"/>
      <c r="R61" s="97" t="n"/>
      <c r="S61" s="97" t="n"/>
      <c r="T61" s="102" t="inlineStr">
        <is>
          <t>D</t>
        </is>
      </c>
      <c r="U61" s="97" t="n"/>
      <c r="V61" s="97" t="n"/>
      <c r="W61" s="103" t="inlineStr">
        <is>
          <t>N</t>
        </is>
      </c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102" t="inlineStr">
        <is>
          <t>D</t>
        </is>
      </c>
      <c r="AG61" s="103" t="inlineStr">
        <is>
          <t>N</t>
        </is>
      </c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103" t="inlineStr">
        <is>
          <t>N</t>
        </is>
      </c>
      <c r="D62" s="97" t="n"/>
      <c r="E62" s="97" t="n"/>
      <c r="F62" s="97" t="n"/>
      <c r="G62" s="103" t="inlineStr">
        <is>
          <t>N</t>
        </is>
      </c>
      <c r="H62" s="97" t="n"/>
      <c r="I62" s="97" t="n"/>
      <c r="J62" s="97" t="n"/>
      <c r="K62" s="97" t="n"/>
      <c r="L62" s="102" t="inlineStr">
        <is>
          <t>D</t>
        </is>
      </c>
      <c r="M62" s="97" t="n"/>
      <c r="N62" s="103" t="inlineStr">
        <is>
          <t>N</t>
        </is>
      </c>
      <c r="O62" s="97" t="n"/>
      <c r="P62" s="102" t="inlineStr">
        <is>
          <t>D</t>
        </is>
      </c>
      <c r="Q62" s="97" t="n"/>
      <c r="R62" s="97" t="n"/>
      <c r="S62" s="97" t="n"/>
      <c r="T62" s="103" t="inlineStr">
        <is>
          <t>N</t>
        </is>
      </c>
      <c r="U62" s="97" t="n"/>
      <c r="V62" s="97" t="n"/>
      <c r="W62" s="97" t="n"/>
      <c r="X62" s="97" t="n"/>
      <c r="Y62" s="97" t="n"/>
      <c r="Z62" s="102" t="inlineStr">
        <is>
          <t>D</t>
        </is>
      </c>
      <c r="AA62" s="97" t="n"/>
      <c r="AB62" s="103" t="inlineStr">
        <is>
          <t>N</t>
        </is>
      </c>
      <c r="AC62" s="97" t="n"/>
      <c r="AD62" s="97" t="n"/>
      <c r="AE62" s="97" t="n"/>
      <c r="AF62" s="103" t="inlineStr">
        <is>
          <t>N</t>
        </is>
      </c>
      <c r="AG62" s="97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97" t="n"/>
      <c r="G63" s="97" t="n"/>
      <c r="H63" s="97" t="n"/>
      <c r="I63" s="102" t="inlineStr">
        <is>
          <t>D</t>
        </is>
      </c>
      <c r="J63" s="103" t="inlineStr">
        <is>
          <t>N</t>
        </is>
      </c>
      <c r="K63" s="97" t="n"/>
      <c r="L63" s="97" t="n"/>
      <c r="M63" s="97" t="n"/>
      <c r="N63" s="97" t="n"/>
      <c r="O63" s="97" t="n"/>
      <c r="P63" s="102" t="inlineStr">
        <is>
          <t>D</t>
        </is>
      </c>
      <c r="Q63" s="102" t="inlineStr">
        <is>
          <t>D</t>
        </is>
      </c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7" t="n"/>
      <c r="F64" s="103" t="inlineStr">
        <is>
          <t>N</t>
        </is>
      </c>
      <c r="G64" s="97" t="n"/>
      <c r="H64" s="97" t="n"/>
      <c r="I64" s="103" t="inlineStr">
        <is>
          <t>N</t>
        </is>
      </c>
      <c r="J64" s="97" t="n"/>
      <c r="K64" s="97" t="n"/>
      <c r="L64" s="97" t="n"/>
      <c r="M64" s="103" t="inlineStr">
        <is>
          <t>N</t>
        </is>
      </c>
      <c r="N64" s="97" t="n"/>
      <c r="O64" s="103" t="inlineStr">
        <is>
          <t>N</t>
        </is>
      </c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103" t="inlineStr">
        <is>
          <t>N</t>
        </is>
      </c>
      <c r="Z64" s="103" t="inlineStr">
        <is>
          <t>N</t>
        </is>
      </c>
      <c r="AA64" s="97" t="n"/>
      <c r="AB64" s="97" t="n"/>
      <c r="AC64" s="103" t="inlineStr">
        <is>
          <t>N</t>
        </is>
      </c>
      <c r="AD64" s="97" t="n"/>
      <c r="AE64" s="103" t="inlineStr">
        <is>
          <t>N</t>
        </is>
      </c>
      <c r="AF64" s="97" t="n"/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103" t="inlineStr">
        <is>
          <t>N</t>
        </is>
      </c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104" t="inlineStr">
        <is>
          <t>T</t>
        </is>
      </c>
      <c r="W65" s="97" t="n"/>
      <c r="X65" s="102" t="inlineStr">
        <is>
          <t>D</t>
        </is>
      </c>
      <c r="Y65" s="97" t="n"/>
      <c r="Z65" s="97" t="n"/>
      <c r="AA65" s="97" t="n"/>
      <c r="AB65" s="97" t="n"/>
      <c r="AC65" s="103" t="inlineStr">
        <is>
          <t>N</t>
        </is>
      </c>
      <c r="AD65" s="97" t="n"/>
      <c r="AE65" s="97" t="n"/>
      <c r="AF65" s="102" t="inlineStr">
        <is>
          <t>D</t>
        </is>
      </c>
      <c r="AG65" s="97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102" t="inlineStr">
        <is>
          <t>D</t>
        </is>
      </c>
      <c r="O66" s="103" t="inlineStr">
        <is>
          <t>N</t>
        </is>
      </c>
      <c r="P66" s="104" t="inlineStr">
        <is>
          <t>T</t>
        </is>
      </c>
      <c r="Q66" s="97" t="n"/>
      <c r="R66" s="97" t="n"/>
      <c r="S66" s="97" t="n"/>
      <c r="T66" s="97" t="n"/>
      <c r="U66" s="97" t="n"/>
      <c r="V66" s="97" t="n"/>
      <c r="W66" s="103" t="inlineStr">
        <is>
          <t>N</t>
        </is>
      </c>
      <c r="X66" s="103" t="inlineStr">
        <is>
          <t>N</t>
        </is>
      </c>
      <c r="Y66" s="97" t="n"/>
      <c r="Z66" s="102" t="inlineStr">
        <is>
          <t>D</t>
        </is>
      </c>
      <c r="AA66" s="103" t="inlineStr">
        <is>
          <t>N</t>
        </is>
      </c>
      <c r="AB66" s="97" t="n"/>
      <c r="AC66" s="97" t="n"/>
      <c r="AD66" s="103" t="inlineStr">
        <is>
          <t>N</t>
        </is>
      </c>
      <c r="AE66" s="97" t="n"/>
      <c r="AF66" s="97" t="n"/>
      <c r="AG66" s="103" t="inlineStr">
        <is>
          <t>N</t>
        </is>
      </c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8" t="inlineStr">
        <is>
          <t>M</t>
        </is>
      </c>
      <c r="E67" s="97" t="n"/>
      <c r="F67" s="103" t="inlineStr">
        <is>
          <t>N</t>
        </is>
      </c>
      <c r="G67" s="97" t="n"/>
      <c r="H67" s="98" t="inlineStr">
        <is>
          <t>M</t>
        </is>
      </c>
      <c r="I67" s="98" t="inlineStr">
        <is>
          <t>M</t>
        </is>
      </c>
      <c r="J67" s="98" t="inlineStr">
        <is>
          <t>M</t>
        </is>
      </c>
      <c r="K67" s="97" t="n"/>
      <c r="L67" s="97" t="n"/>
      <c r="M67" s="97" t="n"/>
      <c r="N67" s="98" t="inlineStr">
        <is>
          <t>M</t>
        </is>
      </c>
      <c r="O67" s="98" t="inlineStr">
        <is>
          <t>M</t>
        </is>
      </c>
      <c r="P67" s="97" t="n"/>
      <c r="Q67" s="97" t="n"/>
      <c r="R67" s="97" t="n"/>
      <c r="S67" s="103" t="inlineStr">
        <is>
          <t>N</t>
        </is>
      </c>
      <c r="T67" s="97" t="n"/>
      <c r="U67" s="98" t="inlineStr">
        <is>
          <t>M</t>
        </is>
      </c>
      <c r="V67" s="98" t="inlineStr">
        <is>
          <t>M</t>
        </is>
      </c>
      <c r="W67" s="98" t="inlineStr">
        <is>
          <t>M</t>
        </is>
      </c>
      <c r="X67" s="97" t="n"/>
      <c r="Y67" s="103" t="inlineStr">
        <is>
          <t>N</t>
        </is>
      </c>
      <c r="Z67" s="97" t="n"/>
      <c r="AA67" s="98" t="inlineStr">
        <is>
          <t>M</t>
        </is>
      </c>
      <c r="AB67" s="98" t="inlineStr">
        <is>
          <t>M</t>
        </is>
      </c>
      <c r="AC67" s="98" t="inlineStr">
        <is>
          <t>M</t>
        </is>
      </c>
      <c r="AD67" s="97" t="n"/>
      <c r="AE67" s="97" t="n"/>
      <c r="AF67" s="97" t="n"/>
      <c r="AG67" s="103" t="inlineStr">
        <is>
          <t>N</t>
        </is>
      </c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102" t="inlineStr">
        <is>
          <t>D</t>
        </is>
      </c>
      <c r="E68" s="97" t="n"/>
      <c r="F68" s="97" t="n"/>
      <c r="G68" s="97" t="n"/>
      <c r="H68" s="102" t="inlineStr">
        <is>
          <t>D</t>
        </is>
      </c>
      <c r="I68" s="97" t="n"/>
      <c r="J68" s="97" t="n"/>
      <c r="K68" s="103" t="inlineStr">
        <is>
          <t>N</t>
        </is>
      </c>
      <c r="L68" s="97" t="n"/>
      <c r="M68" s="97" t="n"/>
      <c r="N68" s="97" t="n"/>
      <c r="O68" s="102" t="inlineStr">
        <is>
          <t>D</t>
        </is>
      </c>
      <c r="P68" s="97" t="n"/>
      <c r="Q68" s="102" t="inlineStr">
        <is>
          <t>D</t>
        </is>
      </c>
      <c r="R68" s="97" t="n"/>
      <c r="S68" s="97" t="n"/>
      <c r="T68" s="97" t="n"/>
      <c r="U68" s="97" t="n"/>
      <c r="V68" s="102" t="inlineStr">
        <is>
          <t>D</t>
        </is>
      </c>
      <c r="W68" s="97" t="n"/>
      <c r="X68" s="102" t="inlineStr">
        <is>
          <t>D</t>
        </is>
      </c>
      <c r="Y68" s="97" t="n"/>
      <c r="Z68" s="97" t="n"/>
      <c r="AA68" s="97" t="n"/>
      <c r="AB68" s="97" t="n"/>
      <c r="AC68" s="102" t="inlineStr">
        <is>
          <t>D</t>
        </is>
      </c>
      <c r="AD68" s="97" t="n"/>
      <c r="AE68" s="102" t="inlineStr">
        <is>
          <t>D</t>
        </is>
      </c>
      <c r="AF68" s="97" t="n"/>
      <c r="AG68" s="97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97" t="n"/>
      <c r="F69" s="97" t="n"/>
      <c r="G69" s="97" t="n"/>
      <c r="H69" s="102" t="inlineStr">
        <is>
          <t>D</t>
        </is>
      </c>
      <c r="I69" s="97" t="n"/>
      <c r="J69" s="103" t="inlineStr">
        <is>
          <t>N</t>
        </is>
      </c>
      <c r="K69" s="97" t="n"/>
      <c r="L69" s="97" t="n"/>
      <c r="M69" s="97" t="n"/>
      <c r="N69" s="97" t="n"/>
      <c r="O69" s="102" t="inlineStr">
        <is>
          <t>D</t>
        </is>
      </c>
      <c r="P69" s="97" t="n"/>
      <c r="Q69" s="97" t="n"/>
      <c r="R69" s="102" t="inlineStr">
        <is>
          <t>D</t>
        </is>
      </c>
      <c r="S69" s="97" t="n"/>
      <c r="T69" s="104" t="inlineStr">
        <is>
          <t>T</t>
        </is>
      </c>
      <c r="U69" s="97" t="n"/>
      <c r="V69" s="97" t="n"/>
      <c r="W69" s="104" t="inlineStr">
        <is>
          <t>T</t>
        </is>
      </c>
      <c r="X69" s="97" t="n"/>
      <c r="Y69" s="102" t="inlineStr">
        <is>
          <t>D</t>
        </is>
      </c>
      <c r="Z69" s="97" t="n"/>
      <c r="AA69" s="102" t="inlineStr">
        <is>
          <t>D</t>
        </is>
      </c>
      <c r="AB69" s="97" t="n"/>
      <c r="AC69" s="102" t="inlineStr">
        <is>
          <t>D</t>
        </is>
      </c>
      <c r="AD69" s="97" t="n"/>
      <c r="AE69" s="97" t="n"/>
      <c r="AF69" s="97" t="n"/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7" t="n"/>
      <c r="E70" s="97" t="n"/>
      <c r="F70" s="97" t="n"/>
      <c r="G70" s="104" t="inlineStr">
        <is>
          <t>T</t>
        </is>
      </c>
      <c r="H70" s="97" t="n"/>
      <c r="I70" s="103" t="inlineStr">
        <is>
          <t>N</t>
        </is>
      </c>
      <c r="J70" s="97" t="n"/>
      <c r="K70" s="97" t="n"/>
      <c r="L70" s="104" t="inlineStr">
        <is>
          <t>T</t>
        </is>
      </c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104" t="inlineStr">
        <is>
          <t>T</t>
        </is>
      </c>
      <c r="AC70" s="97" t="n"/>
      <c r="AD70" s="97" t="n"/>
      <c r="AE70" s="103" t="inlineStr">
        <is>
          <t>N</t>
        </is>
      </c>
      <c r="AF70" s="97" t="n"/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97" t="n"/>
      <c r="G71" s="97" t="n"/>
      <c r="H71" s="102" t="inlineStr">
        <is>
          <t>D</t>
        </is>
      </c>
      <c r="I71" s="97" t="n"/>
      <c r="J71" s="97" t="n"/>
      <c r="K71" s="97" t="n"/>
      <c r="L71" s="102" t="inlineStr">
        <is>
          <t>D</t>
        </is>
      </c>
      <c r="M71" s="104" t="inlineStr">
        <is>
          <t>T</t>
        </is>
      </c>
      <c r="N71" s="102" t="inlineStr">
        <is>
          <t>D</t>
        </is>
      </c>
      <c r="O71" s="104" t="inlineStr">
        <is>
          <t>T</t>
        </is>
      </c>
      <c r="P71" s="97" t="n"/>
      <c r="Q71" s="97" t="n"/>
      <c r="R71" s="97" t="n"/>
      <c r="S71" s="97" t="n"/>
      <c r="T71" s="97" t="n"/>
      <c r="U71" s="103" t="inlineStr">
        <is>
          <t>N</t>
        </is>
      </c>
      <c r="V71" s="97" t="n"/>
      <c r="W71" s="97" t="n"/>
      <c r="X71" s="102" t="inlineStr">
        <is>
          <t>D</t>
        </is>
      </c>
      <c r="Y71" s="97" t="n"/>
      <c r="Z71" s="97" t="n"/>
      <c r="AA71" s="97" t="n"/>
      <c r="AB71" s="97" t="n"/>
      <c r="AC71" s="97" t="n"/>
      <c r="AD71" s="97" t="n"/>
      <c r="AE71" s="97" t="n"/>
      <c r="AF71" s="102" t="inlineStr">
        <is>
          <t>D</t>
        </is>
      </c>
      <c r="AG71" s="102" t="inlineStr">
        <is>
          <t>D</t>
        </is>
      </c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104" t="inlineStr">
        <is>
          <t>T</t>
        </is>
      </c>
      <c r="D72" s="104" t="inlineStr">
        <is>
          <t>T</t>
        </is>
      </c>
      <c r="E72" s="97" t="n"/>
      <c r="F72" s="102" t="inlineStr">
        <is>
          <t>D</t>
        </is>
      </c>
      <c r="G72" s="104" t="inlineStr">
        <is>
          <t>T</t>
        </is>
      </c>
      <c r="H72" s="97" t="n"/>
      <c r="I72" s="97" t="n"/>
      <c r="J72" s="104" t="inlineStr">
        <is>
          <t>T</t>
        </is>
      </c>
      <c r="K72" s="97" t="n"/>
      <c r="L72" s="97" t="n"/>
      <c r="M72" s="102" t="inlineStr">
        <is>
          <t>D</t>
        </is>
      </c>
      <c r="N72" s="104" t="inlineStr">
        <is>
          <t>T</t>
        </is>
      </c>
      <c r="O72" s="102" t="inlineStr">
        <is>
          <t>D</t>
        </is>
      </c>
      <c r="P72" s="97" t="n"/>
      <c r="Q72" s="97" t="n"/>
      <c r="R72" s="97" t="n"/>
      <c r="S72" s="97" t="n"/>
      <c r="T72" s="98" t="inlineStr">
        <is>
          <t>M</t>
        </is>
      </c>
      <c r="U72" s="104" t="inlineStr">
        <is>
          <t>T</t>
        </is>
      </c>
      <c r="V72" s="97" t="n"/>
      <c r="W72" s="97" t="n"/>
      <c r="X72" s="102" t="inlineStr">
        <is>
          <t>D</t>
        </is>
      </c>
      <c r="Y72" s="104" t="inlineStr">
        <is>
          <t>T</t>
        </is>
      </c>
      <c r="Z72" s="97" t="n"/>
      <c r="AA72" s="97" t="n"/>
      <c r="AB72" s="104" t="inlineStr">
        <is>
          <t>T</t>
        </is>
      </c>
      <c r="AC72" s="104" t="inlineStr">
        <is>
          <t>T</t>
        </is>
      </c>
      <c r="AD72" s="97" t="n"/>
      <c r="AE72" s="97" t="n"/>
      <c r="AF72" s="102" t="inlineStr">
        <is>
          <t>D</t>
        </is>
      </c>
      <c r="AG72" s="104" t="inlineStr">
        <is>
          <t>T</t>
        </is>
      </c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102" t="inlineStr">
        <is>
          <t>D</t>
        </is>
      </c>
      <c r="D73" s="97" t="n"/>
      <c r="E73" s="97" t="n"/>
      <c r="F73" s="97" t="n"/>
      <c r="G73" s="97" t="n"/>
      <c r="H73" s="97" t="n"/>
      <c r="I73" s="103" t="inlineStr">
        <is>
          <t>N</t>
        </is>
      </c>
      <c r="J73" s="104" t="inlineStr">
        <is>
          <t>T</t>
        </is>
      </c>
      <c r="K73" s="102" t="inlineStr">
        <is>
          <t>D</t>
        </is>
      </c>
      <c r="L73" s="97" t="n"/>
      <c r="M73" s="97" t="n"/>
      <c r="N73" s="97" t="n"/>
      <c r="O73" s="97" t="n"/>
      <c r="P73" s="104" t="inlineStr">
        <is>
          <t>T</t>
        </is>
      </c>
      <c r="Q73" s="103" t="inlineStr">
        <is>
          <t>N</t>
        </is>
      </c>
      <c r="R73" s="103" t="inlineStr">
        <is>
          <t>N</t>
        </is>
      </c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103" t="inlineStr">
        <is>
          <t>N</t>
        </is>
      </c>
      <c r="AC73" s="97" t="n"/>
      <c r="AD73" s="97" t="n"/>
      <c r="AE73" s="102" t="inlineStr">
        <is>
          <t>D</t>
        </is>
      </c>
      <c r="AF73" s="97" t="n"/>
      <c r="AG73" s="97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MAX(0,CONFIG!$B$10-D75)</f>
        <v/>
      </c>
      <c r="E78" s="109">
        <f>MAX(0,CONFIG!$B$11-E75)</f>
        <v/>
      </c>
      <c r="F78" s="109">
        <f>MAX(0,CONFIG!$B$9-F75)</f>
        <v/>
      </c>
      <c r="G78" s="109">
        <f>MAX(0,CONFIG!$B$9-G75)</f>
        <v/>
      </c>
      <c r="H78" s="109">
        <f>MAX(0,CONFIG!$B$9-H75)</f>
        <v/>
      </c>
      <c r="I78" s="109">
        <f>MAX(0,CONFIG!$B$9-I75)</f>
        <v/>
      </c>
      <c r="J78" s="109">
        <f>MAX(0,CONFIG!$B$9-J75)</f>
        <v/>
      </c>
      <c r="K78" s="109">
        <f>MAX(0,CONFIG!$B$10-K75)</f>
        <v/>
      </c>
      <c r="L78" s="109">
        <f>MAX(0,CONFIG!$B$11-L75)</f>
        <v/>
      </c>
      <c r="M78" s="109">
        <f>MAX(0,CONFIG!$B$9-M75)</f>
        <v/>
      </c>
      <c r="N78" s="109">
        <f>MAX(0,CONFIG!$B$9-N75)</f>
        <v/>
      </c>
      <c r="O78" s="109">
        <f>MAX(0,CONFIG!$B$9-O75)</f>
        <v/>
      </c>
      <c r="P78" s="109">
        <f>MAX(0,CONFIG!$B$9-P75)</f>
        <v/>
      </c>
      <c r="Q78" s="109">
        <f>MAX(0,CONFIG!$B$9-Q75)</f>
        <v/>
      </c>
      <c r="R78" s="109">
        <f>MAX(0,CONFIG!$B$10-R75)</f>
        <v/>
      </c>
      <c r="S78" s="109">
        <f>MAX(0,CONFIG!$B$11-S75)</f>
        <v/>
      </c>
      <c r="T78" s="109">
        <f>MAX(0,CONFIG!$B$9-T75)</f>
        <v/>
      </c>
      <c r="U78" s="109">
        <f>MAX(0,CONFIG!$B$9-U75)</f>
        <v/>
      </c>
      <c r="V78" s="109">
        <f>MAX(0,CONFIG!$B$9-V75)</f>
        <v/>
      </c>
      <c r="W78" s="109">
        <f>MAX(0,CONFIG!$B$9-W75)</f>
        <v/>
      </c>
      <c r="X78" s="109">
        <f>MAX(0,CONFIG!$B$9-X75)</f>
        <v/>
      </c>
      <c r="Y78" s="109">
        <f>MAX(0,CONFIG!$B$10-Y75)</f>
        <v/>
      </c>
      <c r="Z78" s="109">
        <f>MAX(0,CONFIG!$B$11-Z75)</f>
        <v/>
      </c>
      <c r="AA78" s="109">
        <f>MAX(0,CONFIG!$B$9-AA75)</f>
        <v/>
      </c>
      <c r="AB78" s="109">
        <f>MAX(0,CONFIG!$B$9-AB75)</f>
        <v/>
      </c>
      <c r="AC78" s="109">
        <f>MAX(0,CONFIG!$B$9-AC75)</f>
        <v/>
      </c>
      <c r="AD78" s="109">
        <f>MAX(0,CONFIG!$B$9-AD75)</f>
        <v/>
      </c>
      <c r="AE78" s="109">
        <f>MAX(0,CONFIG!$B$9-AE75)</f>
        <v/>
      </c>
      <c r="AF78" s="109">
        <f>MAX(0,CONFIG!$B$10-AF75)</f>
        <v/>
      </c>
      <c r="AG78" s="109">
        <f>MAX(0,CONFIG!$B$11-AG75)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MAX(0,CONFIG!$C$10-D76)</f>
        <v/>
      </c>
      <c r="E79" s="109">
        <f>MAX(0,CONFIG!$C$11-E76)</f>
        <v/>
      </c>
      <c r="F79" s="109">
        <f>MAX(0,CONFIG!$C$9-F76)</f>
        <v/>
      </c>
      <c r="G79" s="109">
        <f>MAX(0,CONFIG!$C$9-G76)</f>
        <v/>
      </c>
      <c r="H79" s="109">
        <f>MAX(0,CONFIG!$C$9-H76)</f>
        <v/>
      </c>
      <c r="I79" s="109">
        <f>MAX(0,CONFIG!$C$9-I76)</f>
        <v/>
      </c>
      <c r="J79" s="109">
        <f>MAX(0,CONFIG!$C$9-J76)</f>
        <v/>
      </c>
      <c r="K79" s="109">
        <f>MAX(0,CONFIG!$C$10-K76)</f>
        <v/>
      </c>
      <c r="L79" s="109">
        <f>MAX(0,CONFIG!$C$11-L76)</f>
        <v/>
      </c>
      <c r="M79" s="109">
        <f>MAX(0,CONFIG!$C$9-M76)</f>
        <v/>
      </c>
      <c r="N79" s="109">
        <f>MAX(0,CONFIG!$C$9-N76)</f>
        <v/>
      </c>
      <c r="O79" s="109">
        <f>MAX(0,CONFIG!$C$9-O76)</f>
        <v/>
      </c>
      <c r="P79" s="109">
        <f>MAX(0,CONFIG!$C$9-P76)</f>
        <v/>
      </c>
      <c r="Q79" s="109">
        <f>MAX(0,CONFIG!$C$9-Q76)</f>
        <v/>
      </c>
      <c r="R79" s="109">
        <f>MAX(0,CONFIG!$C$10-R76)</f>
        <v/>
      </c>
      <c r="S79" s="109">
        <f>MAX(0,CONFIG!$C$11-S76)</f>
        <v/>
      </c>
      <c r="T79" s="109">
        <f>MAX(0,CONFIG!$C$9-T76)</f>
        <v/>
      </c>
      <c r="U79" s="109">
        <f>MAX(0,CONFIG!$C$9-U76)</f>
        <v/>
      </c>
      <c r="V79" s="109">
        <f>MAX(0,CONFIG!$C$9-V76)</f>
        <v/>
      </c>
      <c r="W79" s="109">
        <f>MAX(0,CONFIG!$C$9-W76)</f>
        <v/>
      </c>
      <c r="X79" s="109">
        <f>MAX(0,CONFIG!$C$9-X76)</f>
        <v/>
      </c>
      <c r="Y79" s="109">
        <f>MAX(0,CONFIG!$C$10-Y76)</f>
        <v/>
      </c>
      <c r="Z79" s="109">
        <f>MAX(0,CONFIG!$C$11-Z76)</f>
        <v/>
      </c>
      <c r="AA79" s="109">
        <f>MAX(0,CONFIG!$C$9-AA76)</f>
        <v/>
      </c>
      <c r="AB79" s="109">
        <f>MAX(0,CONFIG!$C$9-AB76)</f>
        <v/>
      </c>
      <c r="AC79" s="109">
        <f>MAX(0,CONFIG!$C$9-AC76)</f>
        <v/>
      </c>
      <c r="AD79" s="109">
        <f>MAX(0,CONFIG!$C$9-AD76)</f>
        <v/>
      </c>
      <c r="AE79" s="109">
        <f>MAX(0,CONFIG!$C$9-AE76)</f>
        <v/>
      </c>
      <c r="AF79" s="109">
        <f>MAX(0,CONFIG!$C$10-AF76)</f>
        <v/>
      </c>
      <c r="AG79" s="109">
        <f>MAX(0,CONFIG!$C$11-AG76)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MAX(0,CONFIG!$D$10-D77)</f>
        <v/>
      </c>
      <c r="E80" s="109">
        <f>MAX(0,CONFIG!$D$11-E77)</f>
        <v/>
      </c>
      <c r="F80" s="109">
        <f>MAX(0,CONFIG!$D$9-F77)</f>
        <v/>
      </c>
      <c r="G80" s="109">
        <f>MAX(0,CONFIG!$D$9-G77)</f>
        <v/>
      </c>
      <c r="H80" s="109">
        <f>MAX(0,CONFIG!$D$9-H77)</f>
        <v/>
      </c>
      <c r="I80" s="109">
        <f>MAX(0,CONFIG!$D$9-I77)</f>
        <v/>
      </c>
      <c r="J80" s="109">
        <f>MAX(0,CONFIG!$D$9-J77)</f>
        <v/>
      </c>
      <c r="K80" s="109">
        <f>MAX(0,CONFIG!$D$10-K77)</f>
        <v/>
      </c>
      <c r="L80" s="109">
        <f>MAX(0,CONFIG!$D$11-L77)</f>
        <v/>
      </c>
      <c r="M80" s="109">
        <f>MAX(0,CONFIG!$D$9-M77)</f>
        <v/>
      </c>
      <c r="N80" s="109">
        <f>MAX(0,CONFIG!$D$9-N77)</f>
        <v/>
      </c>
      <c r="O80" s="109">
        <f>MAX(0,CONFIG!$D$9-O77)</f>
        <v/>
      </c>
      <c r="P80" s="109">
        <f>MAX(0,CONFIG!$D$9-P77)</f>
        <v/>
      </c>
      <c r="Q80" s="109">
        <f>MAX(0,CONFIG!$D$9-Q77)</f>
        <v/>
      </c>
      <c r="R80" s="109">
        <f>MAX(0,CONFIG!$D$10-R77)</f>
        <v/>
      </c>
      <c r="S80" s="109">
        <f>MAX(0,CONFIG!$D$11-S77)</f>
        <v/>
      </c>
      <c r="T80" s="109">
        <f>MAX(0,CONFIG!$D$9-T77)</f>
        <v/>
      </c>
      <c r="U80" s="109">
        <f>MAX(0,CONFIG!$D$9-U77)</f>
        <v/>
      </c>
      <c r="V80" s="109">
        <f>MAX(0,CONFIG!$D$9-V77)</f>
        <v/>
      </c>
      <c r="W80" s="109">
        <f>MAX(0,CONFIG!$D$9-W77)</f>
        <v/>
      </c>
      <c r="X80" s="109">
        <f>MAX(0,CONFIG!$D$9-X77)</f>
        <v/>
      </c>
      <c r="Y80" s="109">
        <f>MAX(0,CONFIG!$D$10-Y77)</f>
        <v/>
      </c>
      <c r="Z80" s="109">
        <f>MAX(0,CONFIG!$D$11-Z77)</f>
        <v/>
      </c>
      <c r="AA80" s="109">
        <f>MAX(0,CONFIG!$D$9-AA77)</f>
        <v/>
      </c>
      <c r="AB80" s="109">
        <f>MAX(0,CONFIG!$D$9-AB77)</f>
        <v/>
      </c>
      <c r="AC80" s="109">
        <f>MAX(0,CONFIG!$D$9-AC77)</f>
        <v/>
      </c>
      <c r="AD80" s="109">
        <f>MAX(0,CONFIG!$D$9-AD77)</f>
        <v/>
      </c>
      <c r="AE80" s="109">
        <f>MAX(0,CONFIG!$D$9-AE77)</f>
        <v/>
      </c>
      <c r="AF80" s="109">
        <f>MAX(0,CONFIG!$D$10-AF77)</f>
        <v/>
      </c>
      <c r="AG80" s="109">
        <f>MAX(0,CONFIG!$D$11-AG77)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E8C79A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junho · 2026</t>
        </is>
      </c>
      <c r="C1" s="88" t="inlineStr">
        <is>
          <t>reconstruído da grade 'Escala junho - UTI HCB'</t>
        </is>
      </c>
    </row>
    <row r="2">
      <c r="C2" s="90" t="n">
        <v>1</v>
      </c>
      <c r="D2" s="90" t="n">
        <v>2</v>
      </c>
      <c r="E2" s="90" t="n">
        <v>3</v>
      </c>
      <c r="F2" s="89" t="n">
        <v>4</v>
      </c>
      <c r="G2" s="90" t="n">
        <v>5</v>
      </c>
      <c r="H2" s="91" t="n">
        <v>6</v>
      </c>
      <c r="I2" s="91" t="n">
        <v>7</v>
      </c>
      <c r="J2" s="90" t="n">
        <v>8</v>
      </c>
      <c r="K2" s="90" t="n">
        <v>9</v>
      </c>
      <c r="L2" s="90" t="n">
        <v>10</v>
      </c>
      <c r="M2" s="90" t="n">
        <v>11</v>
      </c>
      <c r="N2" s="90" t="n">
        <v>12</v>
      </c>
      <c r="O2" s="91" t="n">
        <v>13</v>
      </c>
      <c r="P2" s="91" t="n">
        <v>14</v>
      </c>
      <c r="Q2" s="90" t="n">
        <v>15</v>
      </c>
      <c r="R2" s="90" t="n">
        <v>16</v>
      </c>
      <c r="S2" s="90" t="n">
        <v>17</v>
      </c>
      <c r="T2" s="90" t="n">
        <v>18</v>
      </c>
      <c r="U2" s="90" t="n">
        <v>19</v>
      </c>
      <c r="V2" s="91" t="n">
        <v>20</v>
      </c>
      <c r="W2" s="91" t="n">
        <v>21</v>
      </c>
      <c r="X2" s="90" t="n">
        <v>22</v>
      </c>
      <c r="Y2" s="90" t="n">
        <v>23</v>
      </c>
      <c r="Z2" s="90" t="n">
        <v>24</v>
      </c>
      <c r="AA2" s="90" t="n">
        <v>25</v>
      </c>
      <c r="AB2" s="90" t="n">
        <v>26</v>
      </c>
      <c r="AC2" s="91" t="n">
        <v>27</v>
      </c>
      <c r="AD2" s="91" t="n">
        <v>28</v>
      </c>
      <c r="AE2" s="90" t="n">
        <v>29</v>
      </c>
      <c r="AF2" s="90" t="n">
        <v>30</v>
      </c>
      <c r="AG2" s="110" t="n"/>
    </row>
    <row r="3">
      <c r="C3" s="93" t="inlineStr">
        <is>
          <t>seg</t>
        </is>
      </c>
      <c r="D3" s="93" t="inlineStr">
        <is>
          <t>ter</t>
        </is>
      </c>
      <c r="E3" s="93" t="inlineStr">
        <is>
          <t>qua</t>
        </is>
      </c>
      <c r="F3" s="92" t="inlineStr">
        <is>
          <t>corp</t>
        </is>
      </c>
      <c r="G3" s="93" t="inlineStr">
        <is>
          <t>sex</t>
        </is>
      </c>
      <c r="H3" s="94" t="inlineStr">
        <is>
          <t>sáb</t>
        </is>
      </c>
      <c r="I3" s="94" t="inlineStr">
        <is>
          <t>dom</t>
        </is>
      </c>
      <c r="J3" s="93" t="inlineStr">
        <is>
          <t>seg</t>
        </is>
      </c>
      <c r="K3" s="93" t="inlineStr">
        <is>
          <t>ter</t>
        </is>
      </c>
      <c r="L3" s="93" t="inlineStr">
        <is>
          <t>qua</t>
        </is>
      </c>
      <c r="M3" s="93" t="inlineStr">
        <is>
          <t>qui</t>
        </is>
      </c>
      <c r="N3" s="93" t="inlineStr">
        <is>
          <t>sex</t>
        </is>
      </c>
      <c r="O3" s="94" t="inlineStr">
        <is>
          <t>sáb</t>
        </is>
      </c>
      <c r="P3" s="94" t="inlineStr">
        <is>
          <t>dom</t>
        </is>
      </c>
      <c r="Q3" s="93" t="inlineStr">
        <is>
          <t>seg</t>
        </is>
      </c>
      <c r="R3" s="93" t="inlineStr">
        <is>
          <t>ter</t>
        </is>
      </c>
      <c r="S3" s="93" t="inlineStr">
        <is>
          <t>qua</t>
        </is>
      </c>
      <c r="T3" s="93" t="inlineStr">
        <is>
          <t>qui</t>
        </is>
      </c>
      <c r="U3" s="93" t="inlineStr">
        <is>
          <t>sex</t>
        </is>
      </c>
      <c r="V3" s="94" t="inlineStr">
        <is>
          <t>sáb</t>
        </is>
      </c>
      <c r="W3" s="94" t="inlineStr">
        <is>
          <t>dom</t>
        </is>
      </c>
      <c r="X3" s="93" t="inlineStr">
        <is>
          <t>seg</t>
        </is>
      </c>
      <c r="Y3" s="93" t="inlineStr">
        <is>
          <t>ter</t>
        </is>
      </c>
      <c r="Z3" s="93" t="inlineStr">
        <is>
          <t>qua</t>
        </is>
      </c>
      <c r="AA3" s="93" t="inlineStr">
        <is>
          <t>qui</t>
        </is>
      </c>
      <c r="AB3" s="93" t="inlineStr">
        <is>
          <t>sex</t>
        </is>
      </c>
      <c r="AC3" s="94" t="inlineStr">
        <is>
          <t>sáb</t>
        </is>
      </c>
      <c r="AD3" s="94" t="inlineStr">
        <is>
          <t>dom</t>
        </is>
      </c>
      <c r="AE3" s="93" t="inlineStr">
        <is>
          <t>seg</t>
        </is>
      </c>
      <c r="AF3" s="93" t="inlineStr">
        <is>
          <t>ter</t>
        </is>
      </c>
      <c r="AG3" s="110" t="n"/>
    </row>
    <row r="4" hidden="1">
      <c r="A4" t="inlineStr">
        <is>
          <t>máscara fds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98" t="inlineStr">
        <is>
          <t>M</t>
        </is>
      </c>
      <c r="E8" s="98" t="inlineStr">
        <is>
          <t>M</t>
        </is>
      </c>
      <c r="F8" s="98" t="inlineStr">
        <is>
          <t>M</t>
        </is>
      </c>
      <c r="G8" s="98" t="inlineStr">
        <is>
          <t>M</t>
        </is>
      </c>
      <c r="H8" s="97" t="n"/>
      <c r="I8" s="97" t="n"/>
      <c r="J8" s="98" t="inlineStr">
        <is>
          <t>M</t>
        </is>
      </c>
      <c r="K8" s="98" t="inlineStr">
        <is>
          <t>M</t>
        </is>
      </c>
      <c r="L8" s="98" t="inlineStr">
        <is>
          <t>M</t>
        </is>
      </c>
      <c r="M8" s="98" t="inlineStr">
        <is>
          <t>M</t>
        </is>
      </c>
      <c r="N8" s="98" t="inlineStr">
        <is>
          <t>M</t>
        </is>
      </c>
      <c r="O8" s="97" t="n"/>
      <c r="P8" s="97" t="n"/>
      <c r="Q8" s="98" t="inlineStr">
        <is>
          <t>M</t>
        </is>
      </c>
      <c r="R8" s="98" t="inlineStr">
        <is>
          <t>M</t>
        </is>
      </c>
      <c r="S8" s="98" t="inlineStr">
        <is>
          <t>M</t>
        </is>
      </c>
      <c r="T8" s="98" t="inlineStr">
        <is>
          <t>M</t>
        </is>
      </c>
      <c r="U8" s="98" t="inlineStr">
        <is>
          <t>M</t>
        </is>
      </c>
      <c r="V8" s="97" t="n"/>
      <c r="W8" s="97" t="n"/>
      <c r="X8" s="98" t="inlineStr">
        <is>
          <t>M</t>
        </is>
      </c>
      <c r="Y8" s="98" t="inlineStr">
        <is>
          <t>M</t>
        </is>
      </c>
      <c r="Z8" s="98" t="inlineStr">
        <is>
          <t>M</t>
        </is>
      </c>
      <c r="AA8" s="98" t="inlineStr">
        <is>
          <t>M</t>
        </is>
      </c>
      <c r="AB8" s="98" t="inlineStr">
        <is>
          <t>M</t>
        </is>
      </c>
      <c r="AC8" s="97" t="n"/>
      <c r="AD8" s="97" t="n"/>
      <c r="AE8" s="98" t="inlineStr">
        <is>
          <t>M</t>
        </is>
      </c>
      <c r="AF8" s="98" t="inlineStr">
        <is>
          <t>M</t>
        </is>
      </c>
      <c r="AG8" s="110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ROUND(B8*4.29,0)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8" t="inlineStr">
        <is>
          <t>M</t>
        </is>
      </c>
      <c r="D9" s="98" t="inlineStr">
        <is>
          <t>M</t>
        </is>
      </c>
      <c r="E9" s="98" t="inlineStr">
        <is>
          <t>M</t>
        </is>
      </c>
      <c r="F9" s="98" t="inlineStr">
        <is>
          <t>M</t>
        </is>
      </c>
      <c r="G9" s="98" t="inlineStr">
        <is>
          <t>M</t>
        </is>
      </c>
      <c r="H9" s="97" t="n"/>
      <c r="I9" s="97" t="n"/>
      <c r="J9" s="98" t="inlineStr">
        <is>
          <t>M</t>
        </is>
      </c>
      <c r="K9" s="98" t="inlineStr">
        <is>
          <t>M</t>
        </is>
      </c>
      <c r="L9" s="98" t="inlineStr">
        <is>
          <t>M</t>
        </is>
      </c>
      <c r="M9" s="98" t="inlineStr">
        <is>
          <t>M</t>
        </is>
      </c>
      <c r="N9" s="98" t="inlineStr">
        <is>
          <t>M</t>
        </is>
      </c>
      <c r="O9" s="97" t="n"/>
      <c r="P9" s="97" t="n"/>
      <c r="Q9" s="98" t="inlineStr">
        <is>
          <t>M</t>
        </is>
      </c>
      <c r="R9" s="98" t="inlineStr">
        <is>
          <t>M</t>
        </is>
      </c>
      <c r="S9" s="98" t="inlineStr">
        <is>
          <t>M</t>
        </is>
      </c>
      <c r="T9" s="98" t="inlineStr">
        <is>
          <t>M</t>
        </is>
      </c>
      <c r="U9" s="98" t="inlineStr">
        <is>
          <t>M</t>
        </is>
      </c>
      <c r="V9" s="97" t="n"/>
      <c r="W9" s="97" t="n"/>
      <c r="X9" s="98" t="inlineStr">
        <is>
          <t>M</t>
        </is>
      </c>
      <c r="Y9" s="98" t="inlineStr">
        <is>
          <t>M</t>
        </is>
      </c>
      <c r="Z9" s="98" t="inlineStr">
        <is>
          <t>M</t>
        </is>
      </c>
      <c r="AA9" s="98" t="inlineStr">
        <is>
          <t>M</t>
        </is>
      </c>
      <c r="AB9" s="98" t="inlineStr">
        <is>
          <t>M</t>
        </is>
      </c>
      <c r="AC9" s="97" t="n"/>
      <c r="AD9" s="97" t="n"/>
      <c r="AE9" s="98" t="inlineStr">
        <is>
          <t>M</t>
        </is>
      </c>
      <c r="AF9" s="98" t="inlineStr">
        <is>
          <t>M</t>
        </is>
      </c>
      <c r="AG9" s="110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ROUND(B9*4.29,0)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110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ROUND(B10*4.29,0)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8" t="inlineStr">
        <is>
          <t>M</t>
        </is>
      </c>
      <c r="D11" s="98" t="inlineStr">
        <is>
          <t>M</t>
        </is>
      </c>
      <c r="E11" s="98" t="inlineStr">
        <is>
          <t>M</t>
        </is>
      </c>
      <c r="F11" s="98" t="inlineStr">
        <is>
          <t>M</t>
        </is>
      </c>
      <c r="G11" s="98" t="inlineStr">
        <is>
          <t>M</t>
        </is>
      </c>
      <c r="H11" s="103" t="inlineStr">
        <is>
          <t>N</t>
        </is>
      </c>
      <c r="I11" s="97" t="n"/>
      <c r="J11" s="98" t="inlineStr">
        <is>
          <t>M</t>
        </is>
      </c>
      <c r="K11" s="98" t="inlineStr">
        <is>
          <t>M</t>
        </is>
      </c>
      <c r="L11" s="98" t="inlineStr">
        <is>
          <t>M</t>
        </is>
      </c>
      <c r="M11" s="98" t="inlineStr">
        <is>
          <t>M</t>
        </is>
      </c>
      <c r="N11" s="98" t="inlineStr">
        <is>
          <t>M</t>
        </is>
      </c>
      <c r="O11" s="103" t="inlineStr">
        <is>
          <t>N</t>
        </is>
      </c>
      <c r="P11" s="97" t="n"/>
      <c r="Q11" s="98" t="inlineStr">
        <is>
          <t>M</t>
        </is>
      </c>
      <c r="R11" s="103" t="inlineStr">
        <is>
          <t>N</t>
        </is>
      </c>
      <c r="S11" s="97" t="n"/>
      <c r="T11" s="98" t="inlineStr">
        <is>
          <t>M</t>
        </is>
      </c>
      <c r="U11" s="97" t="n"/>
      <c r="V11" s="97" t="n"/>
      <c r="W11" s="97" t="n"/>
      <c r="X11" s="98" t="inlineStr">
        <is>
          <t>M</t>
        </is>
      </c>
      <c r="Y11" s="98" t="inlineStr">
        <is>
          <t>M</t>
        </is>
      </c>
      <c r="Z11" s="98" t="inlineStr">
        <is>
          <t>M</t>
        </is>
      </c>
      <c r="AA11" s="98" t="inlineStr">
        <is>
          <t>M</t>
        </is>
      </c>
      <c r="AB11" s="98" t="inlineStr">
        <is>
          <t>M</t>
        </is>
      </c>
      <c r="AC11" s="103" t="inlineStr">
        <is>
          <t>N</t>
        </is>
      </c>
      <c r="AD11" s="97" t="n"/>
      <c r="AE11" s="98" t="inlineStr">
        <is>
          <t>M</t>
        </is>
      </c>
      <c r="AF11" s="98" t="inlineStr">
        <is>
          <t>M</t>
        </is>
      </c>
      <c r="AG11" s="110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ROUND(B11*4.29,0)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102" t="inlineStr">
        <is>
          <t>D</t>
        </is>
      </c>
      <c r="D12" s="102" t="inlineStr">
        <is>
          <t>D</t>
        </is>
      </c>
      <c r="E12" s="102" t="inlineStr">
        <is>
          <t>D</t>
        </is>
      </c>
      <c r="F12" s="97" t="n"/>
      <c r="G12" s="97" t="n"/>
      <c r="H12" s="97" t="n"/>
      <c r="I12" s="97" t="n"/>
      <c r="J12" s="98" t="inlineStr">
        <is>
          <t>M</t>
        </is>
      </c>
      <c r="K12" s="98" t="inlineStr">
        <is>
          <t>M</t>
        </is>
      </c>
      <c r="L12" s="98" t="inlineStr">
        <is>
          <t>M</t>
        </is>
      </c>
      <c r="M12" s="98" t="inlineStr">
        <is>
          <t>M</t>
        </is>
      </c>
      <c r="N12" s="98" t="inlineStr">
        <is>
          <t>M</t>
        </is>
      </c>
      <c r="O12" s="97" t="n"/>
      <c r="P12" s="102" t="inlineStr">
        <is>
          <t>D</t>
        </is>
      </c>
      <c r="Q12" s="98" t="inlineStr">
        <is>
          <t>M</t>
        </is>
      </c>
      <c r="R12" s="98" t="inlineStr">
        <is>
          <t>M</t>
        </is>
      </c>
      <c r="S12" s="98" t="inlineStr">
        <is>
          <t>M</t>
        </is>
      </c>
      <c r="T12" s="102" t="inlineStr">
        <is>
          <t>D</t>
        </is>
      </c>
      <c r="U12" s="98" t="inlineStr">
        <is>
          <t>M</t>
        </is>
      </c>
      <c r="V12" s="97" t="n"/>
      <c r="W12" s="97" t="n"/>
      <c r="X12" s="98" t="inlineStr">
        <is>
          <t>M</t>
        </is>
      </c>
      <c r="Y12" s="98" t="inlineStr">
        <is>
          <t>M</t>
        </is>
      </c>
      <c r="Z12" s="98" t="inlineStr">
        <is>
          <t>M</t>
        </is>
      </c>
      <c r="AA12" s="98" t="inlineStr">
        <is>
          <t>M</t>
        </is>
      </c>
      <c r="AB12" s="98" t="inlineStr">
        <is>
          <t>M</t>
        </is>
      </c>
      <c r="AC12" s="97" t="n"/>
      <c r="AD12" s="102" t="inlineStr">
        <is>
          <t>D</t>
        </is>
      </c>
      <c r="AE12" s="98" t="inlineStr">
        <is>
          <t>M</t>
        </is>
      </c>
      <c r="AF12" s="102" t="inlineStr">
        <is>
          <t>D</t>
        </is>
      </c>
      <c r="AG12" s="110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ROUND(B12*4.29,0)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98" t="inlineStr">
        <is>
          <t>M</t>
        </is>
      </c>
      <c r="E13" s="98" t="inlineStr">
        <is>
          <t>M</t>
        </is>
      </c>
      <c r="F13" s="98" t="inlineStr">
        <is>
          <t>M</t>
        </is>
      </c>
      <c r="G13" s="98" t="inlineStr">
        <is>
          <t>M</t>
        </is>
      </c>
      <c r="H13" s="103" t="inlineStr">
        <is>
          <t>N</t>
        </is>
      </c>
      <c r="I13" s="97" t="n"/>
      <c r="J13" s="98" t="inlineStr">
        <is>
          <t>M</t>
        </is>
      </c>
      <c r="K13" s="98" t="inlineStr">
        <is>
          <t>M</t>
        </is>
      </c>
      <c r="L13" s="98" t="inlineStr">
        <is>
          <t>M</t>
        </is>
      </c>
      <c r="M13" s="98" t="inlineStr">
        <is>
          <t>M</t>
        </is>
      </c>
      <c r="N13" s="98" t="inlineStr">
        <is>
          <t>M</t>
        </is>
      </c>
      <c r="O13" s="97" t="n"/>
      <c r="P13" s="97" t="n"/>
      <c r="Q13" s="98" t="inlineStr">
        <is>
          <t>M</t>
        </is>
      </c>
      <c r="R13" s="98" t="inlineStr">
        <is>
          <t>M</t>
        </is>
      </c>
      <c r="S13" s="98" t="inlineStr">
        <is>
          <t>M</t>
        </is>
      </c>
      <c r="T13" s="98" t="inlineStr">
        <is>
          <t>M</t>
        </is>
      </c>
      <c r="U13" s="98" t="inlineStr">
        <is>
          <t>M</t>
        </is>
      </c>
      <c r="V13" s="103" t="inlineStr">
        <is>
          <t>N</t>
        </is>
      </c>
      <c r="W13" s="97" t="n"/>
      <c r="X13" s="98" t="inlineStr">
        <is>
          <t>M</t>
        </is>
      </c>
      <c r="Y13" s="98" t="inlineStr">
        <is>
          <t>M</t>
        </is>
      </c>
      <c r="Z13" s="98" t="inlineStr">
        <is>
          <t>M</t>
        </is>
      </c>
      <c r="AA13" s="98" t="inlineStr">
        <is>
          <t>M</t>
        </is>
      </c>
      <c r="AB13" s="98" t="inlineStr">
        <is>
          <t>M</t>
        </is>
      </c>
      <c r="AC13" s="97" t="n"/>
      <c r="AD13" s="97" t="n"/>
      <c r="AE13" s="98" t="inlineStr">
        <is>
          <t>M</t>
        </is>
      </c>
      <c r="AF13" s="98" t="inlineStr">
        <is>
          <t>M</t>
        </is>
      </c>
      <c r="AG13" s="110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ROUND(B13*4.29,0)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8" t="inlineStr">
        <is>
          <t>M</t>
        </is>
      </c>
      <c r="D14" s="98" t="inlineStr">
        <is>
          <t>M</t>
        </is>
      </c>
      <c r="E14" s="98" t="inlineStr">
        <is>
          <t>M</t>
        </is>
      </c>
      <c r="F14" s="98" t="inlineStr">
        <is>
          <t>M</t>
        </is>
      </c>
      <c r="G14" s="97" t="n"/>
      <c r="H14" s="102" t="inlineStr">
        <is>
          <t>D</t>
        </is>
      </c>
      <c r="I14" s="97" t="n"/>
      <c r="J14" s="98" t="inlineStr">
        <is>
          <t>M</t>
        </is>
      </c>
      <c r="K14" s="98" t="inlineStr">
        <is>
          <t>M</t>
        </is>
      </c>
      <c r="L14" s="98" t="inlineStr">
        <is>
          <t>M</t>
        </is>
      </c>
      <c r="M14" s="98" t="inlineStr">
        <is>
          <t>M</t>
        </is>
      </c>
      <c r="N14" s="98" t="inlineStr">
        <is>
          <t>M</t>
        </is>
      </c>
      <c r="O14" s="102" t="inlineStr">
        <is>
          <t>D</t>
        </is>
      </c>
      <c r="P14" s="97" t="n"/>
      <c r="Q14" s="104" t="inlineStr">
        <is>
          <t>T</t>
        </is>
      </c>
      <c r="R14" s="98" t="inlineStr">
        <is>
          <t>M</t>
        </is>
      </c>
      <c r="S14" s="102" t="inlineStr">
        <is>
          <t>D</t>
        </is>
      </c>
      <c r="T14" s="98" t="inlineStr">
        <is>
          <t>M</t>
        </is>
      </c>
      <c r="U14" s="98" t="inlineStr">
        <is>
          <t>M</t>
        </is>
      </c>
      <c r="V14" s="97" t="n"/>
      <c r="W14" s="97" t="n"/>
      <c r="X14" s="98" t="inlineStr">
        <is>
          <t>M</t>
        </is>
      </c>
      <c r="Y14" s="98" t="inlineStr">
        <is>
          <t>M</t>
        </is>
      </c>
      <c r="Z14" s="98" t="inlineStr">
        <is>
          <t>M</t>
        </is>
      </c>
      <c r="AA14" s="97" t="n"/>
      <c r="AB14" s="102" t="inlineStr">
        <is>
          <t>D</t>
        </is>
      </c>
      <c r="AC14" s="97" t="n"/>
      <c r="AD14" s="97" t="n"/>
      <c r="AE14" s="97" t="n"/>
      <c r="AF14" s="97" t="n"/>
      <c r="AG14" s="110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ROUND(B14*4.29,0)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8" t="inlineStr">
        <is>
          <t>M</t>
        </is>
      </c>
      <c r="D15" s="98" t="inlineStr">
        <is>
          <t>M</t>
        </is>
      </c>
      <c r="E15" s="102" t="inlineStr">
        <is>
          <t>D</t>
        </is>
      </c>
      <c r="F15" s="98" t="inlineStr">
        <is>
          <t>M</t>
        </is>
      </c>
      <c r="G15" s="98" t="inlineStr">
        <is>
          <t>M</t>
        </is>
      </c>
      <c r="H15" s="97" t="n"/>
      <c r="I15" s="97" t="n"/>
      <c r="J15" s="98" t="inlineStr">
        <is>
          <t>M</t>
        </is>
      </c>
      <c r="K15" s="98" t="inlineStr">
        <is>
          <t>M</t>
        </is>
      </c>
      <c r="L15" s="98" t="inlineStr">
        <is>
          <t>M</t>
        </is>
      </c>
      <c r="M15" s="98" t="inlineStr">
        <is>
          <t>M</t>
        </is>
      </c>
      <c r="N15" s="98" t="inlineStr">
        <is>
          <t>M</t>
        </is>
      </c>
      <c r="O15" s="103" t="inlineStr">
        <is>
          <t>N</t>
        </is>
      </c>
      <c r="P15" s="97" t="n"/>
      <c r="Q15" s="98" t="inlineStr">
        <is>
          <t>M</t>
        </is>
      </c>
      <c r="R15" s="98" t="inlineStr">
        <is>
          <t>M</t>
        </is>
      </c>
      <c r="S15" s="98" t="inlineStr">
        <is>
          <t>M</t>
        </is>
      </c>
      <c r="T15" s="98" t="inlineStr">
        <is>
          <t>M</t>
        </is>
      </c>
      <c r="U15" s="102" t="inlineStr">
        <is>
          <t>D</t>
        </is>
      </c>
      <c r="V15" s="97" t="n"/>
      <c r="W15" s="97" t="n"/>
      <c r="X15" s="98" t="inlineStr">
        <is>
          <t>M</t>
        </is>
      </c>
      <c r="Y15" s="98" t="inlineStr">
        <is>
          <t>M</t>
        </is>
      </c>
      <c r="Z15" s="98" t="inlineStr">
        <is>
          <t>M</t>
        </is>
      </c>
      <c r="AA15" s="98" t="inlineStr">
        <is>
          <t>M</t>
        </is>
      </c>
      <c r="AB15" s="98" t="inlineStr">
        <is>
          <t>M</t>
        </is>
      </c>
      <c r="AC15" s="103" t="inlineStr">
        <is>
          <t>N</t>
        </is>
      </c>
      <c r="AD15" s="97" t="n"/>
      <c r="AE15" s="98" t="inlineStr">
        <is>
          <t>M</t>
        </is>
      </c>
      <c r="AF15" s="98" t="inlineStr">
        <is>
          <t>M</t>
        </is>
      </c>
      <c r="AG15" s="110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ROUND(B15*4.29,0)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04" t="inlineStr">
        <is>
          <t>T</t>
        </is>
      </c>
      <c r="D16" s="97" t="n"/>
      <c r="E16" s="97" t="n"/>
      <c r="F16" s="102" t="inlineStr">
        <is>
          <t>D</t>
        </is>
      </c>
      <c r="G16" s="102" t="inlineStr">
        <is>
          <t>D</t>
        </is>
      </c>
      <c r="H16" s="97" t="n"/>
      <c r="I16" s="97" t="n"/>
      <c r="J16" s="102" t="inlineStr">
        <is>
          <t>D</t>
        </is>
      </c>
      <c r="K16" s="97" t="n"/>
      <c r="L16" s="97" t="n"/>
      <c r="M16" s="97" t="n"/>
      <c r="N16" s="102" t="inlineStr">
        <is>
          <t>D</t>
        </is>
      </c>
      <c r="O16" s="97" t="n"/>
      <c r="P16" s="104" t="inlineStr">
        <is>
          <t>T</t>
        </is>
      </c>
      <c r="Q16" s="102" t="inlineStr">
        <is>
          <t>D</t>
        </is>
      </c>
      <c r="R16" s="97" t="n"/>
      <c r="S16" s="97" t="n"/>
      <c r="T16" s="97" t="n"/>
      <c r="U16" s="102" t="inlineStr">
        <is>
          <t>D</t>
        </is>
      </c>
      <c r="V16" s="97" t="n"/>
      <c r="W16" s="98" t="inlineStr">
        <is>
          <t>M</t>
        </is>
      </c>
      <c r="X16" s="97" t="n"/>
      <c r="Y16" s="97" t="n"/>
      <c r="Z16" s="97" t="n"/>
      <c r="AA16" s="97" t="n"/>
      <c r="AB16" s="102" t="inlineStr">
        <is>
          <t>D</t>
        </is>
      </c>
      <c r="AC16" s="104" t="inlineStr">
        <is>
          <t>T</t>
        </is>
      </c>
      <c r="AD16" s="102" t="inlineStr">
        <is>
          <t>D</t>
        </is>
      </c>
      <c r="AE16" s="102" t="inlineStr">
        <is>
          <t>D</t>
        </is>
      </c>
      <c r="AF16" s="97" t="n"/>
      <c r="AG16" s="110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ROUND(B16*4.29,0)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104" t="inlineStr">
        <is>
          <t>T</t>
        </is>
      </c>
      <c r="D17" s="103" t="inlineStr">
        <is>
          <t>N</t>
        </is>
      </c>
      <c r="E17" s="104" t="inlineStr">
        <is>
          <t>T</t>
        </is>
      </c>
      <c r="F17" s="97" t="n"/>
      <c r="G17" s="98" t="inlineStr">
        <is>
          <t>M</t>
        </is>
      </c>
      <c r="H17" s="97" t="n"/>
      <c r="I17" s="97" t="n"/>
      <c r="J17" s="102" t="inlineStr">
        <is>
          <t>D</t>
        </is>
      </c>
      <c r="K17" s="103" t="inlineStr">
        <is>
          <t>N</t>
        </is>
      </c>
      <c r="L17" s="97" t="n"/>
      <c r="M17" s="104" t="inlineStr">
        <is>
          <t>T</t>
        </is>
      </c>
      <c r="N17" s="104" t="inlineStr">
        <is>
          <t>T</t>
        </is>
      </c>
      <c r="O17" s="103" t="inlineStr">
        <is>
          <t>N</t>
        </is>
      </c>
      <c r="P17" s="97" t="n"/>
      <c r="Q17" s="97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  <c r="AA17" s="97" t="n"/>
      <c r="AB17" s="97" t="n"/>
      <c r="AC17" s="97" t="n"/>
      <c r="AD17" s="97" t="n"/>
      <c r="AE17" s="97" t="n"/>
      <c r="AF17" s="103" t="inlineStr">
        <is>
          <t>N</t>
        </is>
      </c>
      <c r="AG17" s="110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ROUND(B17*4.29,0)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97" t="n"/>
      <c r="E18" s="102" t="inlineStr">
        <is>
          <t>D</t>
        </is>
      </c>
      <c r="F18" s="97" t="n"/>
      <c r="G18" s="97" t="n"/>
      <c r="H18" s="102" t="inlineStr">
        <is>
          <t>D</t>
        </is>
      </c>
      <c r="I18" s="103" t="inlineStr">
        <is>
          <t>N</t>
        </is>
      </c>
      <c r="J18" s="97" t="n"/>
      <c r="K18" s="97" t="n"/>
      <c r="L18" s="102" t="inlineStr">
        <is>
          <t>D</t>
        </is>
      </c>
      <c r="M18" s="97" t="n"/>
      <c r="N18" s="102" t="inlineStr">
        <is>
          <t>D</t>
        </is>
      </c>
      <c r="O18" s="97" t="n"/>
      <c r="P18" s="102" t="inlineStr">
        <is>
          <t>D</t>
        </is>
      </c>
      <c r="Q18" s="102" t="inlineStr">
        <is>
          <t>D</t>
        </is>
      </c>
      <c r="R18" s="102" t="inlineStr">
        <is>
          <t>D</t>
        </is>
      </c>
      <c r="S18" s="102" t="inlineStr">
        <is>
          <t>D</t>
        </is>
      </c>
      <c r="T18" s="97" t="n"/>
      <c r="U18" s="97" t="n"/>
      <c r="V18" s="97" t="n"/>
      <c r="W18" s="97" t="n"/>
      <c r="X18" s="102" t="inlineStr">
        <is>
          <t>D</t>
        </is>
      </c>
      <c r="Y18" s="102" t="inlineStr">
        <is>
          <t>D</t>
        </is>
      </c>
      <c r="Z18" s="102" t="inlineStr">
        <is>
          <t>D</t>
        </is>
      </c>
      <c r="AA18" s="97" t="n"/>
      <c r="AB18" s="97" t="n"/>
      <c r="AC18" s="97" t="n"/>
      <c r="AD18" s="97" t="n"/>
      <c r="AE18" s="102" t="inlineStr">
        <is>
          <t>D</t>
        </is>
      </c>
      <c r="AF18" s="97" t="n"/>
      <c r="AG18" s="110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ROUND(B18*4.29,0)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103" t="inlineStr">
        <is>
          <t>N</t>
        </is>
      </c>
      <c r="T19" s="97" t="n"/>
      <c r="U19" s="97" t="n"/>
      <c r="V19" s="97" t="n"/>
      <c r="W19" s="103" t="inlineStr">
        <is>
          <t>N</t>
        </is>
      </c>
      <c r="X19" s="97" t="n"/>
      <c r="Y19" s="97" t="n"/>
      <c r="Z19" s="103" t="inlineStr">
        <is>
          <t>N</t>
        </is>
      </c>
      <c r="AA19" s="103" t="inlineStr">
        <is>
          <t>N</t>
        </is>
      </c>
      <c r="AB19" s="97" t="n"/>
      <c r="AC19" s="97" t="n"/>
      <c r="AD19" s="103" t="inlineStr">
        <is>
          <t>N</t>
        </is>
      </c>
      <c r="AE19" s="103" t="inlineStr">
        <is>
          <t>N</t>
        </is>
      </c>
      <c r="AF19" s="97" t="n"/>
      <c r="AG19" s="110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ROUND(B19*4.29,0)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103" t="inlineStr">
        <is>
          <t>N</t>
        </is>
      </c>
      <c r="E20" s="103" t="inlineStr">
        <is>
          <t>N</t>
        </is>
      </c>
      <c r="F20" s="103" t="inlineStr">
        <is>
          <t>N</t>
        </is>
      </c>
      <c r="G20" s="97" t="n"/>
      <c r="H20" s="97" t="n"/>
      <c r="I20" s="97" t="n"/>
      <c r="J20" s="97" t="n"/>
      <c r="K20" s="103" t="inlineStr">
        <is>
          <t>N</t>
        </is>
      </c>
      <c r="L20" s="103" t="inlineStr">
        <is>
          <t>N</t>
        </is>
      </c>
      <c r="M20" s="97" t="n"/>
      <c r="N20" s="103" t="inlineStr">
        <is>
          <t>N</t>
        </is>
      </c>
      <c r="O20" s="97" t="n"/>
      <c r="P20" s="97" t="n"/>
      <c r="Q20" s="97" t="n"/>
      <c r="R20" s="103" t="inlineStr">
        <is>
          <t>N</t>
        </is>
      </c>
      <c r="S20" s="97" t="n"/>
      <c r="T20" s="103" t="inlineStr">
        <is>
          <t>N</t>
        </is>
      </c>
      <c r="U20" s="97" t="n"/>
      <c r="V20" s="97" t="n"/>
      <c r="W20" s="103" t="inlineStr">
        <is>
          <t>N</t>
        </is>
      </c>
      <c r="X20" s="97" t="n"/>
      <c r="Y20" s="103" t="inlineStr">
        <is>
          <t>N</t>
        </is>
      </c>
      <c r="Z20" s="97" t="n"/>
      <c r="AA20" s="97" t="n"/>
      <c r="AB20" s="97" t="n"/>
      <c r="AC20" s="103" t="inlineStr">
        <is>
          <t>N</t>
        </is>
      </c>
      <c r="AD20" s="103" t="inlineStr">
        <is>
          <t>N</t>
        </is>
      </c>
      <c r="AE20" s="97" t="n"/>
      <c r="AF20" s="103" t="inlineStr">
        <is>
          <t>N</t>
        </is>
      </c>
      <c r="AG20" s="110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ROUND(B20*4.29,0)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104" t="inlineStr">
        <is>
          <t>T</t>
        </is>
      </c>
      <c r="D21" s="97" t="n"/>
      <c r="E21" s="97" t="n"/>
      <c r="F21" s="103" t="inlineStr">
        <is>
          <t>N</t>
        </is>
      </c>
      <c r="G21" s="97" t="n"/>
      <c r="H21" s="98" t="inlineStr">
        <is>
          <t>M</t>
        </is>
      </c>
      <c r="I21" s="103" t="inlineStr">
        <is>
          <t>N</t>
        </is>
      </c>
      <c r="J21" s="104" t="inlineStr">
        <is>
          <t>T</t>
        </is>
      </c>
      <c r="K21" s="104" t="inlineStr">
        <is>
          <t>T</t>
        </is>
      </c>
      <c r="L21" s="97" t="n"/>
      <c r="M21" s="103" t="inlineStr">
        <is>
          <t>N</t>
        </is>
      </c>
      <c r="N21" s="103" t="inlineStr">
        <is>
          <t>N</t>
        </is>
      </c>
      <c r="O21" s="97" t="n"/>
      <c r="P21" s="97" t="n"/>
      <c r="Q21" s="102" t="inlineStr">
        <is>
          <t>D</t>
        </is>
      </c>
      <c r="R21" s="97" t="n"/>
      <c r="S21" s="97" t="n"/>
      <c r="T21" s="103" t="inlineStr">
        <is>
          <t>N</t>
        </is>
      </c>
      <c r="U21" s="97" t="n"/>
      <c r="V21" s="102" t="inlineStr">
        <is>
          <t>D</t>
        </is>
      </c>
      <c r="W21" s="97" t="n"/>
      <c r="X21" s="104" t="inlineStr">
        <is>
          <t>T</t>
        </is>
      </c>
      <c r="Y21" s="104" t="inlineStr">
        <is>
          <t>T</t>
        </is>
      </c>
      <c r="Z21" s="98" t="inlineStr">
        <is>
          <t>M</t>
        </is>
      </c>
      <c r="AA21" s="103" t="inlineStr">
        <is>
          <t>N</t>
        </is>
      </c>
      <c r="AB21" s="97" t="n"/>
      <c r="AC21" s="98" t="inlineStr">
        <is>
          <t>M</t>
        </is>
      </c>
      <c r="AD21" s="97" t="n"/>
      <c r="AE21" s="102" t="inlineStr">
        <is>
          <t>D</t>
        </is>
      </c>
      <c r="AF21" s="102" t="inlineStr">
        <is>
          <t>D</t>
        </is>
      </c>
      <c r="AG21" s="110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ROUND(B21*4.29,0)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102" t="inlineStr">
        <is>
          <t>D</t>
        </is>
      </c>
      <c r="E22" s="102" t="inlineStr">
        <is>
          <t>D</t>
        </is>
      </c>
      <c r="F22" s="97" t="n"/>
      <c r="G22" s="97" t="n"/>
      <c r="H22" s="97" t="n"/>
      <c r="I22" s="97" t="n"/>
      <c r="J22" s="97" t="n"/>
      <c r="K22" s="104" t="inlineStr">
        <is>
          <t>T</t>
        </is>
      </c>
      <c r="L22" s="97" t="n"/>
      <c r="M22" s="102" t="inlineStr">
        <is>
          <t>D</t>
        </is>
      </c>
      <c r="N22" s="97" t="n"/>
      <c r="O22" s="104" t="inlineStr">
        <is>
          <t>T</t>
        </is>
      </c>
      <c r="P22" s="103" t="inlineStr">
        <is>
          <t>N</t>
        </is>
      </c>
      <c r="Q22" s="97" t="n"/>
      <c r="R22" s="102" t="inlineStr">
        <is>
          <t>D</t>
        </is>
      </c>
      <c r="S22" s="98" t="inlineStr">
        <is>
          <t>M</t>
        </is>
      </c>
      <c r="T22" s="102" t="inlineStr">
        <is>
          <t>D</t>
        </is>
      </c>
      <c r="U22" s="98" t="inlineStr">
        <is>
          <t>M</t>
        </is>
      </c>
      <c r="V22" s="97" t="n"/>
      <c r="W22" s="97" t="n"/>
      <c r="X22" s="97" t="n"/>
      <c r="Y22" s="102" t="inlineStr">
        <is>
          <t>D</t>
        </is>
      </c>
      <c r="Z22" s="103" t="inlineStr">
        <is>
          <t>N</t>
        </is>
      </c>
      <c r="AA22" s="97" t="n"/>
      <c r="AB22" s="98" t="inlineStr">
        <is>
          <t>M</t>
        </is>
      </c>
      <c r="AC22" s="104" t="inlineStr">
        <is>
          <t>T</t>
        </is>
      </c>
      <c r="AD22" s="102" t="inlineStr">
        <is>
          <t>D</t>
        </is>
      </c>
      <c r="AE22" s="97" t="n"/>
      <c r="AF22" s="102" t="inlineStr">
        <is>
          <t>D</t>
        </is>
      </c>
      <c r="AG22" s="110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ROUND(B22*4.29,0)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102" t="inlineStr">
        <is>
          <t>D</t>
        </is>
      </c>
      <c r="E23" s="97" t="n"/>
      <c r="F23" s="102" t="inlineStr">
        <is>
          <t>D</t>
        </is>
      </c>
      <c r="G23" s="97" t="n"/>
      <c r="H23" s="102" t="inlineStr">
        <is>
          <t>D</t>
        </is>
      </c>
      <c r="I23" s="102" t="inlineStr">
        <is>
          <t>D</t>
        </is>
      </c>
      <c r="J23" s="97" t="n"/>
      <c r="K23" s="102" t="inlineStr">
        <is>
          <t>D</t>
        </is>
      </c>
      <c r="L23" s="97" t="n"/>
      <c r="M23" s="102" t="inlineStr">
        <is>
          <t>D</t>
        </is>
      </c>
      <c r="N23" s="97" t="n"/>
      <c r="O23" s="97" t="n"/>
      <c r="P23" s="97" t="n"/>
      <c r="Q23" s="97" t="n"/>
      <c r="R23" s="102" t="inlineStr">
        <is>
          <t>D</t>
        </is>
      </c>
      <c r="S23" s="97" t="n"/>
      <c r="T23" s="102" t="inlineStr">
        <is>
          <t>D</t>
        </is>
      </c>
      <c r="U23" s="97" t="n"/>
      <c r="V23" s="102" t="inlineStr">
        <is>
          <t>D</t>
        </is>
      </c>
      <c r="W23" s="97" t="n"/>
      <c r="X23" s="102" t="inlineStr">
        <is>
          <t>D</t>
        </is>
      </c>
      <c r="Y23" s="102" t="inlineStr">
        <is>
          <t>D</t>
        </is>
      </c>
      <c r="Z23" s="97" t="n"/>
      <c r="AA23" s="102" t="inlineStr">
        <is>
          <t>D</t>
        </is>
      </c>
      <c r="AB23" s="97" t="n"/>
      <c r="AC23" s="97" t="n"/>
      <c r="AD23" s="97" t="n"/>
      <c r="AE23" s="102" t="inlineStr">
        <is>
          <t>D</t>
        </is>
      </c>
      <c r="AF23" s="98" t="inlineStr">
        <is>
          <t>M</t>
        </is>
      </c>
      <c r="AG23" s="110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ROUND(B23*4.29,0)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102" t="inlineStr">
        <is>
          <t>D</t>
        </is>
      </c>
      <c r="E24" s="97" t="n"/>
      <c r="F24" s="97" t="n"/>
      <c r="G24" s="103" t="inlineStr">
        <is>
          <t>N</t>
        </is>
      </c>
      <c r="H24" s="97" t="n"/>
      <c r="I24" s="102" t="inlineStr">
        <is>
          <t>D</t>
        </is>
      </c>
      <c r="J24" s="97" t="n"/>
      <c r="K24" s="102" t="inlineStr">
        <is>
          <t>D</t>
        </is>
      </c>
      <c r="L24" s="98" t="inlineStr">
        <is>
          <t>M</t>
        </is>
      </c>
      <c r="M24" s="102" t="inlineStr">
        <is>
          <t>D</t>
        </is>
      </c>
      <c r="N24" s="104" t="inlineStr">
        <is>
          <t>T</t>
        </is>
      </c>
      <c r="O24" s="97" t="n"/>
      <c r="P24" s="97" t="n"/>
      <c r="Q24" s="97" t="n"/>
      <c r="R24" s="102" t="inlineStr">
        <is>
          <t>D</t>
        </is>
      </c>
      <c r="S24" s="97" t="n"/>
      <c r="T24" s="102" t="inlineStr">
        <is>
          <t>D</t>
        </is>
      </c>
      <c r="U24" s="97" t="n"/>
      <c r="V24" s="103" t="inlineStr">
        <is>
          <t>N</t>
        </is>
      </c>
      <c r="W24" s="97" t="n"/>
      <c r="X24" s="97" t="n"/>
      <c r="Y24" s="102" t="inlineStr">
        <is>
          <t>D</t>
        </is>
      </c>
      <c r="Z24" s="97" t="n"/>
      <c r="AA24" s="102" t="inlineStr">
        <is>
          <t>D</t>
        </is>
      </c>
      <c r="AB24" s="97" t="n"/>
      <c r="AC24" s="103" t="inlineStr">
        <is>
          <t>N</t>
        </is>
      </c>
      <c r="AD24" s="97" t="n"/>
      <c r="AE24" s="102" t="inlineStr">
        <is>
          <t>D</t>
        </is>
      </c>
      <c r="AF24" s="97" t="n"/>
      <c r="AG24" s="110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ROUND(B24*4.29,0)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103" t="inlineStr">
        <is>
          <t>N</t>
        </is>
      </c>
      <c r="S25" s="103" t="inlineStr">
        <is>
          <t>N</t>
        </is>
      </c>
      <c r="T25" s="97" t="n"/>
      <c r="U25" s="97" t="n"/>
      <c r="V25" s="97" t="n"/>
      <c r="W25" s="103" t="inlineStr">
        <is>
          <t>N</t>
        </is>
      </c>
      <c r="X25" s="97" t="n"/>
      <c r="Y25" s="103" t="inlineStr">
        <is>
          <t>N</t>
        </is>
      </c>
      <c r="Z25" s="103" t="inlineStr">
        <is>
          <t>N</t>
        </is>
      </c>
      <c r="AA25" s="97" t="n"/>
      <c r="AB25" s="97" t="n"/>
      <c r="AC25" s="97" t="n"/>
      <c r="AD25" s="103" t="inlineStr">
        <is>
          <t>N</t>
        </is>
      </c>
      <c r="AE25" s="103" t="inlineStr">
        <is>
          <t>N</t>
        </is>
      </c>
      <c r="AF25" s="97" t="n"/>
      <c r="AG25" s="110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ROUND(B25*4.29,0)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104" t="inlineStr">
        <is>
          <t>T</t>
        </is>
      </c>
      <c r="E26" s="97" t="n"/>
      <c r="F26" s="103" t="inlineStr">
        <is>
          <t>N</t>
        </is>
      </c>
      <c r="G26" s="97" t="n"/>
      <c r="H26" s="98" t="inlineStr">
        <is>
          <t>M</t>
        </is>
      </c>
      <c r="I26" s="103" t="inlineStr">
        <is>
          <t>N</t>
        </is>
      </c>
      <c r="J26" s="97" t="n"/>
      <c r="K26" s="103" t="inlineStr">
        <is>
          <t>N</t>
        </is>
      </c>
      <c r="L26" s="97" t="n"/>
      <c r="M26" s="97" t="n"/>
      <c r="N26" s="102" t="inlineStr">
        <is>
          <t>D</t>
        </is>
      </c>
      <c r="O26" s="97" t="n"/>
      <c r="P26" s="103" t="inlineStr">
        <is>
          <t>N</t>
        </is>
      </c>
      <c r="Q26" s="104" t="inlineStr">
        <is>
          <t>T</t>
        </is>
      </c>
      <c r="R26" s="102" t="inlineStr">
        <is>
          <t>D</t>
        </is>
      </c>
      <c r="S26" s="97" t="n"/>
      <c r="T26" s="103" t="inlineStr">
        <is>
          <t>N</t>
        </is>
      </c>
      <c r="U26" s="104" t="inlineStr">
        <is>
          <t>T</t>
        </is>
      </c>
      <c r="V26" s="97" t="n"/>
      <c r="W26" s="97" t="n"/>
      <c r="X26" s="97" t="n"/>
      <c r="Y26" s="103" t="inlineStr">
        <is>
          <t>N</t>
        </is>
      </c>
      <c r="Z26" s="97" t="n"/>
      <c r="AA26" s="102" t="inlineStr">
        <is>
          <t>D</t>
        </is>
      </c>
      <c r="AB26" s="103" t="inlineStr">
        <is>
          <t>N</t>
        </is>
      </c>
      <c r="AC26" s="97" t="n"/>
      <c r="AD26" s="97" t="n"/>
      <c r="AE26" s="103" t="inlineStr">
        <is>
          <t>N</t>
        </is>
      </c>
      <c r="AF26" s="97" t="n"/>
      <c r="AG26" s="110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ROUND(B26*4.29,0)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8" t="inlineStr">
        <is>
          <t>M</t>
        </is>
      </c>
      <c r="D27" s="97" t="n"/>
      <c r="E27" s="97" t="n"/>
      <c r="F27" s="103" t="inlineStr">
        <is>
          <t>N</t>
        </is>
      </c>
      <c r="G27" s="97" t="n"/>
      <c r="H27" s="103" t="inlineStr">
        <is>
          <t>N</t>
        </is>
      </c>
      <c r="I27" s="97" t="n"/>
      <c r="J27" s="98" t="inlineStr">
        <is>
          <t>M</t>
        </is>
      </c>
      <c r="K27" s="103" t="inlineStr">
        <is>
          <t>N</t>
        </is>
      </c>
      <c r="L27" s="97" t="n"/>
      <c r="M27" s="103" t="inlineStr">
        <is>
          <t>N</t>
        </is>
      </c>
      <c r="N27" s="97" t="n"/>
      <c r="O27" s="97" t="n"/>
      <c r="P27" s="97" t="n"/>
      <c r="Q27" s="97" t="n"/>
      <c r="R27" s="103" t="inlineStr">
        <is>
          <t>N</t>
        </is>
      </c>
      <c r="S27" s="97" t="n"/>
      <c r="T27" s="103" t="inlineStr">
        <is>
          <t>N</t>
        </is>
      </c>
      <c r="U27" s="97" t="n"/>
      <c r="V27" s="97" t="n"/>
      <c r="W27" s="97" t="n"/>
      <c r="X27" s="97" t="n"/>
      <c r="Y27" s="103" t="inlineStr">
        <is>
          <t>N</t>
        </is>
      </c>
      <c r="Z27" s="97" t="n"/>
      <c r="AA27" s="103" t="inlineStr">
        <is>
          <t>N</t>
        </is>
      </c>
      <c r="AB27" s="97" t="n"/>
      <c r="AC27" s="97" t="n"/>
      <c r="AD27" s="103" t="inlineStr">
        <is>
          <t>N</t>
        </is>
      </c>
      <c r="AE27" s="97" t="n"/>
      <c r="AF27" s="105" t="inlineStr">
        <is>
          <t>NT</t>
        </is>
      </c>
      <c r="AG27" s="110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ROUND(B27*4.29,0)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102" t="inlineStr">
        <is>
          <t>D</t>
        </is>
      </c>
      <c r="D28" s="97" t="n"/>
      <c r="E28" s="97" t="n"/>
      <c r="F28" s="97" t="n"/>
      <c r="G28" s="103" t="inlineStr">
        <is>
          <t>N</t>
        </is>
      </c>
      <c r="H28" s="97" t="n"/>
      <c r="I28" s="102" t="inlineStr">
        <is>
          <t>D</t>
        </is>
      </c>
      <c r="J28" s="97" t="n"/>
      <c r="K28" s="104" t="inlineStr">
        <is>
          <t>T</t>
        </is>
      </c>
      <c r="L28" s="104" t="inlineStr">
        <is>
          <t>T</t>
        </is>
      </c>
      <c r="M28" s="103" t="inlineStr">
        <is>
          <t>N</t>
        </is>
      </c>
      <c r="N28" s="97" t="n"/>
      <c r="O28" s="98" t="inlineStr">
        <is>
          <t>M</t>
        </is>
      </c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110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ROUND(B28*4.29,0)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103" t="inlineStr">
        <is>
          <t>N</t>
        </is>
      </c>
      <c r="D29" s="97" t="n"/>
      <c r="E29" s="98" t="inlineStr">
        <is>
          <t>M</t>
        </is>
      </c>
      <c r="F29" s="98" t="inlineStr">
        <is>
          <t>M</t>
        </is>
      </c>
      <c r="G29" s="97" t="n"/>
      <c r="H29" s="98" t="inlineStr">
        <is>
          <t>M</t>
        </is>
      </c>
      <c r="I29" s="97" t="n"/>
      <c r="J29" s="103" t="inlineStr">
        <is>
          <t>N</t>
        </is>
      </c>
      <c r="K29" s="97" t="n"/>
      <c r="L29" s="98" t="inlineStr">
        <is>
          <t>M</t>
        </is>
      </c>
      <c r="M29" s="98" t="inlineStr">
        <is>
          <t>M</t>
        </is>
      </c>
      <c r="N29" s="97" t="n"/>
      <c r="O29" s="98" t="inlineStr">
        <is>
          <t>M</t>
        </is>
      </c>
      <c r="P29" s="97" t="n"/>
      <c r="Q29" s="103" t="inlineStr">
        <is>
          <t>N</t>
        </is>
      </c>
      <c r="R29" s="97" t="n"/>
      <c r="S29" s="98" t="inlineStr">
        <is>
          <t>M</t>
        </is>
      </c>
      <c r="T29" s="98" t="inlineStr">
        <is>
          <t>M</t>
        </is>
      </c>
      <c r="U29" s="97" t="n"/>
      <c r="V29" s="98" t="inlineStr">
        <is>
          <t>M</t>
        </is>
      </c>
      <c r="W29" s="97" t="n"/>
      <c r="X29" s="103" t="inlineStr">
        <is>
          <t>N</t>
        </is>
      </c>
      <c r="Y29" s="97" t="n"/>
      <c r="Z29" s="98" t="inlineStr">
        <is>
          <t>M</t>
        </is>
      </c>
      <c r="AA29" s="98" t="inlineStr">
        <is>
          <t>M</t>
        </is>
      </c>
      <c r="AB29" s="97" t="n"/>
      <c r="AC29" s="98" t="inlineStr">
        <is>
          <t>M</t>
        </is>
      </c>
      <c r="AD29" s="97" t="n"/>
      <c r="AE29" s="97" t="n"/>
      <c r="AF29" s="97" t="n"/>
      <c r="AG29" s="110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ROUND(B29*4.29,0)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104" t="inlineStr">
        <is>
          <t>T</t>
        </is>
      </c>
      <c r="E30" s="102" t="inlineStr">
        <is>
          <t>D</t>
        </is>
      </c>
      <c r="F30" s="104" t="inlineStr">
        <is>
          <t>T</t>
        </is>
      </c>
      <c r="G30" s="97" t="n"/>
      <c r="H30" s="97" t="n"/>
      <c r="I30" s="97" t="n"/>
      <c r="J30" s="97" t="n"/>
      <c r="K30" s="97" t="n"/>
      <c r="L30" s="103" t="inlineStr">
        <is>
          <t>N</t>
        </is>
      </c>
      <c r="M30" s="97" t="n"/>
      <c r="N30" s="104" t="inlineStr">
        <is>
          <t>T</t>
        </is>
      </c>
      <c r="O30" s="97" t="n"/>
      <c r="P30" s="103" t="inlineStr">
        <is>
          <t>N</t>
        </is>
      </c>
      <c r="Q30" s="97" t="n"/>
      <c r="R30" s="97" t="n"/>
      <c r="S30" s="104" t="inlineStr">
        <is>
          <t>T</t>
        </is>
      </c>
      <c r="T30" s="104" t="inlineStr">
        <is>
          <t>T</t>
        </is>
      </c>
      <c r="U30" s="104" t="inlineStr">
        <is>
          <t>T</t>
        </is>
      </c>
      <c r="V30" s="97" t="n"/>
      <c r="W30" s="103" t="inlineStr">
        <is>
          <t>N</t>
        </is>
      </c>
      <c r="X30" s="97" t="n"/>
      <c r="Y30" s="97" t="n"/>
      <c r="Z30" s="103" t="inlineStr">
        <is>
          <t>N</t>
        </is>
      </c>
      <c r="AA30" s="97" t="n"/>
      <c r="AB30" s="104" t="inlineStr">
        <is>
          <t>T</t>
        </is>
      </c>
      <c r="AC30" s="97" t="n"/>
      <c r="AD30" s="103" t="inlineStr">
        <is>
          <t>N</t>
        </is>
      </c>
      <c r="AE30" s="97" t="n"/>
      <c r="AF30" s="97" t="n"/>
      <c r="AG30" s="110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ROUND(B30*4.29,0)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102" t="inlineStr">
        <is>
          <t>D</t>
        </is>
      </c>
      <c r="D31" s="97" t="n"/>
      <c r="E31" s="97" t="n"/>
      <c r="F31" s="97" t="n"/>
      <c r="G31" s="97" t="n"/>
      <c r="H31" s="102" t="inlineStr">
        <is>
          <t>D</t>
        </is>
      </c>
      <c r="I31" s="102" t="inlineStr">
        <is>
          <t>D</t>
        </is>
      </c>
      <c r="J31" s="97" t="n"/>
      <c r="K31" s="102" t="inlineStr">
        <is>
          <t>D</t>
        </is>
      </c>
      <c r="L31" s="102" t="inlineStr">
        <is>
          <t>D</t>
        </is>
      </c>
      <c r="M31" s="98" t="inlineStr">
        <is>
          <t>M</t>
        </is>
      </c>
      <c r="N31" s="97" t="n"/>
      <c r="O31" s="97" t="n"/>
      <c r="P31" s="97" t="n"/>
      <c r="Q31" s="104" t="inlineStr">
        <is>
          <t>T</t>
        </is>
      </c>
      <c r="R31" s="104" t="inlineStr">
        <is>
          <t>T</t>
        </is>
      </c>
      <c r="S31" s="98" t="inlineStr">
        <is>
          <t>M</t>
        </is>
      </c>
      <c r="T31" s="97" t="n"/>
      <c r="U31" s="98" t="inlineStr">
        <is>
          <t>M</t>
        </is>
      </c>
      <c r="V31" s="97" t="n"/>
      <c r="W31" s="103" t="inlineStr">
        <is>
          <t>N</t>
        </is>
      </c>
      <c r="X31" s="104" t="inlineStr">
        <is>
          <t>T</t>
        </is>
      </c>
      <c r="Y31" s="98" t="inlineStr">
        <is>
          <t>M</t>
        </is>
      </c>
      <c r="Z31" s="104" t="inlineStr">
        <is>
          <t>T</t>
        </is>
      </c>
      <c r="AA31" s="98" t="inlineStr">
        <is>
          <t>M</t>
        </is>
      </c>
      <c r="AB31" s="103" t="inlineStr">
        <is>
          <t>N</t>
        </is>
      </c>
      <c r="AC31" s="97" t="n"/>
      <c r="AD31" s="97" t="n"/>
      <c r="AE31" s="103" t="inlineStr">
        <is>
          <t>N</t>
        </is>
      </c>
      <c r="AF31" s="104" t="inlineStr">
        <is>
          <t>T</t>
        </is>
      </c>
      <c r="AG31" s="110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ROUND(B31*4.29,0)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102" t="inlineStr">
        <is>
          <t>D</t>
        </is>
      </c>
      <c r="D32" s="104" t="inlineStr">
        <is>
          <t>T</t>
        </is>
      </c>
      <c r="E32" s="103" t="inlineStr">
        <is>
          <t>N</t>
        </is>
      </c>
      <c r="F32" s="97" t="n"/>
      <c r="G32" s="97" t="n"/>
      <c r="H32" s="97" t="n"/>
      <c r="I32" s="97" t="n"/>
      <c r="J32" s="103" t="inlineStr">
        <is>
          <t>N</t>
        </is>
      </c>
      <c r="K32" s="104" t="inlineStr">
        <is>
          <t>T</t>
        </is>
      </c>
      <c r="L32" s="97" t="n"/>
      <c r="M32" s="97" t="n"/>
      <c r="N32" s="97" t="n"/>
      <c r="O32" s="97" t="n"/>
      <c r="P32" s="102" t="inlineStr">
        <is>
          <t>D</t>
        </is>
      </c>
      <c r="Q32" s="103" t="inlineStr">
        <is>
          <t>N</t>
        </is>
      </c>
      <c r="R32" s="97" t="n"/>
      <c r="S32" s="97" t="n"/>
      <c r="T32" s="103" t="inlineStr">
        <is>
          <t>N</t>
        </is>
      </c>
      <c r="U32" s="97" t="n"/>
      <c r="V32" s="97" t="n"/>
      <c r="W32" s="98" t="inlineStr">
        <is>
          <t>M</t>
        </is>
      </c>
      <c r="X32" s="103" t="inlineStr">
        <is>
          <t>N</t>
        </is>
      </c>
      <c r="Y32" s="104" t="inlineStr">
        <is>
          <t>T</t>
        </is>
      </c>
      <c r="Z32" s="97" t="n"/>
      <c r="AA32" s="104" t="inlineStr">
        <is>
          <t>T</t>
        </is>
      </c>
      <c r="AB32" s="104" t="inlineStr">
        <is>
          <t>T</t>
        </is>
      </c>
      <c r="AC32" s="97" t="n"/>
      <c r="AD32" s="97" t="n"/>
      <c r="AE32" s="102" t="inlineStr">
        <is>
          <t>D</t>
        </is>
      </c>
      <c r="AF32" s="97" t="n"/>
      <c r="AG32" s="110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ROUND(B32*4.29,0)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110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ROUND(B33*4.29,0)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102" t="inlineStr">
        <is>
          <t>D</t>
        </is>
      </c>
      <c r="E34" s="104" t="inlineStr">
        <is>
          <t>T</t>
        </is>
      </c>
      <c r="F34" s="102" t="inlineStr">
        <is>
          <t>D</t>
        </is>
      </c>
      <c r="G34" s="97" t="n"/>
      <c r="H34" s="97" t="n"/>
      <c r="I34" s="97" t="n"/>
      <c r="J34" s="97" t="n"/>
      <c r="K34" s="102" t="inlineStr">
        <is>
          <t>D</t>
        </is>
      </c>
      <c r="L34" s="104" t="inlineStr">
        <is>
          <t>T</t>
        </is>
      </c>
      <c r="M34" s="104" t="inlineStr">
        <is>
          <t>T</t>
        </is>
      </c>
      <c r="N34" s="97" t="n"/>
      <c r="O34" s="97" t="n"/>
      <c r="P34" s="104" t="inlineStr">
        <is>
          <t>T</t>
        </is>
      </c>
      <c r="Q34" s="97" t="n"/>
      <c r="R34" s="104" t="inlineStr">
        <is>
          <t>T</t>
        </is>
      </c>
      <c r="S34" s="97" t="n"/>
      <c r="T34" s="97" t="n"/>
      <c r="U34" s="97" t="n"/>
      <c r="V34" s="102" t="inlineStr">
        <is>
          <t>D</t>
        </is>
      </c>
      <c r="W34" s="102" t="inlineStr">
        <is>
          <t>D</t>
        </is>
      </c>
      <c r="X34" s="97" t="n"/>
      <c r="Y34" s="102" t="inlineStr">
        <is>
          <t>D</t>
        </is>
      </c>
      <c r="Z34" s="104" t="inlineStr">
        <is>
          <t>T</t>
        </is>
      </c>
      <c r="AA34" s="102" t="inlineStr">
        <is>
          <t>D</t>
        </is>
      </c>
      <c r="AB34" s="97" t="n"/>
      <c r="AC34" s="97" t="n"/>
      <c r="AD34" s="97" t="n"/>
      <c r="AE34" s="97" t="n"/>
      <c r="AF34" s="102" t="inlineStr">
        <is>
          <t>D</t>
        </is>
      </c>
      <c r="AG34" s="110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ROUND(B34*4.29,0)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103" t="inlineStr">
        <is>
          <t>N</t>
        </is>
      </c>
      <c r="D35" s="97" t="n"/>
      <c r="E35" s="103" t="inlineStr">
        <is>
          <t>N</t>
        </is>
      </c>
      <c r="F35" s="97" t="n"/>
      <c r="G35" s="98" t="inlineStr">
        <is>
          <t>M</t>
        </is>
      </c>
      <c r="H35" s="97" t="n"/>
      <c r="I35" s="97" t="n"/>
      <c r="J35" s="104" t="inlineStr">
        <is>
          <t>T</t>
        </is>
      </c>
      <c r="K35" s="104" t="inlineStr">
        <is>
          <t>T</t>
        </is>
      </c>
      <c r="L35" s="97" t="n"/>
      <c r="M35" s="104" t="inlineStr">
        <is>
          <t>T</t>
        </is>
      </c>
      <c r="N35" s="97" t="n"/>
      <c r="O35" s="97" t="n"/>
      <c r="P35" s="103" t="inlineStr">
        <is>
          <t>N</t>
        </is>
      </c>
      <c r="Q35" s="103" t="inlineStr">
        <is>
          <t>N</t>
        </is>
      </c>
      <c r="R35" s="97" t="n"/>
      <c r="S35" s="97" t="n"/>
      <c r="T35" s="104" t="inlineStr">
        <is>
          <t>T</t>
        </is>
      </c>
      <c r="U35" s="103" t="inlineStr">
        <is>
          <t>N</t>
        </is>
      </c>
      <c r="V35" s="97" t="n"/>
      <c r="W35" s="97" t="n"/>
      <c r="X35" s="97" t="n"/>
      <c r="Y35" s="97" t="n"/>
      <c r="Z35" s="97" t="n"/>
      <c r="AA35" s="103" t="inlineStr">
        <is>
          <t>N</t>
        </is>
      </c>
      <c r="AB35" s="97" t="n"/>
      <c r="AC35" s="104" t="inlineStr">
        <is>
          <t>T</t>
        </is>
      </c>
      <c r="AD35" s="103" t="inlineStr">
        <is>
          <t>N</t>
        </is>
      </c>
      <c r="AE35" s="97" t="n"/>
      <c r="AF35" s="104" t="inlineStr">
        <is>
          <t>T</t>
        </is>
      </c>
      <c r="AG35" s="110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ROUND(B35*4.29,0)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103" t="inlineStr">
        <is>
          <t>N</t>
        </is>
      </c>
      <c r="E36" s="97" t="n"/>
      <c r="F36" s="97" t="n"/>
      <c r="G36" s="104" t="inlineStr">
        <is>
          <t>T</t>
        </is>
      </c>
      <c r="H36" s="97" t="n"/>
      <c r="I36" s="102" t="inlineStr">
        <is>
          <t>D</t>
        </is>
      </c>
      <c r="J36" s="97" t="n"/>
      <c r="K36" s="97" t="n"/>
      <c r="L36" s="97" t="n"/>
      <c r="M36" s="104" t="inlineStr">
        <is>
          <t>T</t>
        </is>
      </c>
      <c r="N36" s="104" t="inlineStr">
        <is>
          <t>T</t>
        </is>
      </c>
      <c r="O36" s="102" t="inlineStr">
        <is>
          <t>D</t>
        </is>
      </c>
      <c r="P36" s="98" t="inlineStr">
        <is>
          <t>M</t>
        </is>
      </c>
      <c r="Q36" s="97" t="n"/>
      <c r="R36" s="103" t="inlineStr">
        <is>
          <t>N</t>
        </is>
      </c>
      <c r="S36" s="97" t="n"/>
      <c r="T36" s="104" t="inlineStr">
        <is>
          <t>T</t>
        </is>
      </c>
      <c r="U36" s="102" t="inlineStr">
        <is>
          <t>D</t>
        </is>
      </c>
      <c r="V36" s="97" t="n"/>
      <c r="W36" s="97" t="n"/>
      <c r="X36" s="97" t="n"/>
      <c r="Y36" s="97" t="n"/>
      <c r="Z36" s="102" t="inlineStr">
        <is>
          <t>D</t>
        </is>
      </c>
      <c r="AA36" s="104" t="inlineStr">
        <is>
          <t>T</t>
        </is>
      </c>
      <c r="AB36" s="103" t="inlineStr">
        <is>
          <t>N</t>
        </is>
      </c>
      <c r="AC36" s="97" t="n"/>
      <c r="AD36" s="97" t="n"/>
      <c r="AE36" s="97" t="n"/>
      <c r="AF36" s="103" t="inlineStr">
        <is>
          <t>N</t>
        </is>
      </c>
      <c r="AG36" s="110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ROUND(B36*4.29,0)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8" t="inlineStr">
        <is>
          <t>M</t>
        </is>
      </c>
      <c r="D37" s="98" t="inlineStr">
        <is>
          <t>M</t>
        </is>
      </c>
      <c r="E37" s="97" t="n"/>
      <c r="F37" s="98" t="inlineStr">
        <is>
          <t>M</t>
        </is>
      </c>
      <c r="G37" s="103" t="inlineStr">
        <is>
          <t>N</t>
        </is>
      </c>
      <c r="H37" s="97" t="n"/>
      <c r="I37" s="97" t="n"/>
      <c r="J37" s="98" t="inlineStr">
        <is>
          <t>M</t>
        </is>
      </c>
      <c r="K37" s="98" t="inlineStr">
        <is>
          <t>M</t>
        </is>
      </c>
      <c r="L37" s="97" t="n"/>
      <c r="M37" s="97" t="n"/>
      <c r="N37" s="98" t="inlineStr">
        <is>
          <t>M</t>
        </is>
      </c>
      <c r="O37" s="97" t="n"/>
      <c r="P37" s="103" t="inlineStr">
        <is>
          <t>N</t>
        </is>
      </c>
      <c r="Q37" s="98" t="inlineStr">
        <is>
          <t>M</t>
        </is>
      </c>
      <c r="R37" s="98" t="inlineStr">
        <is>
          <t>M</t>
        </is>
      </c>
      <c r="S37" s="103" t="inlineStr">
        <is>
          <t>N</t>
        </is>
      </c>
      <c r="T37" s="97" t="n"/>
      <c r="U37" s="98" t="inlineStr">
        <is>
          <t>M</t>
        </is>
      </c>
      <c r="V37" s="97" t="n"/>
      <c r="W37" s="97" t="n"/>
      <c r="X37" s="98" t="inlineStr">
        <is>
          <t>M</t>
        </is>
      </c>
      <c r="Y37" s="98" t="inlineStr">
        <is>
          <t>M</t>
        </is>
      </c>
      <c r="Z37" s="97" t="n"/>
      <c r="AA37" s="97" t="n"/>
      <c r="AB37" s="97" t="n"/>
      <c r="AC37" s="98" t="inlineStr">
        <is>
          <t>M</t>
        </is>
      </c>
      <c r="AD37" s="103" t="inlineStr">
        <is>
          <t>N</t>
        </is>
      </c>
      <c r="AE37" s="97" t="n"/>
      <c r="AF37" s="98" t="inlineStr">
        <is>
          <t>M</t>
        </is>
      </c>
      <c r="AG37" s="110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ROUND(B37*4.29,0)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8" t="inlineStr">
        <is>
          <t>M</t>
        </is>
      </c>
      <c r="H38" s="104" t="inlineStr">
        <is>
          <t>T</t>
        </is>
      </c>
      <c r="I38" s="103" t="inlineStr">
        <is>
          <t>N</t>
        </is>
      </c>
      <c r="J38" s="103" t="inlineStr">
        <is>
          <t>N</t>
        </is>
      </c>
      <c r="K38" s="97" t="n"/>
      <c r="L38" s="97" t="n"/>
      <c r="M38" s="103" t="inlineStr">
        <is>
          <t>N</t>
        </is>
      </c>
      <c r="N38" s="97" t="n"/>
      <c r="O38" s="97" t="n"/>
      <c r="P38" s="97" t="n"/>
      <c r="Q38" s="104" t="inlineStr">
        <is>
          <t>T</t>
        </is>
      </c>
      <c r="R38" s="97" t="n"/>
      <c r="S38" s="97" t="n"/>
      <c r="T38" s="103" t="inlineStr">
        <is>
          <t>N</t>
        </is>
      </c>
      <c r="U38" s="97" t="n"/>
      <c r="V38" s="97" t="n"/>
      <c r="W38" s="97" t="n"/>
      <c r="X38" s="98" t="inlineStr">
        <is>
          <t>M</t>
        </is>
      </c>
      <c r="Y38" s="97" t="n"/>
      <c r="Z38" s="97" t="n"/>
      <c r="AA38" s="97" t="n"/>
      <c r="AB38" s="98" t="inlineStr">
        <is>
          <t>M</t>
        </is>
      </c>
      <c r="AC38" s="103" t="inlineStr">
        <is>
          <t>N</t>
        </is>
      </c>
      <c r="AD38" s="97" t="n"/>
      <c r="AE38" s="97" t="n"/>
      <c r="AF38" s="97" t="n"/>
      <c r="AG38" s="110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ROUND(B38*4.29,0)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104" t="inlineStr">
        <is>
          <t>T</t>
        </is>
      </c>
      <c r="D39" s="98" t="inlineStr">
        <is>
          <t>M</t>
        </is>
      </c>
      <c r="E39" s="102" t="inlineStr">
        <is>
          <t>D</t>
        </is>
      </c>
      <c r="F39" s="97" t="n"/>
      <c r="G39" s="97" t="n"/>
      <c r="H39" s="97" t="n"/>
      <c r="I39" s="97" t="n"/>
      <c r="J39" s="104" t="inlineStr">
        <is>
          <t>T</t>
        </is>
      </c>
      <c r="K39" s="97" t="n"/>
      <c r="L39" s="104" t="inlineStr">
        <is>
          <t>T</t>
        </is>
      </c>
      <c r="M39" s="97" t="n"/>
      <c r="N39" s="97" t="n"/>
      <c r="O39" s="103" t="inlineStr">
        <is>
          <t>N</t>
        </is>
      </c>
      <c r="P39" s="97" t="n"/>
      <c r="Q39" s="104" t="inlineStr">
        <is>
          <t>T</t>
        </is>
      </c>
      <c r="R39" s="97" t="n"/>
      <c r="S39" s="104" t="inlineStr">
        <is>
          <t>T</t>
        </is>
      </c>
      <c r="T39" s="97" t="n"/>
      <c r="U39" s="103" t="inlineStr">
        <is>
          <t>N</t>
        </is>
      </c>
      <c r="V39" s="97" t="n"/>
      <c r="W39" s="97" t="n"/>
      <c r="X39" s="104" t="inlineStr">
        <is>
          <t>T</t>
        </is>
      </c>
      <c r="Y39" s="97" t="n"/>
      <c r="Z39" s="103" t="inlineStr">
        <is>
          <t>N</t>
        </is>
      </c>
      <c r="AA39" s="97" t="n"/>
      <c r="AB39" s="98" t="inlineStr">
        <is>
          <t>M</t>
        </is>
      </c>
      <c r="AC39" s="97" t="n"/>
      <c r="AD39" s="97" t="n"/>
      <c r="AE39" s="104" t="inlineStr">
        <is>
          <t>T</t>
        </is>
      </c>
      <c r="AF39" s="97" t="n"/>
      <c r="AG39" s="110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ROUND(B39*4.29,0)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110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ROUND(B40*4.29,0)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104" t="inlineStr">
        <is>
          <t>T</t>
        </is>
      </c>
      <c r="I41" s="102" t="inlineStr">
        <is>
          <t>D</t>
        </is>
      </c>
      <c r="J41" s="102" t="inlineStr">
        <is>
          <t>D</t>
        </is>
      </c>
      <c r="K41" s="97" t="n"/>
      <c r="L41" s="97" t="n"/>
      <c r="M41" s="97" t="n"/>
      <c r="N41" s="103" t="inlineStr">
        <is>
          <t>N</t>
        </is>
      </c>
      <c r="O41" s="97" t="n"/>
      <c r="P41" s="97" t="n"/>
      <c r="Q41" s="102" t="inlineStr">
        <is>
          <t>D</t>
        </is>
      </c>
      <c r="R41" s="97" t="n"/>
      <c r="S41" s="97" t="n"/>
      <c r="T41" s="97" t="n"/>
      <c r="U41" s="102" t="inlineStr">
        <is>
          <t>D</t>
        </is>
      </c>
      <c r="V41" s="97" t="n"/>
      <c r="W41" s="97" t="n"/>
      <c r="X41" s="102" t="inlineStr">
        <is>
          <t>D</t>
        </is>
      </c>
      <c r="Y41" s="97" t="n"/>
      <c r="Z41" s="103" t="inlineStr">
        <is>
          <t>N</t>
        </is>
      </c>
      <c r="AA41" s="97" t="n"/>
      <c r="AB41" s="97" t="n"/>
      <c r="AC41" s="97" t="n"/>
      <c r="AD41" s="97" t="n"/>
      <c r="AE41" s="97" t="n"/>
      <c r="AF41" s="97" t="n"/>
      <c r="AG41" s="110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ROUND(B41*4.29,0)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103" t="inlineStr">
        <is>
          <t>N</t>
        </is>
      </c>
      <c r="E42" s="102" t="inlineStr">
        <is>
          <t>D</t>
        </is>
      </c>
      <c r="F42" s="97" t="n"/>
      <c r="G42" s="97" t="n"/>
      <c r="H42" s="97" t="n"/>
      <c r="I42" s="97" t="n"/>
      <c r="J42" s="102" t="inlineStr">
        <is>
          <t>D</t>
        </is>
      </c>
      <c r="K42" s="103" t="inlineStr">
        <is>
          <t>N</t>
        </is>
      </c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102" t="inlineStr">
        <is>
          <t>D</t>
        </is>
      </c>
      <c r="W42" s="102" t="inlineStr">
        <is>
          <t>D</t>
        </is>
      </c>
      <c r="X42" s="97" t="n"/>
      <c r="Y42" s="103" t="inlineStr">
        <is>
          <t>N</t>
        </is>
      </c>
      <c r="Z42" s="97" t="n"/>
      <c r="AA42" s="97" t="n"/>
      <c r="AB42" s="103" t="inlineStr">
        <is>
          <t>N</t>
        </is>
      </c>
      <c r="AC42" s="97" t="n"/>
      <c r="AD42" s="97" t="n"/>
      <c r="AE42" s="97" t="n"/>
      <c r="AF42" s="102" t="inlineStr">
        <is>
          <t>D</t>
        </is>
      </c>
      <c r="AG42" s="110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ROUND(B42*4.29,0)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103" t="inlineStr">
        <is>
          <t>N</t>
        </is>
      </c>
      <c r="D43" s="97" t="n"/>
      <c r="E43" s="103" t="inlineStr">
        <is>
          <t>N</t>
        </is>
      </c>
      <c r="F43" s="97" t="n"/>
      <c r="G43" s="97" t="n"/>
      <c r="H43" s="97" t="n"/>
      <c r="I43" s="97" t="n"/>
      <c r="J43" s="97" t="n"/>
      <c r="K43" s="97" t="n"/>
      <c r="L43" s="97" t="n"/>
      <c r="M43" s="103" t="inlineStr">
        <is>
          <t>N</t>
        </is>
      </c>
      <c r="N43" s="97" t="n"/>
      <c r="O43" s="103" t="inlineStr">
        <is>
          <t>N</t>
        </is>
      </c>
      <c r="P43" s="97" t="n"/>
      <c r="Q43" s="103" t="inlineStr">
        <is>
          <t>N</t>
        </is>
      </c>
      <c r="R43" s="97" t="n"/>
      <c r="S43" s="97" t="n"/>
      <c r="T43" s="103" t="inlineStr">
        <is>
          <t>N</t>
        </is>
      </c>
      <c r="U43" s="97" t="n"/>
      <c r="V43" s="97" t="n"/>
      <c r="W43" s="97" t="n"/>
      <c r="X43" s="103" t="inlineStr">
        <is>
          <t>N</t>
        </is>
      </c>
      <c r="Y43" s="97" t="n"/>
      <c r="Z43" s="97" t="n"/>
      <c r="AA43" s="103" t="inlineStr">
        <is>
          <t>N</t>
        </is>
      </c>
      <c r="AB43" s="97" t="n"/>
      <c r="AC43" s="97" t="n"/>
      <c r="AD43" s="97" t="n"/>
      <c r="AE43" s="97" t="n"/>
      <c r="AF43" s="97" t="n"/>
      <c r="AG43" s="110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ROUND(B43*4.29,0)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102" t="inlineStr">
        <is>
          <t>D</t>
        </is>
      </c>
      <c r="H44" s="102" t="inlineStr">
        <is>
          <t>D</t>
        </is>
      </c>
      <c r="I44" s="97" t="n"/>
      <c r="J44" s="97" t="n"/>
      <c r="K44" s="102" t="inlineStr">
        <is>
          <t>D</t>
        </is>
      </c>
      <c r="L44" s="104" t="inlineStr">
        <is>
          <t>T</t>
        </is>
      </c>
      <c r="M44" s="97" t="n"/>
      <c r="N44" s="104" t="inlineStr">
        <is>
          <t>T</t>
        </is>
      </c>
      <c r="O44" s="97" t="n"/>
      <c r="P44" s="97" t="n"/>
      <c r="Q44" s="97" t="n"/>
      <c r="R44" s="102" t="inlineStr">
        <is>
          <t>D</t>
        </is>
      </c>
      <c r="S44" s="102" t="inlineStr">
        <is>
          <t>D</t>
        </is>
      </c>
      <c r="T44" s="97" t="n"/>
      <c r="U44" s="97" t="n"/>
      <c r="V44" s="97" t="n"/>
      <c r="W44" s="97" t="n"/>
      <c r="X44" s="97" t="n"/>
      <c r="Y44" s="97" t="n"/>
      <c r="Z44" s="104" t="inlineStr">
        <is>
          <t>T</t>
        </is>
      </c>
      <c r="AA44" s="97" t="n"/>
      <c r="AB44" s="104" t="inlineStr">
        <is>
          <t>T</t>
        </is>
      </c>
      <c r="AC44" s="97" t="n"/>
      <c r="AD44" s="102" t="inlineStr">
        <is>
          <t>D</t>
        </is>
      </c>
      <c r="AE44" s="97" t="n"/>
      <c r="AF44" s="102" t="inlineStr">
        <is>
          <t>D</t>
        </is>
      </c>
      <c r="AG44" s="110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ROUND(B44*4.29,0)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8" t="inlineStr">
        <is>
          <t>M</t>
        </is>
      </c>
      <c r="D45" s="98" t="inlineStr">
        <is>
          <t>M</t>
        </is>
      </c>
      <c r="E45" s="98" t="inlineStr">
        <is>
          <t>M</t>
        </is>
      </c>
      <c r="F45" s="98" t="inlineStr">
        <is>
          <t>M</t>
        </is>
      </c>
      <c r="G45" s="97" t="n"/>
      <c r="H45" s="98" t="inlineStr">
        <is>
          <t>M</t>
        </is>
      </c>
      <c r="I45" s="102" t="inlineStr">
        <is>
          <t>D</t>
        </is>
      </c>
      <c r="J45" s="98" t="inlineStr">
        <is>
          <t>M</t>
        </is>
      </c>
      <c r="K45" s="97" t="n"/>
      <c r="L45" s="98" t="inlineStr">
        <is>
          <t>M</t>
        </is>
      </c>
      <c r="M45" s="98" t="inlineStr">
        <is>
          <t>M</t>
        </is>
      </c>
      <c r="N45" s="97" t="n"/>
      <c r="O45" s="97" t="n"/>
      <c r="P45" s="98" t="inlineStr">
        <is>
          <t>M</t>
        </is>
      </c>
      <c r="Q45" s="98" t="inlineStr">
        <is>
          <t>M</t>
        </is>
      </c>
      <c r="R45" s="98" t="inlineStr">
        <is>
          <t>M</t>
        </is>
      </c>
      <c r="S45" s="97" t="n"/>
      <c r="T45" s="98" t="inlineStr">
        <is>
          <t>M</t>
        </is>
      </c>
      <c r="U45" s="98" t="inlineStr">
        <is>
          <t>M</t>
        </is>
      </c>
      <c r="V45" s="97" t="n"/>
      <c r="W45" s="97" t="n"/>
      <c r="X45" s="98" t="inlineStr">
        <is>
          <t>M</t>
        </is>
      </c>
      <c r="Y45" s="98" t="inlineStr">
        <is>
          <t>M</t>
        </is>
      </c>
      <c r="Z45" s="97" t="n"/>
      <c r="AA45" s="98" t="inlineStr">
        <is>
          <t>M</t>
        </is>
      </c>
      <c r="AB45" s="98" t="inlineStr">
        <is>
          <t>M</t>
        </is>
      </c>
      <c r="AC45" s="97" t="n"/>
      <c r="AD45" s="97" t="n"/>
      <c r="AE45" s="98" t="inlineStr">
        <is>
          <t>M</t>
        </is>
      </c>
      <c r="AF45" s="98" t="inlineStr">
        <is>
          <t>M</t>
        </is>
      </c>
      <c r="AG45" s="110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ROUND(B45*4.29,0)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102" t="inlineStr">
        <is>
          <t>D</t>
        </is>
      </c>
      <c r="H46" s="103" t="inlineStr">
        <is>
          <t>N</t>
        </is>
      </c>
      <c r="I46" s="97" t="n"/>
      <c r="J46" s="97" t="n"/>
      <c r="K46" s="97" t="n"/>
      <c r="L46" s="102" t="inlineStr">
        <is>
          <t>D</t>
        </is>
      </c>
      <c r="M46" s="97" t="n"/>
      <c r="N46" s="103" t="inlineStr">
        <is>
          <t>N</t>
        </is>
      </c>
      <c r="O46" s="97" t="n"/>
      <c r="P46" s="97" t="n"/>
      <c r="Q46" s="97" t="n"/>
      <c r="R46" s="97" t="n"/>
      <c r="S46" s="102" t="inlineStr">
        <is>
          <t>D</t>
        </is>
      </c>
      <c r="T46" s="97" t="n"/>
      <c r="U46" s="103" t="inlineStr">
        <is>
          <t>N</t>
        </is>
      </c>
      <c r="V46" s="97" t="n"/>
      <c r="W46" s="97" t="n"/>
      <c r="X46" s="97" t="n"/>
      <c r="Y46" s="97" t="n"/>
      <c r="Z46" s="102" t="inlineStr">
        <is>
          <t>D</t>
        </is>
      </c>
      <c r="AA46" s="97" t="n"/>
      <c r="AB46" s="103" t="inlineStr">
        <is>
          <t>N</t>
        </is>
      </c>
      <c r="AC46" s="97" t="n"/>
      <c r="AD46" s="97" t="n"/>
      <c r="AE46" s="97" t="n"/>
      <c r="AF46" s="97" t="n"/>
      <c r="AG46" s="110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ROUND(B46*4.29,0)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103" t="inlineStr">
        <is>
          <t>N</t>
        </is>
      </c>
      <c r="E47" s="97" t="n"/>
      <c r="F47" s="102" t="inlineStr">
        <is>
          <t>D</t>
        </is>
      </c>
      <c r="G47" s="97" t="n"/>
      <c r="H47" s="97" t="n"/>
      <c r="I47" s="97" t="n"/>
      <c r="J47" s="97" t="n"/>
      <c r="K47" s="103" t="inlineStr">
        <is>
          <t>N</t>
        </is>
      </c>
      <c r="L47" s="97" t="n"/>
      <c r="M47" s="102" t="inlineStr">
        <is>
          <t>D</t>
        </is>
      </c>
      <c r="N47" s="97" t="n"/>
      <c r="O47" s="97" t="n"/>
      <c r="P47" s="97" t="n"/>
      <c r="Q47" s="103" t="inlineStr">
        <is>
          <t>N</t>
        </is>
      </c>
      <c r="R47" s="97" t="n"/>
      <c r="S47" s="97" t="n"/>
      <c r="T47" s="97" t="n"/>
      <c r="U47" s="97" t="n"/>
      <c r="V47" s="97" t="n"/>
      <c r="W47" s="102" t="inlineStr">
        <is>
          <t>D</t>
        </is>
      </c>
      <c r="X47" s="97" t="n"/>
      <c r="Y47" s="103" t="inlineStr">
        <is>
          <t>N</t>
        </is>
      </c>
      <c r="Z47" s="97" t="n"/>
      <c r="AA47" s="102" t="inlineStr">
        <is>
          <t>D</t>
        </is>
      </c>
      <c r="AB47" s="97" t="n"/>
      <c r="AC47" s="97" t="n"/>
      <c r="AD47" s="97" t="n"/>
      <c r="AE47" s="97" t="n"/>
      <c r="AF47" s="97" t="n"/>
      <c r="AG47" s="110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ROUND(B47*4.29,0)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110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ROUND(B48*4.29,0)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102" t="inlineStr">
        <is>
          <t>D</t>
        </is>
      </c>
      <c r="M49" s="97" t="n"/>
      <c r="N49" s="97" t="n"/>
      <c r="O49" s="97" t="n"/>
      <c r="P49" s="104" t="inlineStr">
        <is>
          <t>T</t>
        </is>
      </c>
      <c r="Q49" s="97" t="n"/>
      <c r="R49" s="97" t="n"/>
      <c r="S49" s="102" t="inlineStr">
        <is>
          <t>D</t>
        </is>
      </c>
      <c r="T49" s="97" t="n"/>
      <c r="U49" s="103" t="inlineStr">
        <is>
          <t>N</t>
        </is>
      </c>
      <c r="V49" s="97" t="n"/>
      <c r="W49" s="97" t="n"/>
      <c r="X49" s="97" t="n"/>
      <c r="Y49" s="97" t="n"/>
      <c r="Z49" s="102" t="inlineStr">
        <is>
          <t>D</t>
        </is>
      </c>
      <c r="AA49" s="97" t="n"/>
      <c r="AB49" s="97" t="n"/>
      <c r="AC49" s="97" t="n"/>
      <c r="AD49" s="102" t="inlineStr">
        <is>
          <t>D</t>
        </is>
      </c>
      <c r="AE49" s="102" t="inlineStr">
        <is>
          <t>D</t>
        </is>
      </c>
      <c r="AF49" s="97" t="n"/>
      <c r="AG49" s="110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ROUND(B49*4.29,0)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8" t="inlineStr">
        <is>
          <t>M</t>
        </is>
      </c>
      <c r="D50" s="102" t="inlineStr">
        <is>
          <t>D</t>
        </is>
      </c>
      <c r="E50" s="104" t="inlineStr">
        <is>
          <t>T</t>
        </is>
      </c>
      <c r="F50" s="97" t="n"/>
      <c r="G50" s="97" t="n"/>
      <c r="H50" s="97" t="n"/>
      <c r="I50" s="97" t="n"/>
      <c r="J50" s="97" t="n"/>
      <c r="K50" s="102" t="inlineStr">
        <is>
          <t>D</t>
        </is>
      </c>
      <c r="L50" s="97" t="n"/>
      <c r="M50" s="97" t="n"/>
      <c r="N50" s="97" t="n"/>
      <c r="O50" s="97" t="n"/>
      <c r="P50" s="103" t="inlineStr">
        <is>
          <t>N</t>
        </is>
      </c>
      <c r="Q50" s="97" t="n"/>
      <c r="R50" s="102" t="inlineStr">
        <is>
          <t>D</t>
        </is>
      </c>
      <c r="S50" s="97" t="n"/>
      <c r="T50" s="97" t="n"/>
      <c r="U50" s="97" t="n"/>
      <c r="V50" s="103" t="inlineStr">
        <is>
          <t>N</t>
        </is>
      </c>
      <c r="W50" s="97" t="n"/>
      <c r="X50" s="97" t="n"/>
      <c r="Y50" s="104" t="inlineStr">
        <is>
          <t>T</t>
        </is>
      </c>
      <c r="Z50" s="102" t="inlineStr">
        <is>
          <t>D</t>
        </is>
      </c>
      <c r="AA50" s="97" t="n"/>
      <c r="AB50" s="104" t="inlineStr">
        <is>
          <t>T</t>
        </is>
      </c>
      <c r="AC50" s="97" t="n"/>
      <c r="AD50" s="97" t="n"/>
      <c r="AE50" s="97" t="n"/>
      <c r="AF50" s="103" t="inlineStr">
        <is>
          <t>N</t>
        </is>
      </c>
      <c r="AG50" s="110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ROUND(B50*4.29,0)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110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ROUND(B51*4.29,0)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103" t="inlineStr">
        <is>
          <t>N</t>
        </is>
      </c>
      <c r="D52" s="97" t="n"/>
      <c r="E52" s="97" t="n"/>
      <c r="F52" s="97" t="n"/>
      <c r="G52" s="97" t="n"/>
      <c r="H52" s="103" t="inlineStr">
        <is>
          <t>N</t>
        </is>
      </c>
      <c r="I52" s="97" t="n"/>
      <c r="J52" s="103" t="inlineStr">
        <is>
          <t>N</t>
        </is>
      </c>
      <c r="K52" s="97" t="n"/>
      <c r="L52" s="97" t="n"/>
      <c r="M52" s="97" t="n"/>
      <c r="N52" s="103" t="inlineStr">
        <is>
          <t>N</t>
        </is>
      </c>
      <c r="O52" s="97" t="n"/>
      <c r="P52" s="97" t="n"/>
      <c r="Q52" s="103" t="inlineStr">
        <is>
          <t>N</t>
        </is>
      </c>
      <c r="R52" s="97" t="n"/>
      <c r="S52" s="97" t="n"/>
      <c r="T52" s="97" t="n"/>
      <c r="U52" s="97" t="n"/>
      <c r="V52" s="103" t="inlineStr">
        <is>
          <t>N</t>
        </is>
      </c>
      <c r="W52" s="97" t="n"/>
      <c r="X52" s="103" t="inlineStr">
        <is>
          <t>N</t>
        </is>
      </c>
      <c r="Y52" s="97" t="n"/>
      <c r="Z52" s="97" t="n"/>
      <c r="AA52" s="97" t="n"/>
      <c r="AB52" s="103" t="inlineStr">
        <is>
          <t>N</t>
        </is>
      </c>
      <c r="AC52" s="97" t="n"/>
      <c r="AD52" s="97" t="n"/>
      <c r="AE52" s="103" t="inlineStr">
        <is>
          <t>N</t>
        </is>
      </c>
      <c r="AF52" s="97" t="n"/>
      <c r="AG52" s="110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ROUND(B52*4.29,0)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103" t="inlineStr">
        <is>
          <t>N</t>
        </is>
      </c>
      <c r="D53" s="97" t="n"/>
      <c r="E53" s="97" t="n"/>
      <c r="F53" s="97" t="n"/>
      <c r="G53" s="103" t="inlineStr">
        <is>
          <t>N</t>
        </is>
      </c>
      <c r="H53" s="97" t="n"/>
      <c r="I53" s="103" t="inlineStr">
        <is>
          <t>N</t>
        </is>
      </c>
      <c r="J53" s="103" t="inlineStr">
        <is>
          <t>N</t>
        </is>
      </c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103" t="inlineStr">
        <is>
          <t>N</t>
        </is>
      </c>
      <c r="X53" s="103" t="inlineStr">
        <is>
          <t>N</t>
        </is>
      </c>
      <c r="Y53" s="103" t="inlineStr">
        <is>
          <t>N</t>
        </is>
      </c>
      <c r="Z53" s="97" t="n"/>
      <c r="AA53" s="103" t="inlineStr">
        <is>
          <t>N</t>
        </is>
      </c>
      <c r="AB53" s="97" t="n"/>
      <c r="AC53" s="97" t="n"/>
      <c r="AD53" s="97" t="n"/>
      <c r="AE53" s="103" t="inlineStr">
        <is>
          <t>N</t>
        </is>
      </c>
      <c r="AF53" s="103" t="inlineStr">
        <is>
          <t>N</t>
        </is>
      </c>
      <c r="AG53" s="110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ROUND(B53*4.29,0)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97" t="n"/>
      <c r="F54" s="103" t="inlineStr">
        <is>
          <t>N</t>
        </is>
      </c>
      <c r="G54" s="97" t="n"/>
      <c r="H54" s="103" t="inlineStr">
        <is>
          <t>N</t>
        </is>
      </c>
      <c r="I54" s="97" t="n"/>
      <c r="J54" s="97" t="n"/>
      <c r="K54" s="97" t="n"/>
      <c r="L54" s="97" t="n"/>
      <c r="M54" s="103" t="inlineStr">
        <is>
          <t>N</t>
        </is>
      </c>
      <c r="N54" s="97" t="n"/>
      <c r="O54" s="103" t="inlineStr">
        <is>
          <t>N</t>
        </is>
      </c>
      <c r="P54" s="97" t="n"/>
      <c r="Q54" s="97" t="n"/>
      <c r="R54" s="97" t="n"/>
      <c r="S54" s="97" t="n"/>
      <c r="T54" s="103" t="inlineStr">
        <is>
          <t>N</t>
        </is>
      </c>
      <c r="U54" s="97" t="n"/>
      <c r="V54" s="103" t="inlineStr">
        <is>
          <t>N</t>
        </is>
      </c>
      <c r="W54" s="97" t="n"/>
      <c r="X54" s="97" t="n"/>
      <c r="Y54" s="97" t="n"/>
      <c r="Z54" s="97" t="n"/>
      <c r="AA54" s="103" t="inlineStr">
        <is>
          <t>N</t>
        </is>
      </c>
      <c r="AB54" s="97" t="n"/>
      <c r="AC54" s="103" t="inlineStr">
        <is>
          <t>N</t>
        </is>
      </c>
      <c r="AD54" s="97" t="n"/>
      <c r="AE54" s="97" t="n"/>
      <c r="AF54" s="97" t="n"/>
      <c r="AG54" s="110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ROUND(B54*4.29,0)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8" t="inlineStr">
        <is>
          <t>M</t>
        </is>
      </c>
      <c r="D55" s="97" t="n"/>
      <c r="E55" s="98" t="inlineStr">
        <is>
          <t>M</t>
        </is>
      </c>
      <c r="F55" s="98" t="inlineStr">
        <is>
          <t>M</t>
        </is>
      </c>
      <c r="G55" s="98" t="inlineStr">
        <is>
          <t>M</t>
        </is>
      </c>
      <c r="H55" s="97" t="n"/>
      <c r="I55" s="97" t="n"/>
      <c r="J55" s="98" t="inlineStr">
        <is>
          <t>M</t>
        </is>
      </c>
      <c r="K55" s="97" t="n"/>
      <c r="L55" s="97" t="n"/>
      <c r="M55" s="97" t="n"/>
      <c r="N55" s="98" t="inlineStr">
        <is>
          <t>M</t>
        </is>
      </c>
      <c r="O55" s="98" t="inlineStr">
        <is>
          <t>M</t>
        </is>
      </c>
      <c r="P55" s="98" t="inlineStr">
        <is>
          <t>M</t>
        </is>
      </c>
      <c r="Q55" s="98" t="inlineStr">
        <is>
          <t>M</t>
        </is>
      </c>
      <c r="R55" s="97" t="n"/>
      <c r="S55" s="97" t="n"/>
      <c r="T55" s="98" t="inlineStr">
        <is>
          <t>M</t>
        </is>
      </c>
      <c r="U55" s="98" t="inlineStr">
        <is>
          <t>M</t>
        </is>
      </c>
      <c r="V55" s="98" t="inlineStr">
        <is>
          <t>M</t>
        </is>
      </c>
      <c r="W55" s="97" t="n"/>
      <c r="X55" s="98" t="inlineStr">
        <is>
          <t>M</t>
        </is>
      </c>
      <c r="Y55" s="97" t="n"/>
      <c r="Z55" s="98" t="inlineStr">
        <is>
          <t>M</t>
        </is>
      </c>
      <c r="AA55" s="97" t="n"/>
      <c r="AB55" s="98" t="inlineStr">
        <is>
          <t>M</t>
        </is>
      </c>
      <c r="AC55" s="98" t="inlineStr">
        <is>
          <t>M</t>
        </is>
      </c>
      <c r="AD55" s="97" t="n"/>
      <c r="AE55" s="97" t="n"/>
      <c r="AF55" s="97" t="n"/>
      <c r="AG55" s="110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ROUND(B55*4.29,0)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97" t="n"/>
      <c r="F56" s="102" t="inlineStr">
        <is>
          <t>D</t>
        </is>
      </c>
      <c r="G56" s="102" t="inlineStr">
        <is>
          <t>D</t>
        </is>
      </c>
      <c r="H56" s="97" t="n"/>
      <c r="I56" s="97" t="n"/>
      <c r="J56" s="97" t="n"/>
      <c r="K56" s="97" t="n"/>
      <c r="L56" s="97" t="n"/>
      <c r="M56" s="102" t="inlineStr">
        <is>
          <t>D</t>
        </is>
      </c>
      <c r="N56" s="97" t="n"/>
      <c r="O56" s="102" t="inlineStr">
        <is>
          <t>D</t>
        </is>
      </c>
      <c r="P56" s="97" t="n"/>
      <c r="Q56" s="97" t="n"/>
      <c r="R56" s="97" t="n"/>
      <c r="S56" s="97" t="n"/>
      <c r="T56" s="102" t="inlineStr">
        <is>
          <t>D</t>
        </is>
      </c>
      <c r="U56" s="103" t="inlineStr">
        <is>
          <t>N</t>
        </is>
      </c>
      <c r="V56" s="97" t="n"/>
      <c r="W56" s="97" t="n"/>
      <c r="X56" s="97" t="n"/>
      <c r="Y56" s="97" t="n"/>
      <c r="Z56" s="97" t="n"/>
      <c r="AA56" s="102" t="inlineStr">
        <is>
          <t>D</t>
        </is>
      </c>
      <c r="AB56" s="97" t="n"/>
      <c r="AC56" s="102" t="inlineStr">
        <is>
          <t>D</t>
        </is>
      </c>
      <c r="AD56" s="97" t="n"/>
      <c r="AE56" s="97" t="n"/>
      <c r="AF56" s="102" t="inlineStr">
        <is>
          <t>D</t>
        </is>
      </c>
      <c r="AG56" s="110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ROUND(B56*4.29,0)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103" t="inlineStr">
        <is>
          <t>N</t>
        </is>
      </c>
      <c r="E57" s="97" t="n"/>
      <c r="F57" s="103" t="inlineStr">
        <is>
          <t>N</t>
        </is>
      </c>
      <c r="G57" s="97" t="n"/>
      <c r="H57" s="97" t="n"/>
      <c r="I57" s="97" t="n"/>
      <c r="J57" s="103" t="inlineStr">
        <is>
          <t>N</t>
        </is>
      </c>
      <c r="K57" s="97" t="n"/>
      <c r="L57" s="103" t="inlineStr">
        <is>
          <t>N</t>
        </is>
      </c>
      <c r="M57" s="97" t="n"/>
      <c r="N57" s="97" t="n"/>
      <c r="O57" s="97" t="n"/>
      <c r="P57" s="97" t="n"/>
      <c r="Q57" s="97" t="n"/>
      <c r="R57" s="97" t="n"/>
      <c r="S57" s="97" t="n"/>
      <c r="T57" s="97" t="n"/>
      <c r="U57" s="103" t="inlineStr">
        <is>
          <t>N</t>
        </is>
      </c>
      <c r="V57" s="97" t="n"/>
      <c r="W57" s="102" t="inlineStr">
        <is>
          <t>D</t>
        </is>
      </c>
      <c r="X57" s="103" t="inlineStr">
        <is>
          <t>N</t>
        </is>
      </c>
      <c r="Y57" s="97" t="n"/>
      <c r="Z57" s="97" t="n"/>
      <c r="AA57" s="97" t="n"/>
      <c r="AB57" s="97" t="n"/>
      <c r="AC57" s="102" t="inlineStr">
        <is>
          <t>D</t>
        </is>
      </c>
      <c r="AD57" s="97" t="n"/>
      <c r="AE57" s="97" t="n"/>
      <c r="AF57" s="97" t="n"/>
      <c r="AG57" s="110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ROUND(B57*4.29,0)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103" t="inlineStr">
        <is>
          <t>N</t>
        </is>
      </c>
      <c r="F58" s="97" t="n"/>
      <c r="G58" s="102" t="inlineStr">
        <is>
          <t>D</t>
        </is>
      </c>
      <c r="H58" s="97" t="n"/>
      <c r="I58" s="97" t="n"/>
      <c r="J58" s="97" t="n"/>
      <c r="K58" s="97" t="n"/>
      <c r="L58" s="103" t="inlineStr">
        <is>
          <t>N</t>
        </is>
      </c>
      <c r="M58" s="97" t="n"/>
      <c r="N58" s="97" t="n"/>
      <c r="O58" s="97" t="n"/>
      <c r="P58" s="102" t="inlineStr">
        <is>
          <t>D</t>
        </is>
      </c>
      <c r="Q58" s="97" t="n"/>
      <c r="R58" s="97" t="n"/>
      <c r="S58" s="103" t="inlineStr">
        <is>
          <t>N</t>
        </is>
      </c>
      <c r="T58" s="97" t="n"/>
      <c r="U58" s="97" t="n"/>
      <c r="V58" s="102" t="inlineStr">
        <is>
          <t>D</t>
        </is>
      </c>
      <c r="W58" s="97" t="n"/>
      <c r="X58" s="97" t="n"/>
      <c r="Y58" s="97" t="n"/>
      <c r="Z58" s="103" t="inlineStr">
        <is>
          <t>N</t>
        </is>
      </c>
      <c r="AA58" s="97" t="n"/>
      <c r="AB58" s="102" t="inlineStr">
        <is>
          <t>D</t>
        </is>
      </c>
      <c r="AC58" s="97" t="n"/>
      <c r="AD58" s="97" t="n"/>
      <c r="AE58" s="97" t="n"/>
      <c r="AF58" s="97" t="n"/>
      <c r="AG58" s="110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ROUND(B58*4.29,0)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103" t="inlineStr">
        <is>
          <t>N</t>
        </is>
      </c>
      <c r="G59" s="103" t="inlineStr">
        <is>
          <t>N</t>
        </is>
      </c>
      <c r="H59" s="97" t="n"/>
      <c r="I59" s="103" t="inlineStr">
        <is>
          <t>N</t>
        </is>
      </c>
      <c r="J59" s="97" t="n"/>
      <c r="K59" s="97" t="n"/>
      <c r="L59" s="103" t="inlineStr">
        <is>
          <t>N</t>
        </is>
      </c>
      <c r="M59" s="97" t="n"/>
      <c r="N59" s="103" t="inlineStr">
        <is>
          <t>N</t>
        </is>
      </c>
      <c r="O59" s="103" t="inlineStr">
        <is>
          <t>N</t>
        </is>
      </c>
      <c r="P59" s="97" t="n"/>
      <c r="Q59" s="97" t="n"/>
      <c r="R59" s="103" t="inlineStr">
        <is>
          <t>N</t>
        </is>
      </c>
      <c r="S59" s="103" t="inlineStr">
        <is>
          <t>N</t>
        </is>
      </c>
      <c r="T59" s="97" t="n"/>
      <c r="U59" s="104" t="inlineStr">
        <is>
          <t>T</t>
        </is>
      </c>
      <c r="V59" s="104" t="inlineStr">
        <is>
          <t>T</t>
        </is>
      </c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110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ROUND(B59*4.29,0)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103" t="inlineStr">
        <is>
          <t>N</t>
        </is>
      </c>
      <c r="V60" s="97" t="n"/>
      <c r="W60" s="104" t="inlineStr">
        <is>
          <t>T</t>
        </is>
      </c>
      <c r="X60" s="97" t="n"/>
      <c r="Y60" s="104" t="inlineStr">
        <is>
          <t>T</t>
        </is>
      </c>
      <c r="Z60" s="97" t="n"/>
      <c r="AA60" s="104" t="inlineStr">
        <is>
          <t>T</t>
        </is>
      </c>
      <c r="AB60" s="97" t="n"/>
      <c r="AC60" s="97" t="n"/>
      <c r="AD60" s="102" t="inlineStr">
        <is>
          <t>D</t>
        </is>
      </c>
      <c r="AE60" s="97" t="n"/>
      <c r="AF60" s="97" t="n"/>
      <c r="AG60" s="110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ROUND(B60*4.29,0)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102" t="inlineStr">
        <is>
          <t>D</t>
        </is>
      </c>
      <c r="E61" s="97" t="n"/>
      <c r="F61" s="104" t="inlineStr">
        <is>
          <t>T</t>
        </is>
      </c>
      <c r="G61" s="104" t="inlineStr">
        <is>
          <t>T</t>
        </is>
      </c>
      <c r="H61" s="97" t="n"/>
      <c r="I61" s="97" t="n"/>
      <c r="J61" s="102" t="inlineStr">
        <is>
          <t>D</t>
        </is>
      </c>
      <c r="K61" s="97" t="n"/>
      <c r="L61" s="97" t="n"/>
      <c r="M61" s="103" t="inlineStr">
        <is>
          <t>N</t>
        </is>
      </c>
      <c r="N61" s="97" t="n"/>
      <c r="O61" s="97" t="n"/>
      <c r="P61" s="97" t="n"/>
      <c r="Q61" s="102" t="inlineStr">
        <is>
          <t>D</t>
        </is>
      </c>
      <c r="R61" s="97" t="n"/>
      <c r="S61" s="97" t="n"/>
      <c r="T61" s="97" t="n"/>
      <c r="U61" s="97" t="n"/>
      <c r="V61" s="103" t="inlineStr">
        <is>
          <t>N</t>
        </is>
      </c>
      <c r="W61" s="97" t="n"/>
      <c r="X61" s="102" t="inlineStr">
        <is>
          <t>D</t>
        </is>
      </c>
      <c r="Y61" s="97" t="n"/>
      <c r="Z61" s="97" t="n"/>
      <c r="AA61" s="97" t="n"/>
      <c r="AB61" s="97" t="n"/>
      <c r="AC61" s="97" t="n"/>
      <c r="AD61" s="102" t="inlineStr">
        <is>
          <t>D</t>
        </is>
      </c>
      <c r="AE61" s="102" t="inlineStr">
        <is>
          <t>D</t>
        </is>
      </c>
      <c r="AF61" s="97" t="n"/>
      <c r="AG61" s="110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ROUND(B61*4.29,0)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102" t="inlineStr">
        <is>
          <t>D</t>
        </is>
      </c>
      <c r="H62" s="97" t="n"/>
      <c r="I62" s="102" t="inlineStr">
        <is>
          <t>D</t>
        </is>
      </c>
      <c r="J62" s="97" t="n"/>
      <c r="K62" s="103" t="inlineStr">
        <is>
          <t>N</t>
        </is>
      </c>
      <c r="L62" s="97" t="n"/>
      <c r="M62" s="97" t="n"/>
      <c r="N62" s="97" t="n"/>
      <c r="O62" s="102" t="inlineStr">
        <is>
          <t>D</t>
        </is>
      </c>
      <c r="P62" s="97" t="n"/>
      <c r="Q62" s="97" t="n"/>
      <c r="R62" s="103" t="inlineStr">
        <is>
          <t>N</t>
        </is>
      </c>
      <c r="S62" s="97" t="n"/>
      <c r="T62" s="97" t="n"/>
      <c r="U62" s="102" t="inlineStr">
        <is>
          <t>D</t>
        </is>
      </c>
      <c r="V62" s="97" t="n"/>
      <c r="W62" s="97" t="n"/>
      <c r="X62" s="97" t="n"/>
      <c r="Y62" s="97" t="n"/>
      <c r="Z62" s="102" t="inlineStr">
        <is>
          <t>D</t>
        </is>
      </c>
      <c r="AA62" s="97" t="n"/>
      <c r="AB62" s="103" t="inlineStr">
        <is>
          <t>N</t>
        </is>
      </c>
      <c r="AC62" s="97" t="n"/>
      <c r="AD62" s="97" t="n"/>
      <c r="AE62" s="97" t="n"/>
      <c r="AF62" s="103" t="inlineStr">
        <is>
          <t>N</t>
        </is>
      </c>
      <c r="AG62" s="110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ROUND(B62*4.29,0)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102" t="inlineStr">
        <is>
          <t>D</t>
        </is>
      </c>
      <c r="G63" s="97" t="n"/>
      <c r="H63" s="97" t="n"/>
      <c r="I63" s="98" t="inlineStr">
        <is>
          <t>M</t>
        </is>
      </c>
      <c r="J63" s="102" t="inlineStr">
        <is>
          <t>D</t>
        </is>
      </c>
      <c r="K63" s="97" t="n"/>
      <c r="L63" s="97" t="n"/>
      <c r="M63" s="102" t="inlineStr">
        <is>
          <t>D</t>
        </is>
      </c>
      <c r="N63" s="97" t="n"/>
      <c r="O63" s="97" t="n"/>
      <c r="P63" s="97" t="n"/>
      <c r="Q63" s="97" t="n"/>
      <c r="R63" s="97" t="n"/>
      <c r="S63" s="97" t="n"/>
      <c r="T63" s="104" t="inlineStr">
        <is>
          <t>T</t>
        </is>
      </c>
      <c r="U63" s="97" t="n"/>
      <c r="V63" s="98" t="inlineStr">
        <is>
          <t>M</t>
        </is>
      </c>
      <c r="W63" s="102" t="inlineStr">
        <is>
          <t>D</t>
        </is>
      </c>
      <c r="X63" s="97" t="n"/>
      <c r="Y63" s="97" t="n"/>
      <c r="Z63" s="97" t="n"/>
      <c r="AA63" s="102" t="inlineStr">
        <is>
          <t>D</t>
        </is>
      </c>
      <c r="AB63" s="102" t="inlineStr">
        <is>
          <t>D</t>
        </is>
      </c>
      <c r="AC63" s="97" t="n"/>
      <c r="AD63" s="97" t="n"/>
      <c r="AE63" s="97" t="n"/>
      <c r="AF63" s="97" t="n"/>
      <c r="AG63" s="110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ROUND(B63*4.29,0)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103" t="inlineStr">
        <is>
          <t>N</t>
        </is>
      </c>
      <c r="D64" s="97" t="n"/>
      <c r="E64" s="97" t="n"/>
      <c r="F64" s="97" t="n"/>
      <c r="G64" s="97" t="n"/>
      <c r="H64" s="97" t="n"/>
      <c r="I64" s="103" t="inlineStr">
        <is>
          <t>N</t>
        </is>
      </c>
      <c r="J64" s="97" t="n"/>
      <c r="K64" s="103" t="inlineStr">
        <is>
          <t>N</t>
        </is>
      </c>
      <c r="L64" s="97" t="n"/>
      <c r="M64" s="97" t="n"/>
      <c r="N64" s="103" t="inlineStr">
        <is>
          <t>N</t>
        </is>
      </c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110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ROUND(B64*4.29,0)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97" t="n"/>
      <c r="G65" s="102" t="inlineStr">
        <is>
          <t>D</t>
        </is>
      </c>
      <c r="H65" s="104" t="inlineStr">
        <is>
          <t>T</t>
        </is>
      </c>
      <c r="I65" s="97" t="n"/>
      <c r="J65" s="97" t="n"/>
      <c r="K65" s="97" t="n"/>
      <c r="L65" s="103" t="inlineStr">
        <is>
          <t>N</t>
        </is>
      </c>
      <c r="M65" s="97" t="n"/>
      <c r="N65" s="102" t="inlineStr">
        <is>
          <t>D</t>
        </is>
      </c>
      <c r="O65" s="97" t="n"/>
      <c r="P65" s="97" t="n"/>
      <c r="Q65" s="97" t="n"/>
      <c r="R65" s="97" t="n"/>
      <c r="S65" s="102" t="inlineStr">
        <is>
          <t>D</t>
        </is>
      </c>
      <c r="T65" s="97" t="n"/>
      <c r="U65" s="102" t="inlineStr">
        <is>
          <t>D</t>
        </is>
      </c>
      <c r="V65" s="97" t="n"/>
      <c r="W65" s="97" t="n"/>
      <c r="X65" s="97" t="n"/>
      <c r="Y65" s="97" t="n"/>
      <c r="Z65" s="97" t="n"/>
      <c r="AA65" s="97" t="n"/>
      <c r="AB65" s="97" t="n"/>
      <c r="AC65" s="102" t="inlineStr">
        <is>
          <t>D</t>
        </is>
      </c>
      <c r="AD65" s="102" t="inlineStr">
        <is>
          <t>D</t>
        </is>
      </c>
      <c r="AE65" s="97" t="n"/>
      <c r="AF65" s="97" t="n"/>
      <c r="AG65" s="110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ROUND(B65*4.29,0)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103" t="inlineStr">
        <is>
          <t>N</t>
        </is>
      </c>
      <c r="D66" s="97" t="n"/>
      <c r="E66" s="103" t="inlineStr">
        <is>
          <t>N</t>
        </is>
      </c>
      <c r="F66" s="97" t="n"/>
      <c r="G66" s="97" t="n"/>
      <c r="H66" s="97" t="n"/>
      <c r="I66" s="97" t="n"/>
      <c r="J66" s="103" t="inlineStr">
        <is>
          <t>N</t>
        </is>
      </c>
      <c r="K66" s="97" t="n"/>
      <c r="L66" s="97" t="n"/>
      <c r="M66" s="97" t="n"/>
      <c r="N66" s="97" t="n"/>
      <c r="O66" s="97" t="n"/>
      <c r="P66" s="102" t="inlineStr">
        <is>
          <t>D</t>
        </is>
      </c>
      <c r="Q66" s="103" t="inlineStr">
        <is>
          <t>N</t>
        </is>
      </c>
      <c r="R66" s="104" t="inlineStr">
        <is>
          <t>T</t>
        </is>
      </c>
      <c r="S66" s="97" t="n"/>
      <c r="T66" s="104" t="inlineStr">
        <is>
          <t>T</t>
        </is>
      </c>
      <c r="U66" s="97" t="n"/>
      <c r="V66" s="97" t="n"/>
      <c r="W66" s="97" t="n"/>
      <c r="X66" s="103" t="inlineStr">
        <is>
          <t>N</t>
        </is>
      </c>
      <c r="Y66" s="97" t="n"/>
      <c r="Z66" s="97" t="n"/>
      <c r="AA66" s="97" t="n"/>
      <c r="AB66" s="97" t="n"/>
      <c r="AC66" s="103" t="inlineStr">
        <is>
          <t>N</t>
        </is>
      </c>
      <c r="AD66" s="97" t="n"/>
      <c r="AE66" s="97" t="n"/>
      <c r="AF66" s="104" t="inlineStr">
        <is>
          <t>T</t>
        </is>
      </c>
      <c r="AG66" s="110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ROUND(B66*4.29,0)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8" t="inlineStr">
        <is>
          <t>M</t>
        </is>
      </c>
      <c r="E67" s="98" t="inlineStr">
        <is>
          <t>M</t>
        </is>
      </c>
      <c r="F67" s="104" t="inlineStr">
        <is>
          <t>T</t>
        </is>
      </c>
      <c r="G67" s="103" t="inlineStr">
        <is>
          <t>N</t>
        </is>
      </c>
      <c r="H67" s="97" t="n"/>
      <c r="I67" s="97" t="n"/>
      <c r="J67" s="98" t="inlineStr">
        <is>
          <t>M</t>
        </is>
      </c>
      <c r="K67" s="98" t="inlineStr">
        <is>
          <t>M</t>
        </is>
      </c>
      <c r="L67" s="103" t="inlineStr">
        <is>
          <t>N</t>
        </is>
      </c>
      <c r="M67" s="97" t="n"/>
      <c r="N67" s="97" t="n"/>
      <c r="O67" s="97" t="n"/>
      <c r="P67" s="97" t="n"/>
      <c r="Q67" s="98" t="inlineStr">
        <is>
          <t>M</t>
        </is>
      </c>
      <c r="R67" s="97" t="n"/>
      <c r="S67" s="98" t="inlineStr">
        <is>
          <t>M</t>
        </is>
      </c>
      <c r="T67" s="97" t="n"/>
      <c r="U67" s="104" t="inlineStr">
        <is>
          <t>T</t>
        </is>
      </c>
      <c r="V67" s="103" t="inlineStr">
        <is>
          <t>N</t>
        </is>
      </c>
      <c r="W67" s="97" t="n"/>
      <c r="X67" s="98" t="inlineStr">
        <is>
          <t>M</t>
        </is>
      </c>
      <c r="Y67" s="97" t="n"/>
      <c r="Z67" s="98" t="inlineStr">
        <is>
          <t>M</t>
        </is>
      </c>
      <c r="AA67" s="97" t="n"/>
      <c r="AB67" s="97" t="n"/>
      <c r="AC67" s="102" t="inlineStr">
        <is>
          <t>D</t>
        </is>
      </c>
      <c r="AD67" s="98" t="inlineStr">
        <is>
          <t>M</t>
        </is>
      </c>
      <c r="AE67" s="98" t="inlineStr">
        <is>
          <t>M</t>
        </is>
      </c>
      <c r="AF67" s="97" t="n"/>
      <c r="AG67" s="110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ROUND(B67*4.29,0)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102" t="inlineStr">
        <is>
          <t>D</t>
        </is>
      </c>
      <c r="D68" s="97" t="n"/>
      <c r="E68" s="97" t="n"/>
      <c r="F68" s="97" t="n"/>
      <c r="G68" s="97" t="n"/>
      <c r="H68" s="97" t="n"/>
      <c r="I68" s="97" t="n"/>
      <c r="J68" s="97" t="n"/>
      <c r="K68" s="97" t="n"/>
      <c r="L68" s="104" t="inlineStr">
        <is>
          <t>T</t>
        </is>
      </c>
      <c r="M68" s="97" t="n"/>
      <c r="N68" s="102" t="inlineStr">
        <is>
          <t>D</t>
        </is>
      </c>
      <c r="O68" s="102" t="inlineStr">
        <is>
          <t>D</t>
        </is>
      </c>
      <c r="P68" s="97" t="n"/>
      <c r="Q68" s="97" t="n"/>
      <c r="R68" s="97" t="n"/>
      <c r="S68" s="102" t="inlineStr">
        <is>
          <t>D</t>
        </is>
      </c>
      <c r="T68" s="97" t="n"/>
      <c r="U68" s="103" t="inlineStr">
        <is>
          <t>N</t>
        </is>
      </c>
      <c r="V68" s="97" t="n"/>
      <c r="W68" s="97" t="n"/>
      <c r="X68" s="97" t="n"/>
      <c r="Y68" s="97" t="n"/>
      <c r="Z68" s="104" t="inlineStr">
        <is>
          <t>T</t>
        </is>
      </c>
      <c r="AA68" s="97" t="n"/>
      <c r="AB68" s="102" t="inlineStr">
        <is>
          <t>D</t>
        </is>
      </c>
      <c r="AC68" s="102" t="inlineStr">
        <is>
          <t>D</t>
        </is>
      </c>
      <c r="AD68" s="97" t="n"/>
      <c r="AE68" s="97" t="n"/>
      <c r="AF68" s="97" t="n"/>
      <c r="AG68" s="110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ROUND(B68*4.29,0)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97" t="n"/>
      <c r="F69" s="97" t="n"/>
      <c r="G69" s="102" t="inlineStr">
        <is>
          <t>D</t>
        </is>
      </c>
      <c r="H69" s="103" t="inlineStr">
        <is>
          <t>N</t>
        </is>
      </c>
      <c r="I69" s="97" t="n"/>
      <c r="J69" s="104" t="inlineStr">
        <is>
          <t>T</t>
        </is>
      </c>
      <c r="K69" s="97" t="n"/>
      <c r="L69" s="102" t="inlineStr">
        <is>
          <t>D</t>
        </is>
      </c>
      <c r="M69" s="104" t="inlineStr">
        <is>
          <t>T</t>
        </is>
      </c>
      <c r="N69" s="97" t="n"/>
      <c r="O69" s="97" t="n"/>
      <c r="P69" s="97" t="n"/>
      <c r="Q69" s="97" t="n"/>
      <c r="R69" s="97" t="n"/>
      <c r="S69" s="102" t="inlineStr">
        <is>
          <t>D</t>
        </is>
      </c>
      <c r="T69" s="97" t="n"/>
      <c r="U69" s="97" t="n"/>
      <c r="V69" s="102" t="inlineStr">
        <is>
          <t>D</t>
        </is>
      </c>
      <c r="W69" s="97" t="n"/>
      <c r="X69" s="102" t="inlineStr">
        <is>
          <t>D</t>
        </is>
      </c>
      <c r="Y69" s="97" t="n"/>
      <c r="Z69" s="102" t="inlineStr">
        <is>
          <t>D</t>
        </is>
      </c>
      <c r="AA69" s="97" t="n"/>
      <c r="AB69" s="97" t="n"/>
      <c r="AC69" s="97" t="n"/>
      <c r="AD69" s="97" t="n"/>
      <c r="AE69" s="97" t="n"/>
      <c r="AF69" s="97" t="n"/>
      <c r="AG69" s="110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ROUND(B69*4.29,0)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8" t="inlineStr">
        <is>
          <t>M</t>
        </is>
      </c>
      <c r="E70" s="103" t="inlineStr">
        <is>
          <t>N</t>
        </is>
      </c>
      <c r="F70" s="97" t="n"/>
      <c r="G70" s="97" t="n"/>
      <c r="H70" s="97" t="n"/>
      <c r="I70" s="97" t="n"/>
      <c r="J70" s="97" t="n"/>
      <c r="K70" s="98" t="inlineStr">
        <is>
          <t>M</t>
        </is>
      </c>
      <c r="L70" s="102" t="inlineStr">
        <is>
          <t>D</t>
        </is>
      </c>
      <c r="M70" s="97" t="n"/>
      <c r="N70" s="97" t="n"/>
      <c r="O70" s="97" t="n"/>
      <c r="P70" s="103" t="inlineStr">
        <is>
          <t>N</t>
        </is>
      </c>
      <c r="Q70" s="97" t="n"/>
      <c r="R70" s="97" t="n"/>
      <c r="S70" s="103" t="inlineStr">
        <is>
          <t>N</t>
        </is>
      </c>
      <c r="T70" s="97" t="n"/>
      <c r="U70" s="97" t="n"/>
      <c r="V70" s="97" t="n"/>
      <c r="W70" s="102" t="inlineStr">
        <is>
          <t>D</t>
        </is>
      </c>
      <c r="X70" s="97" t="n"/>
      <c r="Y70" s="98" t="inlineStr">
        <is>
          <t>M</t>
        </is>
      </c>
      <c r="Z70" s="102" t="inlineStr">
        <is>
          <t>D</t>
        </is>
      </c>
      <c r="AA70" s="104" t="inlineStr">
        <is>
          <t>T</t>
        </is>
      </c>
      <c r="AB70" s="97" t="n"/>
      <c r="AC70" s="97" t="n"/>
      <c r="AD70" s="97" t="n"/>
      <c r="AE70" s="97" t="n"/>
      <c r="AF70" s="97" t="n"/>
      <c r="AG70" s="110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ROUND(B70*4.29,0)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104" t="inlineStr">
        <is>
          <t>T</t>
        </is>
      </c>
      <c r="D71" s="103" t="inlineStr">
        <is>
          <t>N</t>
        </is>
      </c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102" t="inlineStr">
        <is>
          <t>D</t>
        </is>
      </c>
      <c r="O71" s="102" t="inlineStr">
        <is>
          <t>D</t>
        </is>
      </c>
      <c r="P71" s="97" t="n"/>
      <c r="Q71" s="104" t="inlineStr">
        <is>
          <t>T</t>
        </is>
      </c>
      <c r="R71" s="104" t="inlineStr">
        <is>
          <t>T</t>
        </is>
      </c>
      <c r="S71" s="102" t="inlineStr">
        <is>
          <t>D</t>
        </is>
      </c>
      <c r="T71" s="97" t="n"/>
      <c r="U71" s="97" t="n"/>
      <c r="V71" s="97" t="n"/>
      <c r="W71" s="97" t="n"/>
      <c r="X71" s="104" t="inlineStr">
        <is>
          <t>T</t>
        </is>
      </c>
      <c r="Y71" s="104" t="inlineStr">
        <is>
          <t>T</t>
        </is>
      </c>
      <c r="Z71" s="97" t="n"/>
      <c r="AA71" s="97" t="n"/>
      <c r="AB71" s="103" t="inlineStr">
        <is>
          <t>N</t>
        </is>
      </c>
      <c r="AC71" s="97" t="n"/>
      <c r="AD71" s="97" t="n"/>
      <c r="AE71" s="104" t="inlineStr">
        <is>
          <t>T</t>
        </is>
      </c>
      <c r="AF71" s="103" t="inlineStr">
        <is>
          <t>N</t>
        </is>
      </c>
      <c r="AG71" s="110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ROUND(B71*4.29,0)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8" t="inlineStr">
        <is>
          <t>M</t>
        </is>
      </c>
      <c r="D72" s="97" t="n"/>
      <c r="E72" s="104" t="inlineStr">
        <is>
          <t>T</t>
        </is>
      </c>
      <c r="F72" s="104" t="inlineStr">
        <is>
          <t>T</t>
        </is>
      </c>
      <c r="G72" s="103" t="inlineStr">
        <is>
          <t>N</t>
        </is>
      </c>
      <c r="H72" s="97" t="n"/>
      <c r="I72" s="97" t="n"/>
      <c r="J72" s="97" t="n"/>
      <c r="K72" s="102" t="inlineStr">
        <is>
          <t>D</t>
        </is>
      </c>
      <c r="L72" s="97" t="n"/>
      <c r="M72" s="97" t="n"/>
      <c r="N72" s="97" t="n"/>
      <c r="O72" s="98" t="inlineStr">
        <is>
          <t>M</t>
        </is>
      </c>
      <c r="P72" s="102" t="inlineStr">
        <is>
          <t>D</t>
        </is>
      </c>
      <c r="Q72" s="97" t="n"/>
      <c r="R72" s="104" t="inlineStr">
        <is>
          <t>T</t>
        </is>
      </c>
      <c r="S72" s="97" t="n"/>
      <c r="T72" s="104" t="inlineStr">
        <is>
          <t>T</t>
        </is>
      </c>
      <c r="U72" s="104" t="inlineStr">
        <is>
          <t>T</t>
        </is>
      </c>
      <c r="V72" s="97" t="n"/>
      <c r="W72" s="102" t="inlineStr">
        <is>
          <t>D</t>
        </is>
      </c>
      <c r="X72" s="104" t="inlineStr">
        <is>
          <t>T</t>
        </is>
      </c>
      <c r="Y72" s="104" t="inlineStr">
        <is>
          <t>T</t>
        </is>
      </c>
      <c r="Z72" s="103" t="inlineStr">
        <is>
          <t>N</t>
        </is>
      </c>
      <c r="AA72" s="97" t="n"/>
      <c r="AB72" s="104" t="inlineStr">
        <is>
          <t>T</t>
        </is>
      </c>
      <c r="AC72" s="97" t="n"/>
      <c r="AD72" s="97" t="n"/>
      <c r="AE72" s="102" t="inlineStr">
        <is>
          <t>D</t>
        </is>
      </c>
      <c r="AF72" s="104" t="inlineStr">
        <is>
          <t>T</t>
        </is>
      </c>
      <c r="AG72" s="110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ROUND(B72*4.29,0)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103" t="inlineStr">
        <is>
          <t>N</t>
        </is>
      </c>
      <c r="D73" s="104" t="inlineStr">
        <is>
          <t>T</t>
        </is>
      </c>
      <c r="E73" s="103" t="inlineStr">
        <is>
          <t>N</t>
        </is>
      </c>
      <c r="F73" s="97" t="n"/>
      <c r="G73" s="97" t="n"/>
      <c r="H73" s="97" t="n"/>
      <c r="I73" s="97" t="n"/>
      <c r="J73" s="102" t="inlineStr">
        <is>
          <t>D</t>
        </is>
      </c>
      <c r="K73" s="97" t="n"/>
      <c r="L73" s="97" t="n"/>
      <c r="M73" s="103" t="inlineStr">
        <is>
          <t>N</t>
        </is>
      </c>
      <c r="N73" s="97" t="n"/>
      <c r="O73" s="104" t="inlineStr">
        <is>
          <t>T</t>
        </is>
      </c>
      <c r="P73" s="97" t="n"/>
      <c r="Q73" s="97" t="n"/>
      <c r="R73" s="97" t="n"/>
      <c r="S73" s="103" t="inlineStr">
        <is>
          <t>N</t>
        </is>
      </c>
      <c r="T73" s="97" t="n"/>
      <c r="U73" s="97" t="n"/>
      <c r="V73" s="104" t="inlineStr">
        <is>
          <t>T</t>
        </is>
      </c>
      <c r="W73" s="103" t="inlineStr">
        <is>
          <t>N</t>
        </is>
      </c>
      <c r="X73" s="103" t="inlineStr">
        <is>
          <t>N</t>
        </is>
      </c>
      <c r="Y73" s="104" t="inlineStr">
        <is>
          <t>T</t>
        </is>
      </c>
      <c r="Z73" s="97" t="n"/>
      <c r="AA73" s="97" t="n"/>
      <c r="AB73" s="104" t="inlineStr">
        <is>
          <t>T</t>
        </is>
      </c>
      <c r="AC73" s="104" t="inlineStr">
        <is>
          <t>T</t>
        </is>
      </c>
      <c r="AD73" s="97" t="n"/>
      <c r="AE73" s="103" t="inlineStr">
        <is>
          <t>N</t>
        </is>
      </c>
      <c r="AF73" s="97" t="n"/>
      <c r="AG73" s="110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ROUND(B73*4.29,0)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MAX(0,CONFIG!$B$9-D75)</f>
        <v/>
      </c>
      <c r="E78" s="109">
        <f>MAX(0,CONFIG!$B$9-E75)</f>
        <v/>
      </c>
      <c r="F78" s="109">
        <f>MAX(0,CONFIG!$B$9-F75)</f>
        <v/>
      </c>
      <c r="G78" s="109">
        <f>MAX(0,CONFIG!$B$9-G75)</f>
        <v/>
      </c>
      <c r="H78" s="109">
        <f>MAX(0,CONFIG!$B$10-H75)</f>
        <v/>
      </c>
      <c r="I78" s="109">
        <f>MAX(0,CONFIG!$B$11-I75)</f>
        <v/>
      </c>
      <c r="J78" s="109">
        <f>MAX(0,CONFIG!$B$9-J75)</f>
        <v/>
      </c>
      <c r="K78" s="109">
        <f>MAX(0,CONFIG!$B$9-K75)</f>
        <v/>
      </c>
      <c r="L78" s="109">
        <f>MAX(0,CONFIG!$B$9-L75)</f>
        <v/>
      </c>
      <c r="M78" s="109">
        <f>MAX(0,CONFIG!$B$9-M75)</f>
        <v/>
      </c>
      <c r="N78" s="109">
        <f>MAX(0,CONFIG!$B$9-N75)</f>
        <v/>
      </c>
      <c r="O78" s="109">
        <f>MAX(0,CONFIG!$B$10-O75)</f>
        <v/>
      </c>
      <c r="P78" s="109">
        <f>MAX(0,CONFIG!$B$11-P75)</f>
        <v/>
      </c>
      <c r="Q78" s="109">
        <f>MAX(0,CONFIG!$B$9-Q75)</f>
        <v/>
      </c>
      <c r="R78" s="109">
        <f>MAX(0,CONFIG!$B$9-R75)</f>
        <v/>
      </c>
      <c r="S78" s="109">
        <f>MAX(0,CONFIG!$B$9-S75)</f>
        <v/>
      </c>
      <c r="T78" s="109">
        <f>MAX(0,CONFIG!$B$9-T75)</f>
        <v/>
      </c>
      <c r="U78" s="109">
        <f>MAX(0,CONFIG!$B$9-U75)</f>
        <v/>
      </c>
      <c r="V78" s="109">
        <f>MAX(0,CONFIG!$B$10-V75)</f>
        <v/>
      </c>
      <c r="W78" s="109">
        <f>MAX(0,CONFIG!$B$11-W75)</f>
        <v/>
      </c>
      <c r="X78" s="109">
        <f>MAX(0,CONFIG!$B$9-X75)</f>
        <v/>
      </c>
      <c r="Y78" s="109">
        <f>MAX(0,CONFIG!$B$9-Y75)</f>
        <v/>
      </c>
      <c r="Z78" s="109">
        <f>MAX(0,CONFIG!$B$9-Z75)</f>
        <v/>
      </c>
      <c r="AA78" s="109">
        <f>MAX(0,CONFIG!$B$9-AA75)</f>
        <v/>
      </c>
      <c r="AB78" s="109">
        <f>MAX(0,CONFIG!$B$9-AB75)</f>
        <v/>
      </c>
      <c r="AC78" s="109">
        <f>MAX(0,CONFIG!$B$10-AC75)</f>
        <v/>
      </c>
      <c r="AD78" s="109">
        <f>MAX(0,CONFIG!$B$11-AD75)</f>
        <v/>
      </c>
      <c r="AE78" s="109">
        <f>MAX(0,CONFIG!$B$9-AE75)</f>
        <v/>
      </c>
      <c r="AF78" s="109">
        <f>MAX(0,CONFIG!$B$9-AF75)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MAX(0,CONFIG!$C$9-D76)</f>
        <v/>
      </c>
      <c r="E79" s="109">
        <f>MAX(0,CONFIG!$C$9-E76)</f>
        <v/>
      </c>
      <c r="F79" s="109">
        <f>MAX(0,CONFIG!$C$9-F76)</f>
        <v/>
      </c>
      <c r="G79" s="109">
        <f>MAX(0,CONFIG!$C$9-G76)</f>
        <v/>
      </c>
      <c r="H79" s="109">
        <f>MAX(0,CONFIG!$C$10-H76)</f>
        <v/>
      </c>
      <c r="I79" s="109">
        <f>MAX(0,CONFIG!$C$11-I76)</f>
        <v/>
      </c>
      <c r="J79" s="109">
        <f>MAX(0,CONFIG!$C$9-J76)</f>
        <v/>
      </c>
      <c r="K79" s="109">
        <f>MAX(0,CONFIG!$C$9-K76)</f>
        <v/>
      </c>
      <c r="L79" s="109">
        <f>MAX(0,CONFIG!$C$9-L76)</f>
        <v/>
      </c>
      <c r="M79" s="109">
        <f>MAX(0,CONFIG!$C$9-M76)</f>
        <v/>
      </c>
      <c r="N79" s="109">
        <f>MAX(0,CONFIG!$C$9-N76)</f>
        <v/>
      </c>
      <c r="O79" s="109">
        <f>MAX(0,CONFIG!$C$10-O76)</f>
        <v/>
      </c>
      <c r="P79" s="109">
        <f>MAX(0,CONFIG!$C$11-P76)</f>
        <v/>
      </c>
      <c r="Q79" s="109">
        <f>MAX(0,CONFIG!$C$9-Q76)</f>
        <v/>
      </c>
      <c r="R79" s="109">
        <f>MAX(0,CONFIG!$C$9-R76)</f>
        <v/>
      </c>
      <c r="S79" s="109">
        <f>MAX(0,CONFIG!$C$9-S76)</f>
        <v/>
      </c>
      <c r="T79" s="109">
        <f>MAX(0,CONFIG!$C$9-T76)</f>
        <v/>
      </c>
      <c r="U79" s="109">
        <f>MAX(0,CONFIG!$C$9-U76)</f>
        <v/>
      </c>
      <c r="V79" s="109">
        <f>MAX(0,CONFIG!$C$10-V76)</f>
        <v/>
      </c>
      <c r="W79" s="109">
        <f>MAX(0,CONFIG!$C$11-W76)</f>
        <v/>
      </c>
      <c r="X79" s="109">
        <f>MAX(0,CONFIG!$C$9-X76)</f>
        <v/>
      </c>
      <c r="Y79" s="109">
        <f>MAX(0,CONFIG!$C$9-Y76)</f>
        <v/>
      </c>
      <c r="Z79" s="109">
        <f>MAX(0,CONFIG!$C$9-Z76)</f>
        <v/>
      </c>
      <c r="AA79" s="109">
        <f>MAX(0,CONFIG!$C$9-AA76)</f>
        <v/>
      </c>
      <c r="AB79" s="109">
        <f>MAX(0,CONFIG!$C$9-AB76)</f>
        <v/>
      </c>
      <c r="AC79" s="109">
        <f>MAX(0,CONFIG!$C$10-AC76)</f>
        <v/>
      </c>
      <c r="AD79" s="109">
        <f>MAX(0,CONFIG!$C$11-AD76)</f>
        <v/>
      </c>
      <c r="AE79" s="109">
        <f>MAX(0,CONFIG!$C$9-AE76)</f>
        <v/>
      </c>
      <c r="AF79" s="109">
        <f>MAX(0,CONFIG!$C$9-AF76)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MAX(0,CONFIG!$D$9-D77)</f>
        <v/>
      </c>
      <c r="E80" s="109">
        <f>MAX(0,CONFIG!$D$9-E77)</f>
        <v/>
      </c>
      <c r="F80" s="109">
        <f>MAX(0,CONFIG!$D$9-F77)</f>
        <v/>
      </c>
      <c r="G80" s="109">
        <f>MAX(0,CONFIG!$D$9-G77)</f>
        <v/>
      </c>
      <c r="H80" s="109">
        <f>MAX(0,CONFIG!$D$10-H77)</f>
        <v/>
      </c>
      <c r="I80" s="109">
        <f>MAX(0,CONFIG!$D$11-I77)</f>
        <v/>
      </c>
      <c r="J80" s="109">
        <f>MAX(0,CONFIG!$D$9-J77)</f>
        <v/>
      </c>
      <c r="K80" s="109">
        <f>MAX(0,CONFIG!$D$9-K77)</f>
        <v/>
      </c>
      <c r="L80" s="109">
        <f>MAX(0,CONFIG!$D$9-L77)</f>
        <v/>
      </c>
      <c r="M80" s="109">
        <f>MAX(0,CONFIG!$D$9-M77)</f>
        <v/>
      </c>
      <c r="N80" s="109">
        <f>MAX(0,CONFIG!$D$9-N77)</f>
        <v/>
      </c>
      <c r="O80" s="109">
        <f>MAX(0,CONFIG!$D$10-O77)</f>
        <v/>
      </c>
      <c r="P80" s="109">
        <f>MAX(0,CONFIG!$D$11-P77)</f>
        <v/>
      </c>
      <c r="Q80" s="109">
        <f>MAX(0,CONFIG!$D$9-Q77)</f>
        <v/>
      </c>
      <c r="R80" s="109">
        <f>MAX(0,CONFIG!$D$9-R77)</f>
        <v/>
      </c>
      <c r="S80" s="109">
        <f>MAX(0,CONFIG!$D$9-S77)</f>
        <v/>
      </c>
      <c r="T80" s="109">
        <f>MAX(0,CONFIG!$D$9-T77)</f>
        <v/>
      </c>
      <c r="U80" s="109">
        <f>MAX(0,CONFIG!$D$9-U77)</f>
        <v/>
      </c>
      <c r="V80" s="109">
        <f>MAX(0,CONFIG!$D$10-V77)</f>
        <v/>
      </c>
      <c r="W80" s="109">
        <f>MAX(0,CONFIG!$D$11-W77)</f>
        <v/>
      </c>
      <c r="X80" s="109">
        <f>MAX(0,CONFIG!$D$9-X77)</f>
        <v/>
      </c>
      <c r="Y80" s="109">
        <f>MAX(0,CONFIG!$D$9-Y77)</f>
        <v/>
      </c>
      <c r="Z80" s="109">
        <f>MAX(0,CONFIG!$D$9-Z77)</f>
        <v/>
      </c>
      <c r="AA80" s="109">
        <f>MAX(0,CONFIG!$D$9-AA77)</f>
        <v/>
      </c>
      <c r="AB80" s="109">
        <f>MAX(0,CONFIG!$D$9-AB77)</f>
        <v/>
      </c>
      <c r="AC80" s="109">
        <f>MAX(0,CONFIG!$D$10-AC77)</f>
        <v/>
      </c>
      <c r="AD80" s="109">
        <f>MAX(0,CONFIG!$D$11-AD77)</f>
        <v/>
      </c>
      <c r="AE80" s="109">
        <f>MAX(0,CONFIG!$D$9-AE77)</f>
        <v/>
      </c>
      <c r="AF80" s="109">
        <f>MAX(0,CONFIG!$D$9-AF77)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julho · 2026</t>
        </is>
      </c>
      <c r="C1" s="88" t="inlineStr">
        <is>
          <t>códigos Senior</t>
        </is>
      </c>
    </row>
    <row r="2">
      <c r="C2" s="90" t="n">
        <v>1</v>
      </c>
      <c r="D2" s="90" t="n">
        <v>2</v>
      </c>
      <c r="E2" s="90" t="n">
        <v>3</v>
      </c>
      <c r="F2" s="91" t="n">
        <v>4</v>
      </c>
      <c r="G2" s="91" t="n">
        <v>5</v>
      </c>
      <c r="H2" s="90" t="n">
        <v>6</v>
      </c>
      <c r="I2" s="90" t="n">
        <v>7</v>
      </c>
      <c r="J2" s="90" t="n">
        <v>8</v>
      </c>
      <c r="K2" s="90" t="n">
        <v>9</v>
      </c>
      <c r="L2" s="90" t="n">
        <v>10</v>
      </c>
      <c r="M2" s="91" t="n">
        <v>11</v>
      </c>
      <c r="N2" s="91" t="n">
        <v>12</v>
      </c>
      <c r="O2" s="90" t="n">
        <v>13</v>
      </c>
      <c r="P2" s="90" t="n">
        <v>14</v>
      </c>
      <c r="Q2" s="90" t="n">
        <v>15</v>
      </c>
      <c r="R2" s="90" t="n">
        <v>16</v>
      </c>
      <c r="S2" s="90" t="n">
        <v>17</v>
      </c>
      <c r="T2" s="91" t="n">
        <v>18</v>
      </c>
      <c r="U2" s="91" t="n">
        <v>19</v>
      </c>
      <c r="V2" s="90" t="n">
        <v>20</v>
      </c>
      <c r="W2" s="90" t="n">
        <v>21</v>
      </c>
      <c r="X2" s="90" t="n">
        <v>22</v>
      </c>
      <c r="Y2" s="90" t="n">
        <v>23</v>
      </c>
      <c r="Z2" s="90" t="n">
        <v>24</v>
      </c>
      <c r="AA2" s="91" t="n">
        <v>25</v>
      </c>
      <c r="AB2" s="91" t="n">
        <v>26</v>
      </c>
      <c r="AC2" s="90" t="n">
        <v>27</v>
      </c>
      <c r="AD2" s="90" t="n">
        <v>28</v>
      </c>
      <c r="AE2" s="90" t="n">
        <v>29</v>
      </c>
      <c r="AF2" s="90" t="n">
        <v>30</v>
      </c>
      <c r="AG2" s="90" t="n">
        <v>31</v>
      </c>
    </row>
    <row r="3">
      <c r="C3" s="93" t="inlineStr">
        <is>
          <t>qua</t>
        </is>
      </c>
      <c r="D3" s="93" t="inlineStr">
        <is>
          <t>qui</t>
        </is>
      </c>
      <c r="E3" s="93" t="inlineStr">
        <is>
          <t>sex</t>
        </is>
      </c>
      <c r="F3" s="94" t="inlineStr">
        <is>
          <t>sáb</t>
        </is>
      </c>
      <c r="G3" s="94" t="inlineStr">
        <is>
          <t>dom</t>
        </is>
      </c>
      <c r="H3" s="93" t="inlineStr">
        <is>
          <t>seg</t>
        </is>
      </c>
      <c r="I3" s="93" t="inlineStr">
        <is>
          <t>ter</t>
        </is>
      </c>
      <c r="J3" s="93" t="inlineStr">
        <is>
          <t>qua</t>
        </is>
      </c>
      <c r="K3" s="93" t="inlineStr">
        <is>
          <t>qui</t>
        </is>
      </c>
      <c r="L3" s="93" t="inlineStr">
        <is>
          <t>sex</t>
        </is>
      </c>
      <c r="M3" s="94" t="inlineStr">
        <is>
          <t>sáb</t>
        </is>
      </c>
      <c r="N3" s="94" t="inlineStr">
        <is>
          <t>dom</t>
        </is>
      </c>
      <c r="O3" s="93" t="inlineStr">
        <is>
          <t>seg</t>
        </is>
      </c>
      <c r="P3" s="93" t="inlineStr">
        <is>
          <t>ter</t>
        </is>
      </c>
      <c r="Q3" s="93" t="inlineStr">
        <is>
          <t>qua</t>
        </is>
      </c>
      <c r="R3" s="93" t="inlineStr">
        <is>
          <t>qui</t>
        </is>
      </c>
      <c r="S3" s="93" t="inlineStr">
        <is>
          <t>sex</t>
        </is>
      </c>
      <c r="T3" s="94" t="inlineStr">
        <is>
          <t>sáb</t>
        </is>
      </c>
      <c r="U3" s="94" t="inlineStr">
        <is>
          <t>dom</t>
        </is>
      </c>
      <c r="V3" s="93" t="inlineStr">
        <is>
          <t>seg</t>
        </is>
      </c>
      <c r="W3" s="93" t="inlineStr">
        <is>
          <t>ter</t>
        </is>
      </c>
      <c r="X3" s="93" t="inlineStr">
        <is>
          <t>qua</t>
        </is>
      </c>
      <c r="Y3" s="93" t="inlineStr">
        <is>
          <t>qui</t>
        </is>
      </c>
      <c r="Z3" s="93" t="inlineStr">
        <is>
          <t>sex</t>
        </is>
      </c>
      <c r="AA3" s="94" t="inlineStr">
        <is>
          <t>sáb</t>
        </is>
      </c>
      <c r="AB3" s="94" t="inlineStr">
        <is>
          <t>dom</t>
        </is>
      </c>
      <c r="AC3" s="93" t="inlineStr">
        <is>
          <t>seg</t>
        </is>
      </c>
      <c r="AD3" s="93" t="inlineStr">
        <is>
          <t>ter</t>
        </is>
      </c>
      <c r="AE3" s="93" t="inlineStr">
        <is>
          <t>qua</t>
        </is>
      </c>
      <c r="AF3" s="93" t="inlineStr">
        <is>
          <t>qui</t>
        </is>
      </c>
      <c r="AG3" s="93" t="inlineStr">
        <is>
          <t>sex</t>
        </is>
      </c>
    </row>
    <row r="4" hidden="1">
      <c r="A4" t="inlineStr">
        <is>
          <t>máscara fds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98" t="inlineStr">
        <is>
          <t>M</t>
        </is>
      </c>
      <c r="E8" s="98" t="inlineStr">
        <is>
          <t>M</t>
        </is>
      </c>
      <c r="F8" s="97" t="n"/>
      <c r="G8" s="97" t="n"/>
      <c r="H8" s="98" t="inlineStr">
        <is>
          <t>M</t>
        </is>
      </c>
      <c r="I8" s="97" t="n"/>
      <c r="J8" s="111" t="inlineStr">
        <is>
          <t>C</t>
        </is>
      </c>
      <c r="K8" s="111" t="inlineStr">
        <is>
          <t>C</t>
        </is>
      </c>
      <c r="L8" s="98" t="inlineStr">
        <is>
          <t>M</t>
        </is>
      </c>
      <c r="M8" s="98" t="inlineStr">
        <is>
          <t>M</t>
        </is>
      </c>
      <c r="N8" s="98" t="inlineStr">
        <is>
          <t>M</t>
        </is>
      </c>
      <c r="O8" s="97" t="n"/>
      <c r="P8" s="97" t="n"/>
      <c r="Q8" s="111" t="inlineStr">
        <is>
          <t>C</t>
        </is>
      </c>
      <c r="R8" s="111" t="inlineStr">
        <is>
          <t>C</t>
        </is>
      </c>
      <c r="S8" s="98" t="inlineStr">
        <is>
          <t>M</t>
        </is>
      </c>
      <c r="T8" s="98" t="inlineStr">
        <is>
          <t>M</t>
        </is>
      </c>
      <c r="U8" s="98" t="inlineStr">
        <is>
          <t>M</t>
        </is>
      </c>
      <c r="V8" s="97" t="n"/>
      <c r="W8" s="97" t="n"/>
      <c r="X8" s="111" t="inlineStr">
        <is>
          <t>C</t>
        </is>
      </c>
      <c r="Y8" s="111" t="inlineStr">
        <is>
          <t>C</t>
        </is>
      </c>
      <c r="Z8" s="98" t="inlineStr">
        <is>
          <t>M</t>
        </is>
      </c>
      <c r="AA8" s="98" t="inlineStr">
        <is>
          <t>M</t>
        </is>
      </c>
      <c r="AB8" s="98" t="inlineStr">
        <is>
          <t>M</t>
        </is>
      </c>
      <c r="AC8" s="98" t="inlineStr">
        <is>
          <t>M</t>
        </is>
      </c>
      <c r="AD8" s="97" t="n"/>
      <c r="AE8" s="111" t="inlineStr">
        <is>
          <t>C</t>
        </is>
      </c>
      <c r="AF8" s="111" t="inlineStr">
        <is>
          <t>C</t>
        </is>
      </c>
      <c r="AG8" s="98" t="inlineStr">
        <is>
          <t>M</t>
        </is>
      </c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8" t="inlineStr">
        <is>
          <t>M</t>
        </is>
      </c>
      <c r="D9" s="111" t="inlineStr">
        <is>
          <t>C</t>
        </is>
      </c>
      <c r="E9" s="98" t="inlineStr">
        <is>
          <t>M</t>
        </is>
      </c>
      <c r="F9" s="97" t="n"/>
      <c r="G9" s="97" t="n"/>
      <c r="H9" s="97" t="n"/>
      <c r="I9" s="97" t="n"/>
      <c r="J9" s="98" t="inlineStr">
        <is>
          <t>M</t>
        </is>
      </c>
      <c r="K9" s="98" t="inlineStr">
        <is>
          <t>M</t>
        </is>
      </c>
      <c r="L9" s="98" t="inlineStr">
        <is>
          <t>M</t>
        </is>
      </c>
      <c r="M9" s="111" t="inlineStr">
        <is>
          <t>C</t>
        </is>
      </c>
      <c r="N9" s="98" t="inlineStr">
        <is>
          <t>M</t>
        </is>
      </c>
      <c r="O9" s="98" t="inlineStr">
        <is>
          <t>M</t>
        </is>
      </c>
      <c r="P9" s="97" t="n"/>
      <c r="Q9" s="98" t="inlineStr">
        <is>
          <t>M</t>
        </is>
      </c>
      <c r="R9" s="98" t="inlineStr">
        <is>
          <t>M</t>
        </is>
      </c>
      <c r="S9" s="98" t="inlineStr">
        <is>
          <t>M</t>
        </is>
      </c>
      <c r="T9" s="111" t="inlineStr">
        <is>
          <t>C</t>
        </is>
      </c>
      <c r="U9" s="98" t="inlineStr">
        <is>
          <t>M</t>
        </is>
      </c>
      <c r="V9" s="97" t="n"/>
      <c r="W9" s="97" t="n"/>
      <c r="X9" s="98" t="inlineStr">
        <is>
          <t>M</t>
        </is>
      </c>
      <c r="Y9" s="98" t="inlineStr">
        <is>
          <t>M</t>
        </is>
      </c>
      <c r="Z9" s="98" t="inlineStr">
        <is>
          <t>M</t>
        </is>
      </c>
      <c r="AA9" s="111" t="inlineStr">
        <is>
          <t>C</t>
        </is>
      </c>
      <c r="AB9" s="98" t="inlineStr">
        <is>
          <t>M</t>
        </is>
      </c>
      <c r="AC9" s="97" t="n"/>
      <c r="AD9" s="97" t="n"/>
      <c r="AE9" s="98" t="inlineStr">
        <is>
          <t>M</t>
        </is>
      </c>
      <c r="AF9" s="98" t="inlineStr">
        <is>
          <t>M</t>
        </is>
      </c>
      <c r="AG9" s="98" t="inlineStr">
        <is>
          <t>M</t>
        </is>
      </c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111" t="inlineStr">
        <is>
          <t>C</t>
        </is>
      </c>
      <c r="D10" s="98" t="inlineStr">
        <is>
          <t>M</t>
        </is>
      </c>
      <c r="E10" s="98" t="inlineStr">
        <is>
          <t>M</t>
        </is>
      </c>
      <c r="F10" s="97" t="n"/>
      <c r="G10" s="97" t="n"/>
      <c r="H10" s="97" t="n"/>
      <c r="I10" s="97" t="n"/>
      <c r="J10" s="114" t="inlineStr">
        <is>
          <t>LM</t>
        </is>
      </c>
      <c r="K10" s="114" t="inlineStr">
        <is>
          <t>LM</t>
        </is>
      </c>
      <c r="L10" s="114" t="inlineStr">
        <is>
          <t>LM</t>
        </is>
      </c>
      <c r="M10" s="114" t="inlineStr">
        <is>
          <t>LM</t>
        </is>
      </c>
      <c r="N10" s="114" t="inlineStr">
        <is>
          <t>LM</t>
        </is>
      </c>
      <c r="O10" s="97" t="n"/>
      <c r="P10" s="97" t="n"/>
      <c r="Q10" s="98" t="inlineStr">
        <is>
          <t>M</t>
        </is>
      </c>
      <c r="R10" s="98" t="inlineStr">
        <is>
          <t>M</t>
        </is>
      </c>
      <c r="S10" s="111" t="inlineStr">
        <is>
          <t>C</t>
        </is>
      </c>
      <c r="T10" s="98" t="inlineStr">
        <is>
          <t>M</t>
        </is>
      </c>
      <c r="U10" s="98" t="inlineStr">
        <is>
          <t>M</t>
        </is>
      </c>
      <c r="V10" s="98" t="inlineStr">
        <is>
          <t>M</t>
        </is>
      </c>
      <c r="W10" s="97" t="n"/>
      <c r="X10" s="98" t="inlineStr">
        <is>
          <t>M</t>
        </is>
      </c>
      <c r="Y10" s="98" t="inlineStr">
        <is>
          <t>M</t>
        </is>
      </c>
      <c r="Z10" s="111" t="inlineStr">
        <is>
          <t>C</t>
        </is>
      </c>
      <c r="AA10" s="98" t="inlineStr">
        <is>
          <t>M</t>
        </is>
      </c>
      <c r="AB10" s="98" t="inlineStr">
        <is>
          <t>M</t>
        </is>
      </c>
      <c r="AC10" s="97" t="n"/>
      <c r="AD10" s="97" t="n"/>
      <c r="AE10" s="98" t="inlineStr">
        <is>
          <t>M</t>
        </is>
      </c>
      <c r="AF10" s="98" t="inlineStr">
        <is>
          <t>M</t>
        </is>
      </c>
      <c r="AG10" s="111" t="inlineStr">
        <is>
          <t>C</t>
        </is>
      </c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8" t="inlineStr">
        <is>
          <t>M</t>
        </is>
      </c>
      <c r="D11" s="98" t="inlineStr">
        <is>
          <t>M</t>
        </is>
      </c>
      <c r="E11" s="98" t="inlineStr">
        <is>
          <t>M</t>
        </is>
      </c>
      <c r="F11" s="103" t="inlineStr">
        <is>
          <t>N</t>
        </is>
      </c>
      <c r="G11" s="97" t="n"/>
      <c r="H11" s="98" t="inlineStr">
        <is>
          <t>M</t>
        </is>
      </c>
      <c r="I11" s="102" t="inlineStr">
        <is>
          <t>D</t>
        </is>
      </c>
      <c r="J11" s="98" t="inlineStr">
        <is>
          <t>M</t>
        </is>
      </c>
      <c r="K11" s="98" t="inlineStr">
        <is>
          <t>M</t>
        </is>
      </c>
      <c r="L11" s="98" t="inlineStr">
        <is>
          <t>M</t>
        </is>
      </c>
      <c r="M11" s="97" t="n"/>
      <c r="N11" s="97" t="n"/>
      <c r="O11" s="98" t="inlineStr">
        <is>
          <t>M</t>
        </is>
      </c>
      <c r="P11" s="98" t="inlineStr">
        <is>
          <t>M</t>
        </is>
      </c>
      <c r="Q11" s="98" t="inlineStr">
        <is>
          <t>M</t>
        </is>
      </c>
      <c r="R11" s="98" t="inlineStr">
        <is>
          <t>M</t>
        </is>
      </c>
      <c r="S11" s="98" t="inlineStr">
        <is>
          <t>M</t>
        </is>
      </c>
      <c r="T11" s="97" t="n"/>
      <c r="U11" s="103" t="inlineStr">
        <is>
          <t>N</t>
        </is>
      </c>
      <c r="V11" s="98" t="inlineStr">
        <is>
          <t>M</t>
        </is>
      </c>
      <c r="W11" s="102" t="inlineStr">
        <is>
          <t>D</t>
        </is>
      </c>
      <c r="X11" s="98" t="inlineStr">
        <is>
          <t>M</t>
        </is>
      </c>
      <c r="Y11" s="102" t="inlineStr">
        <is>
          <t>D</t>
        </is>
      </c>
      <c r="Z11" s="98" t="inlineStr">
        <is>
          <t>M</t>
        </is>
      </c>
      <c r="AA11" s="97" t="n"/>
      <c r="AB11" s="97" t="n"/>
      <c r="AC11" s="98" t="inlineStr">
        <is>
          <t>M</t>
        </is>
      </c>
      <c r="AD11" s="98" t="inlineStr">
        <is>
          <t>M</t>
        </is>
      </c>
      <c r="AE11" s="98" t="inlineStr">
        <is>
          <t>M</t>
        </is>
      </c>
      <c r="AF11" s="98" t="inlineStr">
        <is>
          <t>M</t>
        </is>
      </c>
      <c r="AG11" s="98" t="inlineStr">
        <is>
          <t>M</t>
        </is>
      </c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8" t="inlineStr">
        <is>
          <t>M</t>
        </is>
      </c>
      <c r="D12" s="102" t="inlineStr">
        <is>
          <t>D</t>
        </is>
      </c>
      <c r="E12" s="98" t="inlineStr">
        <is>
          <t>M</t>
        </is>
      </c>
      <c r="F12" s="97" t="n"/>
      <c r="G12" s="97" t="n"/>
      <c r="H12" s="102" t="inlineStr">
        <is>
          <t>D</t>
        </is>
      </c>
      <c r="I12" s="102" t="inlineStr">
        <is>
          <t>D</t>
        </is>
      </c>
      <c r="J12" s="102" t="inlineStr">
        <is>
          <t>D</t>
        </is>
      </c>
      <c r="K12" s="97" t="n"/>
      <c r="L12" s="97" t="n"/>
      <c r="M12" s="97" t="n"/>
      <c r="N12" s="97" t="n"/>
      <c r="O12" s="104" t="inlineStr">
        <is>
          <t>T</t>
        </is>
      </c>
      <c r="P12" s="98" t="inlineStr">
        <is>
          <t>M</t>
        </is>
      </c>
      <c r="Q12" s="98" t="inlineStr">
        <is>
          <t>M</t>
        </is>
      </c>
      <c r="R12" s="98" t="inlineStr">
        <is>
          <t>M</t>
        </is>
      </c>
      <c r="S12" s="98" t="inlineStr">
        <is>
          <t>M</t>
        </is>
      </c>
      <c r="T12" s="102" t="inlineStr">
        <is>
          <t>D</t>
        </is>
      </c>
      <c r="U12" s="97" t="n"/>
      <c r="V12" s="98" t="inlineStr">
        <is>
          <t>M</t>
        </is>
      </c>
      <c r="W12" s="98" t="inlineStr">
        <is>
          <t>M</t>
        </is>
      </c>
      <c r="X12" s="98" t="inlineStr">
        <is>
          <t>M</t>
        </is>
      </c>
      <c r="Y12" s="98" t="inlineStr">
        <is>
          <t>M</t>
        </is>
      </c>
      <c r="Z12" s="98" t="inlineStr">
        <is>
          <t>M</t>
        </is>
      </c>
      <c r="AA12" s="102" t="inlineStr">
        <is>
          <t>D</t>
        </is>
      </c>
      <c r="AB12" s="98" t="inlineStr">
        <is>
          <t>M</t>
        </is>
      </c>
      <c r="AC12" s="98" t="inlineStr">
        <is>
          <t>M</t>
        </is>
      </c>
      <c r="AD12" s="102" t="inlineStr">
        <is>
          <t>D</t>
        </is>
      </c>
      <c r="AE12" s="98" t="inlineStr">
        <is>
          <t>M</t>
        </is>
      </c>
      <c r="AF12" s="98" t="inlineStr">
        <is>
          <t>M</t>
        </is>
      </c>
      <c r="AG12" s="98" t="inlineStr">
        <is>
          <t>M</t>
        </is>
      </c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98" t="inlineStr">
        <is>
          <t>M</t>
        </is>
      </c>
      <c r="E13" s="98" t="inlineStr">
        <is>
          <t>M</t>
        </is>
      </c>
      <c r="F13" s="103" t="inlineStr">
        <is>
          <t>N</t>
        </is>
      </c>
      <c r="G13" s="97" t="n"/>
      <c r="H13" s="98" t="inlineStr">
        <is>
          <t>M</t>
        </is>
      </c>
      <c r="I13" s="98" t="inlineStr">
        <is>
          <t>M</t>
        </is>
      </c>
      <c r="J13" s="98" t="inlineStr">
        <is>
          <t>M</t>
        </is>
      </c>
      <c r="K13" s="98" t="inlineStr">
        <is>
          <t>M</t>
        </is>
      </c>
      <c r="L13" s="98" t="inlineStr">
        <is>
          <t>M</t>
        </is>
      </c>
      <c r="M13" s="97" t="n"/>
      <c r="N13" s="97" t="n"/>
      <c r="O13" s="98" t="inlineStr">
        <is>
          <t>M</t>
        </is>
      </c>
      <c r="P13" s="98" t="inlineStr">
        <is>
          <t>M</t>
        </is>
      </c>
      <c r="Q13" s="98" t="inlineStr">
        <is>
          <t>M</t>
        </is>
      </c>
      <c r="R13" s="98" t="inlineStr">
        <is>
          <t>M</t>
        </is>
      </c>
      <c r="S13" s="98" t="inlineStr">
        <is>
          <t>M</t>
        </is>
      </c>
      <c r="T13" s="102" t="inlineStr">
        <is>
          <t>D</t>
        </is>
      </c>
      <c r="U13" s="97" t="n"/>
      <c r="V13" s="115" t="inlineStr">
        <is>
          <t>FE</t>
        </is>
      </c>
      <c r="W13" s="115" t="inlineStr">
        <is>
          <t>FE</t>
        </is>
      </c>
      <c r="X13" s="115" t="inlineStr">
        <is>
          <t>FE</t>
        </is>
      </c>
      <c r="Y13" s="115" t="inlineStr">
        <is>
          <t>FE</t>
        </is>
      </c>
      <c r="Z13" s="115" t="inlineStr">
        <is>
          <t>FE</t>
        </is>
      </c>
      <c r="AA13" s="115" t="inlineStr">
        <is>
          <t>FE</t>
        </is>
      </c>
      <c r="AB13" s="115" t="inlineStr">
        <is>
          <t>FE</t>
        </is>
      </c>
      <c r="AC13" s="115" t="inlineStr">
        <is>
          <t>FE</t>
        </is>
      </c>
      <c r="AD13" s="115" t="inlineStr">
        <is>
          <t>FE</t>
        </is>
      </c>
      <c r="AE13" s="115" t="inlineStr">
        <is>
          <t>FE</t>
        </is>
      </c>
      <c r="AF13" s="115" t="inlineStr">
        <is>
          <t>FE</t>
        </is>
      </c>
      <c r="AG13" s="115" t="inlineStr">
        <is>
          <t>FE</t>
        </is>
      </c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115" t="inlineStr">
        <is>
          <t>FE</t>
        </is>
      </c>
      <c r="D14" s="115" t="inlineStr">
        <is>
          <t>FE</t>
        </is>
      </c>
      <c r="E14" s="115" t="inlineStr">
        <is>
          <t>FE</t>
        </is>
      </c>
      <c r="F14" s="115" t="inlineStr">
        <is>
          <t>FE</t>
        </is>
      </c>
      <c r="G14" s="115" t="inlineStr">
        <is>
          <t>FE</t>
        </is>
      </c>
      <c r="H14" s="115" t="inlineStr">
        <is>
          <t>FE</t>
        </is>
      </c>
      <c r="I14" s="115" t="inlineStr">
        <is>
          <t>FE</t>
        </is>
      </c>
      <c r="J14" s="115" t="inlineStr">
        <is>
          <t>FE</t>
        </is>
      </c>
      <c r="K14" s="115" t="inlineStr">
        <is>
          <t>FE</t>
        </is>
      </c>
      <c r="L14" s="115" t="inlineStr">
        <is>
          <t>FE</t>
        </is>
      </c>
      <c r="M14" s="115" t="inlineStr">
        <is>
          <t>FE</t>
        </is>
      </c>
      <c r="N14" s="115" t="inlineStr">
        <is>
          <t>FE</t>
        </is>
      </c>
      <c r="O14" s="115" t="inlineStr">
        <is>
          <t>FE</t>
        </is>
      </c>
      <c r="P14" s="97" t="n"/>
      <c r="Q14" s="98" t="inlineStr">
        <is>
          <t>M</t>
        </is>
      </c>
      <c r="R14" s="98" t="inlineStr">
        <is>
          <t>M</t>
        </is>
      </c>
      <c r="S14" s="104" t="inlineStr">
        <is>
          <t>T</t>
        </is>
      </c>
      <c r="T14" s="104" t="inlineStr">
        <is>
          <t>T</t>
        </is>
      </c>
      <c r="U14" s="98" t="inlineStr">
        <is>
          <t>M</t>
        </is>
      </c>
      <c r="V14" s="98" t="inlineStr">
        <is>
          <t>M</t>
        </is>
      </c>
      <c r="W14" s="98" t="inlineStr">
        <is>
          <t>M</t>
        </is>
      </c>
      <c r="X14" s="98" t="inlineStr">
        <is>
          <t>M</t>
        </is>
      </c>
      <c r="Y14" s="98" t="inlineStr">
        <is>
          <t>M</t>
        </is>
      </c>
      <c r="Z14" s="104" t="inlineStr">
        <is>
          <t>T</t>
        </is>
      </c>
      <c r="AA14" s="97" t="n"/>
      <c r="AB14" s="104" t="inlineStr">
        <is>
          <t>T</t>
        </is>
      </c>
      <c r="AC14" s="98" t="inlineStr">
        <is>
          <t>M</t>
        </is>
      </c>
      <c r="AD14" s="104" t="inlineStr">
        <is>
          <t>T</t>
        </is>
      </c>
      <c r="AE14" s="97" t="n"/>
      <c r="AF14" s="98" t="inlineStr">
        <is>
          <t>M</t>
        </is>
      </c>
      <c r="AG14" s="98" t="inlineStr">
        <is>
          <t>M</t>
        </is>
      </c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97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16" t="inlineStr">
        <is>
          <t>J</t>
        </is>
      </c>
      <c r="D16" s="116" t="inlineStr">
        <is>
          <t>J</t>
        </is>
      </c>
      <c r="E16" s="116" t="inlineStr">
        <is>
          <t>J</t>
        </is>
      </c>
      <c r="F16" s="116" t="inlineStr">
        <is>
          <t>J</t>
        </is>
      </c>
      <c r="G16" s="97" t="n"/>
      <c r="H16" s="116" t="inlineStr">
        <is>
          <t>J</t>
        </is>
      </c>
      <c r="I16" s="116" t="inlineStr">
        <is>
          <t>J</t>
        </is>
      </c>
      <c r="J16" s="116" t="inlineStr">
        <is>
          <t>J</t>
        </is>
      </c>
      <c r="K16" s="116" t="inlineStr">
        <is>
          <t>J</t>
        </is>
      </c>
      <c r="L16" s="116" t="inlineStr">
        <is>
          <t>J</t>
        </is>
      </c>
      <c r="M16" s="116" t="inlineStr">
        <is>
          <t>J</t>
        </is>
      </c>
      <c r="N16" s="97" t="n"/>
      <c r="O16" s="116" t="inlineStr">
        <is>
          <t>J</t>
        </is>
      </c>
      <c r="P16" s="116" t="inlineStr">
        <is>
          <t>J</t>
        </is>
      </c>
      <c r="Q16" s="116" t="inlineStr">
        <is>
          <t>J</t>
        </is>
      </c>
      <c r="R16" s="116" t="inlineStr">
        <is>
          <t>J</t>
        </is>
      </c>
      <c r="S16" s="116" t="inlineStr">
        <is>
          <t>J</t>
        </is>
      </c>
      <c r="T16" s="116" t="inlineStr">
        <is>
          <t>J</t>
        </is>
      </c>
      <c r="U16" s="97" t="n"/>
      <c r="V16" s="116" t="inlineStr">
        <is>
          <t>J</t>
        </is>
      </c>
      <c r="W16" s="116" t="inlineStr">
        <is>
          <t>J</t>
        </is>
      </c>
      <c r="X16" s="116" t="inlineStr">
        <is>
          <t>J</t>
        </is>
      </c>
      <c r="Y16" s="116" t="inlineStr">
        <is>
          <t>J</t>
        </is>
      </c>
      <c r="Z16" s="116" t="inlineStr">
        <is>
          <t>J</t>
        </is>
      </c>
      <c r="AA16" s="116" t="inlineStr">
        <is>
          <t>J</t>
        </is>
      </c>
      <c r="AB16" s="97" t="n"/>
      <c r="AC16" s="116" t="inlineStr">
        <is>
          <t>J</t>
        </is>
      </c>
      <c r="AD16" s="116" t="inlineStr">
        <is>
          <t>J</t>
        </is>
      </c>
      <c r="AE16" s="116" t="inlineStr">
        <is>
          <t>J</t>
        </is>
      </c>
      <c r="AF16" s="116" t="inlineStr">
        <is>
          <t>J</t>
        </is>
      </c>
      <c r="AG16" s="116" t="inlineStr">
        <is>
          <t>J</t>
        </is>
      </c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104" t="inlineStr">
        <is>
          <t>T</t>
        </is>
      </c>
      <c r="D17" s="112" t="inlineStr">
        <is>
          <t>E</t>
        </is>
      </c>
      <c r="E17" s="103" t="inlineStr">
        <is>
          <t>N</t>
        </is>
      </c>
      <c r="F17" s="97" t="n"/>
      <c r="G17" s="97" t="n"/>
      <c r="H17" s="104" t="inlineStr">
        <is>
          <t>T</t>
        </is>
      </c>
      <c r="I17" s="111" t="inlineStr">
        <is>
          <t>C</t>
        </is>
      </c>
      <c r="J17" s="102" t="inlineStr">
        <is>
          <t>D</t>
        </is>
      </c>
      <c r="K17" s="103" t="inlineStr">
        <is>
          <t>N</t>
        </is>
      </c>
      <c r="L17" s="97" t="n"/>
      <c r="M17" s="97" t="n"/>
      <c r="N17" s="97" t="n"/>
      <c r="O17" s="103" t="inlineStr">
        <is>
          <t>N</t>
        </is>
      </c>
      <c r="P17" s="112" t="inlineStr">
        <is>
          <t>E</t>
        </is>
      </c>
      <c r="Q17" s="104" t="inlineStr">
        <is>
          <t>T</t>
        </is>
      </c>
      <c r="R17" s="97" t="n"/>
      <c r="S17" s="104" t="inlineStr">
        <is>
          <t>T</t>
        </is>
      </c>
      <c r="T17" s="103" t="inlineStr">
        <is>
          <t>N</t>
        </is>
      </c>
      <c r="U17" s="97" t="n"/>
      <c r="V17" s="104" t="inlineStr">
        <is>
          <t>T</t>
        </is>
      </c>
      <c r="W17" s="112" t="inlineStr">
        <is>
          <t>E</t>
        </is>
      </c>
      <c r="X17" s="103" t="inlineStr">
        <is>
          <t>N</t>
        </is>
      </c>
      <c r="Y17" s="104" t="inlineStr">
        <is>
          <t>T</t>
        </is>
      </c>
      <c r="Z17" s="104" t="inlineStr">
        <is>
          <t>T</t>
        </is>
      </c>
      <c r="AA17" s="98" t="inlineStr">
        <is>
          <t>M</t>
        </is>
      </c>
      <c r="AB17" s="97" t="n"/>
      <c r="AC17" s="103" t="inlineStr">
        <is>
          <t>N</t>
        </is>
      </c>
      <c r="AD17" s="112" t="inlineStr">
        <is>
          <t>E</t>
        </is>
      </c>
      <c r="AE17" s="102" t="inlineStr">
        <is>
          <t>D</t>
        </is>
      </c>
      <c r="AF17" s="103" t="inlineStr">
        <is>
          <t>N</t>
        </is>
      </c>
      <c r="AG17" s="97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102" t="inlineStr">
        <is>
          <t>D</t>
        </is>
      </c>
      <c r="D18" s="97" t="n"/>
      <c r="E18" s="97" t="n"/>
      <c r="F18" s="97" t="n"/>
      <c r="G18" s="102" t="inlineStr">
        <is>
          <t>D</t>
        </is>
      </c>
      <c r="H18" s="102" t="inlineStr">
        <is>
          <t>D</t>
        </is>
      </c>
      <c r="I18" s="102" t="inlineStr">
        <is>
          <t>D</t>
        </is>
      </c>
      <c r="J18" s="97" t="n"/>
      <c r="K18" s="97" t="n"/>
      <c r="L18" s="102" t="inlineStr">
        <is>
          <t>D</t>
        </is>
      </c>
      <c r="M18" s="97" t="n"/>
      <c r="N18" s="97" t="n"/>
      <c r="O18" s="115" t="inlineStr">
        <is>
          <t>FE</t>
        </is>
      </c>
      <c r="P18" s="115" t="inlineStr">
        <is>
          <t>FE</t>
        </is>
      </c>
      <c r="Q18" s="115" t="inlineStr">
        <is>
          <t>FE</t>
        </is>
      </c>
      <c r="R18" s="115" t="inlineStr">
        <is>
          <t>FE</t>
        </is>
      </c>
      <c r="S18" s="115" t="inlineStr">
        <is>
          <t>FE</t>
        </is>
      </c>
      <c r="T18" s="115" t="inlineStr">
        <is>
          <t>FE</t>
        </is>
      </c>
      <c r="U18" s="115" t="inlineStr">
        <is>
          <t>FE</t>
        </is>
      </c>
      <c r="V18" s="115" t="inlineStr">
        <is>
          <t>FE</t>
        </is>
      </c>
      <c r="W18" s="115" t="inlineStr">
        <is>
          <t>FE</t>
        </is>
      </c>
      <c r="X18" s="115" t="inlineStr">
        <is>
          <t>FE</t>
        </is>
      </c>
      <c r="Y18" s="115" t="inlineStr">
        <is>
          <t>FE</t>
        </is>
      </c>
      <c r="Z18" s="115" t="inlineStr">
        <is>
          <t>FE</t>
        </is>
      </c>
      <c r="AA18" s="115" t="inlineStr">
        <is>
          <t>FE</t>
        </is>
      </c>
      <c r="AB18" s="115" t="inlineStr">
        <is>
          <t>FE</t>
        </is>
      </c>
      <c r="AC18" s="115" t="inlineStr">
        <is>
          <t>FE</t>
        </is>
      </c>
      <c r="AD18" s="97" t="n"/>
      <c r="AE18" s="104" t="inlineStr">
        <is>
          <t>T</t>
        </is>
      </c>
      <c r="AF18" s="97" t="n"/>
      <c r="AG18" s="103" t="inlineStr">
        <is>
          <t>N</t>
        </is>
      </c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103" t="inlineStr">
        <is>
          <t>N</t>
        </is>
      </c>
      <c r="E19" s="97" t="n"/>
      <c r="F19" s="97" t="n"/>
      <c r="G19" s="97" t="n"/>
      <c r="H19" s="97" t="n"/>
      <c r="I19" s="97" t="n"/>
      <c r="J19" s="103" t="inlineStr">
        <is>
          <t>N</t>
        </is>
      </c>
      <c r="K19" s="103" t="inlineStr">
        <is>
          <t>N</t>
        </is>
      </c>
      <c r="L19" s="97" t="n"/>
      <c r="M19" s="97" t="n"/>
      <c r="N19" s="103" t="inlineStr">
        <is>
          <t>N</t>
        </is>
      </c>
      <c r="O19" s="97" t="n"/>
      <c r="P19" s="97" t="n"/>
      <c r="Q19" s="103" t="inlineStr">
        <is>
          <t>N</t>
        </is>
      </c>
      <c r="R19" s="97" t="n"/>
      <c r="S19" s="103" t="inlineStr">
        <is>
          <t>N</t>
        </is>
      </c>
      <c r="T19" s="97" t="n"/>
      <c r="U19" s="103" t="inlineStr">
        <is>
          <t>N</t>
        </is>
      </c>
      <c r="V19" s="97" t="n"/>
      <c r="W19" s="97" t="n"/>
      <c r="X19" s="103" t="inlineStr">
        <is>
          <t>N</t>
        </is>
      </c>
      <c r="Y19" s="103" t="inlineStr">
        <is>
          <t>N</t>
        </is>
      </c>
      <c r="Z19" s="97" t="n"/>
      <c r="AA19" s="97" t="n"/>
      <c r="AB19" s="103" t="inlineStr">
        <is>
          <t>N</t>
        </is>
      </c>
      <c r="AC19" s="103" t="inlineStr">
        <is>
          <t>N</t>
        </is>
      </c>
      <c r="AD19" s="97" t="n"/>
      <c r="AE19" s="103" t="inlineStr">
        <is>
          <t>N</t>
        </is>
      </c>
      <c r="AF19" s="103" t="inlineStr">
        <is>
          <t>N</t>
        </is>
      </c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97" t="n"/>
      <c r="E20" s="97" t="n"/>
      <c r="F20" s="97" t="n"/>
      <c r="G20" s="97" t="n"/>
      <c r="H20" s="97" t="n"/>
      <c r="I20" s="103" t="inlineStr">
        <is>
          <t>N</t>
        </is>
      </c>
      <c r="J20" s="103" t="inlineStr">
        <is>
          <t>N</t>
        </is>
      </c>
      <c r="K20" s="97" t="n"/>
      <c r="L20" s="97" t="n"/>
      <c r="M20" s="97" t="n"/>
      <c r="N20" s="103" t="inlineStr">
        <is>
          <t>N</t>
        </is>
      </c>
      <c r="O20" s="97" t="n"/>
      <c r="P20" s="103" t="inlineStr">
        <is>
          <t>N</t>
        </is>
      </c>
      <c r="Q20" s="103" t="inlineStr">
        <is>
          <t>N</t>
        </is>
      </c>
      <c r="R20" s="103" t="inlineStr">
        <is>
          <t>N</t>
        </is>
      </c>
      <c r="S20" s="97" t="n"/>
      <c r="T20" s="97" t="n"/>
      <c r="U20" s="97" t="n"/>
      <c r="V20" s="97" t="n"/>
      <c r="W20" s="103" t="inlineStr">
        <is>
          <t>N</t>
        </is>
      </c>
      <c r="X20" s="97" t="n"/>
      <c r="Y20" s="97" t="n"/>
      <c r="Z20" s="97" t="n"/>
      <c r="AA20" s="103" t="inlineStr">
        <is>
          <t>N</t>
        </is>
      </c>
      <c r="AB20" s="103" t="inlineStr">
        <is>
          <t>N</t>
        </is>
      </c>
      <c r="AC20" s="97" t="n"/>
      <c r="AD20" s="103" t="inlineStr">
        <is>
          <t>N</t>
        </is>
      </c>
      <c r="AE20" s="103" t="inlineStr">
        <is>
          <t>N</t>
        </is>
      </c>
      <c r="AF20" s="103" t="inlineStr">
        <is>
          <t>N</t>
        </is>
      </c>
      <c r="AG20" s="97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102" t="inlineStr">
        <is>
          <t>D</t>
        </is>
      </c>
      <c r="E21" s="97" t="n"/>
      <c r="F21" s="98" t="inlineStr">
        <is>
          <t>M</t>
        </is>
      </c>
      <c r="G21" s="103" t="inlineStr">
        <is>
          <t>N</t>
        </is>
      </c>
      <c r="H21" s="104" t="inlineStr">
        <is>
          <t>T</t>
        </is>
      </c>
      <c r="I21" s="103" t="inlineStr">
        <is>
          <t>N</t>
        </is>
      </c>
      <c r="J21" s="97" t="n"/>
      <c r="K21" s="104" t="inlineStr">
        <is>
          <t>T</t>
        </is>
      </c>
      <c r="L21" s="103" t="inlineStr">
        <is>
          <t>N</t>
        </is>
      </c>
      <c r="M21" s="97" t="n"/>
      <c r="N21" s="97" t="n"/>
      <c r="O21" s="104" t="inlineStr">
        <is>
          <t>T</t>
        </is>
      </c>
      <c r="P21" s="102" t="inlineStr">
        <is>
          <t>D</t>
        </is>
      </c>
      <c r="Q21" s="97" t="n"/>
      <c r="R21" s="97" t="n"/>
      <c r="S21" s="97" t="n"/>
      <c r="T21" s="98" t="inlineStr">
        <is>
          <t>M</t>
        </is>
      </c>
      <c r="U21" s="102" t="inlineStr">
        <is>
          <t>D</t>
        </is>
      </c>
      <c r="V21" s="97" t="n"/>
      <c r="W21" s="102" t="inlineStr">
        <is>
          <t>D</t>
        </is>
      </c>
      <c r="X21" s="98" t="inlineStr">
        <is>
          <t>M</t>
        </is>
      </c>
      <c r="Y21" s="103" t="inlineStr">
        <is>
          <t>N</t>
        </is>
      </c>
      <c r="Z21" s="97" t="n"/>
      <c r="AA21" s="97" t="n"/>
      <c r="AB21" s="98" t="inlineStr">
        <is>
          <t>M</t>
        </is>
      </c>
      <c r="AC21" s="104" t="inlineStr">
        <is>
          <t>T</t>
        </is>
      </c>
      <c r="AD21" s="102" t="inlineStr">
        <is>
          <t>D</t>
        </is>
      </c>
      <c r="AE21" s="98" t="inlineStr">
        <is>
          <t>M</t>
        </is>
      </c>
      <c r="AF21" s="103" t="inlineStr">
        <is>
          <t>N</t>
        </is>
      </c>
      <c r="AG21" s="97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102" t="inlineStr">
        <is>
          <t>D</t>
        </is>
      </c>
      <c r="E22" s="97" t="n"/>
      <c r="F22" s="102" t="inlineStr">
        <is>
          <t>D</t>
        </is>
      </c>
      <c r="G22" s="97" t="n"/>
      <c r="H22" s="97" t="n"/>
      <c r="I22" s="102" t="inlineStr">
        <is>
          <t>D</t>
        </is>
      </c>
      <c r="J22" s="97" t="n"/>
      <c r="K22" s="102" t="inlineStr">
        <is>
          <t>D</t>
        </is>
      </c>
      <c r="L22" s="97" t="n"/>
      <c r="M22" s="102" t="inlineStr">
        <is>
          <t>D</t>
        </is>
      </c>
      <c r="N22" s="97" t="n"/>
      <c r="O22" s="97" t="n"/>
      <c r="P22" s="102" t="inlineStr">
        <is>
          <t>D</t>
        </is>
      </c>
      <c r="Q22" s="97" t="n"/>
      <c r="R22" s="102" t="inlineStr">
        <is>
          <t>D</t>
        </is>
      </c>
      <c r="S22" s="103" t="inlineStr">
        <is>
          <t>N</t>
        </is>
      </c>
      <c r="T22" s="97" t="n"/>
      <c r="U22" s="97" t="n"/>
      <c r="V22" s="97" t="n"/>
      <c r="W22" s="102" t="inlineStr">
        <is>
          <t>D</t>
        </is>
      </c>
      <c r="X22" s="97" t="n"/>
      <c r="Y22" s="98" t="inlineStr">
        <is>
          <t>M</t>
        </is>
      </c>
      <c r="Z22" s="97" t="n"/>
      <c r="AA22" s="104" t="inlineStr">
        <is>
          <t>T</t>
        </is>
      </c>
      <c r="AB22" s="102" t="inlineStr">
        <is>
          <t>D</t>
        </is>
      </c>
      <c r="AC22" s="97" t="n"/>
      <c r="AD22" s="102" t="inlineStr">
        <is>
          <t>D</t>
        </is>
      </c>
      <c r="AE22" s="97" t="n"/>
      <c r="AF22" s="102" t="inlineStr">
        <is>
          <t>D</t>
        </is>
      </c>
      <c r="AG22" s="97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97" t="n"/>
      <c r="F23" s="102" t="inlineStr">
        <is>
          <t>D</t>
        </is>
      </c>
      <c r="G23" s="98" t="inlineStr">
        <is>
          <t>M</t>
        </is>
      </c>
      <c r="H23" s="102" t="inlineStr">
        <is>
          <t>D</t>
        </is>
      </c>
      <c r="I23" s="102" t="inlineStr">
        <is>
          <t>D</t>
        </is>
      </c>
      <c r="J23" s="102" t="inlineStr">
        <is>
          <t>D</t>
        </is>
      </c>
      <c r="K23" s="97" t="n"/>
      <c r="L23" s="97" t="n"/>
      <c r="M23" s="97" t="n"/>
      <c r="N23" s="97" t="n"/>
      <c r="O23" s="115" t="inlineStr">
        <is>
          <t>FE</t>
        </is>
      </c>
      <c r="P23" s="115" t="inlineStr">
        <is>
          <t>FE</t>
        </is>
      </c>
      <c r="Q23" s="115" t="inlineStr">
        <is>
          <t>FE</t>
        </is>
      </c>
      <c r="R23" s="115" t="inlineStr">
        <is>
          <t>FE</t>
        </is>
      </c>
      <c r="S23" s="115" t="inlineStr">
        <is>
          <t>FE</t>
        </is>
      </c>
      <c r="T23" s="115" t="inlineStr">
        <is>
          <t>FE</t>
        </is>
      </c>
      <c r="U23" s="115" t="inlineStr">
        <is>
          <t>FE</t>
        </is>
      </c>
      <c r="V23" s="115" t="inlineStr">
        <is>
          <t>FE</t>
        </is>
      </c>
      <c r="W23" s="115" t="inlineStr">
        <is>
          <t>FE</t>
        </is>
      </c>
      <c r="X23" s="115" t="inlineStr">
        <is>
          <t>FE</t>
        </is>
      </c>
      <c r="Y23" s="115" t="inlineStr">
        <is>
          <t>FE</t>
        </is>
      </c>
      <c r="Z23" s="115" t="inlineStr">
        <is>
          <t>FE</t>
        </is>
      </c>
      <c r="AA23" s="115" t="inlineStr">
        <is>
          <t>FE</t>
        </is>
      </c>
      <c r="AB23" s="115" t="inlineStr">
        <is>
          <t>FE</t>
        </is>
      </c>
      <c r="AC23" s="115" t="inlineStr">
        <is>
          <t>FE</t>
        </is>
      </c>
      <c r="AD23" s="104" t="inlineStr">
        <is>
          <t>T</t>
        </is>
      </c>
      <c r="AE23" s="97" t="n"/>
      <c r="AF23" s="97" t="n"/>
      <c r="AG23" s="97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97" t="n"/>
      <c r="F24" s="97" t="n"/>
      <c r="G24" s="97" t="n"/>
      <c r="H24" s="98" t="inlineStr">
        <is>
          <t>M</t>
        </is>
      </c>
      <c r="I24" s="102" t="inlineStr">
        <is>
          <t>D</t>
        </is>
      </c>
      <c r="J24" s="98" t="inlineStr">
        <is>
          <t>M</t>
        </is>
      </c>
      <c r="K24" s="102" t="inlineStr">
        <is>
          <t>D</t>
        </is>
      </c>
      <c r="L24" s="97" t="n"/>
      <c r="M24" s="97" t="n"/>
      <c r="N24" s="97" t="n"/>
      <c r="O24" s="97" t="n"/>
      <c r="P24" s="102" t="inlineStr">
        <is>
          <t>D</t>
        </is>
      </c>
      <c r="Q24" s="97" t="n"/>
      <c r="R24" s="102" t="inlineStr">
        <is>
          <t>D</t>
        </is>
      </c>
      <c r="S24" s="97" t="n"/>
      <c r="T24" s="103" t="inlineStr">
        <is>
          <t>N</t>
        </is>
      </c>
      <c r="U24" s="97" t="n"/>
      <c r="V24" s="97" t="n"/>
      <c r="W24" s="102" t="inlineStr">
        <is>
          <t>D</t>
        </is>
      </c>
      <c r="X24" s="97" t="n"/>
      <c r="Y24" s="102" t="inlineStr">
        <is>
          <t>D</t>
        </is>
      </c>
      <c r="Z24" s="97" t="n"/>
      <c r="AA24" s="103" t="inlineStr">
        <is>
          <t>N</t>
        </is>
      </c>
      <c r="AB24" s="97" t="n"/>
      <c r="AC24" s="97" t="n"/>
      <c r="AD24" s="102" t="inlineStr">
        <is>
          <t>D</t>
        </is>
      </c>
      <c r="AE24" s="97" t="n"/>
      <c r="AF24" s="102" t="inlineStr">
        <is>
          <t>D</t>
        </is>
      </c>
      <c r="AG24" s="103" t="inlineStr">
        <is>
          <t>N</t>
        </is>
      </c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103" t="inlineStr">
        <is>
          <t>N</t>
        </is>
      </c>
      <c r="D25" s="97" t="n"/>
      <c r="E25" s="97" t="n"/>
      <c r="F25" s="97" t="n"/>
      <c r="G25" s="103" t="inlineStr">
        <is>
          <t>N</t>
        </is>
      </c>
      <c r="H25" s="97" t="n"/>
      <c r="I25" s="103" t="inlineStr">
        <is>
          <t>N</t>
        </is>
      </c>
      <c r="J25" s="103" t="inlineStr">
        <is>
          <t>N</t>
        </is>
      </c>
      <c r="K25" s="97" t="n"/>
      <c r="L25" s="97" t="n"/>
      <c r="M25" s="97" t="n"/>
      <c r="N25" s="103" t="inlineStr">
        <is>
          <t>N</t>
        </is>
      </c>
      <c r="O25" s="103" t="inlineStr">
        <is>
          <t>N</t>
        </is>
      </c>
      <c r="P25" s="103" t="inlineStr">
        <is>
          <t>N</t>
        </is>
      </c>
      <c r="Q25" s="103" t="inlineStr">
        <is>
          <t>N</t>
        </is>
      </c>
      <c r="R25" s="97" t="n"/>
      <c r="S25" s="97" t="n"/>
      <c r="T25" s="97" t="n"/>
      <c r="U25" s="97" t="n"/>
      <c r="V25" s="97" t="n"/>
      <c r="W25" s="103" t="inlineStr">
        <is>
          <t>N</t>
        </is>
      </c>
      <c r="X25" s="103" t="inlineStr">
        <is>
          <t>N</t>
        </is>
      </c>
      <c r="Y25" s="97" t="n"/>
      <c r="Z25" s="97" t="n"/>
      <c r="AA25" s="97" t="n"/>
      <c r="AB25" s="103" t="inlineStr">
        <is>
          <t>N</t>
        </is>
      </c>
      <c r="AC25" s="103" t="inlineStr">
        <is>
          <t>N</t>
        </is>
      </c>
      <c r="AD25" s="103" t="inlineStr">
        <is>
          <t>N</t>
        </is>
      </c>
      <c r="AE25" s="103" t="inlineStr">
        <is>
          <t>N</t>
        </is>
      </c>
      <c r="AF25" s="97" t="n"/>
      <c r="AG25" s="97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97" t="n"/>
      <c r="E26" s="102" t="inlineStr">
        <is>
          <t>D</t>
        </is>
      </c>
      <c r="F26" s="97" t="n"/>
      <c r="G26" s="103" t="inlineStr">
        <is>
          <t>N</t>
        </is>
      </c>
      <c r="H26" s="97" t="n"/>
      <c r="I26" s="97" t="n"/>
      <c r="J26" s="103" t="inlineStr">
        <is>
          <t>N</t>
        </is>
      </c>
      <c r="K26" s="104" t="inlineStr">
        <is>
          <t>T</t>
        </is>
      </c>
      <c r="L26" s="102" t="inlineStr">
        <is>
          <t>D</t>
        </is>
      </c>
      <c r="M26" s="98" t="inlineStr">
        <is>
          <t>M</t>
        </is>
      </c>
      <c r="N26" s="97" t="n"/>
      <c r="O26" s="115" t="inlineStr">
        <is>
          <t>FE</t>
        </is>
      </c>
      <c r="P26" s="115" t="inlineStr">
        <is>
          <t>FE</t>
        </is>
      </c>
      <c r="Q26" s="115" t="inlineStr">
        <is>
          <t>FE</t>
        </is>
      </c>
      <c r="R26" s="115" t="inlineStr">
        <is>
          <t>FE</t>
        </is>
      </c>
      <c r="S26" s="115" t="inlineStr">
        <is>
          <t>FE</t>
        </is>
      </c>
      <c r="T26" s="115" t="inlineStr">
        <is>
          <t>FE</t>
        </is>
      </c>
      <c r="U26" s="115" t="inlineStr">
        <is>
          <t>FE</t>
        </is>
      </c>
      <c r="V26" s="115" t="inlineStr">
        <is>
          <t>FE</t>
        </is>
      </c>
      <c r="W26" s="115" t="inlineStr">
        <is>
          <t>FE</t>
        </is>
      </c>
      <c r="X26" s="115" t="inlineStr">
        <is>
          <t>FE</t>
        </is>
      </c>
      <c r="Y26" s="115" t="inlineStr">
        <is>
          <t>FE</t>
        </is>
      </c>
      <c r="Z26" s="115" t="inlineStr">
        <is>
          <t>FE</t>
        </is>
      </c>
      <c r="AA26" s="115" t="inlineStr">
        <is>
          <t>FE</t>
        </is>
      </c>
      <c r="AB26" s="115" t="inlineStr">
        <is>
          <t>FE</t>
        </is>
      </c>
      <c r="AC26" s="115" t="inlineStr">
        <is>
          <t>FE</t>
        </is>
      </c>
      <c r="AD26" s="97" t="n"/>
      <c r="AE26" s="98" t="inlineStr">
        <is>
          <t>M</t>
        </is>
      </c>
      <c r="AF26" s="102" t="inlineStr">
        <is>
          <t>D</t>
        </is>
      </c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103" t="inlineStr">
        <is>
          <t>N</t>
        </is>
      </c>
      <c r="E27" s="97" t="n"/>
      <c r="F27" s="103" t="inlineStr">
        <is>
          <t>N</t>
        </is>
      </c>
      <c r="G27" s="97" t="n"/>
      <c r="H27" s="97" t="n"/>
      <c r="I27" s="103" t="inlineStr">
        <is>
          <t>N</t>
        </is>
      </c>
      <c r="J27" s="97" t="n"/>
      <c r="K27" s="103" t="inlineStr">
        <is>
          <t>N</t>
        </is>
      </c>
      <c r="L27" s="97" t="n"/>
      <c r="M27" s="103" t="inlineStr">
        <is>
          <t>N</t>
        </is>
      </c>
      <c r="N27" s="97" t="n"/>
      <c r="O27" s="97" t="n"/>
      <c r="P27" s="103" t="inlineStr">
        <is>
          <t>N</t>
        </is>
      </c>
      <c r="Q27" s="97" t="n"/>
      <c r="R27" s="103" t="inlineStr">
        <is>
          <t>N</t>
        </is>
      </c>
      <c r="S27" s="97" t="n"/>
      <c r="T27" s="103" t="inlineStr">
        <is>
          <t>N</t>
        </is>
      </c>
      <c r="U27" s="97" t="n"/>
      <c r="V27" s="97" t="n"/>
      <c r="W27" s="103" t="inlineStr">
        <is>
          <t>N</t>
        </is>
      </c>
      <c r="X27" s="97" t="n"/>
      <c r="Y27" s="103" t="inlineStr">
        <is>
          <t>N</t>
        </is>
      </c>
      <c r="Z27" s="97" t="n"/>
      <c r="AA27" s="97" t="n"/>
      <c r="AB27" s="103" t="inlineStr">
        <is>
          <t>N</t>
        </is>
      </c>
      <c r="AC27" s="97" t="n"/>
      <c r="AD27" s="103" t="inlineStr">
        <is>
          <t>N</t>
        </is>
      </c>
      <c r="AE27" s="104" t="inlineStr">
        <is>
          <t>T</t>
        </is>
      </c>
      <c r="AF27" s="98" t="inlineStr">
        <is>
          <t>M</t>
        </is>
      </c>
      <c r="AG27" s="103" t="inlineStr">
        <is>
          <t>N</t>
        </is>
      </c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102" t="inlineStr">
        <is>
          <t>D</t>
        </is>
      </c>
      <c r="D28" s="103" t="inlineStr">
        <is>
          <t>N</t>
        </is>
      </c>
      <c r="E28" s="97" t="n"/>
      <c r="F28" s="97" t="n"/>
      <c r="G28" s="97" t="n"/>
      <c r="H28" s="97" t="n"/>
      <c r="I28" s="104" t="inlineStr">
        <is>
          <t>T</t>
        </is>
      </c>
      <c r="J28" s="98" t="inlineStr">
        <is>
          <t>M</t>
        </is>
      </c>
      <c r="K28" s="103" t="inlineStr">
        <is>
          <t>N</t>
        </is>
      </c>
      <c r="L28" s="104" t="inlineStr">
        <is>
          <t>T</t>
        </is>
      </c>
      <c r="M28" s="97" t="n"/>
      <c r="N28" s="97" t="n"/>
      <c r="O28" s="104" t="inlineStr">
        <is>
          <t>T</t>
        </is>
      </c>
      <c r="P28" s="97" t="n"/>
      <c r="Q28" s="97" t="n"/>
      <c r="R28" s="97" t="n"/>
      <c r="S28" s="97" t="n"/>
      <c r="T28" s="102" t="inlineStr">
        <is>
          <t>D</t>
        </is>
      </c>
      <c r="U28" s="102" t="inlineStr">
        <is>
          <t>D</t>
        </is>
      </c>
      <c r="V28" s="97" t="n"/>
      <c r="W28" s="97" t="n"/>
      <c r="X28" s="104" t="inlineStr">
        <is>
          <t>T</t>
        </is>
      </c>
      <c r="Y28" s="103" t="inlineStr">
        <is>
          <t>N</t>
        </is>
      </c>
      <c r="Z28" s="97" t="n"/>
      <c r="AA28" s="98" t="inlineStr">
        <is>
          <t>M</t>
        </is>
      </c>
      <c r="AB28" s="98" t="inlineStr">
        <is>
          <t>M</t>
        </is>
      </c>
      <c r="AC28" s="97" t="n"/>
      <c r="AD28" s="102" t="inlineStr">
        <is>
          <t>D</t>
        </is>
      </c>
      <c r="AE28" s="102" t="inlineStr">
        <is>
          <t>D</t>
        </is>
      </c>
      <c r="AF28" s="97" t="n"/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115" t="inlineStr">
        <is>
          <t>FE</t>
        </is>
      </c>
      <c r="D29" s="115" t="inlineStr">
        <is>
          <t>FE</t>
        </is>
      </c>
      <c r="E29" s="115" t="inlineStr">
        <is>
          <t>FE</t>
        </is>
      </c>
      <c r="F29" s="115" t="inlineStr">
        <is>
          <t>FE</t>
        </is>
      </c>
      <c r="G29" s="115" t="inlineStr">
        <is>
          <t>FE</t>
        </is>
      </c>
      <c r="H29" s="115" t="inlineStr">
        <is>
          <t>FE</t>
        </is>
      </c>
      <c r="I29" s="115" t="inlineStr">
        <is>
          <t>FE</t>
        </is>
      </c>
      <c r="J29" s="115" t="inlineStr">
        <is>
          <t>FE</t>
        </is>
      </c>
      <c r="K29" s="115" t="inlineStr">
        <is>
          <t>FE</t>
        </is>
      </c>
      <c r="L29" s="115" t="inlineStr">
        <is>
          <t>FE</t>
        </is>
      </c>
      <c r="M29" s="115" t="inlineStr">
        <is>
          <t>FE</t>
        </is>
      </c>
      <c r="N29" s="115" t="inlineStr">
        <is>
          <t>FE</t>
        </is>
      </c>
      <c r="O29" s="115" t="inlineStr">
        <is>
          <t>FE</t>
        </is>
      </c>
      <c r="P29" s="97" t="n"/>
      <c r="Q29" s="97" t="n"/>
      <c r="R29" s="98" t="inlineStr">
        <is>
          <t>M</t>
        </is>
      </c>
      <c r="S29" s="104" t="inlineStr">
        <is>
          <t>T</t>
        </is>
      </c>
      <c r="T29" s="103" t="inlineStr">
        <is>
          <t>N</t>
        </is>
      </c>
      <c r="U29" s="97" t="n"/>
      <c r="V29" s="103" t="inlineStr">
        <is>
          <t>N</t>
        </is>
      </c>
      <c r="W29" s="97" t="n"/>
      <c r="X29" s="98" t="inlineStr">
        <is>
          <t>M</t>
        </is>
      </c>
      <c r="Y29" s="97" t="n"/>
      <c r="Z29" s="104" t="inlineStr">
        <is>
          <t>T</t>
        </is>
      </c>
      <c r="AA29" s="98" t="inlineStr">
        <is>
          <t>M</t>
        </is>
      </c>
      <c r="AB29" s="97" t="n"/>
      <c r="AC29" s="103" t="inlineStr">
        <is>
          <t>N</t>
        </is>
      </c>
      <c r="AD29" s="97" t="n"/>
      <c r="AE29" s="97" t="n"/>
      <c r="AF29" s="97" t="n"/>
      <c r="AG29" s="103" t="inlineStr">
        <is>
          <t>N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103" t="inlineStr">
        <is>
          <t>N</t>
        </is>
      </c>
      <c r="D30" s="97" t="n"/>
      <c r="E30" s="104" t="inlineStr">
        <is>
          <t>T</t>
        </is>
      </c>
      <c r="F30" s="97" t="n"/>
      <c r="G30" s="103" t="inlineStr">
        <is>
          <t>N</t>
        </is>
      </c>
      <c r="H30" s="97" t="n"/>
      <c r="I30" s="97" t="n"/>
      <c r="J30" s="103" t="inlineStr">
        <is>
          <t>N</t>
        </is>
      </c>
      <c r="K30" s="97" t="n"/>
      <c r="L30" s="104" t="inlineStr">
        <is>
          <t>T</t>
        </is>
      </c>
      <c r="M30" s="97" t="n"/>
      <c r="N30" s="103" t="inlineStr">
        <is>
          <t>N</t>
        </is>
      </c>
      <c r="O30" s="97" t="n"/>
      <c r="P30" s="97" t="n"/>
      <c r="Q30" s="104" t="inlineStr">
        <is>
          <t>T</t>
        </is>
      </c>
      <c r="R30" s="103" t="inlineStr">
        <is>
          <t>N</t>
        </is>
      </c>
      <c r="S30" s="97" t="n"/>
      <c r="T30" s="97" t="n"/>
      <c r="U30" s="103" t="inlineStr">
        <is>
          <t>N</t>
        </is>
      </c>
      <c r="V30" s="104" t="inlineStr">
        <is>
          <t>T</t>
        </is>
      </c>
      <c r="W30" s="104" t="inlineStr">
        <is>
          <t>T</t>
        </is>
      </c>
      <c r="X30" s="103" t="inlineStr">
        <is>
          <t>N</t>
        </is>
      </c>
      <c r="Y30" s="97" t="n"/>
      <c r="Z30" s="104" t="inlineStr">
        <is>
          <t>T</t>
        </is>
      </c>
      <c r="AA30" s="97" t="n"/>
      <c r="AB30" s="97" t="n"/>
      <c r="AC30" s="97" t="n"/>
      <c r="AD30" s="97" t="n"/>
      <c r="AE30" s="104" t="inlineStr">
        <is>
          <t>T</t>
        </is>
      </c>
      <c r="AF30" s="97" t="n"/>
      <c r="AG30" s="103" t="inlineStr">
        <is>
          <t>N</t>
        </is>
      </c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104" t="inlineStr">
        <is>
          <t>T</t>
        </is>
      </c>
      <c r="D31" s="98" t="inlineStr">
        <is>
          <t>M</t>
        </is>
      </c>
      <c r="E31" s="98" t="inlineStr">
        <is>
          <t>M</t>
        </is>
      </c>
      <c r="F31" s="97" t="n"/>
      <c r="G31" s="97" t="n"/>
      <c r="H31" s="104" t="inlineStr">
        <is>
          <t>T</t>
        </is>
      </c>
      <c r="I31" s="97" t="n"/>
      <c r="J31" s="98" t="inlineStr">
        <is>
          <t>M</t>
        </is>
      </c>
      <c r="K31" s="97" t="n"/>
      <c r="L31" s="98" t="inlineStr">
        <is>
          <t>M</t>
        </is>
      </c>
      <c r="M31" s="97" t="n"/>
      <c r="N31" s="103" t="inlineStr">
        <is>
          <t>N</t>
        </is>
      </c>
      <c r="O31" s="97" t="n"/>
      <c r="P31" s="104" t="inlineStr">
        <is>
          <t>T</t>
        </is>
      </c>
      <c r="Q31" s="98" t="inlineStr">
        <is>
          <t>M</t>
        </is>
      </c>
      <c r="R31" s="97" t="n"/>
      <c r="S31" s="97" t="n"/>
      <c r="T31" s="104" t="inlineStr">
        <is>
          <t>T</t>
        </is>
      </c>
      <c r="U31" s="103" t="inlineStr">
        <is>
          <t>N</t>
        </is>
      </c>
      <c r="V31" s="97" t="n"/>
      <c r="W31" s="102" t="inlineStr">
        <is>
          <t>D</t>
        </is>
      </c>
      <c r="X31" s="98" t="inlineStr">
        <is>
          <t>M</t>
        </is>
      </c>
      <c r="Y31" s="97" t="n"/>
      <c r="Z31" s="98" t="inlineStr">
        <is>
          <t>M</t>
        </is>
      </c>
      <c r="AA31" s="97" t="n"/>
      <c r="AB31" s="97" t="n"/>
      <c r="AC31" s="102" t="inlineStr">
        <is>
          <t>D</t>
        </is>
      </c>
      <c r="AD31" s="102" t="inlineStr">
        <is>
          <t>D</t>
        </is>
      </c>
      <c r="AE31" s="103" t="inlineStr">
        <is>
          <t>N</t>
        </is>
      </c>
      <c r="AF31" s="97" t="n"/>
      <c r="AG31" s="97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104" t="inlineStr">
        <is>
          <t>T</t>
        </is>
      </c>
      <c r="E32" s="97" t="n"/>
      <c r="F32" s="102" t="inlineStr">
        <is>
          <t>D</t>
        </is>
      </c>
      <c r="G32" s="97" t="n"/>
      <c r="H32" s="103" t="inlineStr">
        <is>
          <t>N</t>
        </is>
      </c>
      <c r="I32" s="97" t="n"/>
      <c r="J32" s="97" t="n"/>
      <c r="K32" s="102" t="inlineStr">
        <is>
          <t>D</t>
        </is>
      </c>
      <c r="L32" s="103" t="inlineStr">
        <is>
          <t>N</t>
        </is>
      </c>
      <c r="M32" s="97" t="n"/>
      <c r="N32" s="97" t="n"/>
      <c r="O32" s="102" t="inlineStr">
        <is>
          <t>D</t>
        </is>
      </c>
      <c r="P32" s="97" t="n"/>
      <c r="Q32" s="97" t="n"/>
      <c r="R32" s="97" t="n"/>
      <c r="S32" s="98" t="inlineStr">
        <is>
          <t>M</t>
        </is>
      </c>
      <c r="T32" s="102" t="inlineStr">
        <is>
          <t>D</t>
        </is>
      </c>
      <c r="U32" s="97" t="n"/>
      <c r="V32" s="102" t="inlineStr">
        <is>
          <t>D</t>
        </is>
      </c>
      <c r="W32" s="97" t="n"/>
      <c r="X32" s="97" t="n"/>
      <c r="Y32" s="102" t="inlineStr">
        <is>
          <t>D</t>
        </is>
      </c>
      <c r="Z32" s="97" t="n"/>
      <c r="AA32" s="97" t="n"/>
      <c r="AB32" s="97" t="n"/>
      <c r="AC32" s="102" t="inlineStr">
        <is>
          <t>D</t>
        </is>
      </c>
      <c r="AD32" s="97" t="n"/>
      <c r="AE32" s="97" t="n"/>
      <c r="AF32" s="97" t="n"/>
      <c r="AG32" s="104" t="inlineStr">
        <is>
          <t>T</t>
        </is>
      </c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114" t="inlineStr">
        <is>
          <t>LM</t>
        </is>
      </c>
      <c r="D33" s="114" t="inlineStr">
        <is>
          <t>LM</t>
        </is>
      </c>
      <c r="E33" s="114" t="inlineStr">
        <is>
          <t>LM</t>
        </is>
      </c>
      <c r="F33" s="114" t="inlineStr">
        <is>
          <t>LM</t>
        </is>
      </c>
      <c r="G33" s="114" t="inlineStr">
        <is>
          <t>LM</t>
        </is>
      </c>
      <c r="H33" s="98" t="inlineStr">
        <is>
          <t>M</t>
        </is>
      </c>
      <c r="I33" s="97" t="n"/>
      <c r="J33" s="97" t="n"/>
      <c r="K33" s="97" t="n"/>
      <c r="L33" s="97" t="n"/>
      <c r="M33" s="102" t="inlineStr">
        <is>
          <t>D</t>
        </is>
      </c>
      <c r="N33" s="102" t="inlineStr">
        <is>
          <t>D</t>
        </is>
      </c>
      <c r="O33" s="102" t="inlineStr">
        <is>
          <t>D</t>
        </is>
      </c>
      <c r="P33" s="97" t="n"/>
      <c r="Q33" s="103" t="inlineStr">
        <is>
          <t>N</t>
        </is>
      </c>
      <c r="R33" s="97" t="n"/>
      <c r="S33" s="97" t="n"/>
      <c r="T33" s="98" t="inlineStr">
        <is>
          <t>M</t>
        </is>
      </c>
      <c r="U33" s="97" t="n"/>
      <c r="V33" s="102" t="inlineStr">
        <is>
          <t>D</t>
        </is>
      </c>
      <c r="W33" s="97" t="n"/>
      <c r="X33" s="104" t="inlineStr">
        <is>
          <t>T</t>
        </is>
      </c>
      <c r="Y33" s="97" t="n"/>
      <c r="Z33" s="103" t="inlineStr">
        <is>
          <t>N</t>
        </is>
      </c>
      <c r="AA33" s="97" t="n"/>
      <c r="AB33" s="97" t="n"/>
      <c r="AC33" s="104" t="inlineStr">
        <is>
          <t>T</t>
        </is>
      </c>
      <c r="AD33" s="97" t="n"/>
      <c r="AE33" s="102" t="inlineStr">
        <is>
          <t>D</t>
        </is>
      </c>
      <c r="AF33" s="97" t="n"/>
      <c r="AG33" s="102" t="inlineStr">
        <is>
          <t>D</t>
        </is>
      </c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8" t="inlineStr">
        <is>
          <t>M</t>
        </is>
      </c>
      <c r="D34" s="97" t="n"/>
      <c r="E34" s="103" t="inlineStr">
        <is>
          <t>N</t>
        </is>
      </c>
      <c r="F34" s="97" t="n"/>
      <c r="G34" s="97" t="n"/>
      <c r="H34" s="97" t="n"/>
      <c r="I34" s="98" t="inlineStr">
        <is>
          <t>M</t>
        </is>
      </c>
      <c r="J34" s="102" t="inlineStr">
        <is>
          <t>D</t>
        </is>
      </c>
      <c r="K34" s="97" t="n"/>
      <c r="L34" s="97" t="n"/>
      <c r="M34" s="102" t="inlineStr">
        <is>
          <t>D</t>
        </is>
      </c>
      <c r="N34" s="97" t="n"/>
      <c r="O34" s="98" t="inlineStr">
        <is>
          <t>M</t>
        </is>
      </c>
      <c r="P34" s="104" t="inlineStr">
        <is>
          <t>T</t>
        </is>
      </c>
      <c r="Q34" s="102" t="inlineStr">
        <is>
          <t>D</t>
        </is>
      </c>
      <c r="R34" s="104" t="inlineStr">
        <is>
          <t>T</t>
        </is>
      </c>
      <c r="S34" s="97" t="n"/>
      <c r="T34" s="98" t="inlineStr">
        <is>
          <t>M</t>
        </is>
      </c>
      <c r="U34" s="97" t="n"/>
      <c r="V34" s="97" t="n"/>
      <c r="W34" s="98" t="inlineStr">
        <is>
          <t>M</t>
        </is>
      </c>
      <c r="X34" s="102" t="inlineStr">
        <is>
          <t>D</t>
        </is>
      </c>
      <c r="Y34" s="97" t="n"/>
      <c r="Z34" s="97" t="n"/>
      <c r="AA34" s="102" t="inlineStr">
        <is>
          <t>D</t>
        </is>
      </c>
      <c r="AB34" s="97" t="n"/>
      <c r="AC34" s="97" t="n"/>
      <c r="AD34" s="102" t="inlineStr">
        <is>
          <t>D</t>
        </is>
      </c>
      <c r="AE34" s="98" t="inlineStr">
        <is>
          <t>M</t>
        </is>
      </c>
      <c r="AF34" s="102" t="inlineStr">
        <is>
          <t>D</t>
        </is>
      </c>
      <c r="AG34" s="97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104" t="inlineStr">
        <is>
          <t>T</t>
        </is>
      </c>
      <c r="D35" s="102" t="inlineStr">
        <is>
          <t>D</t>
        </is>
      </c>
      <c r="E35" s="97" t="n"/>
      <c r="F35" s="97" t="n"/>
      <c r="G35" s="98" t="inlineStr">
        <is>
          <t>M</t>
        </is>
      </c>
      <c r="H35" s="103" t="inlineStr">
        <is>
          <t>N</t>
        </is>
      </c>
      <c r="I35" s="97" t="n"/>
      <c r="J35" s="97" t="n"/>
      <c r="K35" s="97" t="n"/>
      <c r="L35" s="103" t="inlineStr">
        <is>
          <t>N</t>
        </is>
      </c>
      <c r="M35" s="97" t="n"/>
      <c r="N35" s="98" t="inlineStr">
        <is>
          <t>M</t>
        </is>
      </c>
      <c r="O35" s="103" t="inlineStr">
        <is>
          <t>N</t>
        </is>
      </c>
      <c r="P35" s="97" t="n"/>
      <c r="Q35" s="102" t="inlineStr">
        <is>
          <t>D</t>
        </is>
      </c>
      <c r="R35" s="104" t="inlineStr">
        <is>
          <t>T</t>
        </is>
      </c>
      <c r="S35" s="97" t="n"/>
      <c r="T35" s="97" t="n"/>
      <c r="U35" s="97" t="n"/>
      <c r="V35" s="97" t="n"/>
      <c r="W35" s="97" t="n"/>
      <c r="X35" s="104" t="inlineStr">
        <is>
          <t>T</t>
        </is>
      </c>
      <c r="Y35" s="103" t="inlineStr">
        <is>
          <t>N</t>
        </is>
      </c>
      <c r="Z35" s="103" t="inlineStr">
        <is>
          <t>N</t>
        </is>
      </c>
      <c r="AA35" s="97" t="n"/>
      <c r="AB35" s="97" t="n"/>
      <c r="AC35" s="97" t="n"/>
      <c r="AD35" s="97" t="n"/>
      <c r="AE35" s="102" t="inlineStr">
        <is>
          <t>D</t>
        </is>
      </c>
      <c r="AF35" s="104" t="inlineStr">
        <is>
          <t>T</t>
        </is>
      </c>
      <c r="AG35" s="97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104" t="inlineStr">
        <is>
          <t>T</t>
        </is>
      </c>
      <c r="F36" s="97" t="n"/>
      <c r="G36" s="102" t="inlineStr">
        <is>
          <t>D</t>
        </is>
      </c>
      <c r="H36" s="97" t="n"/>
      <c r="I36" s="103" t="inlineStr">
        <is>
          <t>N</t>
        </is>
      </c>
      <c r="J36" s="97" t="n"/>
      <c r="K36" s="102" t="inlineStr">
        <is>
          <t>D</t>
        </is>
      </c>
      <c r="L36" s="102" t="inlineStr">
        <is>
          <t>D</t>
        </is>
      </c>
      <c r="M36" s="97" t="n"/>
      <c r="N36" s="97" t="n"/>
      <c r="O36" s="97" t="n"/>
      <c r="P36" s="103" t="inlineStr">
        <is>
          <t>N</t>
        </is>
      </c>
      <c r="Q36" s="97" t="n"/>
      <c r="R36" s="97" t="n"/>
      <c r="S36" s="102" t="inlineStr">
        <is>
          <t>D</t>
        </is>
      </c>
      <c r="T36" s="97" t="n"/>
      <c r="U36" s="102" t="inlineStr">
        <is>
          <t>D</t>
        </is>
      </c>
      <c r="V36" s="97" t="n"/>
      <c r="W36" s="103" t="inlineStr">
        <is>
          <t>N</t>
        </is>
      </c>
      <c r="X36" s="97" t="n"/>
      <c r="Y36" s="102" t="inlineStr">
        <is>
          <t>D</t>
        </is>
      </c>
      <c r="Z36" s="97" t="n"/>
      <c r="AA36" s="103" t="inlineStr">
        <is>
          <t>N</t>
        </is>
      </c>
      <c r="AB36" s="97" t="n"/>
      <c r="AC36" s="97" t="n"/>
      <c r="AD36" s="103" t="inlineStr">
        <is>
          <t>N</t>
        </is>
      </c>
      <c r="AE36" s="97" t="n"/>
      <c r="AF36" s="102" t="inlineStr">
        <is>
          <t>D</t>
        </is>
      </c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103" t="inlineStr">
        <is>
          <t>N</t>
        </is>
      </c>
      <c r="D37" s="97" t="n"/>
      <c r="E37" s="98" t="inlineStr">
        <is>
          <t>M</t>
        </is>
      </c>
      <c r="F37" s="98" t="inlineStr">
        <is>
          <t>M</t>
        </is>
      </c>
      <c r="G37" s="97" t="n"/>
      <c r="H37" s="97" t="n"/>
      <c r="I37" s="98" t="inlineStr">
        <is>
          <t>M</t>
        </is>
      </c>
      <c r="J37" s="97" t="n"/>
      <c r="K37" s="104" t="inlineStr">
        <is>
          <t>T</t>
        </is>
      </c>
      <c r="L37" s="98" t="inlineStr">
        <is>
          <t>M</t>
        </is>
      </c>
      <c r="M37" s="97" t="n"/>
      <c r="N37" s="102" t="inlineStr">
        <is>
          <t>D</t>
        </is>
      </c>
      <c r="O37" s="97" t="n"/>
      <c r="P37" s="98" t="inlineStr">
        <is>
          <t>M</t>
        </is>
      </c>
      <c r="Q37" s="104" t="inlineStr">
        <is>
          <t>T</t>
        </is>
      </c>
      <c r="R37" s="104" t="inlineStr">
        <is>
          <t>T</t>
        </is>
      </c>
      <c r="S37" s="98" t="inlineStr">
        <is>
          <t>M</t>
        </is>
      </c>
      <c r="T37" s="98" t="inlineStr">
        <is>
          <t>M</t>
        </is>
      </c>
      <c r="U37" s="97" t="n"/>
      <c r="V37" s="98" t="inlineStr">
        <is>
          <t>M</t>
        </is>
      </c>
      <c r="W37" s="104" t="inlineStr">
        <is>
          <t>T</t>
        </is>
      </c>
      <c r="X37" s="97" t="n"/>
      <c r="Y37" s="104" t="inlineStr">
        <is>
          <t>T</t>
        </is>
      </c>
      <c r="Z37" s="98" t="inlineStr">
        <is>
          <t>M</t>
        </is>
      </c>
      <c r="AA37" s="97" t="n"/>
      <c r="AB37" s="104" t="inlineStr">
        <is>
          <t>T</t>
        </is>
      </c>
      <c r="AC37" s="98" t="inlineStr">
        <is>
          <t>M</t>
        </is>
      </c>
      <c r="AD37" s="98" t="inlineStr">
        <is>
          <t>M</t>
        </is>
      </c>
      <c r="AE37" s="104" t="inlineStr">
        <is>
          <t>T</t>
        </is>
      </c>
      <c r="AF37" s="104" t="inlineStr">
        <is>
          <t>T</t>
        </is>
      </c>
      <c r="AG37" s="98" t="inlineStr">
        <is>
          <t>M</t>
        </is>
      </c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97" t="n"/>
      <c r="E39" s="98" t="inlineStr">
        <is>
          <t>M</t>
        </is>
      </c>
      <c r="F39" s="102" t="inlineStr">
        <is>
          <t>D</t>
        </is>
      </c>
      <c r="G39" s="97" t="n"/>
      <c r="H39" s="104" t="inlineStr">
        <is>
          <t>T</t>
        </is>
      </c>
      <c r="I39" s="97" t="n"/>
      <c r="J39" s="97" t="n"/>
      <c r="K39" s="97" t="n"/>
      <c r="L39" s="98" t="inlineStr">
        <is>
          <t>M</t>
        </is>
      </c>
      <c r="M39" s="103" t="inlineStr">
        <is>
          <t>N</t>
        </is>
      </c>
      <c r="N39" s="97" t="n"/>
      <c r="O39" s="104" t="inlineStr">
        <is>
          <t>T</t>
        </is>
      </c>
      <c r="P39" s="97" t="n"/>
      <c r="Q39" s="97" t="n"/>
      <c r="R39" s="97" t="n"/>
      <c r="S39" s="103" t="inlineStr">
        <is>
          <t>N</t>
        </is>
      </c>
      <c r="T39" s="97" t="n"/>
      <c r="U39" s="97" t="n"/>
      <c r="V39" s="104" t="inlineStr">
        <is>
          <t>T</t>
        </is>
      </c>
      <c r="W39" s="98" t="inlineStr">
        <is>
          <t>M</t>
        </is>
      </c>
      <c r="X39" s="104" t="inlineStr">
        <is>
          <t>T</t>
        </is>
      </c>
      <c r="Y39" s="97" t="n"/>
      <c r="Z39" s="98" t="inlineStr">
        <is>
          <t>M</t>
        </is>
      </c>
      <c r="AA39" s="97" t="n"/>
      <c r="AB39" s="97" t="n"/>
      <c r="AC39" s="104" t="inlineStr">
        <is>
          <t>T</t>
        </is>
      </c>
      <c r="AD39" s="97" t="n"/>
      <c r="AE39" s="97" t="n"/>
      <c r="AF39" s="97" t="n"/>
      <c r="AG39" s="102" t="inlineStr">
        <is>
          <t>D</t>
        </is>
      </c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114" t="inlineStr">
        <is>
          <t>LM</t>
        </is>
      </c>
      <c r="D40" s="114" t="inlineStr">
        <is>
          <t>LM</t>
        </is>
      </c>
      <c r="E40" s="114" t="inlineStr">
        <is>
          <t>LM</t>
        </is>
      </c>
      <c r="F40" s="114" t="inlineStr">
        <is>
          <t>LM</t>
        </is>
      </c>
      <c r="G40" s="114" t="inlineStr">
        <is>
          <t>LM</t>
        </is>
      </c>
      <c r="H40" s="114" t="inlineStr">
        <is>
          <t>LM</t>
        </is>
      </c>
      <c r="I40" s="114" t="inlineStr">
        <is>
          <t>LM</t>
        </is>
      </c>
      <c r="J40" s="114" t="inlineStr">
        <is>
          <t>LM</t>
        </is>
      </c>
      <c r="K40" s="114" t="inlineStr">
        <is>
          <t>LM</t>
        </is>
      </c>
      <c r="L40" s="114" t="inlineStr">
        <is>
          <t>LM</t>
        </is>
      </c>
      <c r="M40" s="114" t="inlineStr">
        <is>
          <t>LM</t>
        </is>
      </c>
      <c r="N40" s="114" t="inlineStr">
        <is>
          <t>LM</t>
        </is>
      </c>
      <c r="O40" s="114" t="inlineStr">
        <is>
          <t>LM</t>
        </is>
      </c>
      <c r="P40" s="114" t="inlineStr">
        <is>
          <t>LM</t>
        </is>
      </c>
      <c r="Q40" s="114" t="inlineStr">
        <is>
          <t>LM</t>
        </is>
      </c>
      <c r="R40" s="114" t="inlineStr">
        <is>
          <t>LM</t>
        </is>
      </c>
      <c r="S40" s="114" t="inlineStr">
        <is>
          <t>LM</t>
        </is>
      </c>
      <c r="T40" s="114" t="inlineStr">
        <is>
          <t>LM</t>
        </is>
      </c>
      <c r="U40" s="114" t="inlineStr">
        <is>
          <t>LM</t>
        </is>
      </c>
      <c r="V40" s="114" t="inlineStr">
        <is>
          <t>LM</t>
        </is>
      </c>
      <c r="W40" s="114" t="inlineStr">
        <is>
          <t>LM</t>
        </is>
      </c>
      <c r="X40" s="114" t="inlineStr">
        <is>
          <t>LM</t>
        </is>
      </c>
      <c r="Y40" s="114" t="inlineStr">
        <is>
          <t>LM</t>
        </is>
      </c>
      <c r="Z40" s="114" t="inlineStr">
        <is>
          <t>LM</t>
        </is>
      </c>
      <c r="AA40" s="114" t="inlineStr">
        <is>
          <t>LM</t>
        </is>
      </c>
      <c r="AB40" s="114" t="inlineStr">
        <is>
          <t>LM</t>
        </is>
      </c>
      <c r="AC40" s="114" t="inlineStr">
        <is>
          <t>LM</t>
        </is>
      </c>
      <c r="AD40" s="114" t="inlineStr">
        <is>
          <t>LM</t>
        </is>
      </c>
      <c r="AE40" s="114" t="inlineStr">
        <is>
          <t>LM</t>
        </is>
      </c>
      <c r="AF40" s="114" t="inlineStr">
        <is>
          <t>LM</t>
        </is>
      </c>
      <c r="AG40" s="114" t="inlineStr">
        <is>
          <t>LM</t>
        </is>
      </c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102" t="inlineStr">
        <is>
          <t>D</t>
        </is>
      </c>
      <c r="D41" s="97" t="n"/>
      <c r="E41" s="97" t="n"/>
      <c r="F41" s="97" t="n"/>
      <c r="G41" s="97" t="n"/>
      <c r="H41" s="102" t="inlineStr">
        <is>
          <t>D</t>
        </is>
      </c>
      <c r="I41" s="97" t="n"/>
      <c r="J41" s="97" t="n"/>
      <c r="K41" s="97" t="n"/>
      <c r="L41" s="104" t="inlineStr">
        <is>
          <t>T</t>
        </is>
      </c>
      <c r="M41" s="97" t="n"/>
      <c r="N41" s="97" t="n"/>
      <c r="O41" s="97" t="n"/>
      <c r="P41" s="97" t="n"/>
      <c r="Q41" s="97" t="n"/>
      <c r="R41" s="98" t="inlineStr">
        <is>
          <t>M</t>
        </is>
      </c>
      <c r="S41" s="98" t="inlineStr">
        <is>
          <t>M</t>
        </is>
      </c>
      <c r="T41" s="102" t="inlineStr">
        <is>
          <t>D</t>
        </is>
      </c>
      <c r="U41" s="104" t="inlineStr">
        <is>
          <t>T</t>
        </is>
      </c>
      <c r="V41" s="102" t="inlineStr">
        <is>
          <t>D</t>
        </is>
      </c>
      <c r="W41" s="97" t="n"/>
      <c r="X41" s="103" t="inlineStr">
        <is>
          <t>N</t>
        </is>
      </c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102" t="inlineStr">
        <is>
          <t>D</t>
        </is>
      </c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102" t="inlineStr">
        <is>
          <t>D</t>
        </is>
      </c>
      <c r="D42" s="97" t="n"/>
      <c r="E42" s="97" t="n"/>
      <c r="F42" s="97" t="n"/>
      <c r="G42" s="97" t="n"/>
      <c r="H42" s="102" t="inlineStr">
        <is>
          <t>D</t>
        </is>
      </c>
      <c r="I42" s="102" t="inlineStr">
        <is>
          <t>D</t>
        </is>
      </c>
      <c r="J42" s="97" t="n"/>
      <c r="K42" s="97" t="n"/>
      <c r="L42" s="97" t="n"/>
      <c r="M42" s="97" t="n"/>
      <c r="N42" s="97" t="n"/>
      <c r="O42" s="97" t="n"/>
      <c r="P42" s="97" t="n"/>
      <c r="Q42" s="102" t="inlineStr">
        <is>
          <t>D</t>
        </is>
      </c>
      <c r="R42" s="97" t="n"/>
      <c r="S42" s="97" t="n"/>
      <c r="T42" s="97" t="n"/>
      <c r="U42" s="103" t="inlineStr">
        <is>
          <t>N</t>
        </is>
      </c>
      <c r="V42" s="97" t="n"/>
      <c r="W42" s="102" t="inlineStr">
        <is>
          <t>D</t>
        </is>
      </c>
      <c r="X42" s="97" t="n"/>
      <c r="Y42" s="97" t="n"/>
      <c r="Z42" s="97" t="n"/>
      <c r="AA42" s="97" t="n"/>
      <c r="AB42" s="102" t="inlineStr">
        <is>
          <t>D</t>
        </is>
      </c>
      <c r="AC42" s="97" t="n"/>
      <c r="AD42" s="102" t="inlineStr">
        <is>
          <t>D</t>
        </is>
      </c>
      <c r="AE42" s="97" t="n"/>
      <c r="AF42" s="102" t="inlineStr">
        <is>
          <t>D</t>
        </is>
      </c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115" t="inlineStr">
        <is>
          <t>FE</t>
        </is>
      </c>
      <c r="D43" s="115" t="inlineStr">
        <is>
          <t>FE</t>
        </is>
      </c>
      <c r="E43" s="115" t="inlineStr">
        <is>
          <t>FE</t>
        </is>
      </c>
      <c r="F43" s="115" t="inlineStr">
        <is>
          <t>FE</t>
        </is>
      </c>
      <c r="G43" s="115" t="inlineStr">
        <is>
          <t>FE</t>
        </is>
      </c>
      <c r="H43" s="115" t="inlineStr">
        <is>
          <t>FE</t>
        </is>
      </c>
      <c r="I43" s="115" t="inlineStr">
        <is>
          <t>FE</t>
        </is>
      </c>
      <c r="J43" s="115" t="inlineStr">
        <is>
          <t>FE</t>
        </is>
      </c>
      <c r="K43" s="115" t="inlineStr">
        <is>
          <t>FE</t>
        </is>
      </c>
      <c r="L43" s="115" t="inlineStr">
        <is>
          <t>FE</t>
        </is>
      </c>
      <c r="M43" s="115" t="inlineStr">
        <is>
          <t>FE</t>
        </is>
      </c>
      <c r="N43" s="115" t="inlineStr">
        <is>
          <t>FE</t>
        </is>
      </c>
      <c r="O43" s="115" t="inlineStr">
        <is>
          <t>FE</t>
        </is>
      </c>
      <c r="P43" s="97" t="n"/>
      <c r="Q43" s="97" t="n"/>
      <c r="R43" s="97" t="n"/>
      <c r="S43" s="104" t="inlineStr">
        <is>
          <t>T</t>
        </is>
      </c>
      <c r="T43" s="103" t="inlineStr">
        <is>
          <t>N</t>
        </is>
      </c>
      <c r="U43" s="97" t="n"/>
      <c r="V43" s="103" t="inlineStr">
        <is>
          <t>N</t>
        </is>
      </c>
      <c r="W43" s="97" t="n"/>
      <c r="X43" s="97" t="n"/>
      <c r="Y43" s="97" t="n"/>
      <c r="Z43" s="103" t="inlineStr">
        <is>
          <t>N</t>
        </is>
      </c>
      <c r="AA43" s="97" t="n"/>
      <c r="AB43" s="97" t="n"/>
      <c r="AC43" s="103" t="inlineStr">
        <is>
          <t>N</t>
        </is>
      </c>
      <c r="AD43" s="97" t="n"/>
      <c r="AE43" s="97" t="n"/>
      <c r="AF43" s="103" t="inlineStr">
        <is>
          <t>N</t>
        </is>
      </c>
      <c r="AG43" s="97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103" t="inlineStr">
        <is>
          <t>N</t>
        </is>
      </c>
      <c r="D44" s="97" t="n"/>
      <c r="E44" s="97" t="n"/>
      <c r="F44" s="97" t="n"/>
      <c r="G44" s="97" t="n"/>
      <c r="H44" s="97" t="n"/>
      <c r="I44" s="97" t="n"/>
      <c r="J44" s="102" t="inlineStr">
        <is>
          <t>D</t>
        </is>
      </c>
      <c r="K44" s="97" t="n"/>
      <c r="L44" s="97" t="n"/>
      <c r="M44" s="97" t="n"/>
      <c r="N44" s="102" t="inlineStr">
        <is>
          <t>D</t>
        </is>
      </c>
      <c r="O44" s="97" t="n"/>
      <c r="P44" s="102" t="inlineStr">
        <is>
          <t>D</t>
        </is>
      </c>
      <c r="Q44" s="97" t="n"/>
      <c r="R44" s="97" t="n"/>
      <c r="S44" s="104" t="inlineStr">
        <is>
          <t>T</t>
        </is>
      </c>
      <c r="T44" s="97" t="n"/>
      <c r="U44" s="98" t="inlineStr">
        <is>
          <t>M</t>
        </is>
      </c>
      <c r="V44" s="97" t="n"/>
      <c r="W44" s="97" t="n"/>
      <c r="X44" s="102" t="inlineStr">
        <is>
          <t>D</t>
        </is>
      </c>
      <c r="Y44" s="97" t="n"/>
      <c r="Z44" s="103" t="inlineStr">
        <is>
          <t>N</t>
        </is>
      </c>
      <c r="AA44" s="97" t="n"/>
      <c r="AB44" s="97" t="n"/>
      <c r="AC44" s="97" t="n"/>
      <c r="AD44" s="102" t="inlineStr">
        <is>
          <t>D</t>
        </is>
      </c>
      <c r="AE44" s="102" t="inlineStr">
        <is>
          <t>D</t>
        </is>
      </c>
      <c r="AF44" s="97" t="n"/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8" t="inlineStr">
        <is>
          <t>M</t>
        </is>
      </c>
      <c r="E45" s="97" t="n"/>
      <c r="F45" s="103" t="inlineStr">
        <is>
          <t>N</t>
        </is>
      </c>
      <c r="G45" s="97" t="n"/>
      <c r="H45" s="98" t="inlineStr">
        <is>
          <t>M</t>
        </is>
      </c>
      <c r="I45" s="98" t="inlineStr">
        <is>
          <t>M</t>
        </is>
      </c>
      <c r="J45" s="97" t="n"/>
      <c r="K45" s="98" t="inlineStr">
        <is>
          <t>M</t>
        </is>
      </c>
      <c r="L45" s="97" t="n"/>
      <c r="M45" s="103" t="inlineStr">
        <is>
          <t>N</t>
        </is>
      </c>
      <c r="N45" s="97" t="n"/>
      <c r="O45" s="98" t="inlineStr">
        <is>
          <t>M</t>
        </is>
      </c>
      <c r="P45" s="98" t="inlineStr">
        <is>
          <t>M</t>
        </is>
      </c>
      <c r="Q45" s="98" t="inlineStr">
        <is>
          <t>M</t>
        </is>
      </c>
      <c r="R45" s="97" t="n"/>
      <c r="S45" s="97" t="n"/>
      <c r="T45" s="97" t="n"/>
      <c r="U45" s="97" t="n"/>
      <c r="V45" s="97" t="n"/>
      <c r="W45" s="97" t="n"/>
      <c r="X45" s="98" t="inlineStr">
        <is>
          <t>M</t>
        </is>
      </c>
      <c r="Y45" s="98" t="inlineStr">
        <is>
          <t>M</t>
        </is>
      </c>
      <c r="Z45" s="103" t="inlineStr">
        <is>
          <t>N</t>
        </is>
      </c>
      <c r="AA45" s="97" t="n"/>
      <c r="AB45" s="97" t="n"/>
      <c r="AC45" s="115" t="inlineStr">
        <is>
          <t>FE</t>
        </is>
      </c>
      <c r="AD45" s="115" t="inlineStr">
        <is>
          <t>FE</t>
        </is>
      </c>
      <c r="AE45" s="115" t="inlineStr">
        <is>
          <t>FE</t>
        </is>
      </c>
      <c r="AF45" s="115" t="inlineStr">
        <is>
          <t>FE</t>
        </is>
      </c>
      <c r="AG45" s="115" t="inlineStr">
        <is>
          <t>FE</t>
        </is>
      </c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115" t="inlineStr">
        <is>
          <t>FE</t>
        </is>
      </c>
      <c r="D46" s="115" t="inlineStr">
        <is>
          <t>FE</t>
        </is>
      </c>
      <c r="E46" s="115" t="inlineStr">
        <is>
          <t>FE</t>
        </is>
      </c>
      <c r="F46" s="115" t="inlineStr">
        <is>
          <t>FE</t>
        </is>
      </c>
      <c r="G46" s="115" t="inlineStr">
        <is>
          <t>FE</t>
        </is>
      </c>
      <c r="H46" s="115" t="inlineStr">
        <is>
          <t>FE</t>
        </is>
      </c>
      <c r="I46" s="115" t="inlineStr">
        <is>
          <t>FE</t>
        </is>
      </c>
      <c r="J46" s="115" t="inlineStr">
        <is>
          <t>FE</t>
        </is>
      </c>
      <c r="K46" s="115" t="inlineStr">
        <is>
          <t>FE</t>
        </is>
      </c>
      <c r="L46" s="115" t="inlineStr">
        <is>
          <t>FE</t>
        </is>
      </c>
      <c r="M46" s="115" t="inlineStr">
        <is>
          <t>FE</t>
        </is>
      </c>
      <c r="N46" s="115" t="inlineStr">
        <is>
          <t>FE</t>
        </is>
      </c>
      <c r="O46" s="115" t="inlineStr">
        <is>
          <t>FE</t>
        </is>
      </c>
      <c r="P46" s="97" t="n"/>
      <c r="Q46" s="104" t="inlineStr">
        <is>
          <t>T</t>
        </is>
      </c>
      <c r="R46" s="97" t="n"/>
      <c r="S46" s="97" t="n"/>
      <c r="T46" s="97" t="n"/>
      <c r="U46" s="103" t="inlineStr">
        <is>
          <t>N</t>
        </is>
      </c>
      <c r="V46" s="97" t="n"/>
      <c r="W46" s="97" t="n"/>
      <c r="X46" s="102" t="inlineStr">
        <is>
          <t>D</t>
        </is>
      </c>
      <c r="Y46" s="97" t="n"/>
      <c r="Z46" s="103" t="inlineStr">
        <is>
          <t>N</t>
        </is>
      </c>
      <c r="AA46" s="97" t="n"/>
      <c r="AB46" s="97" t="n"/>
      <c r="AC46" s="97" t="n"/>
      <c r="AD46" s="97" t="n"/>
      <c r="AE46" s="102" t="inlineStr">
        <is>
          <t>D</t>
        </is>
      </c>
      <c r="AF46" s="97" t="n"/>
      <c r="AG46" s="103" t="inlineStr">
        <is>
          <t>N</t>
        </is>
      </c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115" t="inlineStr">
        <is>
          <t>FE</t>
        </is>
      </c>
      <c r="D47" s="115" t="inlineStr">
        <is>
          <t>FE</t>
        </is>
      </c>
      <c r="E47" s="115" t="inlineStr">
        <is>
          <t>FE</t>
        </is>
      </c>
      <c r="F47" s="115" t="inlineStr">
        <is>
          <t>FE</t>
        </is>
      </c>
      <c r="G47" s="115" t="inlineStr">
        <is>
          <t>FE</t>
        </is>
      </c>
      <c r="H47" s="115" t="inlineStr">
        <is>
          <t>FE</t>
        </is>
      </c>
      <c r="I47" s="115" t="inlineStr">
        <is>
          <t>FE</t>
        </is>
      </c>
      <c r="J47" s="115" t="inlineStr">
        <is>
          <t>FE</t>
        </is>
      </c>
      <c r="K47" s="115" t="inlineStr">
        <is>
          <t>FE</t>
        </is>
      </c>
      <c r="L47" s="115" t="inlineStr">
        <is>
          <t>FE</t>
        </is>
      </c>
      <c r="M47" s="115" t="inlineStr">
        <is>
          <t>FE</t>
        </is>
      </c>
      <c r="N47" s="115" t="inlineStr">
        <is>
          <t>FE</t>
        </is>
      </c>
      <c r="O47" s="115" t="inlineStr">
        <is>
          <t>FE</t>
        </is>
      </c>
      <c r="P47" s="97" t="n"/>
      <c r="Q47" s="97" t="n"/>
      <c r="R47" s="104" t="inlineStr">
        <is>
          <t>T</t>
        </is>
      </c>
      <c r="S47" s="103" t="inlineStr">
        <is>
          <t>N</t>
        </is>
      </c>
      <c r="T47" s="97" t="n"/>
      <c r="U47" s="97" t="n"/>
      <c r="V47" s="103" t="inlineStr">
        <is>
          <t>N</t>
        </is>
      </c>
      <c r="W47" s="97" t="n"/>
      <c r="X47" s="97" t="n"/>
      <c r="Y47" s="97" t="n"/>
      <c r="Z47" s="97" t="n"/>
      <c r="AA47" s="102" t="inlineStr">
        <is>
          <t>D</t>
        </is>
      </c>
      <c r="AB47" s="97" t="n"/>
      <c r="AC47" s="103" t="inlineStr">
        <is>
          <t>N</t>
        </is>
      </c>
      <c r="AD47" s="97" t="n"/>
      <c r="AE47" s="97" t="n"/>
      <c r="AF47" s="97" t="n"/>
      <c r="AG47" s="97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114" t="inlineStr">
        <is>
          <t>LM</t>
        </is>
      </c>
      <c r="D48" s="114" t="inlineStr">
        <is>
          <t>LM</t>
        </is>
      </c>
      <c r="E48" s="114" t="inlineStr">
        <is>
          <t>LM</t>
        </is>
      </c>
      <c r="F48" s="114" t="inlineStr">
        <is>
          <t>LM</t>
        </is>
      </c>
      <c r="G48" s="114" t="inlineStr">
        <is>
          <t>LM</t>
        </is>
      </c>
      <c r="H48" s="114" t="inlineStr">
        <is>
          <t>LM</t>
        </is>
      </c>
      <c r="I48" s="114" t="inlineStr">
        <is>
          <t>LM</t>
        </is>
      </c>
      <c r="J48" s="114" t="inlineStr">
        <is>
          <t>LM</t>
        </is>
      </c>
      <c r="K48" s="114" t="inlineStr">
        <is>
          <t>LM</t>
        </is>
      </c>
      <c r="L48" s="114" t="inlineStr">
        <is>
          <t>LM</t>
        </is>
      </c>
      <c r="M48" s="114" t="inlineStr">
        <is>
          <t>LM</t>
        </is>
      </c>
      <c r="N48" s="114" t="inlineStr">
        <is>
          <t>LM</t>
        </is>
      </c>
      <c r="O48" s="114" t="inlineStr">
        <is>
          <t>LM</t>
        </is>
      </c>
      <c r="P48" s="114" t="inlineStr">
        <is>
          <t>LM</t>
        </is>
      </c>
      <c r="Q48" s="114" t="inlineStr">
        <is>
          <t>LM</t>
        </is>
      </c>
      <c r="R48" s="114" t="inlineStr">
        <is>
          <t>LM</t>
        </is>
      </c>
      <c r="S48" s="114" t="inlineStr">
        <is>
          <t>LM</t>
        </is>
      </c>
      <c r="T48" s="114" t="inlineStr">
        <is>
          <t>LM</t>
        </is>
      </c>
      <c r="U48" s="114" t="inlineStr">
        <is>
          <t>LM</t>
        </is>
      </c>
      <c r="V48" s="114" t="inlineStr">
        <is>
          <t>LM</t>
        </is>
      </c>
      <c r="W48" s="114" t="inlineStr">
        <is>
          <t>LM</t>
        </is>
      </c>
      <c r="X48" s="114" t="inlineStr">
        <is>
          <t>LM</t>
        </is>
      </c>
      <c r="Y48" s="114" t="inlineStr">
        <is>
          <t>LM</t>
        </is>
      </c>
      <c r="Z48" s="114" t="inlineStr">
        <is>
          <t>LM</t>
        </is>
      </c>
      <c r="AA48" s="114" t="inlineStr">
        <is>
          <t>LM</t>
        </is>
      </c>
      <c r="AB48" s="114" t="inlineStr">
        <is>
          <t>LM</t>
        </is>
      </c>
      <c r="AC48" s="114" t="inlineStr">
        <is>
          <t>LM</t>
        </is>
      </c>
      <c r="AD48" s="114" t="inlineStr">
        <is>
          <t>LM</t>
        </is>
      </c>
      <c r="AE48" s="114" t="inlineStr">
        <is>
          <t>LM</t>
        </is>
      </c>
      <c r="AF48" s="114" t="inlineStr">
        <is>
          <t>LM</t>
        </is>
      </c>
      <c r="AG48" s="114" t="inlineStr">
        <is>
          <t>LM</t>
        </is>
      </c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102" t="inlineStr">
        <is>
          <t>D</t>
        </is>
      </c>
      <c r="D49" s="97" t="n"/>
      <c r="E49" s="97" t="n"/>
      <c r="F49" s="97" t="n"/>
      <c r="G49" s="97" t="n"/>
      <c r="H49" s="97" t="n"/>
      <c r="I49" s="97" t="n"/>
      <c r="J49" s="102" t="inlineStr">
        <is>
          <t>D</t>
        </is>
      </c>
      <c r="K49" s="97" t="n"/>
      <c r="L49" s="97" t="n"/>
      <c r="M49" s="102" t="inlineStr">
        <is>
          <t>D</t>
        </is>
      </c>
      <c r="N49" s="97" t="n"/>
      <c r="O49" s="97" t="n"/>
      <c r="P49" s="97" t="n"/>
      <c r="Q49" s="102" t="inlineStr">
        <is>
          <t>D</t>
        </is>
      </c>
      <c r="R49" s="97" t="n"/>
      <c r="S49" s="102" t="inlineStr">
        <is>
          <t>D</t>
        </is>
      </c>
      <c r="T49" s="97" t="n"/>
      <c r="U49" s="97" t="n"/>
      <c r="V49" s="97" t="n"/>
      <c r="W49" s="97" t="n"/>
      <c r="X49" s="102" t="inlineStr">
        <is>
          <t>D</t>
        </is>
      </c>
      <c r="Y49" s="97" t="n"/>
      <c r="Z49" s="97" t="n"/>
      <c r="AA49" s="97" t="n"/>
      <c r="AB49" s="102" t="inlineStr">
        <is>
          <t>D</t>
        </is>
      </c>
      <c r="AC49" s="102" t="inlineStr">
        <is>
          <t>D</t>
        </is>
      </c>
      <c r="AD49" s="97" t="n"/>
      <c r="AE49" s="102" t="inlineStr">
        <is>
          <t>D</t>
        </is>
      </c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97" t="n"/>
      <c r="F50" s="103" t="inlineStr">
        <is>
          <t>N</t>
        </is>
      </c>
      <c r="G50" s="97" t="n"/>
      <c r="H50" s="97" t="n"/>
      <c r="I50" s="102" t="inlineStr">
        <is>
          <t>D</t>
        </is>
      </c>
      <c r="J50" s="97" t="n"/>
      <c r="K50" s="97" t="n"/>
      <c r="L50" s="103" t="inlineStr">
        <is>
          <t>N</t>
        </is>
      </c>
      <c r="M50" s="97" t="n"/>
      <c r="N50" s="97" t="n"/>
      <c r="O50" s="98" t="inlineStr">
        <is>
          <t>M</t>
        </is>
      </c>
      <c r="P50" s="103" t="inlineStr">
        <is>
          <t>N</t>
        </is>
      </c>
      <c r="Q50" s="97" t="n"/>
      <c r="R50" s="97" t="n"/>
      <c r="S50" s="104" t="inlineStr">
        <is>
          <t>T</t>
        </is>
      </c>
      <c r="T50" s="97" t="n"/>
      <c r="U50" s="97" t="n"/>
      <c r="V50" s="97" t="n"/>
      <c r="W50" s="104" t="inlineStr">
        <is>
          <t>T</t>
        </is>
      </c>
      <c r="X50" s="97" t="n"/>
      <c r="Y50" s="97" t="n"/>
      <c r="Z50" s="97" t="n"/>
      <c r="AA50" s="103" t="inlineStr">
        <is>
          <t>N</t>
        </is>
      </c>
      <c r="AB50" s="104" t="inlineStr">
        <is>
          <t>T</t>
        </is>
      </c>
      <c r="AC50" s="102" t="inlineStr">
        <is>
          <t>D</t>
        </is>
      </c>
      <c r="AD50" s="97" t="n"/>
      <c r="AE50" s="98" t="inlineStr">
        <is>
          <t>M</t>
        </is>
      </c>
      <c r="AF50" s="97" t="n"/>
      <c r="AG50" s="104" t="inlineStr">
        <is>
          <t>T</t>
        </is>
      </c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114" t="inlineStr">
        <is>
          <t>LM</t>
        </is>
      </c>
      <c r="D51" s="114" t="inlineStr">
        <is>
          <t>LM</t>
        </is>
      </c>
      <c r="E51" s="114" t="inlineStr">
        <is>
          <t>LM</t>
        </is>
      </c>
      <c r="F51" s="114" t="inlineStr">
        <is>
          <t>LM</t>
        </is>
      </c>
      <c r="G51" s="114" t="inlineStr">
        <is>
          <t>LM</t>
        </is>
      </c>
      <c r="H51" s="114" t="inlineStr">
        <is>
          <t>LM</t>
        </is>
      </c>
      <c r="I51" s="114" t="inlineStr">
        <is>
          <t>LM</t>
        </is>
      </c>
      <c r="J51" s="114" t="inlineStr">
        <is>
          <t>LM</t>
        </is>
      </c>
      <c r="K51" s="114" t="inlineStr">
        <is>
          <t>LM</t>
        </is>
      </c>
      <c r="L51" s="114" t="inlineStr">
        <is>
          <t>LM</t>
        </is>
      </c>
      <c r="M51" s="114" t="inlineStr">
        <is>
          <t>LM</t>
        </is>
      </c>
      <c r="N51" s="114" t="inlineStr">
        <is>
          <t>LM</t>
        </is>
      </c>
      <c r="O51" s="114" t="inlineStr">
        <is>
          <t>LM</t>
        </is>
      </c>
      <c r="P51" s="114" t="inlineStr">
        <is>
          <t>LM</t>
        </is>
      </c>
      <c r="Q51" s="114" t="inlineStr">
        <is>
          <t>LM</t>
        </is>
      </c>
      <c r="R51" s="114" t="inlineStr">
        <is>
          <t>LM</t>
        </is>
      </c>
      <c r="S51" s="114" t="inlineStr">
        <is>
          <t>LM</t>
        </is>
      </c>
      <c r="T51" s="114" t="inlineStr">
        <is>
          <t>LM</t>
        </is>
      </c>
      <c r="U51" s="114" t="inlineStr">
        <is>
          <t>LM</t>
        </is>
      </c>
      <c r="V51" s="114" t="inlineStr">
        <is>
          <t>LM</t>
        </is>
      </c>
      <c r="W51" s="114" t="inlineStr">
        <is>
          <t>LM</t>
        </is>
      </c>
      <c r="X51" s="114" t="inlineStr">
        <is>
          <t>LM</t>
        </is>
      </c>
      <c r="Y51" s="114" t="inlineStr">
        <is>
          <t>LM</t>
        </is>
      </c>
      <c r="Z51" s="114" t="inlineStr">
        <is>
          <t>LM</t>
        </is>
      </c>
      <c r="AA51" s="114" t="inlineStr">
        <is>
          <t>LM</t>
        </is>
      </c>
      <c r="AB51" s="114" t="inlineStr">
        <is>
          <t>LM</t>
        </is>
      </c>
      <c r="AC51" s="114" t="inlineStr">
        <is>
          <t>LM</t>
        </is>
      </c>
      <c r="AD51" s="114" t="inlineStr">
        <is>
          <t>LM</t>
        </is>
      </c>
      <c r="AE51" s="114" t="inlineStr">
        <is>
          <t>LM</t>
        </is>
      </c>
      <c r="AF51" s="114" t="inlineStr">
        <is>
          <t>LM</t>
        </is>
      </c>
      <c r="AG51" s="114" t="inlineStr">
        <is>
          <t>LM</t>
        </is>
      </c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103" t="inlineStr">
        <is>
          <t>N</t>
        </is>
      </c>
      <c r="F52" s="97" t="n"/>
      <c r="G52" s="97" t="n"/>
      <c r="H52" s="103" t="inlineStr">
        <is>
          <t>N</t>
        </is>
      </c>
      <c r="I52" s="97" t="n"/>
      <c r="J52" s="97" t="n"/>
      <c r="K52" s="97" t="n"/>
      <c r="L52" s="97" t="n"/>
      <c r="M52" s="103" t="inlineStr">
        <is>
          <t>N</t>
        </is>
      </c>
      <c r="N52" s="97" t="n"/>
      <c r="O52" s="103" t="inlineStr">
        <is>
          <t>N</t>
        </is>
      </c>
      <c r="P52" s="97" t="n"/>
      <c r="Q52" s="97" t="n"/>
      <c r="R52" s="97" t="n"/>
      <c r="S52" s="103" t="inlineStr">
        <is>
          <t>N</t>
        </is>
      </c>
      <c r="T52" s="97" t="n"/>
      <c r="U52" s="98" t="inlineStr">
        <is>
          <t>M</t>
        </is>
      </c>
      <c r="V52" s="103" t="inlineStr">
        <is>
          <t>N</t>
        </is>
      </c>
      <c r="W52" s="97" t="n"/>
      <c r="X52" s="97" t="n"/>
      <c r="Y52" s="97" t="n"/>
      <c r="Z52" s="103" t="inlineStr">
        <is>
          <t>N</t>
        </is>
      </c>
      <c r="AA52" s="97" t="n"/>
      <c r="AB52" s="97" t="n"/>
      <c r="AC52" s="105" t="inlineStr">
        <is>
          <t>NT</t>
        </is>
      </c>
      <c r="AD52" s="97" t="n"/>
      <c r="AE52" s="97" t="n"/>
      <c r="AF52" s="97" t="n"/>
      <c r="AG52" s="97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103" t="inlineStr">
        <is>
          <t>N</t>
        </is>
      </c>
      <c r="M53" s="97" t="n"/>
      <c r="N53" s="103" t="inlineStr">
        <is>
          <t>N</t>
        </is>
      </c>
      <c r="O53" s="103" t="inlineStr">
        <is>
          <t>N</t>
        </is>
      </c>
      <c r="P53" s="103" t="inlineStr">
        <is>
          <t>N</t>
        </is>
      </c>
      <c r="Q53" s="97" t="n"/>
      <c r="R53" s="97" t="n"/>
      <c r="S53" s="97" t="n"/>
      <c r="T53" s="97" t="n"/>
      <c r="U53" s="97" t="n"/>
      <c r="V53" s="97" t="n"/>
      <c r="W53" s="103" t="inlineStr">
        <is>
          <t>N</t>
        </is>
      </c>
      <c r="X53" s="97" t="n"/>
      <c r="Y53" s="97" t="n"/>
      <c r="Z53" s="97" t="n"/>
      <c r="AA53" s="97" t="n"/>
      <c r="AB53" s="103" t="inlineStr">
        <is>
          <t>N</t>
        </is>
      </c>
      <c r="AC53" s="97" t="n"/>
      <c r="AD53" s="103" t="inlineStr">
        <is>
          <t>N</t>
        </is>
      </c>
      <c r="AE53" s="97" t="n"/>
      <c r="AF53" s="97" t="n"/>
      <c r="AG53" s="97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103" t="inlineStr">
        <is>
          <t>N</t>
        </is>
      </c>
      <c r="E54" s="97" t="n"/>
      <c r="F54" s="103" t="inlineStr">
        <is>
          <t>N</t>
        </is>
      </c>
      <c r="G54" s="97" t="n"/>
      <c r="H54" s="97" t="n"/>
      <c r="I54" s="97" t="n"/>
      <c r="J54" s="97" t="n"/>
      <c r="K54" s="103" t="inlineStr">
        <is>
          <t>N</t>
        </is>
      </c>
      <c r="L54" s="97" t="n"/>
      <c r="M54" s="97" t="n"/>
      <c r="N54" s="103" t="inlineStr">
        <is>
          <t>N</t>
        </is>
      </c>
      <c r="O54" s="97" t="n"/>
      <c r="P54" s="97" t="n"/>
      <c r="Q54" s="97" t="n"/>
      <c r="R54" s="103" t="inlineStr">
        <is>
          <t>N</t>
        </is>
      </c>
      <c r="S54" s="97" t="n"/>
      <c r="T54" s="103" t="inlineStr">
        <is>
          <t>N</t>
        </is>
      </c>
      <c r="U54" s="97" t="n"/>
      <c r="V54" s="97" t="n"/>
      <c r="W54" s="97" t="n"/>
      <c r="X54" s="97" t="n"/>
      <c r="Y54" s="103" t="inlineStr">
        <is>
          <t>N</t>
        </is>
      </c>
      <c r="Z54" s="97" t="n"/>
      <c r="AA54" s="103" t="inlineStr">
        <is>
          <t>N</t>
        </is>
      </c>
      <c r="AB54" s="97" t="n"/>
      <c r="AC54" s="97" t="n"/>
      <c r="AD54" s="97" t="n"/>
      <c r="AE54" s="97" t="n"/>
      <c r="AF54" s="103" t="inlineStr">
        <is>
          <t>N</t>
        </is>
      </c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8" t="inlineStr">
        <is>
          <t>M</t>
        </is>
      </c>
      <c r="D55" s="97" t="n"/>
      <c r="E55" s="98" t="inlineStr">
        <is>
          <t>M</t>
        </is>
      </c>
      <c r="F55" s="98" t="inlineStr">
        <is>
          <t>M</t>
        </is>
      </c>
      <c r="G55" s="98" t="inlineStr">
        <is>
          <t>M</t>
        </is>
      </c>
      <c r="H55" s="98" t="inlineStr">
        <is>
          <t>M</t>
        </is>
      </c>
      <c r="I55" s="97" t="n"/>
      <c r="J55" s="97" t="n"/>
      <c r="K55" s="98" t="inlineStr">
        <is>
          <t>M</t>
        </is>
      </c>
      <c r="L55" s="98" t="inlineStr">
        <is>
          <t>M</t>
        </is>
      </c>
      <c r="M55" s="97" t="n"/>
      <c r="N55" s="97" t="n"/>
      <c r="O55" s="98" t="inlineStr">
        <is>
          <t>M</t>
        </is>
      </c>
      <c r="P55" s="97" t="n"/>
      <c r="Q55" s="98" t="inlineStr">
        <is>
          <t>M</t>
        </is>
      </c>
      <c r="R55" s="97" t="n"/>
      <c r="S55" s="98" t="inlineStr">
        <is>
          <t>M</t>
        </is>
      </c>
      <c r="T55" s="98" t="inlineStr">
        <is>
          <t>M</t>
        </is>
      </c>
      <c r="U55" s="98" t="inlineStr">
        <is>
          <t>M</t>
        </is>
      </c>
      <c r="V55" s="98" t="inlineStr">
        <is>
          <t>M</t>
        </is>
      </c>
      <c r="W55" s="97" t="n"/>
      <c r="X55" s="98" t="inlineStr">
        <is>
          <t>M</t>
        </is>
      </c>
      <c r="Y55" s="97" t="n"/>
      <c r="Z55" s="98" t="inlineStr">
        <is>
          <t>M</t>
        </is>
      </c>
      <c r="AA55" s="97" t="n"/>
      <c r="AB55" s="98" t="inlineStr">
        <is>
          <t>M</t>
        </is>
      </c>
      <c r="AC55" s="98" t="inlineStr">
        <is>
          <t>M</t>
        </is>
      </c>
      <c r="AD55" s="97" t="n"/>
      <c r="AE55" s="97" t="n"/>
      <c r="AF55" s="98" t="inlineStr">
        <is>
          <t>M</t>
        </is>
      </c>
      <c r="AG55" s="97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102" t="inlineStr">
        <is>
          <t>D</t>
        </is>
      </c>
      <c r="E56" s="97" t="n"/>
      <c r="F56" s="97" t="n"/>
      <c r="G56" s="97" t="n"/>
      <c r="H56" s="97" t="n"/>
      <c r="I56" s="102" t="inlineStr">
        <is>
          <t>D</t>
        </is>
      </c>
      <c r="J56" s="97" t="n"/>
      <c r="K56" s="102" t="inlineStr">
        <is>
          <t>D</t>
        </is>
      </c>
      <c r="L56" s="97" t="n"/>
      <c r="M56" s="102" t="inlineStr">
        <is>
          <t>D</t>
        </is>
      </c>
      <c r="N56" s="97" t="n"/>
      <c r="O56" s="97" t="n"/>
      <c r="P56" s="102" t="inlineStr">
        <is>
          <t>D</t>
        </is>
      </c>
      <c r="Q56" s="97" t="n"/>
      <c r="R56" s="102" t="inlineStr">
        <is>
          <t>D</t>
        </is>
      </c>
      <c r="S56" s="97" t="n"/>
      <c r="T56" s="97" t="n"/>
      <c r="U56" s="97" t="n"/>
      <c r="V56" s="97" t="n"/>
      <c r="W56" s="102" t="inlineStr">
        <is>
          <t>D</t>
        </is>
      </c>
      <c r="X56" s="97" t="n"/>
      <c r="Y56" s="102" t="inlineStr">
        <is>
          <t>D</t>
        </is>
      </c>
      <c r="Z56" s="97" t="n"/>
      <c r="AA56" s="102" t="inlineStr">
        <is>
          <t>D</t>
        </is>
      </c>
      <c r="AB56" s="97" t="n"/>
      <c r="AC56" s="97" t="n"/>
      <c r="AD56" s="97" t="n"/>
      <c r="AE56" s="97" t="n"/>
      <c r="AF56" s="102" t="inlineStr">
        <is>
          <t>D</t>
        </is>
      </c>
      <c r="AG56" s="97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103" t="inlineStr">
        <is>
          <t>N</t>
        </is>
      </c>
      <c r="E57" s="97" t="n"/>
      <c r="F57" s="102" t="inlineStr">
        <is>
          <t>D</t>
        </is>
      </c>
      <c r="G57" s="97" t="n"/>
      <c r="H57" s="103" t="inlineStr">
        <is>
          <t>N</t>
        </is>
      </c>
      <c r="I57" s="97" t="n"/>
      <c r="J57" s="97" t="n"/>
      <c r="K57" s="97" t="n"/>
      <c r="L57" s="97" t="n"/>
      <c r="M57" s="102" t="inlineStr">
        <is>
          <t>D</t>
        </is>
      </c>
      <c r="N57" s="97" t="n"/>
      <c r="O57" s="103" t="inlineStr">
        <is>
          <t>N</t>
        </is>
      </c>
      <c r="P57" s="97" t="n"/>
      <c r="Q57" s="97" t="n"/>
      <c r="R57" s="97" t="n"/>
      <c r="S57" s="97" t="n"/>
      <c r="T57" s="103" t="inlineStr">
        <is>
          <t>N</t>
        </is>
      </c>
      <c r="U57" s="97" t="n"/>
      <c r="V57" s="103" t="inlineStr">
        <is>
          <t>N</t>
        </is>
      </c>
      <c r="W57" s="97" t="n"/>
      <c r="X57" s="103" t="inlineStr">
        <is>
          <t>N</t>
        </is>
      </c>
      <c r="Y57" s="97" t="n"/>
      <c r="Z57" s="97" t="n"/>
      <c r="AA57" s="97" t="n"/>
      <c r="AB57" s="97" t="n"/>
      <c r="AC57" s="103" t="inlineStr">
        <is>
          <t>N</t>
        </is>
      </c>
      <c r="AD57" s="97" t="n"/>
      <c r="AE57" s="103" t="inlineStr">
        <is>
          <t>N</t>
        </is>
      </c>
      <c r="AF57" s="97" t="n"/>
      <c r="AG57" s="97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103" t="inlineStr">
        <is>
          <t>N</t>
        </is>
      </c>
      <c r="F58" s="97" t="n"/>
      <c r="G58" s="102" t="inlineStr">
        <is>
          <t>D</t>
        </is>
      </c>
      <c r="H58" s="97" t="n"/>
      <c r="I58" s="97" t="n"/>
      <c r="J58" s="103" t="inlineStr">
        <is>
          <t>N</t>
        </is>
      </c>
      <c r="K58" s="97" t="n"/>
      <c r="L58" s="97" t="n"/>
      <c r="M58" s="104" t="inlineStr">
        <is>
          <t>T</t>
        </is>
      </c>
      <c r="N58" s="98" t="inlineStr">
        <is>
          <t>M</t>
        </is>
      </c>
      <c r="O58" s="102" t="inlineStr">
        <is>
          <t>D</t>
        </is>
      </c>
      <c r="P58" s="97" t="n"/>
      <c r="Q58" s="103" t="inlineStr">
        <is>
          <t>N</t>
        </is>
      </c>
      <c r="R58" s="97" t="n"/>
      <c r="S58" s="97" t="n"/>
      <c r="T58" s="97" t="n"/>
      <c r="U58" s="97" t="n"/>
      <c r="V58" s="97" t="n"/>
      <c r="W58" s="97" t="n"/>
      <c r="X58" s="103" t="inlineStr">
        <is>
          <t>N</t>
        </is>
      </c>
      <c r="Y58" s="97" t="n"/>
      <c r="Z58" s="102" t="inlineStr">
        <is>
          <t>D</t>
        </is>
      </c>
      <c r="AA58" s="97" t="n"/>
      <c r="AB58" s="97" t="n"/>
      <c r="AC58" s="102" t="inlineStr">
        <is>
          <t>D</t>
        </is>
      </c>
      <c r="AD58" s="97" t="n"/>
      <c r="AE58" s="103" t="inlineStr">
        <is>
          <t>N</t>
        </is>
      </c>
      <c r="AF58" s="97" t="n"/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103" t="inlineStr">
        <is>
          <t>N</t>
        </is>
      </c>
      <c r="N59" s="97" t="n"/>
      <c r="O59" s="97" t="n"/>
      <c r="P59" s="97" t="n"/>
      <c r="Q59" s="103" t="inlineStr">
        <is>
          <t>N</t>
        </is>
      </c>
      <c r="R59" s="97" t="n"/>
      <c r="S59" s="103" t="inlineStr">
        <is>
          <t>N</t>
        </is>
      </c>
      <c r="T59" s="97" t="n"/>
      <c r="U59" s="97" t="n"/>
      <c r="V59" s="104" t="inlineStr">
        <is>
          <t>T</t>
        </is>
      </c>
      <c r="W59" s="97" t="n"/>
      <c r="X59" s="103" t="inlineStr">
        <is>
          <t>N</t>
        </is>
      </c>
      <c r="Y59" s="97" t="n"/>
      <c r="Z59" s="104" t="inlineStr">
        <is>
          <t>T</t>
        </is>
      </c>
      <c r="AA59" s="97" t="n"/>
      <c r="AB59" s="97" t="n"/>
      <c r="AC59" s="97" t="n"/>
      <c r="AD59" s="97" t="n"/>
      <c r="AE59" s="103" t="inlineStr">
        <is>
          <t>N</t>
        </is>
      </c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97" t="n"/>
      <c r="E60" s="103" t="inlineStr">
        <is>
          <t>N</t>
        </is>
      </c>
      <c r="F60" s="97" t="n"/>
      <c r="G60" s="103" t="inlineStr">
        <is>
          <t>N</t>
        </is>
      </c>
      <c r="H60" s="97" t="n"/>
      <c r="I60" s="97" t="n"/>
      <c r="J60" s="97" t="n"/>
      <c r="K60" s="97" t="n"/>
      <c r="L60" s="103" t="inlineStr">
        <is>
          <t>N</t>
        </is>
      </c>
      <c r="M60" s="97" t="n"/>
      <c r="N60" s="102" t="inlineStr">
        <is>
          <t>D</t>
        </is>
      </c>
      <c r="O60" s="97" t="n"/>
      <c r="P60" s="104" t="inlineStr">
        <is>
          <t>T</t>
        </is>
      </c>
      <c r="Q60" s="97" t="n"/>
      <c r="R60" s="104" t="inlineStr">
        <is>
          <t>T</t>
        </is>
      </c>
      <c r="S60" s="97" t="n"/>
      <c r="T60" s="97" t="n"/>
      <c r="U60" s="102" t="inlineStr">
        <is>
          <t>D</t>
        </is>
      </c>
      <c r="V60" s="97" t="n"/>
      <c r="W60" s="104" t="inlineStr">
        <is>
          <t>T</t>
        </is>
      </c>
      <c r="X60" s="104" t="inlineStr">
        <is>
          <t>T</t>
        </is>
      </c>
      <c r="Y60" s="97" t="n"/>
      <c r="Z60" s="97" t="n"/>
      <c r="AA60" s="97" t="n"/>
      <c r="AB60" s="103" t="inlineStr">
        <is>
          <t>N</t>
        </is>
      </c>
      <c r="AC60" s="97" t="n"/>
      <c r="AD60" s="104" t="inlineStr">
        <is>
          <t>T</t>
        </is>
      </c>
      <c r="AE60" s="97" t="n"/>
      <c r="AF60" s="104" t="inlineStr">
        <is>
          <t>T</t>
        </is>
      </c>
      <c r="AG60" s="97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102" t="inlineStr">
        <is>
          <t>D</t>
        </is>
      </c>
      <c r="E61" s="97" t="n"/>
      <c r="F61" s="97" t="n"/>
      <c r="G61" s="97" t="n"/>
      <c r="H61" s="102" t="inlineStr">
        <is>
          <t>D</t>
        </is>
      </c>
      <c r="I61" s="97" t="n"/>
      <c r="J61" s="104" t="inlineStr">
        <is>
          <t>T</t>
        </is>
      </c>
      <c r="K61" s="97" t="n"/>
      <c r="L61" s="104" t="inlineStr">
        <is>
          <t>T</t>
        </is>
      </c>
      <c r="M61" s="97" t="n"/>
      <c r="N61" s="102" t="inlineStr">
        <is>
          <t>D</t>
        </is>
      </c>
      <c r="O61" s="102" t="inlineStr">
        <is>
          <t>D</t>
        </is>
      </c>
      <c r="P61" s="97" t="n"/>
      <c r="Q61" s="97" t="n"/>
      <c r="R61" s="97" t="n"/>
      <c r="S61" s="97" t="n"/>
      <c r="T61" s="97" t="n"/>
      <c r="U61" s="97" t="n"/>
      <c r="V61" s="102" t="inlineStr">
        <is>
          <t>D</t>
        </is>
      </c>
      <c r="W61" s="97" t="n"/>
      <c r="X61" s="97" t="n"/>
      <c r="Y61" s="97" t="n"/>
      <c r="Z61" s="97" t="n"/>
      <c r="AA61" s="97" t="n"/>
      <c r="AB61" s="102" t="inlineStr">
        <is>
          <t>D</t>
        </is>
      </c>
      <c r="AC61" s="102" t="inlineStr">
        <is>
          <t>D</t>
        </is>
      </c>
      <c r="AD61" s="97" t="n"/>
      <c r="AE61" s="97" t="n"/>
      <c r="AF61" s="97" t="n"/>
      <c r="AG61" s="102" t="inlineStr">
        <is>
          <t>D</t>
        </is>
      </c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102" t="inlineStr">
        <is>
          <t>D</t>
        </is>
      </c>
      <c r="H62" s="97" t="n"/>
      <c r="I62" s="103" t="inlineStr">
        <is>
          <t>N</t>
        </is>
      </c>
      <c r="J62" s="97" t="n"/>
      <c r="K62" s="97" t="n"/>
      <c r="L62" s="97" t="n"/>
      <c r="M62" s="97" t="n"/>
      <c r="N62" s="102" t="inlineStr">
        <is>
          <t>D</t>
        </is>
      </c>
      <c r="O62" s="97" t="n"/>
      <c r="P62" s="103" t="inlineStr">
        <is>
          <t>N</t>
        </is>
      </c>
      <c r="Q62" s="97" t="n"/>
      <c r="R62" s="102" t="inlineStr">
        <is>
          <t>D</t>
        </is>
      </c>
      <c r="S62" s="97" t="n"/>
      <c r="T62" s="97" t="n"/>
      <c r="U62" s="97" t="n"/>
      <c r="V62" s="102" t="inlineStr">
        <is>
          <t>D</t>
        </is>
      </c>
      <c r="W62" s="103" t="inlineStr">
        <is>
          <t>N</t>
        </is>
      </c>
      <c r="X62" s="97" t="n"/>
      <c r="Y62" s="97" t="n"/>
      <c r="Z62" s="97" t="n"/>
      <c r="AA62" s="97" t="n"/>
      <c r="AB62" s="97" t="n"/>
      <c r="AC62" s="97" t="n"/>
      <c r="AD62" s="103" t="inlineStr">
        <is>
          <t>N</t>
        </is>
      </c>
      <c r="AE62" s="97" t="n"/>
      <c r="AF62" s="97" t="n"/>
      <c r="AG62" s="97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102" t="inlineStr">
        <is>
          <t>D</t>
        </is>
      </c>
      <c r="E63" s="103" t="inlineStr">
        <is>
          <t>N</t>
        </is>
      </c>
      <c r="F63" s="97" t="n"/>
      <c r="G63" s="97" t="n"/>
      <c r="H63" s="97" t="n"/>
      <c r="I63" s="97" t="n"/>
      <c r="J63" s="97" t="n"/>
      <c r="K63" s="104" t="inlineStr">
        <is>
          <t>T</t>
        </is>
      </c>
      <c r="L63" s="104" t="inlineStr">
        <is>
          <t>T</t>
        </is>
      </c>
      <c r="M63" s="98" t="inlineStr">
        <is>
          <t>M</t>
        </is>
      </c>
      <c r="N63" s="102" t="inlineStr">
        <is>
          <t>D</t>
        </is>
      </c>
      <c r="O63" s="104" t="inlineStr">
        <is>
          <t>T</t>
        </is>
      </c>
      <c r="P63" s="97" t="n"/>
      <c r="Q63" s="97" t="n"/>
      <c r="R63" s="97" t="n"/>
      <c r="S63" s="97" t="n"/>
      <c r="T63" s="97" t="n"/>
      <c r="U63" s="102" t="inlineStr">
        <is>
          <t>D</t>
        </is>
      </c>
      <c r="V63" s="104" t="inlineStr">
        <is>
          <t>T</t>
        </is>
      </c>
      <c r="W63" s="97" t="n"/>
      <c r="X63" s="104" t="inlineStr">
        <is>
          <t>T</t>
        </is>
      </c>
      <c r="Y63" s="102" t="inlineStr">
        <is>
          <t>D</t>
        </is>
      </c>
      <c r="Z63" s="97" t="n"/>
      <c r="AA63" s="97" t="n"/>
      <c r="AB63" s="97" t="n"/>
      <c r="AC63" s="104" t="inlineStr">
        <is>
          <t>T</t>
        </is>
      </c>
      <c r="AD63" s="97" t="n"/>
      <c r="AE63" s="97" t="n"/>
      <c r="AF63" s="98" t="inlineStr">
        <is>
          <t>M</t>
        </is>
      </c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7" t="n"/>
      <c r="F64" s="104" t="inlineStr">
        <is>
          <t>T</t>
        </is>
      </c>
      <c r="G64" s="103" t="inlineStr">
        <is>
          <t>N</t>
        </is>
      </c>
      <c r="H64" s="103" t="inlineStr">
        <is>
          <t>N</t>
        </is>
      </c>
      <c r="I64" s="97" t="n"/>
      <c r="J64" s="97" t="n"/>
      <c r="K64" s="97" t="n"/>
      <c r="L64" s="103" t="inlineStr">
        <is>
          <t>N</t>
        </is>
      </c>
      <c r="M64" s="97" t="n"/>
      <c r="N64" s="97" t="n"/>
      <c r="O64" s="103" t="inlineStr">
        <is>
          <t>N</t>
        </is>
      </c>
      <c r="P64" s="97" t="n"/>
      <c r="Q64" s="103" t="inlineStr">
        <is>
          <t>N</t>
        </is>
      </c>
      <c r="R64" s="97" t="n"/>
      <c r="S64" s="97" t="n"/>
      <c r="T64" s="97" t="n"/>
      <c r="U64" s="97" t="n"/>
      <c r="V64" s="97" t="n"/>
      <c r="W64" s="97" t="n"/>
      <c r="X64" s="103" t="inlineStr">
        <is>
          <t>N</t>
        </is>
      </c>
      <c r="Y64" s="103" t="inlineStr">
        <is>
          <t>N</t>
        </is>
      </c>
      <c r="Z64" s="97" t="n"/>
      <c r="AA64" s="97" t="n"/>
      <c r="AB64" s="97" t="n"/>
      <c r="AC64" s="103" t="inlineStr">
        <is>
          <t>N</t>
        </is>
      </c>
      <c r="AD64" s="97" t="n"/>
      <c r="AE64" s="103" t="inlineStr">
        <is>
          <t>N</t>
        </is>
      </c>
      <c r="AF64" s="97" t="n"/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103" t="inlineStr">
        <is>
          <t>N</t>
        </is>
      </c>
      <c r="D65" s="97" t="n"/>
      <c r="E65" s="102" t="inlineStr">
        <is>
          <t>D</t>
        </is>
      </c>
      <c r="F65" s="97" t="n"/>
      <c r="G65" s="97" t="n"/>
      <c r="H65" s="97" t="n"/>
      <c r="I65" s="97" t="n"/>
      <c r="J65" s="103" t="inlineStr">
        <is>
          <t>N</t>
        </is>
      </c>
      <c r="K65" s="97" t="n"/>
      <c r="L65" s="102" t="inlineStr">
        <is>
          <t>D</t>
        </is>
      </c>
      <c r="M65" s="97" t="n"/>
      <c r="N65" s="97" t="n"/>
      <c r="O65" s="97" t="n"/>
      <c r="P65" s="102" t="inlineStr">
        <is>
          <t>D</t>
        </is>
      </c>
      <c r="Q65" s="103" t="inlineStr">
        <is>
          <t>N</t>
        </is>
      </c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102" t="inlineStr">
        <is>
          <t>D</t>
        </is>
      </c>
      <c r="AB65" s="102" t="inlineStr">
        <is>
          <t>D</t>
        </is>
      </c>
      <c r="AC65" s="97" t="n"/>
      <c r="AD65" s="97" t="n"/>
      <c r="AE65" s="103" t="inlineStr">
        <is>
          <t>N</t>
        </is>
      </c>
      <c r="AF65" s="97" t="n"/>
      <c r="AG65" s="102" t="inlineStr">
        <is>
          <t>D</t>
        </is>
      </c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104" t="inlineStr">
        <is>
          <t>T</t>
        </is>
      </c>
      <c r="F66" s="103" t="inlineStr">
        <is>
          <t>N</t>
        </is>
      </c>
      <c r="G66" s="97" t="n"/>
      <c r="H66" s="103" t="inlineStr">
        <is>
          <t>N</t>
        </is>
      </c>
      <c r="I66" s="97" t="n"/>
      <c r="J66" s="97" t="n"/>
      <c r="K66" s="97" t="n"/>
      <c r="L66" s="97" t="n"/>
      <c r="M66" s="97" t="n"/>
      <c r="N66" s="102" t="inlineStr">
        <is>
          <t>D</t>
        </is>
      </c>
      <c r="O66" s="103" t="inlineStr">
        <is>
          <t>N</t>
        </is>
      </c>
      <c r="P66" s="97" t="n"/>
      <c r="Q66" s="97" t="n"/>
      <c r="R66" s="103" t="inlineStr">
        <is>
          <t>N</t>
        </is>
      </c>
      <c r="S66" s="97" t="n"/>
      <c r="T66" s="97" t="n"/>
      <c r="U66" s="97" t="n"/>
      <c r="V66" s="103" t="inlineStr">
        <is>
          <t>N</t>
        </is>
      </c>
      <c r="W66" s="97" t="n"/>
      <c r="X66" s="97" t="n"/>
      <c r="Y66" s="103" t="inlineStr">
        <is>
          <t>N</t>
        </is>
      </c>
      <c r="Z66" s="97" t="n"/>
      <c r="AA66" s="97" t="n"/>
      <c r="AB66" s="97" t="n"/>
      <c r="AC66" s="97" t="n"/>
      <c r="AD66" s="97" t="n"/>
      <c r="AE66" s="97" t="n"/>
      <c r="AF66" s="103" t="inlineStr">
        <is>
          <t>N</t>
        </is>
      </c>
      <c r="AG66" s="97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8" t="inlineStr">
        <is>
          <t>M</t>
        </is>
      </c>
      <c r="D67" s="97" t="n"/>
      <c r="E67" s="97" t="n"/>
      <c r="F67" s="98" t="inlineStr">
        <is>
          <t>M</t>
        </is>
      </c>
      <c r="G67" s="103" t="inlineStr">
        <is>
          <t>N</t>
        </is>
      </c>
      <c r="H67" s="98" t="inlineStr">
        <is>
          <t>M</t>
        </is>
      </c>
      <c r="I67" s="98" t="inlineStr">
        <is>
          <t>M</t>
        </is>
      </c>
      <c r="J67" s="98" t="inlineStr">
        <is>
          <t>M</t>
        </is>
      </c>
      <c r="K67" s="98" t="inlineStr">
        <is>
          <t>M</t>
        </is>
      </c>
      <c r="L67" s="97" t="n"/>
      <c r="M67" s="97" t="n"/>
      <c r="N67" s="97" t="n"/>
      <c r="O67" s="98" t="inlineStr">
        <is>
          <t>M</t>
        </is>
      </c>
      <c r="P67" s="98" t="inlineStr">
        <is>
          <t>M</t>
        </is>
      </c>
      <c r="Q67" s="98" t="inlineStr">
        <is>
          <t>M</t>
        </is>
      </c>
      <c r="R67" s="97" t="n"/>
      <c r="S67" s="98" t="inlineStr">
        <is>
          <t>M</t>
        </is>
      </c>
      <c r="T67" s="97" t="n"/>
      <c r="U67" s="97" t="n"/>
      <c r="V67" s="98" t="inlineStr">
        <is>
          <t>M</t>
        </is>
      </c>
      <c r="W67" s="97" t="n"/>
      <c r="X67" s="98" t="inlineStr">
        <is>
          <t>M</t>
        </is>
      </c>
      <c r="Y67" s="97" t="n"/>
      <c r="Z67" s="97" t="n"/>
      <c r="AA67" s="103" t="inlineStr">
        <is>
          <t>N</t>
        </is>
      </c>
      <c r="AB67" s="97" t="n"/>
      <c r="AC67" s="98" t="inlineStr">
        <is>
          <t>M</t>
        </is>
      </c>
      <c r="AD67" s="97" t="n"/>
      <c r="AE67" s="98" t="inlineStr">
        <is>
          <t>M</t>
        </is>
      </c>
      <c r="AF67" s="97" t="n"/>
      <c r="AG67" s="97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97" t="n"/>
      <c r="E68" s="102" t="inlineStr">
        <is>
          <t>D</t>
        </is>
      </c>
      <c r="F68" s="102" t="inlineStr">
        <is>
          <t>D</t>
        </is>
      </c>
      <c r="G68" s="97" t="n"/>
      <c r="H68" s="102" t="inlineStr">
        <is>
          <t>D</t>
        </is>
      </c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102" t="inlineStr">
        <is>
          <t>D</t>
        </is>
      </c>
      <c r="S68" s="103" t="inlineStr">
        <is>
          <t>N</t>
        </is>
      </c>
      <c r="T68" s="97" t="n"/>
      <c r="U68" s="102" t="inlineStr">
        <is>
          <t>D</t>
        </is>
      </c>
      <c r="V68" s="104" t="inlineStr">
        <is>
          <t>T</t>
        </is>
      </c>
      <c r="W68" s="97" t="n"/>
      <c r="X68" s="97" t="n"/>
      <c r="Y68" s="97" t="n"/>
      <c r="Z68" s="102" t="inlineStr">
        <is>
          <t>D</t>
        </is>
      </c>
      <c r="AA68" s="104" t="inlineStr">
        <is>
          <t>T</t>
        </is>
      </c>
      <c r="AB68" s="97" t="n"/>
      <c r="AC68" s="97" t="n"/>
      <c r="AD68" s="97" t="n"/>
      <c r="AE68" s="97" t="n"/>
      <c r="AF68" s="97" t="n"/>
      <c r="AG68" s="102" t="inlineStr">
        <is>
          <t>D</t>
        </is>
      </c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102" t="inlineStr">
        <is>
          <t>D</t>
        </is>
      </c>
      <c r="D69" s="97" t="n"/>
      <c r="E69" s="102" t="inlineStr">
        <is>
          <t>D</t>
        </is>
      </c>
      <c r="F69" s="97" t="n"/>
      <c r="G69" s="97" t="n"/>
      <c r="H69" s="97" t="n"/>
      <c r="I69" s="97" t="n"/>
      <c r="J69" s="102" t="inlineStr">
        <is>
          <t>D</t>
        </is>
      </c>
      <c r="K69" s="97" t="n"/>
      <c r="L69" s="97" t="n"/>
      <c r="M69" s="103" t="inlineStr">
        <is>
          <t>N</t>
        </is>
      </c>
      <c r="N69" s="97" t="n"/>
      <c r="O69" s="97" t="n"/>
      <c r="P69" s="97" t="n"/>
      <c r="Q69" s="102" t="inlineStr">
        <is>
          <t>D</t>
        </is>
      </c>
      <c r="R69" s="97" t="n"/>
      <c r="S69" s="104" t="inlineStr">
        <is>
          <t>T</t>
        </is>
      </c>
      <c r="T69" s="104" t="inlineStr">
        <is>
          <t>T</t>
        </is>
      </c>
      <c r="U69" s="97" t="n"/>
      <c r="V69" s="97" t="n"/>
      <c r="W69" s="97" t="n"/>
      <c r="X69" s="98" t="inlineStr">
        <is>
          <t>M</t>
        </is>
      </c>
      <c r="Y69" s="97" t="n"/>
      <c r="Z69" s="102" t="inlineStr">
        <is>
          <t>D</t>
        </is>
      </c>
      <c r="AA69" s="97" t="n"/>
      <c r="AB69" s="98" t="inlineStr">
        <is>
          <t>M</t>
        </is>
      </c>
      <c r="AC69" s="97" t="n"/>
      <c r="AD69" s="97" t="n"/>
      <c r="AE69" s="102" t="inlineStr">
        <is>
          <t>D</t>
        </is>
      </c>
      <c r="AF69" s="97" t="n"/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103" t="inlineStr">
        <is>
          <t>N</t>
        </is>
      </c>
      <c r="D70" s="97" t="n"/>
      <c r="E70" s="97" t="n"/>
      <c r="F70" s="97" t="n"/>
      <c r="G70" s="103" t="inlineStr">
        <is>
          <t>N</t>
        </is>
      </c>
      <c r="H70" s="97" t="n"/>
      <c r="I70" s="103" t="inlineStr">
        <is>
          <t>N</t>
        </is>
      </c>
      <c r="J70" s="97" t="n"/>
      <c r="K70" s="103" t="inlineStr">
        <is>
          <t>N</t>
        </is>
      </c>
      <c r="L70" s="97" t="n"/>
      <c r="M70" s="97" t="n"/>
      <c r="N70" s="97" t="n"/>
      <c r="O70" s="97" t="n"/>
      <c r="P70" s="104" t="inlineStr">
        <is>
          <t>T</t>
        </is>
      </c>
      <c r="Q70" s="104" t="inlineStr">
        <is>
          <t>T</t>
        </is>
      </c>
      <c r="R70" s="97" t="n"/>
      <c r="S70" s="97" t="n"/>
      <c r="T70" s="97" t="n"/>
      <c r="U70" s="102" t="inlineStr">
        <is>
          <t>D</t>
        </is>
      </c>
      <c r="V70" s="97" t="n"/>
      <c r="W70" s="104" t="inlineStr">
        <is>
          <t>T</t>
        </is>
      </c>
      <c r="X70" s="102" t="inlineStr">
        <is>
          <t>D</t>
        </is>
      </c>
      <c r="Y70" s="104" t="inlineStr">
        <is>
          <t>T</t>
        </is>
      </c>
      <c r="Z70" s="97" t="n"/>
      <c r="AA70" s="97" t="n"/>
      <c r="AB70" s="97" t="n"/>
      <c r="AC70" s="97" t="n"/>
      <c r="AD70" s="97" t="n"/>
      <c r="AE70" s="97" t="n"/>
      <c r="AF70" s="103" t="inlineStr">
        <is>
          <t>N</t>
        </is>
      </c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104" t="inlineStr">
        <is>
          <t>T</t>
        </is>
      </c>
      <c r="D71" s="97" t="n"/>
      <c r="E71" s="97" t="n"/>
      <c r="F71" s="97" t="n"/>
      <c r="G71" s="97" t="n"/>
      <c r="H71" s="97" t="n"/>
      <c r="I71" s="97" t="n"/>
      <c r="J71" s="104" t="inlineStr">
        <is>
          <t>T</t>
        </is>
      </c>
      <c r="K71" s="97" t="n"/>
      <c r="L71" s="97" t="n"/>
      <c r="M71" s="103" t="inlineStr">
        <is>
          <t>N</t>
        </is>
      </c>
      <c r="N71" s="97" t="n"/>
      <c r="O71" s="102" t="inlineStr">
        <is>
          <t>D</t>
        </is>
      </c>
      <c r="P71" s="104" t="inlineStr">
        <is>
          <t>T</t>
        </is>
      </c>
      <c r="Q71" s="97" t="n"/>
      <c r="R71" s="97" t="n"/>
      <c r="S71" s="102" t="inlineStr">
        <is>
          <t>D</t>
        </is>
      </c>
      <c r="T71" s="97" t="n"/>
      <c r="U71" s="97" t="n"/>
      <c r="V71" s="97" t="n"/>
      <c r="W71" s="97" t="n"/>
      <c r="X71" s="97" t="n"/>
      <c r="Y71" s="98" t="inlineStr">
        <is>
          <t>M</t>
        </is>
      </c>
      <c r="Z71" s="97" t="n"/>
      <c r="AA71" s="102" t="inlineStr">
        <is>
          <t>D</t>
        </is>
      </c>
      <c r="AB71" s="97" t="n"/>
      <c r="AC71" s="98" t="inlineStr">
        <is>
          <t>M</t>
        </is>
      </c>
      <c r="AD71" s="97" t="n"/>
      <c r="AE71" s="97" t="n"/>
      <c r="AF71" s="102" t="inlineStr">
        <is>
          <t>D</t>
        </is>
      </c>
      <c r="AG71" s="102" t="inlineStr">
        <is>
          <t>D</t>
        </is>
      </c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8" t="inlineStr">
        <is>
          <t>M</t>
        </is>
      </c>
      <c r="D72" s="98" t="inlineStr">
        <is>
          <t>M</t>
        </is>
      </c>
      <c r="E72" s="98" t="inlineStr">
        <is>
          <t>M</t>
        </is>
      </c>
      <c r="F72" s="98" t="inlineStr">
        <is>
          <t>M</t>
        </is>
      </c>
      <c r="G72" s="97" t="n"/>
      <c r="H72" s="98" t="inlineStr">
        <is>
          <t>M</t>
        </is>
      </c>
      <c r="I72" s="98" t="inlineStr">
        <is>
          <t>M</t>
        </is>
      </c>
      <c r="J72" s="98" t="inlineStr">
        <is>
          <t>M</t>
        </is>
      </c>
      <c r="K72" s="97" t="n"/>
      <c r="L72" s="98" t="inlineStr">
        <is>
          <t>M</t>
        </is>
      </c>
      <c r="M72" s="98" t="inlineStr">
        <is>
          <t>M</t>
        </is>
      </c>
      <c r="N72" s="97" t="n"/>
      <c r="O72" s="98" t="inlineStr">
        <is>
          <t>M</t>
        </is>
      </c>
      <c r="P72" s="98" t="inlineStr">
        <is>
          <t>M</t>
        </is>
      </c>
      <c r="Q72" s="98" t="inlineStr">
        <is>
          <t>M</t>
        </is>
      </c>
      <c r="R72" s="98" t="inlineStr">
        <is>
          <t>M</t>
        </is>
      </c>
      <c r="S72" s="98" t="inlineStr">
        <is>
          <t>M</t>
        </is>
      </c>
      <c r="T72" s="97" t="n"/>
      <c r="U72" s="97" t="n"/>
      <c r="V72" s="98" t="inlineStr">
        <is>
          <t>M</t>
        </is>
      </c>
      <c r="W72" s="98" t="inlineStr">
        <is>
          <t>M</t>
        </is>
      </c>
      <c r="X72" s="98" t="inlineStr">
        <is>
          <t>M</t>
        </is>
      </c>
      <c r="Y72" s="97" t="n"/>
      <c r="Z72" s="98" t="inlineStr">
        <is>
          <t>M</t>
        </is>
      </c>
      <c r="AA72" s="98" t="inlineStr">
        <is>
          <t>M</t>
        </is>
      </c>
      <c r="AB72" s="97" t="n"/>
      <c r="AC72" s="98" t="inlineStr">
        <is>
          <t>M</t>
        </is>
      </c>
      <c r="AD72" s="98" t="inlineStr">
        <is>
          <t>M</t>
        </is>
      </c>
      <c r="AE72" s="98" t="inlineStr">
        <is>
          <t>M</t>
        </is>
      </c>
      <c r="AF72" s="97" t="n"/>
      <c r="AG72" s="98" t="inlineStr">
        <is>
          <t>M</t>
        </is>
      </c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97" t="n"/>
      <c r="F73" s="104" t="inlineStr">
        <is>
          <t>T</t>
        </is>
      </c>
      <c r="G73" s="102" t="inlineStr">
        <is>
          <t>D</t>
        </is>
      </c>
      <c r="H73" s="97" t="n"/>
      <c r="I73" s="97" t="n"/>
      <c r="J73" s="104" t="inlineStr">
        <is>
          <t>T</t>
        </is>
      </c>
      <c r="K73" s="103" t="inlineStr">
        <is>
          <t>N</t>
        </is>
      </c>
      <c r="L73" s="104" t="inlineStr">
        <is>
          <t>T</t>
        </is>
      </c>
      <c r="M73" s="98" t="inlineStr">
        <is>
          <t>M</t>
        </is>
      </c>
      <c r="N73" s="97" t="n"/>
      <c r="O73" s="97" t="n"/>
      <c r="P73" s="97" t="n"/>
      <c r="Q73" s="104" t="inlineStr">
        <is>
          <t>T</t>
        </is>
      </c>
      <c r="R73" s="103" t="inlineStr">
        <is>
          <t>N</t>
        </is>
      </c>
      <c r="S73" s="97" t="n"/>
      <c r="T73" s="97" t="n"/>
      <c r="U73" s="103" t="inlineStr">
        <is>
          <t>N</t>
        </is>
      </c>
      <c r="V73" s="97" t="n"/>
      <c r="W73" s="103" t="inlineStr">
        <is>
          <t>N</t>
        </is>
      </c>
      <c r="X73" s="97" t="n"/>
      <c r="Y73" s="104" t="inlineStr">
        <is>
          <t>T</t>
        </is>
      </c>
      <c r="Z73" s="102" t="inlineStr">
        <is>
          <t>D</t>
        </is>
      </c>
      <c r="AA73" s="97" t="n"/>
      <c r="AB73" s="97" t="n"/>
      <c r="AC73" s="97" t="n"/>
      <c r="AD73" s="103" t="inlineStr">
        <is>
          <t>N</t>
        </is>
      </c>
      <c r="AE73" s="97" t="n"/>
      <c r="AF73" s="103" t="inlineStr">
        <is>
          <t>N</t>
        </is>
      </c>
      <c r="AG73" s="104" t="inlineStr">
        <is>
          <t>T</t>
        </is>
      </c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MAX(0,CONFIG!$B$9-D75)</f>
        <v/>
      </c>
      <c r="E78" s="109">
        <f>MAX(0,CONFIG!$B$9-E75)</f>
        <v/>
      </c>
      <c r="F78" s="109">
        <f>MAX(0,CONFIG!$B$10-F75)</f>
        <v/>
      </c>
      <c r="G78" s="109">
        <f>MAX(0,CONFIG!$B$11-G75)</f>
        <v/>
      </c>
      <c r="H78" s="109">
        <f>MAX(0,CONFIG!$B$9-H75)</f>
        <v/>
      </c>
      <c r="I78" s="109">
        <f>MAX(0,CONFIG!$B$9-I75)</f>
        <v/>
      </c>
      <c r="J78" s="109">
        <f>MAX(0,CONFIG!$B$9-J75)</f>
        <v/>
      </c>
      <c r="K78" s="109">
        <f>MAX(0,CONFIG!$B$9-K75)</f>
        <v/>
      </c>
      <c r="L78" s="109">
        <f>MAX(0,CONFIG!$B$9-L75)</f>
        <v/>
      </c>
      <c r="M78" s="109">
        <f>MAX(0,CONFIG!$B$10-M75)</f>
        <v/>
      </c>
      <c r="N78" s="109">
        <f>MAX(0,CONFIG!$B$11-N75)</f>
        <v/>
      </c>
      <c r="O78" s="109">
        <f>MAX(0,CONFIG!$B$9-O75)</f>
        <v/>
      </c>
      <c r="P78" s="109">
        <f>MAX(0,CONFIG!$B$9-P75)</f>
        <v/>
      </c>
      <c r="Q78" s="109">
        <f>MAX(0,CONFIG!$B$9-Q75)</f>
        <v/>
      </c>
      <c r="R78" s="109">
        <f>MAX(0,CONFIG!$B$9-R75)</f>
        <v/>
      </c>
      <c r="S78" s="109">
        <f>MAX(0,CONFIG!$B$9-S75)</f>
        <v/>
      </c>
      <c r="T78" s="109">
        <f>MAX(0,CONFIG!$B$10-T75)</f>
        <v/>
      </c>
      <c r="U78" s="109">
        <f>MAX(0,CONFIG!$B$11-U75)</f>
        <v/>
      </c>
      <c r="V78" s="109">
        <f>MAX(0,CONFIG!$B$9-V75)</f>
        <v/>
      </c>
      <c r="W78" s="109">
        <f>MAX(0,CONFIG!$B$9-W75)</f>
        <v/>
      </c>
      <c r="X78" s="109">
        <f>MAX(0,CONFIG!$B$9-X75)</f>
        <v/>
      </c>
      <c r="Y78" s="109">
        <f>MAX(0,CONFIG!$B$9-Y75)</f>
        <v/>
      </c>
      <c r="Z78" s="109">
        <f>MAX(0,CONFIG!$B$9-Z75)</f>
        <v/>
      </c>
      <c r="AA78" s="109">
        <f>MAX(0,CONFIG!$B$10-AA75)</f>
        <v/>
      </c>
      <c r="AB78" s="109">
        <f>MAX(0,CONFIG!$B$11-AB75)</f>
        <v/>
      </c>
      <c r="AC78" s="109">
        <f>MAX(0,CONFIG!$B$9-AC75)</f>
        <v/>
      </c>
      <c r="AD78" s="109">
        <f>MAX(0,CONFIG!$B$9-AD75)</f>
        <v/>
      </c>
      <c r="AE78" s="109">
        <f>MAX(0,CONFIG!$B$9-AE75)</f>
        <v/>
      </c>
      <c r="AF78" s="109">
        <f>MAX(0,CONFIG!$B$9-AF75)</f>
        <v/>
      </c>
      <c r="AG78" s="109">
        <f>MAX(0,CONFIG!$B$9-AG75)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MAX(0,CONFIG!$C$9-D76)</f>
        <v/>
      </c>
      <c r="E79" s="109">
        <f>MAX(0,CONFIG!$C$9-E76)</f>
        <v/>
      </c>
      <c r="F79" s="109">
        <f>MAX(0,CONFIG!$C$10-F76)</f>
        <v/>
      </c>
      <c r="G79" s="109">
        <f>MAX(0,CONFIG!$C$11-G76)</f>
        <v/>
      </c>
      <c r="H79" s="109">
        <f>MAX(0,CONFIG!$C$9-H76)</f>
        <v/>
      </c>
      <c r="I79" s="109">
        <f>MAX(0,CONFIG!$C$9-I76)</f>
        <v/>
      </c>
      <c r="J79" s="109">
        <f>MAX(0,CONFIG!$C$9-J76)</f>
        <v/>
      </c>
      <c r="K79" s="109">
        <f>MAX(0,CONFIG!$C$9-K76)</f>
        <v/>
      </c>
      <c r="L79" s="109">
        <f>MAX(0,CONFIG!$C$9-L76)</f>
        <v/>
      </c>
      <c r="M79" s="109">
        <f>MAX(0,CONFIG!$C$10-M76)</f>
        <v/>
      </c>
      <c r="N79" s="109">
        <f>MAX(0,CONFIG!$C$11-N76)</f>
        <v/>
      </c>
      <c r="O79" s="109">
        <f>MAX(0,CONFIG!$C$9-O76)</f>
        <v/>
      </c>
      <c r="P79" s="109">
        <f>MAX(0,CONFIG!$C$9-P76)</f>
        <v/>
      </c>
      <c r="Q79" s="109">
        <f>MAX(0,CONFIG!$C$9-Q76)</f>
        <v/>
      </c>
      <c r="R79" s="109">
        <f>MAX(0,CONFIG!$C$9-R76)</f>
        <v/>
      </c>
      <c r="S79" s="109">
        <f>MAX(0,CONFIG!$C$9-S76)</f>
        <v/>
      </c>
      <c r="T79" s="109">
        <f>MAX(0,CONFIG!$C$10-T76)</f>
        <v/>
      </c>
      <c r="U79" s="109">
        <f>MAX(0,CONFIG!$C$11-U76)</f>
        <v/>
      </c>
      <c r="V79" s="109">
        <f>MAX(0,CONFIG!$C$9-V76)</f>
        <v/>
      </c>
      <c r="W79" s="109">
        <f>MAX(0,CONFIG!$C$9-W76)</f>
        <v/>
      </c>
      <c r="X79" s="109">
        <f>MAX(0,CONFIG!$C$9-X76)</f>
        <v/>
      </c>
      <c r="Y79" s="109">
        <f>MAX(0,CONFIG!$C$9-Y76)</f>
        <v/>
      </c>
      <c r="Z79" s="109">
        <f>MAX(0,CONFIG!$C$9-Z76)</f>
        <v/>
      </c>
      <c r="AA79" s="109">
        <f>MAX(0,CONFIG!$C$10-AA76)</f>
        <v/>
      </c>
      <c r="AB79" s="109">
        <f>MAX(0,CONFIG!$C$11-AB76)</f>
        <v/>
      </c>
      <c r="AC79" s="109">
        <f>MAX(0,CONFIG!$C$9-AC76)</f>
        <v/>
      </c>
      <c r="AD79" s="109">
        <f>MAX(0,CONFIG!$C$9-AD76)</f>
        <v/>
      </c>
      <c r="AE79" s="109">
        <f>MAX(0,CONFIG!$C$9-AE76)</f>
        <v/>
      </c>
      <c r="AF79" s="109">
        <f>MAX(0,CONFIG!$C$9-AF76)</f>
        <v/>
      </c>
      <c r="AG79" s="109">
        <f>MAX(0,CONFIG!$C$9-AG76)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MAX(0,CONFIG!$D$9-D77)</f>
        <v/>
      </c>
      <c r="E80" s="109">
        <f>MAX(0,CONFIG!$D$9-E77)</f>
        <v/>
      </c>
      <c r="F80" s="109">
        <f>MAX(0,CONFIG!$D$10-F77)</f>
        <v/>
      </c>
      <c r="G80" s="109">
        <f>MAX(0,CONFIG!$D$11-G77)</f>
        <v/>
      </c>
      <c r="H80" s="109">
        <f>MAX(0,CONFIG!$D$9-H77)</f>
        <v/>
      </c>
      <c r="I80" s="109">
        <f>MAX(0,CONFIG!$D$9-I77)</f>
        <v/>
      </c>
      <c r="J80" s="109">
        <f>MAX(0,CONFIG!$D$9-J77)</f>
        <v/>
      </c>
      <c r="K80" s="109">
        <f>MAX(0,CONFIG!$D$9-K77)</f>
        <v/>
      </c>
      <c r="L80" s="109">
        <f>MAX(0,CONFIG!$D$9-L77)</f>
        <v/>
      </c>
      <c r="M80" s="109">
        <f>MAX(0,CONFIG!$D$10-M77)</f>
        <v/>
      </c>
      <c r="N80" s="109">
        <f>MAX(0,CONFIG!$D$11-N77)</f>
        <v/>
      </c>
      <c r="O80" s="109">
        <f>MAX(0,CONFIG!$D$9-O77)</f>
        <v/>
      </c>
      <c r="P80" s="109">
        <f>MAX(0,CONFIG!$D$9-P77)</f>
        <v/>
      </c>
      <c r="Q80" s="109">
        <f>MAX(0,CONFIG!$D$9-Q77)</f>
        <v/>
      </c>
      <c r="R80" s="109">
        <f>MAX(0,CONFIG!$D$9-R77)</f>
        <v/>
      </c>
      <c r="S80" s="109">
        <f>MAX(0,CONFIG!$D$9-S77)</f>
        <v/>
      </c>
      <c r="T80" s="109">
        <f>MAX(0,CONFIG!$D$10-T77)</f>
        <v/>
      </c>
      <c r="U80" s="109">
        <f>MAX(0,CONFIG!$D$11-U77)</f>
        <v/>
      </c>
      <c r="V80" s="109">
        <f>MAX(0,CONFIG!$D$9-V77)</f>
        <v/>
      </c>
      <c r="W80" s="109">
        <f>MAX(0,CONFIG!$D$9-W77)</f>
        <v/>
      </c>
      <c r="X80" s="109">
        <f>MAX(0,CONFIG!$D$9-X77)</f>
        <v/>
      </c>
      <c r="Y80" s="109">
        <f>MAX(0,CONFIG!$D$9-Y77)</f>
        <v/>
      </c>
      <c r="Z80" s="109">
        <f>MAX(0,CONFIG!$D$9-Z77)</f>
        <v/>
      </c>
      <c r="AA80" s="109">
        <f>MAX(0,CONFIG!$D$10-AA77)</f>
        <v/>
      </c>
      <c r="AB80" s="109">
        <f>MAX(0,CONFIG!$D$11-AB77)</f>
        <v/>
      </c>
      <c r="AC80" s="109">
        <f>MAX(0,CONFIG!$D$9-AC77)</f>
        <v/>
      </c>
      <c r="AD80" s="109">
        <f>MAX(0,CONFIG!$D$9-AD77)</f>
        <v/>
      </c>
      <c r="AE80" s="109">
        <f>MAX(0,CONFIG!$D$9-AE77)</f>
        <v/>
      </c>
      <c r="AF80" s="109">
        <f>MAX(0,CONFIG!$D$9-AF77)</f>
        <v/>
      </c>
      <c r="AG80" s="109">
        <f>MAX(0,CONFIG!$D$9-AG77)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agosto · 2026</t>
        </is>
      </c>
      <c r="C1" s="88" t="inlineStr">
        <is>
          <t>códigos Senior</t>
        </is>
      </c>
    </row>
    <row r="2">
      <c r="C2" s="91" t="n">
        <v>1</v>
      </c>
      <c r="D2" s="91" t="n">
        <v>2</v>
      </c>
      <c r="E2" s="90" t="n">
        <v>3</v>
      </c>
      <c r="F2" s="90" t="n">
        <v>4</v>
      </c>
      <c r="G2" s="90" t="n">
        <v>5</v>
      </c>
      <c r="H2" s="90" t="n">
        <v>6</v>
      </c>
      <c r="I2" s="90" t="n">
        <v>7</v>
      </c>
      <c r="J2" s="91" t="n">
        <v>8</v>
      </c>
      <c r="K2" s="91" t="n">
        <v>9</v>
      </c>
      <c r="L2" s="90" t="n">
        <v>10</v>
      </c>
      <c r="M2" s="90" t="n">
        <v>11</v>
      </c>
      <c r="N2" s="90" t="n">
        <v>12</v>
      </c>
      <c r="O2" s="90" t="n">
        <v>13</v>
      </c>
      <c r="P2" s="90" t="n">
        <v>14</v>
      </c>
      <c r="Q2" s="91" t="n">
        <v>15</v>
      </c>
      <c r="R2" s="91" t="n">
        <v>16</v>
      </c>
      <c r="S2" s="90" t="n">
        <v>17</v>
      </c>
      <c r="T2" s="90" t="n">
        <v>18</v>
      </c>
      <c r="U2" s="90" t="n">
        <v>19</v>
      </c>
      <c r="V2" s="90" t="n">
        <v>20</v>
      </c>
      <c r="W2" s="90" t="n">
        <v>21</v>
      </c>
      <c r="X2" s="91" t="n">
        <v>22</v>
      </c>
      <c r="Y2" s="91" t="n">
        <v>23</v>
      </c>
      <c r="Z2" s="90" t="n">
        <v>24</v>
      </c>
      <c r="AA2" s="90" t="n">
        <v>25</v>
      </c>
      <c r="AB2" s="90" t="n">
        <v>26</v>
      </c>
      <c r="AC2" s="90" t="n">
        <v>27</v>
      </c>
      <c r="AD2" s="90" t="n">
        <v>28</v>
      </c>
      <c r="AE2" s="91" t="n">
        <v>29</v>
      </c>
      <c r="AF2" s="91" t="n">
        <v>30</v>
      </c>
      <c r="AG2" s="90" t="n">
        <v>31</v>
      </c>
    </row>
    <row r="3">
      <c r="C3" s="94" t="inlineStr">
        <is>
          <t>sáb</t>
        </is>
      </c>
      <c r="D3" s="94" t="inlineStr">
        <is>
          <t>dom</t>
        </is>
      </c>
      <c r="E3" s="93" t="inlineStr">
        <is>
          <t>seg</t>
        </is>
      </c>
      <c r="F3" s="93" t="inlineStr">
        <is>
          <t>ter</t>
        </is>
      </c>
      <c r="G3" s="93" t="inlineStr">
        <is>
          <t>qua</t>
        </is>
      </c>
      <c r="H3" s="93" t="inlineStr">
        <is>
          <t>qui</t>
        </is>
      </c>
      <c r="I3" s="93" t="inlineStr">
        <is>
          <t>sex</t>
        </is>
      </c>
      <c r="J3" s="94" t="inlineStr">
        <is>
          <t>sáb</t>
        </is>
      </c>
      <c r="K3" s="94" t="inlineStr">
        <is>
          <t>dom</t>
        </is>
      </c>
      <c r="L3" s="93" t="inlineStr">
        <is>
          <t>seg</t>
        </is>
      </c>
      <c r="M3" s="93" t="inlineStr">
        <is>
          <t>ter</t>
        </is>
      </c>
      <c r="N3" s="93" t="inlineStr">
        <is>
          <t>qua</t>
        </is>
      </c>
      <c r="O3" s="93" t="inlineStr">
        <is>
          <t>qui</t>
        </is>
      </c>
      <c r="P3" s="93" t="inlineStr">
        <is>
          <t>sex</t>
        </is>
      </c>
      <c r="Q3" s="94" t="inlineStr">
        <is>
          <t>sáb</t>
        </is>
      </c>
      <c r="R3" s="94" t="inlineStr">
        <is>
          <t>dom</t>
        </is>
      </c>
      <c r="S3" s="93" t="inlineStr">
        <is>
          <t>seg</t>
        </is>
      </c>
      <c r="T3" s="93" t="inlineStr">
        <is>
          <t>ter</t>
        </is>
      </c>
      <c r="U3" s="93" t="inlineStr">
        <is>
          <t>qua</t>
        </is>
      </c>
      <c r="V3" s="93" t="inlineStr">
        <is>
          <t>qui</t>
        </is>
      </c>
      <c r="W3" s="93" t="inlineStr">
        <is>
          <t>sex</t>
        </is>
      </c>
      <c r="X3" s="94" t="inlineStr">
        <is>
          <t>sáb</t>
        </is>
      </c>
      <c r="Y3" s="94" t="inlineStr">
        <is>
          <t>dom</t>
        </is>
      </c>
      <c r="Z3" s="93" t="inlineStr">
        <is>
          <t>seg</t>
        </is>
      </c>
      <c r="AA3" s="93" t="inlineStr">
        <is>
          <t>ter</t>
        </is>
      </c>
      <c r="AB3" s="93" t="inlineStr">
        <is>
          <t>qua</t>
        </is>
      </c>
      <c r="AC3" s="93" t="inlineStr">
        <is>
          <t>qui</t>
        </is>
      </c>
      <c r="AD3" s="93" t="inlineStr">
        <is>
          <t>sex</t>
        </is>
      </c>
      <c r="AE3" s="94" t="inlineStr">
        <is>
          <t>sáb</t>
        </is>
      </c>
      <c r="AF3" s="94" t="inlineStr">
        <is>
          <t>dom</t>
        </is>
      </c>
      <c r="AG3" s="93" t="inlineStr">
        <is>
          <t>seg</t>
        </is>
      </c>
    </row>
    <row r="4" hidden="1">
      <c r="A4" t="inlineStr">
        <is>
          <t>máscara fds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98" t="inlineStr">
        <is>
          <t>M</t>
        </is>
      </c>
      <c r="E8" s="111" t="inlineStr">
        <is>
          <t>C</t>
        </is>
      </c>
      <c r="F8" s="111" t="inlineStr">
        <is>
          <t>C</t>
        </is>
      </c>
      <c r="G8" s="98" t="inlineStr">
        <is>
          <t>M</t>
        </is>
      </c>
      <c r="H8" s="98" t="inlineStr">
        <is>
          <t>M</t>
        </is>
      </c>
      <c r="I8" s="98" t="inlineStr">
        <is>
          <t>M</t>
        </is>
      </c>
      <c r="J8" s="97" t="n"/>
      <c r="K8" s="97" t="n"/>
      <c r="L8" s="111" t="inlineStr">
        <is>
          <t>C</t>
        </is>
      </c>
      <c r="M8" s="111" t="inlineStr">
        <is>
          <t>C</t>
        </is>
      </c>
      <c r="N8" s="98" t="inlineStr">
        <is>
          <t>M</t>
        </is>
      </c>
      <c r="O8" s="98" t="inlineStr">
        <is>
          <t>M</t>
        </is>
      </c>
      <c r="P8" s="98" t="inlineStr">
        <is>
          <t>M</t>
        </is>
      </c>
      <c r="Q8" s="97" t="n"/>
      <c r="R8" s="97" t="n"/>
      <c r="S8" s="111" t="inlineStr">
        <is>
          <t>C</t>
        </is>
      </c>
      <c r="T8" s="111" t="inlineStr">
        <is>
          <t>C</t>
        </is>
      </c>
      <c r="U8" s="98" t="inlineStr">
        <is>
          <t>M</t>
        </is>
      </c>
      <c r="V8" s="98" t="inlineStr">
        <is>
          <t>M</t>
        </is>
      </c>
      <c r="W8" s="111" t="inlineStr">
        <is>
          <t>C</t>
        </is>
      </c>
      <c r="X8" s="98" t="inlineStr">
        <is>
          <t>M</t>
        </is>
      </c>
      <c r="Y8" s="98" t="inlineStr">
        <is>
          <t>M</t>
        </is>
      </c>
      <c r="Z8" s="111" t="inlineStr">
        <is>
          <t>C</t>
        </is>
      </c>
      <c r="AA8" s="111" t="inlineStr">
        <is>
          <t>C</t>
        </is>
      </c>
      <c r="AB8" s="98" t="inlineStr">
        <is>
          <t>M</t>
        </is>
      </c>
      <c r="AC8" s="98" t="inlineStr">
        <is>
          <t>M</t>
        </is>
      </c>
      <c r="AD8" s="98" t="inlineStr">
        <is>
          <t>M</t>
        </is>
      </c>
      <c r="AE8" s="97" t="n"/>
      <c r="AF8" s="97" t="n"/>
      <c r="AG8" s="111" t="inlineStr">
        <is>
          <t>C</t>
        </is>
      </c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111" t="inlineStr">
        <is>
          <t>C</t>
        </is>
      </c>
      <c r="D9" s="98" t="inlineStr">
        <is>
          <t>M</t>
        </is>
      </c>
      <c r="E9" s="98" t="inlineStr">
        <is>
          <t>M</t>
        </is>
      </c>
      <c r="F9" s="98" t="inlineStr">
        <is>
          <t>M</t>
        </is>
      </c>
      <c r="G9" s="98" t="inlineStr">
        <is>
          <t>M</t>
        </is>
      </c>
      <c r="H9" s="111" t="inlineStr">
        <is>
          <t>C</t>
        </is>
      </c>
      <c r="I9" s="98" t="inlineStr">
        <is>
          <t>M</t>
        </is>
      </c>
      <c r="J9" s="97" t="n"/>
      <c r="K9" s="97" t="n"/>
      <c r="L9" s="98" t="inlineStr">
        <is>
          <t>M</t>
        </is>
      </c>
      <c r="M9" s="98" t="inlineStr">
        <is>
          <t>M</t>
        </is>
      </c>
      <c r="N9" s="98" t="inlineStr">
        <is>
          <t>M</t>
        </is>
      </c>
      <c r="O9" s="111" t="inlineStr">
        <is>
          <t>C</t>
        </is>
      </c>
      <c r="P9" s="111" t="inlineStr">
        <is>
          <t>C</t>
        </is>
      </c>
      <c r="Q9" s="98" t="inlineStr">
        <is>
          <t>M</t>
        </is>
      </c>
      <c r="R9" s="98" t="inlineStr">
        <is>
          <t>M</t>
        </is>
      </c>
      <c r="S9" s="98" t="inlineStr">
        <is>
          <t>M</t>
        </is>
      </c>
      <c r="T9" s="98" t="inlineStr">
        <is>
          <t>M</t>
        </is>
      </c>
      <c r="U9" s="98" t="inlineStr">
        <is>
          <t>M</t>
        </is>
      </c>
      <c r="V9" s="111" t="inlineStr">
        <is>
          <t>C</t>
        </is>
      </c>
      <c r="W9" s="98" t="inlineStr">
        <is>
          <t>M</t>
        </is>
      </c>
      <c r="X9" s="97" t="n"/>
      <c r="Y9" s="97" t="n"/>
      <c r="Z9" s="98" t="inlineStr">
        <is>
          <t>M</t>
        </is>
      </c>
      <c r="AA9" s="98" t="inlineStr">
        <is>
          <t>M</t>
        </is>
      </c>
      <c r="AB9" s="98" t="inlineStr">
        <is>
          <t>M</t>
        </is>
      </c>
      <c r="AC9" s="111" t="inlineStr">
        <is>
          <t>C</t>
        </is>
      </c>
      <c r="AD9" s="98" t="inlineStr">
        <is>
          <t>M</t>
        </is>
      </c>
      <c r="AE9" s="97" t="n"/>
      <c r="AF9" s="97" t="n"/>
      <c r="AG9" s="98" t="inlineStr">
        <is>
          <t>M</t>
        </is>
      </c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8" t="inlineStr">
        <is>
          <t>M</t>
        </is>
      </c>
      <c r="D10" s="98" t="inlineStr">
        <is>
          <t>M</t>
        </is>
      </c>
      <c r="E10" s="98" t="inlineStr">
        <is>
          <t>M</t>
        </is>
      </c>
      <c r="F10" s="111" t="inlineStr">
        <is>
          <t>C</t>
        </is>
      </c>
      <c r="G10" s="98" t="inlineStr">
        <is>
          <t>M</t>
        </is>
      </c>
      <c r="H10" s="98" t="inlineStr">
        <is>
          <t>M</t>
        </is>
      </c>
      <c r="I10" s="111" t="inlineStr">
        <is>
          <t>C</t>
        </is>
      </c>
      <c r="J10" s="98" t="inlineStr">
        <is>
          <t>M</t>
        </is>
      </c>
      <c r="K10" s="98" t="inlineStr">
        <is>
          <t>M</t>
        </is>
      </c>
      <c r="L10" s="98" t="inlineStr">
        <is>
          <t>M</t>
        </is>
      </c>
      <c r="M10" s="111" t="inlineStr">
        <is>
          <t>C</t>
        </is>
      </c>
      <c r="N10" s="98" t="inlineStr">
        <is>
          <t>M</t>
        </is>
      </c>
      <c r="O10" s="98" t="inlineStr">
        <is>
          <t>M</t>
        </is>
      </c>
      <c r="P10" s="98" t="inlineStr">
        <is>
          <t>M</t>
        </is>
      </c>
      <c r="Q10" s="97" t="n"/>
      <c r="R10" s="97" t="n"/>
      <c r="S10" s="98" t="inlineStr">
        <is>
          <t>M</t>
        </is>
      </c>
      <c r="T10" s="111" t="inlineStr">
        <is>
          <t>C</t>
        </is>
      </c>
      <c r="U10" s="98" t="inlineStr">
        <is>
          <t>M</t>
        </is>
      </c>
      <c r="V10" s="98" t="inlineStr">
        <is>
          <t>M</t>
        </is>
      </c>
      <c r="W10" s="98" t="inlineStr">
        <is>
          <t>M</t>
        </is>
      </c>
      <c r="X10" s="97" t="n"/>
      <c r="Y10" s="97" t="n"/>
      <c r="Z10" s="98" t="inlineStr">
        <is>
          <t>M</t>
        </is>
      </c>
      <c r="AA10" s="111" t="inlineStr">
        <is>
          <t>C</t>
        </is>
      </c>
      <c r="AB10" s="98" t="inlineStr">
        <is>
          <t>M</t>
        </is>
      </c>
      <c r="AC10" s="98" t="inlineStr">
        <is>
          <t>M</t>
        </is>
      </c>
      <c r="AD10" s="111" t="inlineStr">
        <is>
          <t>C</t>
        </is>
      </c>
      <c r="AE10" s="98" t="inlineStr">
        <is>
          <t>M</t>
        </is>
      </c>
      <c r="AF10" s="98" t="inlineStr">
        <is>
          <t>M</t>
        </is>
      </c>
      <c r="AG10" s="98" t="inlineStr">
        <is>
          <t>M</t>
        </is>
      </c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103" t="inlineStr">
        <is>
          <t>N</t>
        </is>
      </c>
      <c r="E11" s="98" t="inlineStr">
        <is>
          <t>M</t>
        </is>
      </c>
      <c r="F11" s="98" t="inlineStr">
        <is>
          <t>M</t>
        </is>
      </c>
      <c r="G11" s="98" t="inlineStr">
        <is>
          <t>M</t>
        </is>
      </c>
      <c r="H11" s="98" t="inlineStr">
        <is>
          <t>M</t>
        </is>
      </c>
      <c r="I11" s="98" t="inlineStr">
        <is>
          <t>M</t>
        </is>
      </c>
      <c r="J11" s="103" t="inlineStr">
        <is>
          <t>N</t>
        </is>
      </c>
      <c r="K11" s="97" t="n"/>
      <c r="L11" s="98" t="inlineStr">
        <is>
          <t>M</t>
        </is>
      </c>
      <c r="M11" s="102" t="inlineStr">
        <is>
          <t>D</t>
        </is>
      </c>
      <c r="N11" s="98" t="inlineStr">
        <is>
          <t>M</t>
        </is>
      </c>
      <c r="O11" s="98" t="inlineStr">
        <is>
          <t>M</t>
        </is>
      </c>
      <c r="P11" s="98" t="inlineStr">
        <is>
          <t>M</t>
        </is>
      </c>
      <c r="Q11" s="97" t="n"/>
      <c r="R11" s="97" t="n"/>
      <c r="S11" s="115" t="inlineStr">
        <is>
          <t>FE</t>
        </is>
      </c>
      <c r="T11" s="115" t="inlineStr">
        <is>
          <t>FE</t>
        </is>
      </c>
      <c r="U11" s="115" t="inlineStr">
        <is>
          <t>FE</t>
        </is>
      </c>
      <c r="V11" s="115" t="inlineStr">
        <is>
          <t>FE</t>
        </is>
      </c>
      <c r="W11" s="115" t="inlineStr">
        <is>
          <t>FE</t>
        </is>
      </c>
      <c r="X11" s="115" t="inlineStr">
        <is>
          <t>FE</t>
        </is>
      </c>
      <c r="Y11" s="115" t="inlineStr">
        <is>
          <t>FE</t>
        </is>
      </c>
      <c r="Z11" s="115" t="inlineStr">
        <is>
          <t>FE</t>
        </is>
      </c>
      <c r="AA11" s="115" t="inlineStr">
        <is>
          <t>FE</t>
        </is>
      </c>
      <c r="AB11" s="115" t="inlineStr">
        <is>
          <t>FE</t>
        </is>
      </c>
      <c r="AC11" s="115" t="inlineStr">
        <is>
          <t>FE</t>
        </is>
      </c>
      <c r="AD11" s="115" t="inlineStr">
        <is>
          <t>FE</t>
        </is>
      </c>
      <c r="AE11" s="115" t="inlineStr">
        <is>
          <t>FE</t>
        </is>
      </c>
      <c r="AF11" s="115" t="inlineStr">
        <is>
          <t>FE</t>
        </is>
      </c>
      <c r="AG11" s="115" t="inlineStr">
        <is>
          <t>FE</t>
        </is>
      </c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7" t="n"/>
      <c r="E12" s="98" t="inlineStr">
        <is>
          <t>M</t>
        </is>
      </c>
      <c r="F12" s="98" t="inlineStr">
        <is>
          <t>M</t>
        </is>
      </c>
      <c r="G12" s="98" t="inlineStr">
        <is>
          <t>M</t>
        </is>
      </c>
      <c r="H12" s="98" t="inlineStr">
        <is>
          <t>M</t>
        </is>
      </c>
      <c r="I12" s="102" t="inlineStr">
        <is>
          <t>D</t>
        </is>
      </c>
      <c r="J12" s="98" t="inlineStr">
        <is>
          <t>M</t>
        </is>
      </c>
      <c r="K12" s="97" t="n"/>
      <c r="L12" s="115" t="inlineStr">
        <is>
          <t>FE</t>
        </is>
      </c>
      <c r="M12" s="115" t="inlineStr">
        <is>
          <t>FE</t>
        </is>
      </c>
      <c r="N12" s="115" t="inlineStr">
        <is>
          <t>FE</t>
        </is>
      </c>
      <c r="O12" s="115" t="inlineStr">
        <is>
          <t>FE</t>
        </is>
      </c>
      <c r="P12" s="115" t="inlineStr">
        <is>
          <t>FE</t>
        </is>
      </c>
      <c r="Q12" s="115" t="inlineStr">
        <is>
          <t>FE</t>
        </is>
      </c>
      <c r="R12" s="115" t="inlineStr">
        <is>
          <t>FE</t>
        </is>
      </c>
      <c r="S12" s="115" t="inlineStr">
        <is>
          <t>FE</t>
        </is>
      </c>
      <c r="T12" s="115" t="inlineStr">
        <is>
          <t>FE</t>
        </is>
      </c>
      <c r="U12" s="115" t="inlineStr">
        <is>
          <t>FE</t>
        </is>
      </c>
      <c r="V12" s="115" t="inlineStr">
        <is>
          <t>FE</t>
        </is>
      </c>
      <c r="W12" s="115" t="inlineStr">
        <is>
          <t>FE</t>
        </is>
      </c>
      <c r="X12" s="115" t="inlineStr">
        <is>
          <t>FE</t>
        </is>
      </c>
      <c r="Y12" s="115" t="inlineStr">
        <is>
          <t>FE</t>
        </is>
      </c>
      <c r="Z12" s="115" t="inlineStr">
        <is>
          <t>FE</t>
        </is>
      </c>
      <c r="AA12" s="98" t="inlineStr">
        <is>
          <t>M</t>
        </is>
      </c>
      <c r="AB12" s="98" t="inlineStr">
        <is>
          <t>M</t>
        </is>
      </c>
      <c r="AC12" s="98" t="inlineStr">
        <is>
          <t>M</t>
        </is>
      </c>
      <c r="AD12" s="98" t="inlineStr">
        <is>
          <t>M</t>
        </is>
      </c>
      <c r="AE12" s="98" t="inlineStr">
        <is>
          <t>M</t>
        </is>
      </c>
      <c r="AF12" s="97" t="n"/>
      <c r="AG12" s="98" t="inlineStr">
        <is>
          <t>M</t>
        </is>
      </c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115" t="inlineStr">
        <is>
          <t>FE</t>
        </is>
      </c>
      <c r="D13" s="115" t="inlineStr">
        <is>
          <t>FE</t>
        </is>
      </c>
      <c r="E13" s="98" t="inlineStr">
        <is>
          <t>M</t>
        </is>
      </c>
      <c r="F13" s="98" t="inlineStr">
        <is>
          <t>M</t>
        </is>
      </c>
      <c r="G13" s="98" t="inlineStr">
        <is>
          <t>M</t>
        </is>
      </c>
      <c r="H13" s="98" t="inlineStr">
        <is>
          <t>M</t>
        </is>
      </c>
      <c r="I13" s="98" t="inlineStr">
        <is>
          <t>M</t>
        </is>
      </c>
      <c r="J13" s="97" t="n"/>
      <c r="K13" s="97" t="n"/>
      <c r="L13" s="98" t="inlineStr">
        <is>
          <t>M</t>
        </is>
      </c>
      <c r="M13" s="98" t="inlineStr">
        <is>
          <t>M</t>
        </is>
      </c>
      <c r="N13" s="98" t="inlineStr">
        <is>
          <t>M</t>
        </is>
      </c>
      <c r="O13" s="98" t="inlineStr">
        <is>
          <t>M</t>
        </is>
      </c>
      <c r="P13" s="98" t="inlineStr">
        <is>
          <t>M</t>
        </is>
      </c>
      <c r="Q13" s="97" t="n"/>
      <c r="R13" s="97" t="n"/>
      <c r="S13" s="98" t="inlineStr">
        <is>
          <t>M</t>
        </is>
      </c>
      <c r="T13" s="98" t="inlineStr">
        <is>
          <t>M</t>
        </is>
      </c>
      <c r="U13" s="98" t="inlineStr">
        <is>
          <t>M</t>
        </is>
      </c>
      <c r="V13" s="98" t="inlineStr">
        <is>
          <t>M</t>
        </is>
      </c>
      <c r="W13" s="98" t="inlineStr">
        <is>
          <t>M</t>
        </is>
      </c>
      <c r="X13" s="103" t="inlineStr">
        <is>
          <t>N</t>
        </is>
      </c>
      <c r="Y13" s="97" t="n"/>
      <c r="Z13" s="98" t="inlineStr">
        <is>
          <t>M</t>
        </is>
      </c>
      <c r="AA13" s="98" t="inlineStr">
        <is>
          <t>M</t>
        </is>
      </c>
      <c r="AB13" s="98" t="inlineStr">
        <is>
          <t>M</t>
        </is>
      </c>
      <c r="AC13" s="98" t="inlineStr">
        <is>
          <t>M</t>
        </is>
      </c>
      <c r="AD13" s="98" t="inlineStr">
        <is>
          <t>M</t>
        </is>
      </c>
      <c r="AE13" s="97" t="n"/>
      <c r="AF13" s="97" t="n"/>
      <c r="AG13" s="98" t="inlineStr">
        <is>
          <t>M</t>
        </is>
      </c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8" t="inlineStr">
        <is>
          <t>M</t>
        </is>
      </c>
      <c r="D14" s="98" t="inlineStr">
        <is>
          <t>M</t>
        </is>
      </c>
      <c r="E14" s="98" t="inlineStr">
        <is>
          <t>M</t>
        </is>
      </c>
      <c r="F14" s="98" t="inlineStr">
        <is>
          <t>M</t>
        </is>
      </c>
      <c r="G14" s="98" t="inlineStr">
        <is>
          <t>M</t>
        </is>
      </c>
      <c r="H14" s="98" t="inlineStr">
        <is>
          <t>M</t>
        </is>
      </c>
      <c r="I14" s="98" t="inlineStr">
        <is>
          <t>M</t>
        </is>
      </c>
      <c r="J14" s="98" t="inlineStr">
        <is>
          <t>M</t>
        </is>
      </c>
      <c r="K14" s="98" t="inlineStr">
        <is>
          <t>M</t>
        </is>
      </c>
      <c r="L14" s="98" t="inlineStr">
        <is>
          <t>M</t>
        </is>
      </c>
      <c r="M14" s="98" t="inlineStr">
        <is>
          <t>M</t>
        </is>
      </c>
      <c r="N14" s="98" t="inlineStr">
        <is>
          <t>M</t>
        </is>
      </c>
      <c r="O14" s="98" t="inlineStr">
        <is>
          <t>M</t>
        </is>
      </c>
      <c r="P14" s="98" t="inlineStr">
        <is>
          <t>M</t>
        </is>
      </c>
      <c r="Q14" s="97" t="n"/>
      <c r="R14" s="97" t="n"/>
      <c r="S14" s="98" t="inlineStr">
        <is>
          <t>M</t>
        </is>
      </c>
      <c r="T14" s="97" t="n"/>
      <c r="U14" s="98" t="inlineStr">
        <is>
          <t>M</t>
        </is>
      </c>
      <c r="V14" s="98" t="inlineStr">
        <is>
          <t>M</t>
        </is>
      </c>
      <c r="W14" s="98" t="inlineStr">
        <is>
          <t>M</t>
        </is>
      </c>
      <c r="X14" s="98" t="inlineStr">
        <is>
          <t>M</t>
        </is>
      </c>
      <c r="Y14" s="98" t="inlineStr">
        <is>
          <t>M</t>
        </is>
      </c>
      <c r="Z14" s="98" t="inlineStr">
        <is>
          <t>M</t>
        </is>
      </c>
      <c r="AA14" s="98" t="inlineStr">
        <is>
          <t>M</t>
        </is>
      </c>
      <c r="AB14" s="98" t="inlineStr">
        <is>
          <t>M</t>
        </is>
      </c>
      <c r="AC14" s="98" t="inlineStr">
        <is>
          <t>M</t>
        </is>
      </c>
      <c r="AD14" s="97" t="n"/>
      <c r="AE14" s="98" t="inlineStr">
        <is>
          <t>M</t>
        </is>
      </c>
      <c r="AF14" s="98" t="inlineStr">
        <is>
          <t>M</t>
        </is>
      </c>
      <c r="AG14" s="98" t="inlineStr">
        <is>
          <t>M</t>
        </is>
      </c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114" t="inlineStr">
        <is>
          <t>LM</t>
        </is>
      </c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16" t="inlineStr">
        <is>
          <t>J</t>
        </is>
      </c>
      <c r="D16" s="97" t="n"/>
      <c r="E16" s="116" t="inlineStr">
        <is>
          <t>J</t>
        </is>
      </c>
      <c r="F16" s="116" t="inlineStr">
        <is>
          <t>J</t>
        </is>
      </c>
      <c r="G16" s="116" t="inlineStr">
        <is>
          <t>J</t>
        </is>
      </c>
      <c r="H16" s="116" t="inlineStr">
        <is>
          <t>J</t>
        </is>
      </c>
      <c r="I16" s="116" t="inlineStr">
        <is>
          <t>J</t>
        </is>
      </c>
      <c r="J16" s="116" t="inlineStr">
        <is>
          <t>J</t>
        </is>
      </c>
      <c r="K16" s="97" t="n"/>
      <c r="L16" s="116" t="inlineStr">
        <is>
          <t>J</t>
        </is>
      </c>
      <c r="M16" s="116" t="inlineStr">
        <is>
          <t>J</t>
        </is>
      </c>
      <c r="N16" s="116" t="inlineStr">
        <is>
          <t>J</t>
        </is>
      </c>
      <c r="O16" s="116" t="inlineStr">
        <is>
          <t>J</t>
        </is>
      </c>
      <c r="P16" s="116" t="inlineStr">
        <is>
          <t>J</t>
        </is>
      </c>
      <c r="Q16" s="116" t="inlineStr">
        <is>
          <t>J</t>
        </is>
      </c>
      <c r="R16" s="97" t="n"/>
      <c r="S16" s="116" t="inlineStr">
        <is>
          <t>J</t>
        </is>
      </c>
      <c r="T16" s="116" t="inlineStr">
        <is>
          <t>J</t>
        </is>
      </c>
      <c r="U16" s="116" t="inlineStr">
        <is>
          <t>J</t>
        </is>
      </c>
      <c r="V16" s="116" t="inlineStr">
        <is>
          <t>J</t>
        </is>
      </c>
      <c r="W16" s="116" t="inlineStr">
        <is>
          <t>J</t>
        </is>
      </c>
      <c r="X16" s="116" t="inlineStr">
        <is>
          <t>J</t>
        </is>
      </c>
      <c r="Y16" s="97" t="n"/>
      <c r="Z16" s="116" t="inlineStr">
        <is>
          <t>J</t>
        </is>
      </c>
      <c r="AA16" s="116" t="inlineStr">
        <is>
          <t>J</t>
        </is>
      </c>
      <c r="AB16" s="116" t="inlineStr">
        <is>
          <t>J</t>
        </is>
      </c>
      <c r="AC16" s="116" t="inlineStr">
        <is>
          <t>J</t>
        </is>
      </c>
      <c r="AD16" s="116" t="inlineStr">
        <is>
          <t>J</t>
        </is>
      </c>
      <c r="AE16" s="116" t="inlineStr">
        <is>
          <t>J</t>
        </is>
      </c>
      <c r="AF16" s="97" t="n"/>
      <c r="AG16" s="116" t="inlineStr">
        <is>
          <t>J</t>
        </is>
      </c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97" t="n"/>
      <c r="E17" s="104" t="inlineStr">
        <is>
          <t>T</t>
        </is>
      </c>
      <c r="F17" s="112" t="inlineStr">
        <is>
          <t>E</t>
        </is>
      </c>
      <c r="G17" s="104" t="inlineStr">
        <is>
          <t>T</t>
        </is>
      </c>
      <c r="H17" s="103" t="inlineStr">
        <is>
          <t>N</t>
        </is>
      </c>
      <c r="I17" s="103" t="inlineStr">
        <is>
          <t>N</t>
        </is>
      </c>
      <c r="J17" s="97" t="n"/>
      <c r="K17" s="97" t="n"/>
      <c r="L17" s="103" t="inlineStr">
        <is>
          <t>N</t>
        </is>
      </c>
      <c r="M17" s="112" t="inlineStr">
        <is>
          <t>E</t>
        </is>
      </c>
      <c r="N17" s="97" t="n"/>
      <c r="O17" s="97" t="n"/>
      <c r="P17" s="104" t="inlineStr">
        <is>
          <t>T</t>
        </is>
      </c>
      <c r="Q17" s="104" t="inlineStr">
        <is>
          <t>T</t>
        </is>
      </c>
      <c r="R17" s="103" t="inlineStr">
        <is>
          <t>N</t>
        </is>
      </c>
      <c r="S17" s="104" t="inlineStr">
        <is>
          <t>T</t>
        </is>
      </c>
      <c r="T17" s="102" t="inlineStr">
        <is>
          <t>D</t>
        </is>
      </c>
      <c r="U17" s="102" t="inlineStr">
        <is>
          <t>D</t>
        </is>
      </c>
      <c r="V17" s="103" t="inlineStr">
        <is>
          <t>N</t>
        </is>
      </c>
      <c r="W17" s="97" t="n"/>
      <c r="X17" s="97" t="n"/>
      <c r="Y17" s="97" t="n"/>
      <c r="Z17" s="103" t="inlineStr">
        <is>
          <t>N</t>
        </is>
      </c>
      <c r="AA17" s="112" t="inlineStr">
        <is>
          <t>E</t>
        </is>
      </c>
      <c r="AB17" s="97" t="n"/>
      <c r="AC17" s="97" t="n"/>
      <c r="AD17" s="104" t="inlineStr">
        <is>
          <t>T</t>
        </is>
      </c>
      <c r="AE17" s="104" t="inlineStr">
        <is>
          <t>T</t>
        </is>
      </c>
      <c r="AF17" s="103" t="inlineStr">
        <is>
          <t>N</t>
        </is>
      </c>
      <c r="AG17" s="104" t="inlineStr">
        <is>
          <t>T</t>
        </is>
      </c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102" t="inlineStr">
        <is>
          <t>D</t>
        </is>
      </c>
      <c r="E18" s="102" t="inlineStr">
        <is>
          <t>D</t>
        </is>
      </c>
      <c r="F18" s="104" t="inlineStr">
        <is>
          <t>T</t>
        </is>
      </c>
      <c r="G18" s="102" t="inlineStr">
        <is>
          <t>D</t>
        </is>
      </c>
      <c r="H18" s="97" t="n"/>
      <c r="I18" s="104" t="inlineStr">
        <is>
          <t>T</t>
        </is>
      </c>
      <c r="J18" s="97" t="n"/>
      <c r="K18" s="97" t="n"/>
      <c r="L18" s="102" t="inlineStr">
        <is>
          <t>D</t>
        </is>
      </c>
      <c r="M18" s="97" t="n"/>
      <c r="N18" s="104" t="inlineStr">
        <is>
          <t>T</t>
        </is>
      </c>
      <c r="O18" s="97" t="n"/>
      <c r="P18" s="97" t="n"/>
      <c r="Q18" s="102" t="inlineStr">
        <is>
          <t>D</t>
        </is>
      </c>
      <c r="R18" s="104" t="inlineStr">
        <is>
          <t>T</t>
        </is>
      </c>
      <c r="S18" s="102" t="inlineStr">
        <is>
          <t>D</t>
        </is>
      </c>
      <c r="T18" s="97" t="n"/>
      <c r="U18" s="104" t="inlineStr">
        <is>
          <t>T</t>
        </is>
      </c>
      <c r="V18" s="97" t="n"/>
      <c r="W18" s="104" t="inlineStr">
        <is>
          <t>T</t>
        </is>
      </c>
      <c r="X18" s="103" t="inlineStr">
        <is>
          <t>N</t>
        </is>
      </c>
      <c r="Y18" s="97" t="n"/>
      <c r="Z18" s="102" t="inlineStr">
        <is>
          <t>D</t>
        </is>
      </c>
      <c r="AA18" s="103" t="inlineStr">
        <is>
          <t>N</t>
        </is>
      </c>
      <c r="AB18" s="97" t="n"/>
      <c r="AC18" s="97" t="n"/>
      <c r="AD18" s="102" t="inlineStr">
        <is>
          <t>D</t>
        </is>
      </c>
      <c r="AE18" s="97" t="n"/>
      <c r="AF18" s="97" t="n"/>
      <c r="AG18" s="102" t="inlineStr">
        <is>
          <t>D</t>
        </is>
      </c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97" t="n"/>
      <c r="E19" s="97" t="n"/>
      <c r="F19" s="97" t="n"/>
      <c r="G19" s="103" t="inlineStr">
        <is>
          <t>N</t>
        </is>
      </c>
      <c r="H19" s="103" t="inlineStr">
        <is>
          <t>N</t>
        </is>
      </c>
      <c r="I19" s="97" t="n"/>
      <c r="J19" s="97" t="n"/>
      <c r="K19" s="103" t="inlineStr">
        <is>
          <t>N</t>
        </is>
      </c>
      <c r="L19" s="97" t="n"/>
      <c r="M19" s="97" t="n"/>
      <c r="N19" s="97" t="n"/>
      <c r="O19" s="103" t="inlineStr">
        <is>
          <t>N</t>
        </is>
      </c>
      <c r="P19" s="104" t="inlineStr">
        <is>
          <t>T</t>
        </is>
      </c>
      <c r="Q19" s="103" t="inlineStr">
        <is>
          <t>N</t>
        </is>
      </c>
      <c r="R19" s="104" t="inlineStr">
        <is>
          <t>T</t>
        </is>
      </c>
      <c r="S19" s="115" t="inlineStr">
        <is>
          <t>FE</t>
        </is>
      </c>
      <c r="T19" s="115" t="inlineStr">
        <is>
          <t>FE</t>
        </is>
      </c>
      <c r="U19" s="115" t="inlineStr">
        <is>
          <t>FE</t>
        </is>
      </c>
      <c r="V19" s="115" t="inlineStr">
        <is>
          <t>FE</t>
        </is>
      </c>
      <c r="W19" s="115" t="inlineStr">
        <is>
          <t>FE</t>
        </is>
      </c>
      <c r="X19" s="115" t="inlineStr">
        <is>
          <t>FE</t>
        </is>
      </c>
      <c r="Y19" s="115" t="inlineStr">
        <is>
          <t>FE</t>
        </is>
      </c>
      <c r="Z19" s="115" t="inlineStr">
        <is>
          <t>FE</t>
        </is>
      </c>
      <c r="AA19" s="115" t="inlineStr">
        <is>
          <t>FE</t>
        </is>
      </c>
      <c r="AB19" s="115" t="inlineStr">
        <is>
          <t>FE</t>
        </is>
      </c>
      <c r="AC19" s="115" t="inlineStr">
        <is>
          <t>FE</t>
        </is>
      </c>
      <c r="AD19" s="115" t="inlineStr">
        <is>
          <t>FE</t>
        </is>
      </c>
      <c r="AE19" s="115" t="inlineStr">
        <is>
          <t>FE</t>
        </is>
      </c>
      <c r="AF19" s="115" t="inlineStr">
        <is>
          <t>FE</t>
        </is>
      </c>
      <c r="AG19" s="115" t="inlineStr">
        <is>
          <t>FE</t>
        </is>
      </c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97" t="n"/>
      <c r="E20" s="97" t="n"/>
      <c r="F20" s="103" t="inlineStr">
        <is>
          <t>N</t>
        </is>
      </c>
      <c r="G20" s="97" t="n"/>
      <c r="H20" s="103" t="inlineStr">
        <is>
          <t>N</t>
        </is>
      </c>
      <c r="I20" s="97" t="n"/>
      <c r="J20" s="97" t="n"/>
      <c r="K20" s="103" t="inlineStr">
        <is>
          <t>N</t>
        </is>
      </c>
      <c r="L20" s="97" t="n"/>
      <c r="M20" s="97" t="n"/>
      <c r="N20" s="97" t="n"/>
      <c r="O20" s="103" t="inlineStr">
        <is>
          <t>N</t>
        </is>
      </c>
      <c r="P20" s="103" t="inlineStr">
        <is>
          <t>N</t>
        </is>
      </c>
      <c r="Q20" s="97" t="n"/>
      <c r="R20" s="103" t="inlineStr">
        <is>
          <t>N</t>
        </is>
      </c>
      <c r="S20" s="97" t="n"/>
      <c r="T20" s="103" t="inlineStr">
        <is>
          <t>N</t>
        </is>
      </c>
      <c r="U20" s="103" t="inlineStr">
        <is>
          <t>N</t>
        </is>
      </c>
      <c r="V20" s="97" t="n"/>
      <c r="W20" s="97" t="n"/>
      <c r="X20" s="97" t="n"/>
      <c r="Y20" s="103" t="inlineStr">
        <is>
          <t>N</t>
        </is>
      </c>
      <c r="Z20" s="97" t="n"/>
      <c r="AA20" s="103" t="inlineStr">
        <is>
          <t>N</t>
        </is>
      </c>
      <c r="AB20" s="103" t="inlineStr">
        <is>
          <t>N</t>
        </is>
      </c>
      <c r="AC20" s="97" t="n"/>
      <c r="AD20" s="97" t="n"/>
      <c r="AE20" s="97" t="n"/>
      <c r="AF20" s="103" t="inlineStr">
        <is>
          <t>N</t>
        </is>
      </c>
      <c r="AG20" s="97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103" t="inlineStr">
        <is>
          <t>N</t>
        </is>
      </c>
      <c r="E21" s="104" t="inlineStr">
        <is>
          <t>T</t>
        </is>
      </c>
      <c r="F21" s="102" t="inlineStr">
        <is>
          <t>D</t>
        </is>
      </c>
      <c r="G21" s="102" t="inlineStr">
        <is>
          <t>D</t>
        </is>
      </c>
      <c r="H21" s="104" t="inlineStr">
        <is>
          <t>T</t>
        </is>
      </c>
      <c r="I21" s="97" t="n"/>
      <c r="J21" s="97" t="n"/>
      <c r="K21" s="97" t="n"/>
      <c r="L21" s="104" t="inlineStr">
        <is>
          <t>T</t>
        </is>
      </c>
      <c r="M21" s="102" t="inlineStr">
        <is>
          <t>D</t>
        </is>
      </c>
      <c r="N21" s="102" t="inlineStr">
        <is>
          <t>D</t>
        </is>
      </c>
      <c r="O21" s="104" t="inlineStr">
        <is>
          <t>T</t>
        </is>
      </c>
      <c r="P21" s="97" t="n"/>
      <c r="Q21" s="97" t="n"/>
      <c r="R21" s="97" t="n"/>
      <c r="S21" s="97" t="n"/>
      <c r="T21" s="97" t="n"/>
      <c r="U21" s="98" t="inlineStr">
        <is>
          <t>M</t>
        </is>
      </c>
      <c r="V21" s="104" t="inlineStr">
        <is>
          <t>T</t>
        </is>
      </c>
      <c r="W21" s="103" t="inlineStr">
        <is>
          <t>N</t>
        </is>
      </c>
      <c r="X21" s="97" t="n"/>
      <c r="Y21" s="97" t="n"/>
      <c r="Z21" s="104" t="inlineStr">
        <is>
          <t>T</t>
        </is>
      </c>
      <c r="AA21" s="97" t="n"/>
      <c r="AB21" s="102" t="inlineStr">
        <is>
          <t>D</t>
        </is>
      </c>
      <c r="AC21" s="104" t="inlineStr">
        <is>
          <t>T</t>
        </is>
      </c>
      <c r="AD21" s="97" t="n"/>
      <c r="AE21" s="97" t="n"/>
      <c r="AF21" s="104" t="inlineStr">
        <is>
          <t>T</t>
        </is>
      </c>
      <c r="AG21" s="104" t="inlineStr">
        <is>
          <t>T</t>
        </is>
      </c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102" t="inlineStr">
        <is>
          <t>D</t>
        </is>
      </c>
      <c r="D22" s="97" t="n"/>
      <c r="E22" s="98" t="inlineStr">
        <is>
          <t>M</t>
        </is>
      </c>
      <c r="F22" s="102" t="inlineStr">
        <is>
          <t>D</t>
        </is>
      </c>
      <c r="G22" s="98" t="inlineStr">
        <is>
          <t>M</t>
        </is>
      </c>
      <c r="H22" s="102" t="inlineStr">
        <is>
          <t>D</t>
        </is>
      </c>
      <c r="I22" s="98" t="inlineStr">
        <is>
          <t>M</t>
        </is>
      </c>
      <c r="J22" s="97" t="n"/>
      <c r="K22" s="97" t="n"/>
      <c r="L22" s="97" t="n"/>
      <c r="M22" s="102" t="inlineStr">
        <is>
          <t>D</t>
        </is>
      </c>
      <c r="N22" s="98" t="inlineStr">
        <is>
          <t>M</t>
        </is>
      </c>
      <c r="O22" s="97" t="n"/>
      <c r="P22" s="104" t="inlineStr">
        <is>
          <t>T</t>
        </is>
      </c>
      <c r="Q22" s="97" t="n"/>
      <c r="R22" s="102" t="inlineStr">
        <is>
          <t>D</t>
        </is>
      </c>
      <c r="S22" s="97" t="n"/>
      <c r="T22" s="102" t="inlineStr">
        <is>
          <t>D</t>
        </is>
      </c>
      <c r="U22" s="97" t="n"/>
      <c r="V22" s="102" t="inlineStr">
        <is>
          <t>D</t>
        </is>
      </c>
      <c r="W22" s="102" t="inlineStr">
        <is>
          <t>D</t>
        </is>
      </c>
      <c r="X22" s="97" t="n"/>
      <c r="Y22" s="97" t="n"/>
      <c r="Z22" s="97" t="n"/>
      <c r="AA22" s="102" t="inlineStr">
        <is>
          <t>D</t>
        </is>
      </c>
      <c r="AB22" s="98" t="inlineStr">
        <is>
          <t>M</t>
        </is>
      </c>
      <c r="AC22" s="97" t="n"/>
      <c r="AD22" s="98" t="inlineStr">
        <is>
          <t>M</t>
        </is>
      </c>
      <c r="AE22" s="97" t="n"/>
      <c r="AF22" s="102" t="inlineStr">
        <is>
          <t>D</t>
        </is>
      </c>
      <c r="AG22" s="97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102" t="inlineStr">
        <is>
          <t>D</t>
        </is>
      </c>
      <c r="D23" s="102" t="inlineStr">
        <is>
          <t>D</t>
        </is>
      </c>
      <c r="E23" s="102" t="inlineStr">
        <is>
          <t>D</t>
        </is>
      </c>
      <c r="F23" s="102" t="inlineStr">
        <is>
          <t>D</t>
        </is>
      </c>
      <c r="G23" s="97" t="n"/>
      <c r="H23" s="102" t="inlineStr">
        <is>
          <t>D</t>
        </is>
      </c>
      <c r="I23" s="97" t="n"/>
      <c r="J23" s="97" t="n"/>
      <c r="K23" s="97" t="n"/>
      <c r="L23" s="102" t="inlineStr">
        <is>
          <t>D</t>
        </is>
      </c>
      <c r="M23" s="102" t="inlineStr">
        <is>
          <t>D</t>
        </is>
      </c>
      <c r="N23" s="97" t="n"/>
      <c r="O23" s="102" t="inlineStr">
        <is>
          <t>D</t>
        </is>
      </c>
      <c r="P23" s="97" t="n"/>
      <c r="Q23" s="97" t="n"/>
      <c r="R23" s="97" t="n"/>
      <c r="S23" s="102" t="inlineStr">
        <is>
          <t>D</t>
        </is>
      </c>
      <c r="T23" s="97" t="n"/>
      <c r="U23" s="97" t="n"/>
      <c r="V23" s="102" t="inlineStr">
        <is>
          <t>D</t>
        </is>
      </c>
      <c r="W23" s="97" t="n"/>
      <c r="X23" s="102" t="inlineStr">
        <is>
          <t>D</t>
        </is>
      </c>
      <c r="Y23" s="97" t="n"/>
      <c r="Z23" s="104" t="inlineStr">
        <is>
          <t>T</t>
        </is>
      </c>
      <c r="AA23" s="102" t="inlineStr">
        <is>
          <t>D</t>
        </is>
      </c>
      <c r="AB23" s="97" t="n"/>
      <c r="AC23" s="102" t="inlineStr">
        <is>
          <t>D</t>
        </is>
      </c>
      <c r="AD23" s="97" t="n"/>
      <c r="AE23" s="97" t="n"/>
      <c r="AF23" s="97" t="n"/>
      <c r="AG23" s="102" t="inlineStr">
        <is>
          <t>D</t>
        </is>
      </c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115" t="inlineStr">
        <is>
          <t>FE</t>
        </is>
      </c>
      <c r="F24" s="115" t="inlineStr">
        <is>
          <t>FE</t>
        </is>
      </c>
      <c r="G24" s="115" t="inlineStr">
        <is>
          <t>FE</t>
        </is>
      </c>
      <c r="H24" s="115" t="inlineStr">
        <is>
          <t>FE</t>
        </is>
      </c>
      <c r="I24" s="115" t="inlineStr">
        <is>
          <t>FE</t>
        </is>
      </c>
      <c r="J24" s="115" t="inlineStr">
        <is>
          <t>FE</t>
        </is>
      </c>
      <c r="K24" s="115" t="inlineStr">
        <is>
          <t>FE</t>
        </is>
      </c>
      <c r="L24" s="115" t="inlineStr">
        <is>
          <t>FE</t>
        </is>
      </c>
      <c r="M24" s="115" t="inlineStr">
        <is>
          <t>FE</t>
        </is>
      </c>
      <c r="N24" s="115" t="inlineStr">
        <is>
          <t>FE</t>
        </is>
      </c>
      <c r="O24" s="115" t="inlineStr">
        <is>
          <t>FE</t>
        </is>
      </c>
      <c r="P24" s="115" t="inlineStr">
        <is>
          <t>FE</t>
        </is>
      </c>
      <c r="Q24" s="115" t="inlineStr">
        <is>
          <t>FE</t>
        </is>
      </c>
      <c r="R24" s="115" t="inlineStr">
        <is>
          <t>FE</t>
        </is>
      </c>
      <c r="S24" s="97" t="n"/>
      <c r="T24" s="102" t="inlineStr">
        <is>
          <t>D</t>
        </is>
      </c>
      <c r="U24" s="97" t="n"/>
      <c r="V24" s="98" t="inlineStr">
        <is>
          <t>M</t>
        </is>
      </c>
      <c r="W24" s="97" t="n"/>
      <c r="X24" s="103" t="inlineStr">
        <is>
          <t>N</t>
        </is>
      </c>
      <c r="Y24" s="97" t="n"/>
      <c r="Z24" s="97" t="n"/>
      <c r="AA24" s="104" t="inlineStr">
        <is>
          <t>T</t>
        </is>
      </c>
      <c r="AB24" s="97" t="n"/>
      <c r="AC24" s="102" t="inlineStr">
        <is>
          <t>D</t>
        </is>
      </c>
      <c r="AD24" s="97" t="n"/>
      <c r="AE24" s="103" t="inlineStr">
        <is>
          <t>N</t>
        </is>
      </c>
      <c r="AF24" s="104" t="inlineStr">
        <is>
          <t>T</t>
        </is>
      </c>
      <c r="AG24" s="102" t="inlineStr">
        <is>
          <t>D</t>
        </is>
      </c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103" t="inlineStr">
        <is>
          <t>N</t>
        </is>
      </c>
      <c r="E25" s="97" t="n"/>
      <c r="F25" s="103" t="inlineStr">
        <is>
          <t>N</t>
        </is>
      </c>
      <c r="G25" s="103" t="inlineStr">
        <is>
          <t>N</t>
        </is>
      </c>
      <c r="H25" s="97" t="n"/>
      <c r="I25" s="97" t="n"/>
      <c r="J25" s="97" t="n"/>
      <c r="K25" s="103" t="inlineStr">
        <is>
          <t>N</t>
        </is>
      </c>
      <c r="L25" s="97" t="n"/>
      <c r="M25" s="103" t="inlineStr">
        <is>
          <t>N</t>
        </is>
      </c>
      <c r="N25" s="103" t="inlineStr">
        <is>
          <t>N</t>
        </is>
      </c>
      <c r="O25" s="97" t="n"/>
      <c r="P25" s="97" t="n"/>
      <c r="Q25" s="97" t="n"/>
      <c r="R25" s="103" t="inlineStr">
        <is>
          <t>N</t>
        </is>
      </c>
      <c r="S25" s="103" t="inlineStr">
        <is>
          <t>N</t>
        </is>
      </c>
      <c r="T25" s="103" t="inlineStr">
        <is>
          <t>N</t>
        </is>
      </c>
      <c r="U25" s="103" t="inlineStr">
        <is>
          <t>N</t>
        </is>
      </c>
      <c r="V25" s="97" t="n"/>
      <c r="W25" s="97" t="n"/>
      <c r="X25" s="97" t="n"/>
      <c r="Y25" s="97" t="n"/>
      <c r="Z25" s="103" t="inlineStr">
        <is>
          <t>N</t>
        </is>
      </c>
      <c r="AA25" s="103" t="inlineStr">
        <is>
          <t>N</t>
        </is>
      </c>
      <c r="AB25" s="103" t="inlineStr">
        <is>
          <t>N</t>
        </is>
      </c>
      <c r="AC25" s="97" t="n"/>
      <c r="AD25" s="97" t="n"/>
      <c r="AE25" s="97" t="n"/>
      <c r="AF25" s="97" t="n"/>
      <c r="AG25" s="97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8" t="inlineStr">
        <is>
          <t>M</t>
        </is>
      </c>
      <c r="D26" s="104" t="inlineStr">
        <is>
          <t>T</t>
        </is>
      </c>
      <c r="E26" s="97" t="n"/>
      <c r="F26" s="97" t="n"/>
      <c r="G26" s="102" t="inlineStr">
        <is>
          <t>D</t>
        </is>
      </c>
      <c r="H26" s="97" t="n"/>
      <c r="I26" s="103" t="inlineStr">
        <is>
          <t>N</t>
        </is>
      </c>
      <c r="J26" s="97" t="n"/>
      <c r="K26" s="103" t="inlineStr">
        <is>
          <t>N</t>
        </is>
      </c>
      <c r="L26" s="104" t="inlineStr">
        <is>
          <t>T</t>
        </is>
      </c>
      <c r="M26" s="97" t="n"/>
      <c r="N26" s="102" t="inlineStr">
        <is>
          <t>D</t>
        </is>
      </c>
      <c r="O26" s="103" t="inlineStr">
        <is>
          <t>N</t>
        </is>
      </c>
      <c r="P26" s="97" t="n"/>
      <c r="Q26" s="97" t="n"/>
      <c r="R26" s="98" t="inlineStr">
        <is>
          <t>M</t>
        </is>
      </c>
      <c r="S26" s="103" t="inlineStr">
        <is>
          <t>N</t>
        </is>
      </c>
      <c r="T26" s="97" t="n"/>
      <c r="U26" s="102" t="inlineStr">
        <is>
          <t>D</t>
        </is>
      </c>
      <c r="V26" s="97" t="n"/>
      <c r="W26" s="102" t="inlineStr">
        <is>
          <t>D</t>
        </is>
      </c>
      <c r="X26" s="97" t="n"/>
      <c r="Y26" s="97" t="n"/>
      <c r="Z26" s="97" t="n"/>
      <c r="AA26" s="103" t="inlineStr">
        <is>
          <t>N</t>
        </is>
      </c>
      <c r="AB26" s="97" t="n"/>
      <c r="AC26" s="97" t="n"/>
      <c r="AD26" s="102" t="inlineStr">
        <is>
          <t>D</t>
        </is>
      </c>
      <c r="AE26" s="97" t="n"/>
      <c r="AF26" s="103" t="inlineStr">
        <is>
          <t>N</t>
        </is>
      </c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97" t="n"/>
      <c r="F27" s="103" t="inlineStr">
        <is>
          <t>N</t>
        </is>
      </c>
      <c r="G27" s="97" t="n"/>
      <c r="H27" s="103" t="inlineStr">
        <is>
          <t>N</t>
        </is>
      </c>
      <c r="I27" s="97" t="n"/>
      <c r="J27" s="103" t="inlineStr">
        <is>
          <t>N</t>
        </is>
      </c>
      <c r="K27" s="97" t="n"/>
      <c r="L27" s="97" t="n"/>
      <c r="M27" s="103" t="inlineStr">
        <is>
          <t>N</t>
        </is>
      </c>
      <c r="N27" s="97" t="n"/>
      <c r="O27" s="103" t="inlineStr">
        <is>
          <t>N</t>
        </is>
      </c>
      <c r="P27" s="97" t="n"/>
      <c r="Q27" s="103" t="inlineStr">
        <is>
          <t>N</t>
        </is>
      </c>
      <c r="R27" s="97" t="n"/>
      <c r="S27" s="97" t="n"/>
      <c r="T27" s="103" t="inlineStr">
        <is>
          <t>N</t>
        </is>
      </c>
      <c r="U27" s="97" t="n"/>
      <c r="V27" s="103" t="inlineStr">
        <is>
          <t>N</t>
        </is>
      </c>
      <c r="W27" s="97" t="n"/>
      <c r="X27" s="103" t="inlineStr">
        <is>
          <t>N</t>
        </is>
      </c>
      <c r="Y27" s="97" t="n"/>
      <c r="Z27" s="97" t="n"/>
      <c r="AA27" s="103" t="inlineStr">
        <is>
          <t>N</t>
        </is>
      </c>
      <c r="AB27" s="104" t="inlineStr">
        <is>
          <t>T</t>
        </is>
      </c>
      <c r="AC27" s="103" t="inlineStr">
        <is>
          <t>N</t>
        </is>
      </c>
      <c r="AD27" s="104" t="inlineStr">
        <is>
          <t>T</t>
        </is>
      </c>
      <c r="AE27" s="97" t="n"/>
      <c r="AF27" s="97" t="n"/>
      <c r="AG27" s="97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104" t="inlineStr">
        <is>
          <t>T</t>
        </is>
      </c>
      <c r="E28" s="102" t="inlineStr">
        <is>
          <t>D</t>
        </is>
      </c>
      <c r="F28" s="104" t="inlineStr">
        <is>
          <t>T</t>
        </is>
      </c>
      <c r="G28" s="97" t="n"/>
      <c r="H28" s="103" t="inlineStr">
        <is>
          <t>N</t>
        </is>
      </c>
      <c r="I28" s="97" t="n"/>
      <c r="J28" s="97" t="n"/>
      <c r="K28" s="97" t="n"/>
      <c r="L28" s="104" t="inlineStr">
        <is>
          <t>T</t>
        </is>
      </c>
      <c r="M28" s="104" t="inlineStr">
        <is>
          <t>T</t>
        </is>
      </c>
      <c r="N28" s="104" t="inlineStr">
        <is>
          <t>T</t>
        </is>
      </c>
      <c r="O28" s="97" t="n"/>
      <c r="P28" s="103" t="inlineStr">
        <is>
          <t>N</t>
        </is>
      </c>
      <c r="Q28" s="97" t="n"/>
      <c r="R28" s="97" t="n"/>
      <c r="S28" s="97" t="n"/>
      <c r="T28" s="97" t="n"/>
      <c r="U28" s="97" t="n"/>
      <c r="V28" s="103" t="inlineStr">
        <is>
          <t>N</t>
        </is>
      </c>
      <c r="W28" s="97" t="n"/>
      <c r="X28" s="104" t="inlineStr">
        <is>
          <t>T</t>
        </is>
      </c>
      <c r="Y28" s="103" t="inlineStr">
        <is>
          <t>N</t>
        </is>
      </c>
      <c r="Z28" s="97" t="n"/>
      <c r="AA28" s="102" t="inlineStr">
        <is>
          <t>D</t>
        </is>
      </c>
      <c r="AB28" s="103" t="inlineStr">
        <is>
          <t>N</t>
        </is>
      </c>
      <c r="AC28" s="97" t="n"/>
      <c r="AD28" s="97" t="n"/>
      <c r="AE28" s="97" t="n"/>
      <c r="AF28" s="98" t="inlineStr">
        <is>
          <t>M</t>
        </is>
      </c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98" t="inlineStr">
        <is>
          <t>M</t>
        </is>
      </c>
      <c r="E29" s="103" t="inlineStr">
        <is>
          <t>N</t>
        </is>
      </c>
      <c r="F29" s="97" t="n"/>
      <c r="G29" s="98" t="inlineStr">
        <is>
          <t>M</t>
        </is>
      </c>
      <c r="H29" s="98" t="inlineStr">
        <is>
          <t>M</t>
        </is>
      </c>
      <c r="I29" s="97" t="n"/>
      <c r="J29" s="97" t="n"/>
      <c r="K29" s="98" t="inlineStr">
        <is>
          <t>M</t>
        </is>
      </c>
      <c r="L29" s="103" t="inlineStr">
        <is>
          <t>N</t>
        </is>
      </c>
      <c r="M29" s="97" t="n"/>
      <c r="N29" s="98" t="inlineStr">
        <is>
          <t>M</t>
        </is>
      </c>
      <c r="O29" s="98" t="inlineStr">
        <is>
          <t>M</t>
        </is>
      </c>
      <c r="P29" s="97" t="n"/>
      <c r="Q29" s="97" t="n"/>
      <c r="R29" s="98" t="inlineStr">
        <is>
          <t>M</t>
        </is>
      </c>
      <c r="S29" s="97" t="n"/>
      <c r="T29" s="97" t="n"/>
      <c r="U29" s="97" t="n"/>
      <c r="V29" s="97" t="n"/>
      <c r="W29" s="103" t="inlineStr">
        <is>
          <t>N</t>
        </is>
      </c>
      <c r="X29" s="97" t="n"/>
      <c r="Y29" s="98" t="inlineStr">
        <is>
          <t>M</t>
        </is>
      </c>
      <c r="Z29" s="103" t="inlineStr">
        <is>
          <t>N</t>
        </is>
      </c>
      <c r="AA29" s="97" t="n"/>
      <c r="AB29" s="98" t="inlineStr">
        <is>
          <t>M</t>
        </is>
      </c>
      <c r="AC29" s="104" t="inlineStr">
        <is>
          <t>T</t>
        </is>
      </c>
      <c r="AD29" s="97" t="n"/>
      <c r="AE29" s="97" t="n"/>
      <c r="AF29" s="98" t="inlineStr">
        <is>
          <t>M</t>
        </is>
      </c>
      <c r="AG29" s="103" t="inlineStr">
        <is>
          <t>N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103" t="inlineStr">
        <is>
          <t>N</t>
        </is>
      </c>
      <c r="E30" s="97" t="n"/>
      <c r="F30" s="97" t="n"/>
      <c r="G30" s="103" t="inlineStr">
        <is>
          <t>N</t>
        </is>
      </c>
      <c r="H30" s="97" t="n"/>
      <c r="I30" s="98" t="inlineStr">
        <is>
          <t>M</t>
        </is>
      </c>
      <c r="J30" s="97" t="n"/>
      <c r="K30" s="103" t="inlineStr">
        <is>
          <t>N</t>
        </is>
      </c>
      <c r="L30" s="97" t="n"/>
      <c r="M30" s="102" t="inlineStr">
        <is>
          <t>D</t>
        </is>
      </c>
      <c r="N30" s="97" t="n"/>
      <c r="O30" s="104" t="inlineStr">
        <is>
          <t>T</t>
        </is>
      </c>
      <c r="P30" s="97" t="n"/>
      <c r="Q30" s="103" t="inlineStr">
        <is>
          <t>N</t>
        </is>
      </c>
      <c r="R30" s="97" t="n"/>
      <c r="S30" s="97" t="n"/>
      <c r="T30" s="104" t="inlineStr">
        <is>
          <t>T</t>
        </is>
      </c>
      <c r="U30" s="103" t="inlineStr">
        <is>
          <t>N</t>
        </is>
      </c>
      <c r="V30" s="104" t="inlineStr">
        <is>
          <t>T</t>
        </is>
      </c>
      <c r="W30" s="104" t="inlineStr">
        <is>
          <t>T</t>
        </is>
      </c>
      <c r="X30" s="97" t="n"/>
      <c r="Y30" s="97" t="n"/>
      <c r="Z30" s="97" t="n"/>
      <c r="AA30" s="97" t="n"/>
      <c r="AB30" s="104" t="inlineStr">
        <is>
          <t>T</t>
        </is>
      </c>
      <c r="AC30" s="103" t="inlineStr">
        <is>
          <t>N</t>
        </is>
      </c>
      <c r="AD30" s="97" t="n"/>
      <c r="AE30" s="103" t="inlineStr">
        <is>
          <t>N</t>
        </is>
      </c>
      <c r="AF30" s="97" t="n"/>
      <c r="AG30" s="97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7" t="n"/>
      <c r="E31" s="97" t="n"/>
      <c r="F31" s="98" t="inlineStr">
        <is>
          <t>M</t>
        </is>
      </c>
      <c r="G31" s="98" t="inlineStr">
        <is>
          <t>M</t>
        </is>
      </c>
      <c r="H31" s="98" t="inlineStr">
        <is>
          <t>M</t>
        </is>
      </c>
      <c r="I31" s="103" t="inlineStr">
        <is>
          <t>N</t>
        </is>
      </c>
      <c r="J31" s="97" t="n"/>
      <c r="K31" s="97" t="n"/>
      <c r="L31" s="98" t="inlineStr">
        <is>
          <t>M</t>
        </is>
      </c>
      <c r="M31" s="97" t="n"/>
      <c r="N31" s="98" t="inlineStr">
        <is>
          <t>M</t>
        </is>
      </c>
      <c r="O31" s="97" t="n"/>
      <c r="P31" s="97" t="n"/>
      <c r="Q31" s="98" t="inlineStr">
        <is>
          <t>M</t>
        </is>
      </c>
      <c r="R31" s="103" t="inlineStr">
        <is>
          <t>N</t>
        </is>
      </c>
      <c r="S31" s="97" t="n"/>
      <c r="T31" s="98" t="inlineStr">
        <is>
          <t>M</t>
        </is>
      </c>
      <c r="U31" s="102" t="inlineStr">
        <is>
          <t>D</t>
        </is>
      </c>
      <c r="V31" s="98" t="inlineStr">
        <is>
          <t>M</t>
        </is>
      </c>
      <c r="W31" s="98" t="inlineStr">
        <is>
          <t>M</t>
        </is>
      </c>
      <c r="X31" s="97" t="n"/>
      <c r="Y31" s="97" t="n"/>
      <c r="Z31" s="97" t="n"/>
      <c r="AA31" s="98" t="inlineStr">
        <is>
          <t>M</t>
        </is>
      </c>
      <c r="AB31" s="98" t="inlineStr">
        <is>
          <t>M</t>
        </is>
      </c>
      <c r="AC31" s="98" t="inlineStr">
        <is>
          <t>M</t>
        </is>
      </c>
      <c r="AD31" s="97" t="n"/>
      <c r="AE31" s="97" t="n"/>
      <c r="AF31" s="103" t="inlineStr">
        <is>
          <t>N</t>
        </is>
      </c>
      <c r="AG31" s="97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102" t="inlineStr">
        <is>
          <t>D</t>
        </is>
      </c>
      <c r="E32" s="103" t="inlineStr">
        <is>
          <t>N</t>
        </is>
      </c>
      <c r="F32" s="97" t="n"/>
      <c r="G32" s="97" t="n"/>
      <c r="H32" s="97" t="n"/>
      <c r="I32" s="98" t="inlineStr">
        <is>
          <t>M</t>
        </is>
      </c>
      <c r="J32" s="97" t="n"/>
      <c r="K32" s="102" t="inlineStr">
        <is>
          <t>D</t>
        </is>
      </c>
      <c r="L32" s="102" t="inlineStr">
        <is>
          <t>D</t>
        </is>
      </c>
      <c r="M32" s="97" t="n"/>
      <c r="N32" s="97" t="n"/>
      <c r="O32" s="104" t="inlineStr">
        <is>
          <t>T</t>
        </is>
      </c>
      <c r="P32" s="102" t="inlineStr">
        <is>
          <t>D</t>
        </is>
      </c>
      <c r="Q32" s="97" t="n"/>
      <c r="R32" s="97" t="n"/>
      <c r="S32" s="102" t="inlineStr">
        <is>
          <t>D</t>
        </is>
      </c>
      <c r="T32" s="102" t="inlineStr">
        <is>
          <t>D</t>
        </is>
      </c>
      <c r="U32" s="104" t="inlineStr">
        <is>
          <t>T</t>
        </is>
      </c>
      <c r="V32" s="97" t="n"/>
      <c r="W32" s="97" t="n"/>
      <c r="X32" s="97" t="n"/>
      <c r="Y32" s="97" t="n"/>
      <c r="Z32" s="97" t="n"/>
      <c r="AA32" s="97" t="n"/>
      <c r="AB32" s="97" t="n"/>
      <c r="AC32" s="102" t="inlineStr">
        <is>
          <t>D</t>
        </is>
      </c>
      <c r="AD32" s="102" t="inlineStr">
        <is>
          <t>D</t>
        </is>
      </c>
      <c r="AE32" s="98" t="inlineStr">
        <is>
          <t>M</t>
        </is>
      </c>
      <c r="AF32" s="97" t="n"/>
      <c r="AG32" s="103" t="inlineStr">
        <is>
          <t>N</t>
        </is>
      </c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102" t="inlineStr">
        <is>
          <t>D</t>
        </is>
      </c>
      <c r="K33" s="102" t="inlineStr">
        <is>
          <t>D</t>
        </is>
      </c>
      <c r="L33" s="98" t="inlineStr">
        <is>
          <t>M</t>
        </is>
      </c>
      <c r="M33" s="97" t="n"/>
      <c r="N33" s="97" t="n"/>
      <c r="O33" s="97" t="n"/>
      <c r="P33" s="102" t="inlineStr">
        <is>
          <t>D</t>
        </is>
      </c>
      <c r="Q33" s="98" t="inlineStr">
        <is>
          <t>M</t>
        </is>
      </c>
      <c r="R33" s="97" t="n"/>
      <c r="S33" s="102" t="inlineStr">
        <is>
          <t>D</t>
        </is>
      </c>
      <c r="T33" s="97" t="n"/>
      <c r="U33" s="97" t="n"/>
      <c r="V33" s="97" t="n"/>
      <c r="W33" s="103" t="inlineStr">
        <is>
          <t>N</t>
        </is>
      </c>
      <c r="X33" s="97" t="n"/>
      <c r="Y33" s="97" t="n"/>
      <c r="Z33" s="102" t="inlineStr">
        <is>
          <t>D</t>
        </is>
      </c>
      <c r="AA33" s="97" t="n"/>
      <c r="AB33" s="97" t="n"/>
      <c r="AC33" s="97" t="n"/>
      <c r="AD33" s="103" t="inlineStr">
        <is>
          <t>N</t>
        </is>
      </c>
      <c r="AE33" s="97" t="n"/>
      <c r="AF33" s="97" t="n"/>
      <c r="AG33" s="102" t="inlineStr">
        <is>
          <t>D</t>
        </is>
      </c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102" t="inlineStr">
        <is>
          <t>D</t>
        </is>
      </c>
      <c r="F34" s="102" t="inlineStr">
        <is>
          <t>D</t>
        </is>
      </c>
      <c r="G34" s="104" t="inlineStr">
        <is>
          <t>T</t>
        </is>
      </c>
      <c r="H34" s="97" t="n"/>
      <c r="I34" s="97" t="n"/>
      <c r="J34" s="97" t="n"/>
      <c r="K34" s="97" t="n"/>
      <c r="L34" s="97" t="n"/>
      <c r="M34" s="97" t="n"/>
      <c r="N34" s="103" t="inlineStr">
        <is>
          <t>N</t>
        </is>
      </c>
      <c r="O34" s="97" t="n"/>
      <c r="P34" s="97" t="n"/>
      <c r="Q34" s="102" t="inlineStr">
        <is>
          <t>D</t>
        </is>
      </c>
      <c r="R34" s="98" t="inlineStr">
        <is>
          <t>M</t>
        </is>
      </c>
      <c r="S34" s="97" t="n"/>
      <c r="T34" s="102" t="inlineStr">
        <is>
          <t>D</t>
        </is>
      </c>
      <c r="U34" s="97" t="n"/>
      <c r="V34" s="97" t="n"/>
      <c r="W34" s="97" t="n"/>
      <c r="X34" s="102" t="inlineStr">
        <is>
          <t>D</t>
        </is>
      </c>
      <c r="Y34" s="98" t="inlineStr">
        <is>
          <t>M</t>
        </is>
      </c>
      <c r="Z34" s="102" t="inlineStr">
        <is>
          <t>D</t>
        </is>
      </c>
      <c r="AA34" s="97" t="n"/>
      <c r="AB34" s="98" t="inlineStr">
        <is>
          <t>M</t>
        </is>
      </c>
      <c r="AC34" s="102" t="inlineStr">
        <is>
          <t>D</t>
        </is>
      </c>
      <c r="AD34" s="97" t="n"/>
      <c r="AE34" s="97" t="n"/>
      <c r="AF34" s="97" t="n"/>
      <c r="AG34" s="97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102" t="inlineStr">
        <is>
          <t>D</t>
        </is>
      </c>
      <c r="E35" s="103" t="inlineStr">
        <is>
          <t>N</t>
        </is>
      </c>
      <c r="F35" s="97" t="n"/>
      <c r="G35" s="97" t="n"/>
      <c r="H35" s="104" t="inlineStr">
        <is>
          <t>T</t>
        </is>
      </c>
      <c r="I35" s="97" t="n"/>
      <c r="J35" s="97" t="n"/>
      <c r="K35" s="102" t="inlineStr">
        <is>
          <t>D</t>
        </is>
      </c>
      <c r="L35" s="103" t="inlineStr">
        <is>
          <t>N</t>
        </is>
      </c>
      <c r="M35" s="97" t="n"/>
      <c r="N35" s="104" t="inlineStr">
        <is>
          <t>T</t>
        </is>
      </c>
      <c r="O35" s="103" t="inlineStr">
        <is>
          <t>N</t>
        </is>
      </c>
      <c r="P35" s="97" t="n"/>
      <c r="Q35" s="97" t="n"/>
      <c r="R35" s="97" t="n"/>
      <c r="S35" s="97" t="n"/>
      <c r="T35" s="97" t="n"/>
      <c r="U35" s="97" t="n"/>
      <c r="V35" s="104" t="inlineStr">
        <is>
          <t>T</t>
        </is>
      </c>
      <c r="W35" s="103" t="inlineStr">
        <is>
          <t>N</t>
        </is>
      </c>
      <c r="X35" s="97" t="n"/>
      <c r="Y35" s="102" t="inlineStr">
        <is>
          <t>D</t>
        </is>
      </c>
      <c r="Z35" s="103" t="inlineStr">
        <is>
          <t>N</t>
        </is>
      </c>
      <c r="AA35" s="104" t="inlineStr">
        <is>
          <t>T</t>
        </is>
      </c>
      <c r="AB35" s="103" t="inlineStr">
        <is>
          <t>N</t>
        </is>
      </c>
      <c r="AC35" s="97" t="n"/>
      <c r="AD35" s="97" t="n"/>
      <c r="AE35" s="97" t="n"/>
      <c r="AF35" s="97" t="n"/>
      <c r="AG35" s="103" t="inlineStr">
        <is>
          <t>N</t>
        </is>
      </c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103" t="inlineStr">
        <is>
          <t>N</t>
        </is>
      </c>
      <c r="D36" s="97" t="n"/>
      <c r="E36" s="97" t="n"/>
      <c r="F36" s="103" t="inlineStr">
        <is>
          <t>N</t>
        </is>
      </c>
      <c r="G36" s="97" t="n"/>
      <c r="H36" s="102" t="inlineStr">
        <is>
          <t>D</t>
        </is>
      </c>
      <c r="I36" s="104" t="inlineStr">
        <is>
          <t>T</t>
        </is>
      </c>
      <c r="J36" s="97" t="n"/>
      <c r="K36" s="97" t="n"/>
      <c r="L36" s="102" t="inlineStr">
        <is>
          <t>D</t>
        </is>
      </c>
      <c r="M36" s="103" t="inlineStr">
        <is>
          <t>N</t>
        </is>
      </c>
      <c r="N36" s="104" t="inlineStr">
        <is>
          <t>T</t>
        </is>
      </c>
      <c r="O36" s="97" t="n"/>
      <c r="P36" s="97" t="n"/>
      <c r="Q36" s="97" t="n"/>
      <c r="R36" s="97" t="n"/>
      <c r="S36" s="97" t="n"/>
      <c r="T36" s="103" t="inlineStr">
        <is>
          <t>N</t>
        </is>
      </c>
      <c r="U36" s="97" t="n"/>
      <c r="V36" s="97" t="n"/>
      <c r="W36" s="97" t="n"/>
      <c r="X36" s="102" t="inlineStr">
        <is>
          <t>D</t>
        </is>
      </c>
      <c r="Y36" s="104" t="inlineStr">
        <is>
          <t>T</t>
        </is>
      </c>
      <c r="Z36" s="97" t="n"/>
      <c r="AA36" s="102" t="inlineStr">
        <is>
          <t>D</t>
        </is>
      </c>
      <c r="AB36" s="104" t="inlineStr">
        <is>
          <t>T</t>
        </is>
      </c>
      <c r="AC36" s="97" t="n"/>
      <c r="AD36" s="103" t="inlineStr">
        <is>
          <t>N</t>
        </is>
      </c>
      <c r="AE36" s="97" t="n"/>
      <c r="AF36" s="97" t="n"/>
      <c r="AG36" s="115" t="inlineStr">
        <is>
          <t>FE</t>
        </is>
      </c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97" t="n"/>
      <c r="E37" s="104" t="inlineStr">
        <is>
          <t>T</t>
        </is>
      </c>
      <c r="F37" s="97" t="n"/>
      <c r="G37" s="103" t="inlineStr">
        <is>
          <t>N</t>
        </is>
      </c>
      <c r="H37" s="97" t="n"/>
      <c r="I37" s="102" t="inlineStr">
        <is>
          <t>D</t>
        </is>
      </c>
      <c r="J37" s="97" t="n"/>
      <c r="K37" s="97" t="n"/>
      <c r="L37" s="97" t="n"/>
      <c r="M37" s="97" t="n"/>
      <c r="N37" s="97" t="n"/>
      <c r="O37" s="104" t="inlineStr">
        <is>
          <t>T</t>
        </is>
      </c>
      <c r="P37" s="103" t="inlineStr">
        <is>
          <t>N</t>
        </is>
      </c>
      <c r="Q37" s="97" t="n"/>
      <c r="R37" s="103" t="inlineStr">
        <is>
          <t>N</t>
        </is>
      </c>
      <c r="S37" s="97" t="n"/>
      <c r="T37" s="98" t="inlineStr">
        <is>
          <t>M</t>
        </is>
      </c>
      <c r="U37" s="97" t="n"/>
      <c r="V37" s="97" t="n"/>
      <c r="W37" s="98" t="inlineStr">
        <is>
          <t>M</t>
        </is>
      </c>
      <c r="X37" s="98" t="inlineStr">
        <is>
          <t>M</t>
        </is>
      </c>
      <c r="Y37" s="103" t="inlineStr">
        <is>
          <t>N</t>
        </is>
      </c>
      <c r="Z37" s="97" t="n"/>
      <c r="AA37" s="102" t="inlineStr">
        <is>
          <t>D</t>
        </is>
      </c>
      <c r="AB37" s="103" t="inlineStr">
        <is>
          <t>N</t>
        </is>
      </c>
      <c r="AC37" s="97" t="n"/>
      <c r="AD37" s="97" t="n"/>
      <c r="AE37" s="104" t="inlineStr">
        <is>
          <t>T</t>
        </is>
      </c>
      <c r="AF37" s="97" t="n"/>
      <c r="AG37" s="98" t="inlineStr">
        <is>
          <t>M</t>
        </is>
      </c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103" t="inlineStr">
        <is>
          <t>N</t>
        </is>
      </c>
      <c r="D38" s="97" t="n"/>
      <c r="E38" s="97" t="n"/>
      <c r="F38" s="97" t="n"/>
      <c r="G38" s="97" t="n"/>
      <c r="H38" s="103" t="inlineStr">
        <is>
          <t>N</t>
        </is>
      </c>
      <c r="I38" s="97" t="n"/>
      <c r="J38" s="103" t="inlineStr">
        <is>
          <t>N</t>
        </is>
      </c>
      <c r="K38" s="97" t="n"/>
      <c r="L38" s="102" t="inlineStr">
        <is>
          <t>D</t>
        </is>
      </c>
      <c r="M38" s="97" t="n"/>
      <c r="N38" s="97" t="n"/>
      <c r="O38" s="103" t="inlineStr">
        <is>
          <t>N</t>
        </is>
      </c>
      <c r="P38" s="97" t="n"/>
      <c r="Q38" s="97" t="n"/>
      <c r="R38" s="97" t="n"/>
      <c r="S38" s="102" t="inlineStr">
        <is>
          <t>D</t>
        </is>
      </c>
      <c r="T38" s="98" t="inlineStr">
        <is>
          <t>M</t>
        </is>
      </c>
      <c r="U38" s="97" t="n"/>
      <c r="V38" s="97" t="n"/>
      <c r="W38" s="97" t="n"/>
      <c r="X38" s="97" t="n"/>
      <c r="Y38" s="104" t="inlineStr">
        <is>
          <t>T</t>
        </is>
      </c>
      <c r="Z38" s="102" t="inlineStr">
        <is>
          <t>D</t>
        </is>
      </c>
      <c r="AA38" s="97" t="n"/>
      <c r="AB38" s="97" t="n"/>
      <c r="AC38" s="97" t="n"/>
      <c r="AD38" s="103" t="inlineStr">
        <is>
          <t>N</t>
        </is>
      </c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104" t="inlineStr">
        <is>
          <t>T</t>
        </is>
      </c>
      <c r="D39" s="97" t="n"/>
      <c r="E39" s="97" t="n"/>
      <c r="F39" s="97" t="n"/>
      <c r="G39" s="103" t="inlineStr">
        <is>
          <t>N</t>
        </is>
      </c>
      <c r="H39" s="97" t="n"/>
      <c r="I39" s="97" t="n"/>
      <c r="J39" s="102" t="inlineStr">
        <is>
          <t>D</t>
        </is>
      </c>
      <c r="K39" s="97" t="n"/>
      <c r="L39" s="97" t="n"/>
      <c r="M39" s="98" t="inlineStr">
        <is>
          <t>M</t>
        </is>
      </c>
      <c r="N39" s="102" t="inlineStr">
        <is>
          <t>D</t>
        </is>
      </c>
      <c r="O39" s="97" t="n"/>
      <c r="P39" s="98" t="inlineStr">
        <is>
          <t>M</t>
        </is>
      </c>
      <c r="Q39" s="97" t="n"/>
      <c r="R39" s="97" t="n"/>
      <c r="S39" s="104" t="inlineStr">
        <is>
          <t>T</t>
        </is>
      </c>
      <c r="T39" s="97" t="n"/>
      <c r="U39" s="104" t="inlineStr">
        <is>
          <t>T</t>
        </is>
      </c>
      <c r="V39" s="97" t="n"/>
      <c r="W39" s="97" t="n"/>
      <c r="X39" s="103" t="inlineStr">
        <is>
          <t>N</t>
        </is>
      </c>
      <c r="Y39" s="97" t="n"/>
      <c r="Z39" s="104" t="inlineStr">
        <is>
          <t>T</t>
        </is>
      </c>
      <c r="AA39" s="97" t="n"/>
      <c r="AB39" s="102" t="inlineStr">
        <is>
          <t>D</t>
        </is>
      </c>
      <c r="AC39" s="97" t="n"/>
      <c r="AD39" s="98" t="inlineStr">
        <is>
          <t>M</t>
        </is>
      </c>
      <c r="AE39" s="97" t="n"/>
      <c r="AF39" s="97" t="n"/>
      <c r="AG39" s="104" t="inlineStr">
        <is>
          <t>T</t>
        </is>
      </c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114" t="inlineStr">
        <is>
          <t>LM</t>
        </is>
      </c>
      <c r="D40" s="114" t="inlineStr">
        <is>
          <t>LM</t>
        </is>
      </c>
      <c r="E40" s="114" t="inlineStr">
        <is>
          <t>LM</t>
        </is>
      </c>
      <c r="F40" s="114" t="inlineStr">
        <is>
          <t>LM</t>
        </is>
      </c>
      <c r="G40" s="114" t="inlineStr">
        <is>
          <t>LM</t>
        </is>
      </c>
      <c r="H40" s="114" t="inlineStr">
        <is>
          <t>LM</t>
        </is>
      </c>
      <c r="I40" s="114" t="inlineStr">
        <is>
          <t>LM</t>
        </is>
      </c>
      <c r="J40" s="114" t="inlineStr">
        <is>
          <t>LM</t>
        </is>
      </c>
      <c r="K40" s="114" t="inlineStr">
        <is>
          <t>LM</t>
        </is>
      </c>
      <c r="L40" s="114" t="inlineStr">
        <is>
          <t>LM</t>
        </is>
      </c>
      <c r="M40" s="114" t="inlineStr">
        <is>
          <t>LM</t>
        </is>
      </c>
      <c r="N40" s="114" t="inlineStr">
        <is>
          <t>LM</t>
        </is>
      </c>
      <c r="O40" s="114" t="inlineStr">
        <is>
          <t>LM</t>
        </is>
      </c>
      <c r="P40" s="114" t="inlineStr">
        <is>
          <t>LM</t>
        </is>
      </c>
      <c r="Q40" s="114" t="inlineStr">
        <is>
          <t>LM</t>
        </is>
      </c>
      <c r="R40" s="114" t="inlineStr">
        <is>
          <t>LM</t>
        </is>
      </c>
      <c r="S40" s="114" t="inlineStr">
        <is>
          <t>LM</t>
        </is>
      </c>
      <c r="T40" s="114" t="inlineStr">
        <is>
          <t>LM</t>
        </is>
      </c>
      <c r="U40" s="114" t="inlineStr">
        <is>
          <t>LM</t>
        </is>
      </c>
      <c r="V40" s="114" t="inlineStr">
        <is>
          <t>LM</t>
        </is>
      </c>
      <c r="W40" s="114" t="inlineStr">
        <is>
          <t>LM</t>
        </is>
      </c>
      <c r="X40" s="114" t="inlineStr">
        <is>
          <t>LM</t>
        </is>
      </c>
      <c r="Y40" s="114" t="inlineStr">
        <is>
          <t>LM</t>
        </is>
      </c>
      <c r="Z40" s="114" t="inlineStr">
        <is>
          <t>LM</t>
        </is>
      </c>
      <c r="AA40" s="114" t="inlineStr">
        <is>
          <t>LM</t>
        </is>
      </c>
      <c r="AB40" s="114" t="inlineStr">
        <is>
          <t>LM</t>
        </is>
      </c>
      <c r="AC40" s="114" t="inlineStr">
        <is>
          <t>LM</t>
        </is>
      </c>
      <c r="AD40" s="114" t="inlineStr">
        <is>
          <t>LM</t>
        </is>
      </c>
      <c r="AE40" s="114" t="inlineStr">
        <is>
          <t>LM</t>
        </is>
      </c>
      <c r="AF40" s="114" t="inlineStr">
        <is>
          <t>LM</t>
        </is>
      </c>
      <c r="AG40" s="114" t="inlineStr">
        <is>
          <t>LM</t>
        </is>
      </c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103" t="inlineStr">
        <is>
          <t>N</t>
        </is>
      </c>
      <c r="E41" s="104" t="inlineStr">
        <is>
          <t>T</t>
        </is>
      </c>
      <c r="F41" s="97" t="n"/>
      <c r="G41" s="97" t="n"/>
      <c r="H41" s="97" t="n"/>
      <c r="I41" s="104" t="inlineStr">
        <is>
          <t>T</t>
        </is>
      </c>
      <c r="J41" s="97" t="n"/>
      <c r="K41" s="102" t="inlineStr">
        <is>
          <t>D</t>
        </is>
      </c>
      <c r="L41" s="102" t="inlineStr">
        <is>
          <t>D</t>
        </is>
      </c>
      <c r="M41" s="97" t="n"/>
      <c r="N41" s="97" t="n"/>
      <c r="O41" s="97" t="n"/>
      <c r="P41" s="102" t="inlineStr">
        <is>
          <t>D</t>
        </is>
      </c>
      <c r="Q41" s="97" t="n"/>
      <c r="R41" s="97" t="n"/>
      <c r="S41" s="102" t="inlineStr">
        <is>
          <t>D</t>
        </is>
      </c>
      <c r="T41" s="102" t="inlineStr">
        <is>
          <t>D</t>
        </is>
      </c>
      <c r="U41" s="97" t="n"/>
      <c r="V41" s="97" t="n"/>
      <c r="W41" s="97" t="n"/>
      <c r="X41" s="97" t="n"/>
      <c r="Y41" s="97" t="n"/>
      <c r="Z41" s="104" t="inlineStr">
        <is>
          <t>T</t>
        </is>
      </c>
      <c r="AA41" s="97" t="n"/>
      <c r="AB41" s="97" t="n"/>
      <c r="AC41" s="103" t="inlineStr">
        <is>
          <t>N</t>
        </is>
      </c>
      <c r="AD41" s="97" t="n"/>
      <c r="AE41" s="104" t="inlineStr">
        <is>
          <t>T</t>
        </is>
      </c>
      <c r="AF41" s="97" t="n"/>
      <c r="AG41" s="102" t="inlineStr">
        <is>
          <t>D</t>
        </is>
      </c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102" t="inlineStr">
        <is>
          <t>D</t>
        </is>
      </c>
      <c r="G42" s="97" t="n"/>
      <c r="H42" s="97" t="n"/>
      <c r="I42" s="103" t="inlineStr">
        <is>
          <t>N</t>
        </is>
      </c>
      <c r="J42" s="97" t="n"/>
      <c r="K42" s="97" t="n"/>
      <c r="L42" s="97" t="n"/>
      <c r="M42" s="97" t="n"/>
      <c r="N42" s="104" t="inlineStr">
        <is>
          <t>T</t>
        </is>
      </c>
      <c r="O42" s="97" t="n"/>
      <c r="P42" s="97" t="n"/>
      <c r="Q42" s="104" t="inlineStr">
        <is>
          <t>T</t>
        </is>
      </c>
      <c r="R42" s="102" t="inlineStr">
        <is>
          <t>D</t>
        </is>
      </c>
      <c r="S42" s="102" t="inlineStr">
        <is>
          <t>D</t>
        </is>
      </c>
      <c r="T42" s="97" t="n"/>
      <c r="U42" s="97" t="n"/>
      <c r="V42" s="97" t="n"/>
      <c r="W42" s="97" t="n"/>
      <c r="X42" s="97" t="n"/>
      <c r="Y42" s="102" t="inlineStr">
        <is>
          <t>D</t>
        </is>
      </c>
      <c r="Z42" s="97" t="n"/>
      <c r="AA42" s="102" t="inlineStr">
        <is>
          <t>D</t>
        </is>
      </c>
      <c r="AB42" s="97" t="n"/>
      <c r="AC42" s="102" t="inlineStr">
        <is>
          <t>D</t>
        </is>
      </c>
      <c r="AD42" s="97" t="n"/>
      <c r="AE42" s="97" t="n"/>
      <c r="AF42" s="97" t="n"/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103" t="inlineStr">
        <is>
          <t>N</t>
        </is>
      </c>
      <c r="F43" s="97" t="n"/>
      <c r="G43" s="97" t="n"/>
      <c r="H43" s="97" t="n"/>
      <c r="I43" s="97" t="n"/>
      <c r="J43" s="97" t="n"/>
      <c r="K43" s="103" t="inlineStr">
        <is>
          <t>N</t>
        </is>
      </c>
      <c r="L43" s="97" t="n"/>
      <c r="M43" s="103" t="inlineStr">
        <is>
          <t>N</t>
        </is>
      </c>
      <c r="N43" s="97" t="n"/>
      <c r="O43" s="97" t="n"/>
      <c r="P43" s="97" t="n"/>
      <c r="Q43" s="103" t="inlineStr">
        <is>
          <t>N</t>
        </is>
      </c>
      <c r="R43" s="97" t="n"/>
      <c r="S43" s="103" t="inlineStr">
        <is>
          <t>N</t>
        </is>
      </c>
      <c r="T43" s="97" t="n"/>
      <c r="U43" s="97" t="n"/>
      <c r="V43" s="103" t="inlineStr">
        <is>
          <t>N</t>
        </is>
      </c>
      <c r="W43" s="97" t="n"/>
      <c r="X43" s="97" t="n"/>
      <c r="Y43" s="97" t="n"/>
      <c r="Z43" s="103" t="inlineStr">
        <is>
          <t>N</t>
        </is>
      </c>
      <c r="AA43" s="97" t="n"/>
      <c r="AB43" s="97" t="n"/>
      <c r="AC43" s="97" t="n"/>
      <c r="AD43" s="97" t="n"/>
      <c r="AE43" s="103" t="inlineStr">
        <is>
          <t>N</t>
        </is>
      </c>
      <c r="AF43" s="97" t="n"/>
      <c r="AG43" s="103" t="inlineStr">
        <is>
          <t>N</t>
        </is>
      </c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102" t="inlineStr">
        <is>
          <t>D</t>
        </is>
      </c>
      <c r="J44" s="102" t="inlineStr">
        <is>
          <t>D</t>
        </is>
      </c>
      <c r="K44" s="97" t="n"/>
      <c r="L44" s="97" t="n"/>
      <c r="M44" s="102" t="inlineStr">
        <is>
          <t>D</t>
        </is>
      </c>
      <c r="N44" s="102" t="inlineStr">
        <is>
          <t>D</t>
        </is>
      </c>
      <c r="O44" s="97" t="n"/>
      <c r="P44" s="97" t="n"/>
      <c r="Q44" s="97" t="n"/>
      <c r="R44" s="97" t="n"/>
      <c r="S44" s="97" t="n"/>
      <c r="T44" s="97" t="n"/>
      <c r="U44" s="97" t="n"/>
      <c r="V44" s="97" t="n"/>
      <c r="W44" s="102" t="inlineStr">
        <is>
          <t>D</t>
        </is>
      </c>
      <c r="X44" s="102" t="inlineStr">
        <is>
          <t>D</t>
        </is>
      </c>
      <c r="Y44" s="97" t="n"/>
      <c r="Z44" s="97" t="n"/>
      <c r="AA44" s="102" t="inlineStr">
        <is>
          <t>D</t>
        </is>
      </c>
      <c r="AB44" s="104" t="inlineStr">
        <is>
          <t>T</t>
        </is>
      </c>
      <c r="AC44" s="97" t="n"/>
      <c r="AD44" s="104" t="inlineStr">
        <is>
          <t>T</t>
        </is>
      </c>
      <c r="AE44" s="97" t="n"/>
      <c r="AF44" s="97" t="n"/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115" t="inlineStr">
        <is>
          <t>FE</t>
        </is>
      </c>
      <c r="D45" s="115" t="inlineStr">
        <is>
          <t>FE</t>
        </is>
      </c>
      <c r="E45" s="115" t="inlineStr">
        <is>
          <t>FE</t>
        </is>
      </c>
      <c r="F45" s="115" t="inlineStr">
        <is>
          <t>FE</t>
        </is>
      </c>
      <c r="G45" s="115" t="inlineStr">
        <is>
          <t>FE</t>
        </is>
      </c>
      <c r="H45" s="115" t="inlineStr">
        <is>
          <t>FE</t>
        </is>
      </c>
      <c r="I45" s="115" t="inlineStr">
        <is>
          <t>FE</t>
        </is>
      </c>
      <c r="J45" s="115" t="inlineStr">
        <is>
          <t>FE</t>
        </is>
      </c>
      <c r="K45" s="115" t="inlineStr">
        <is>
          <t>FE</t>
        </is>
      </c>
      <c r="L45" s="115" t="inlineStr">
        <is>
          <t>FE</t>
        </is>
      </c>
      <c r="M45" s="97" t="n"/>
      <c r="N45" s="97" t="n"/>
      <c r="O45" s="98" t="inlineStr">
        <is>
          <t>M</t>
        </is>
      </c>
      <c r="P45" s="97" t="n"/>
      <c r="Q45" s="103" t="inlineStr">
        <is>
          <t>N</t>
        </is>
      </c>
      <c r="R45" s="97" t="n"/>
      <c r="S45" s="98" t="inlineStr">
        <is>
          <t>M</t>
        </is>
      </c>
      <c r="T45" s="98" t="inlineStr">
        <is>
          <t>M</t>
        </is>
      </c>
      <c r="U45" s="97" t="n"/>
      <c r="V45" s="98" t="inlineStr">
        <is>
          <t>M</t>
        </is>
      </c>
      <c r="W45" s="98" t="inlineStr">
        <is>
          <t>M</t>
        </is>
      </c>
      <c r="X45" s="97" t="n"/>
      <c r="Y45" s="97" t="n"/>
      <c r="Z45" s="98" t="inlineStr">
        <is>
          <t>M</t>
        </is>
      </c>
      <c r="AA45" s="98" t="inlineStr">
        <is>
          <t>M</t>
        </is>
      </c>
      <c r="AB45" s="97" t="n"/>
      <c r="AC45" s="98" t="inlineStr">
        <is>
          <t>M</t>
        </is>
      </c>
      <c r="AD45" s="98" t="inlineStr">
        <is>
          <t>M</t>
        </is>
      </c>
      <c r="AE45" s="97" t="n"/>
      <c r="AF45" s="97" t="n"/>
      <c r="AG45" s="98" t="inlineStr">
        <is>
          <t>M</t>
        </is>
      </c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102" t="inlineStr">
        <is>
          <t>D</t>
        </is>
      </c>
      <c r="H46" s="97" t="n"/>
      <c r="I46" s="97" t="n"/>
      <c r="J46" s="97" t="n"/>
      <c r="K46" s="103" t="inlineStr">
        <is>
          <t>N</t>
        </is>
      </c>
      <c r="L46" s="97" t="n"/>
      <c r="M46" s="97" t="n"/>
      <c r="N46" s="102" t="inlineStr">
        <is>
          <t>D</t>
        </is>
      </c>
      <c r="O46" s="97" t="n"/>
      <c r="P46" s="103" t="inlineStr">
        <is>
          <t>N</t>
        </is>
      </c>
      <c r="Q46" s="97" t="n"/>
      <c r="R46" s="97" t="n"/>
      <c r="S46" s="97" t="n"/>
      <c r="T46" s="97" t="n"/>
      <c r="U46" s="102" t="inlineStr">
        <is>
          <t>D</t>
        </is>
      </c>
      <c r="V46" s="97" t="n"/>
      <c r="W46" s="97" t="n"/>
      <c r="X46" s="97" t="n"/>
      <c r="Y46" s="103" t="inlineStr">
        <is>
          <t>N</t>
        </is>
      </c>
      <c r="Z46" s="97" t="n"/>
      <c r="AA46" s="97" t="n"/>
      <c r="AB46" s="104" t="inlineStr">
        <is>
          <t>T</t>
        </is>
      </c>
      <c r="AC46" s="97" t="n"/>
      <c r="AD46" s="103" t="inlineStr">
        <is>
          <t>N</t>
        </is>
      </c>
      <c r="AE46" s="97" t="n"/>
      <c r="AF46" s="104" t="inlineStr">
        <is>
          <t>T</t>
        </is>
      </c>
      <c r="AG46" s="97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102" t="inlineStr">
        <is>
          <t>D</t>
        </is>
      </c>
      <c r="D47" s="97" t="n"/>
      <c r="E47" s="97" t="n"/>
      <c r="F47" s="103" t="inlineStr">
        <is>
          <t>N</t>
        </is>
      </c>
      <c r="G47" s="97" t="n"/>
      <c r="H47" s="102" t="inlineStr">
        <is>
          <t>D</t>
        </is>
      </c>
      <c r="I47" s="97" t="n"/>
      <c r="J47" s="97" t="n"/>
      <c r="K47" s="97" t="n"/>
      <c r="L47" s="97" t="n"/>
      <c r="M47" s="97" t="n"/>
      <c r="N47" s="97" t="n"/>
      <c r="O47" s="97" t="n"/>
      <c r="P47" s="97" t="n"/>
      <c r="Q47" s="102" t="inlineStr">
        <is>
          <t>D</t>
        </is>
      </c>
      <c r="R47" s="102" t="inlineStr">
        <is>
          <t>D</t>
        </is>
      </c>
      <c r="S47" s="97" t="n"/>
      <c r="T47" s="103" t="inlineStr">
        <is>
          <t>N</t>
        </is>
      </c>
      <c r="U47" s="97" t="n"/>
      <c r="V47" s="103" t="inlineStr">
        <is>
          <t>N</t>
        </is>
      </c>
      <c r="W47" s="97" t="n"/>
      <c r="X47" s="97" t="n"/>
      <c r="Y47" s="97" t="n"/>
      <c r="Z47" s="103" t="inlineStr">
        <is>
          <t>N</t>
        </is>
      </c>
      <c r="AA47" s="97" t="n"/>
      <c r="AB47" s="97" t="n"/>
      <c r="AC47" s="97" t="n"/>
      <c r="AD47" s="104" t="inlineStr">
        <is>
          <t>T</t>
        </is>
      </c>
      <c r="AE47" s="97" t="n"/>
      <c r="AF47" s="104" t="inlineStr">
        <is>
          <t>T</t>
        </is>
      </c>
      <c r="AG47" s="103" t="inlineStr">
        <is>
          <t>N</t>
        </is>
      </c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8" t="inlineStr">
        <is>
          <t>M</t>
        </is>
      </c>
      <c r="D48" s="114" t="inlineStr">
        <is>
          <t>LM</t>
        </is>
      </c>
      <c r="E48" s="97" t="n"/>
      <c r="F48" s="104" t="inlineStr">
        <is>
          <t>T</t>
        </is>
      </c>
      <c r="G48" s="97" t="n"/>
      <c r="H48" s="104" t="inlineStr">
        <is>
          <t>T</t>
        </is>
      </c>
      <c r="I48" s="104" t="inlineStr">
        <is>
          <t>T</t>
        </is>
      </c>
      <c r="J48" s="98" t="inlineStr">
        <is>
          <t>M</t>
        </is>
      </c>
      <c r="K48" s="97" t="n"/>
      <c r="L48" s="97" t="n"/>
      <c r="M48" s="104" t="inlineStr">
        <is>
          <t>T</t>
        </is>
      </c>
      <c r="N48" s="97" t="n"/>
      <c r="O48" s="98" t="inlineStr">
        <is>
          <t>M</t>
        </is>
      </c>
      <c r="P48" s="104" t="inlineStr">
        <is>
          <t>T</t>
        </is>
      </c>
      <c r="Q48" s="98" t="inlineStr">
        <is>
          <t>M</t>
        </is>
      </c>
      <c r="R48" s="97" t="n"/>
      <c r="S48" s="97" t="n"/>
      <c r="T48" s="104" t="inlineStr">
        <is>
          <t>T</t>
        </is>
      </c>
      <c r="U48" s="97" t="n"/>
      <c r="V48" s="104" t="inlineStr">
        <is>
          <t>T</t>
        </is>
      </c>
      <c r="W48" s="104" t="inlineStr">
        <is>
          <t>T</t>
        </is>
      </c>
      <c r="X48" s="98" t="inlineStr">
        <is>
          <t>M</t>
        </is>
      </c>
      <c r="Y48" s="97" t="n"/>
      <c r="Z48" s="97" t="n"/>
      <c r="AA48" s="97" t="n"/>
      <c r="AB48" s="97" t="n"/>
      <c r="AC48" s="98" t="inlineStr">
        <is>
          <t>M</t>
        </is>
      </c>
      <c r="AD48" s="103" t="inlineStr">
        <is>
          <t>N</t>
        </is>
      </c>
      <c r="AE48" s="97" t="n"/>
      <c r="AF48" s="98" t="inlineStr">
        <is>
          <t>M</t>
        </is>
      </c>
      <c r="AG48" s="115" t="inlineStr">
        <is>
          <t>FE</t>
        </is>
      </c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102" t="inlineStr">
        <is>
          <t>D</t>
        </is>
      </c>
      <c r="H49" s="97" t="n"/>
      <c r="I49" s="97" t="n"/>
      <c r="J49" s="97" t="n"/>
      <c r="K49" s="102" t="inlineStr">
        <is>
          <t>D</t>
        </is>
      </c>
      <c r="L49" s="97" t="n"/>
      <c r="M49" s="97" t="n"/>
      <c r="N49" s="97" t="n"/>
      <c r="O49" s="104" t="inlineStr">
        <is>
          <t>T</t>
        </is>
      </c>
      <c r="P49" s="97" t="n"/>
      <c r="Q49" s="102" t="inlineStr">
        <is>
          <t>D</t>
        </is>
      </c>
      <c r="R49" s="104" t="inlineStr">
        <is>
          <t>T</t>
        </is>
      </c>
      <c r="S49" s="97" t="n"/>
      <c r="T49" s="97" t="n"/>
      <c r="U49" s="102" t="inlineStr">
        <is>
          <t>D</t>
        </is>
      </c>
      <c r="V49" s="97" t="n"/>
      <c r="W49" s="103" t="inlineStr">
        <is>
          <t>N</t>
        </is>
      </c>
      <c r="X49" s="97" t="n"/>
      <c r="Y49" s="97" t="n"/>
      <c r="Z49" s="102" t="inlineStr">
        <is>
          <t>D</t>
        </is>
      </c>
      <c r="AA49" s="97" t="n"/>
      <c r="AB49" s="102" t="inlineStr">
        <is>
          <t>D</t>
        </is>
      </c>
      <c r="AC49" s="97" t="n"/>
      <c r="AD49" s="97" t="n"/>
      <c r="AE49" s="97" t="n"/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115" t="inlineStr">
        <is>
          <t>FE</t>
        </is>
      </c>
      <c r="F50" s="115" t="inlineStr">
        <is>
          <t>FE</t>
        </is>
      </c>
      <c r="G50" s="115" t="inlineStr">
        <is>
          <t>FE</t>
        </is>
      </c>
      <c r="H50" s="115" t="inlineStr">
        <is>
          <t>FE</t>
        </is>
      </c>
      <c r="I50" s="115" t="inlineStr">
        <is>
          <t>FE</t>
        </is>
      </c>
      <c r="J50" s="115" t="inlineStr">
        <is>
          <t>FE</t>
        </is>
      </c>
      <c r="K50" s="115" t="inlineStr">
        <is>
          <t>FE</t>
        </is>
      </c>
      <c r="L50" s="115" t="inlineStr">
        <is>
          <t>FE</t>
        </is>
      </c>
      <c r="M50" s="115" t="inlineStr">
        <is>
          <t>FE</t>
        </is>
      </c>
      <c r="N50" s="115" t="inlineStr">
        <is>
          <t>FE</t>
        </is>
      </c>
      <c r="O50" s="115" t="inlineStr">
        <is>
          <t>FE</t>
        </is>
      </c>
      <c r="P50" s="115" t="inlineStr">
        <is>
          <t>FE</t>
        </is>
      </c>
      <c r="Q50" s="115" t="inlineStr">
        <is>
          <t>FE</t>
        </is>
      </c>
      <c r="R50" s="115" t="inlineStr">
        <is>
          <t>FE</t>
        </is>
      </c>
      <c r="S50" s="115" t="inlineStr">
        <is>
          <t>FE</t>
        </is>
      </c>
      <c r="T50" s="102" t="inlineStr">
        <is>
          <t>D</t>
        </is>
      </c>
      <c r="U50" s="103" t="inlineStr">
        <is>
          <t>N</t>
        </is>
      </c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102" t="inlineStr">
        <is>
          <t>D</t>
        </is>
      </c>
      <c r="AF50" s="103" t="inlineStr">
        <is>
          <t>N</t>
        </is>
      </c>
      <c r="AG50" s="97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114" t="inlineStr">
        <is>
          <t>LM</t>
        </is>
      </c>
      <c r="D51" s="114" t="inlineStr">
        <is>
          <t>LM</t>
        </is>
      </c>
      <c r="E51" s="114" t="inlineStr">
        <is>
          <t>LM</t>
        </is>
      </c>
      <c r="F51" s="114" t="inlineStr">
        <is>
          <t>LM</t>
        </is>
      </c>
      <c r="G51" s="114" t="inlineStr">
        <is>
          <t>LM</t>
        </is>
      </c>
      <c r="H51" s="114" t="inlineStr">
        <is>
          <t>LM</t>
        </is>
      </c>
      <c r="I51" s="114" t="inlineStr">
        <is>
          <t>LM</t>
        </is>
      </c>
      <c r="J51" s="114" t="inlineStr">
        <is>
          <t>LM</t>
        </is>
      </c>
      <c r="K51" s="114" t="inlineStr">
        <is>
          <t>LM</t>
        </is>
      </c>
      <c r="L51" s="114" t="inlineStr">
        <is>
          <t>LM</t>
        </is>
      </c>
      <c r="M51" s="114" t="inlineStr">
        <is>
          <t>LM</t>
        </is>
      </c>
      <c r="N51" s="114" t="inlineStr">
        <is>
          <t>LM</t>
        </is>
      </c>
      <c r="O51" s="114" t="inlineStr">
        <is>
          <t>LM</t>
        </is>
      </c>
      <c r="P51" s="114" t="inlineStr">
        <is>
          <t>LM</t>
        </is>
      </c>
      <c r="Q51" s="114" t="inlineStr">
        <is>
          <t>LM</t>
        </is>
      </c>
      <c r="R51" s="114" t="inlineStr">
        <is>
          <t>LM</t>
        </is>
      </c>
      <c r="S51" s="114" t="inlineStr">
        <is>
          <t>LM</t>
        </is>
      </c>
      <c r="T51" s="114" t="inlineStr">
        <is>
          <t>LM</t>
        </is>
      </c>
      <c r="U51" s="114" t="inlineStr">
        <is>
          <t>LM</t>
        </is>
      </c>
      <c r="V51" s="114" t="inlineStr">
        <is>
          <t>LM</t>
        </is>
      </c>
      <c r="W51" s="114" t="inlineStr">
        <is>
          <t>LM</t>
        </is>
      </c>
      <c r="X51" s="114" t="inlineStr">
        <is>
          <t>LM</t>
        </is>
      </c>
      <c r="Y51" s="114" t="inlineStr">
        <is>
          <t>LM</t>
        </is>
      </c>
      <c r="Z51" s="114" t="inlineStr">
        <is>
          <t>LM</t>
        </is>
      </c>
      <c r="AA51" s="114" t="inlineStr">
        <is>
          <t>LM</t>
        </is>
      </c>
      <c r="AB51" s="114" t="inlineStr">
        <is>
          <t>LM</t>
        </is>
      </c>
      <c r="AC51" s="114" t="inlineStr">
        <is>
          <t>LM</t>
        </is>
      </c>
      <c r="AD51" s="114" t="inlineStr">
        <is>
          <t>LM</t>
        </is>
      </c>
      <c r="AE51" s="114" t="inlineStr">
        <is>
          <t>LM</t>
        </is>
      </c>
      <c r="AF51" s="114" t="inlineStr">
        <is>
          <t>LM</t>
        </is>
      </c>
      <c r="AG51" s="114" t="inlineStr">
        <is>
          <t>LM</t>
        </is>
      </c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103" t="inlineStr">
        <is>
          <t>N</t>
        </is>
      </c>
      <c r="D52" s="97" t="n"/>
      <c r="E52" s="103" t="inlineStr">
        <is>
          <t>N</t>
        </is>
      </c>
      <c r="F52" s="97" t="n"/>
      <c r="G52" s="97" t="n"/>
      <c r="H52" s="97" t="n"/>
      <c r="I52" s="97" t="n"/>
      <c r="J52" s="103" t="inlineStr">
        <is>
          <t>N</t>
        </is>
      </c>
      <c r="K52" s="97" t="n"/>
      <c r="L52" s="103" t="inlineStr">
        <is>
          <t>N</t>
        </is>
      </c>
      <c r="M52" s="97" t="n"/>
      <c r="N52" s="97" t="n"/>
      <c r="O52" s="97" t="n"/>
      <c r="P52" s="103" t="inlineStr">
        <is>
          <t>N</t>
        </is>
      </c>
      <c r="Q52" s="97" t="n"/>
      <c r="R52" s="97" t="n"/>
      <c r="S52" s="115" t="inlineStr">
        <is>
          <t>FE</t>
        </is>
      </c>
      <c r="T52" s="115" t="inlineStr">
        <is>
          <t>FE</t>
        </is>
      </c>
      <c r="U52" s="115" t="inlineStr">
        <is>
          <t>FE</t>
        </is>
      </c>
      <c r="V52" s="115" t="inlineStr">
        <is>
          <t>FE</t>
        </is>
      </c>
      <c r="W52" s="115" t="inlineStr">
        <is>
          <t>FE</t>
        </is>
      </c>
      <c r="X52" s="115" t="inlineStr">
        <is>
          <t>FE</t>
        </is>
      </c>
      <c r="Y52" s="115" t="inlineStr">
        <is>
          <t>FE</t>
        </is>
      </c>
      <c r="Z52" s="115" t="inlineStr">
        <is>
          <t>FE</t>
        </is>
      </c>
      <c r="AA52" s="115" t="inlineStr">
        <is>
          <t>FE</t>
        </is>
      </c>
      <c r="AB52" s="115" t="inlineStr">
        <is>
          <t>FE</t>
        </is>
      </c>
      <c r="AC52" s="115" t="inlineStr">
        <is>
          <t>FE</t>
        </is>
      </c>
      <c r="AD52" s="115" t="inlineStr">
        <is>
          <t>FE</t>
        </is>
      </c>
      <c r="AE52" s="115" t="inlineStr">
        <is>
          <t>FE</t>
        </is>
      </c>
      <c r="AF52" s="115" t="inlineStr">
        <is>
          <t>FE</t>
        </is>
      </c>
      <c r="AG52" s="115" t="inlineStr">
        <is>
          <t>FE</t>
        </is>
      </c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103" t="inlineStr">
        <is>
          <t>N</t>
        </is>
      </c>
      <c r="E53" s="97" t="n"/>
      <c r="F53" s="103" t="inlineStr">
        <is>
          <t>N</t>
        </is>
      </c>
      <c r="G53" s="97" t="n"/>
      <c r="H53" s="97" t="n"/>
      <c r="I53" s="97" t="n"/>
      <c r="J53" s="103" t="inlineStr">
        <is>
          <t>N</t>
        </is>
      </c>
      <c r="K53" s="97" t="n"/>
      <c r="L53" s="103" t="inlineStr">
        <is>
          <t>N</t>
        </is>
      </c>
      <c r="M53" s="103" t="inlineStr">
        <is>
          <t>N</t>
        </is>
      </c>
      <c r="N53" s="97" t="n"/>
      <c r="O53" s="97" t="n"/>
      <c r="P53" s="97" t="n"/>
      <c r="Q53" s="97" t="n"/>
      <c r="R53" s="97" t="n"/>
      <c r="S53" s="103" t="inlineStr">
        <is>
          <t>N</t>
        </is>
      </c>
      <c r="T53" s="97" t="n"/>
      <c r="U53" s="97" t="n"/>
      <c r="V53" s="97" t="n"/>
      <c r="W53" s="103" t="inlineStr">
        <is>
          <t>N</t>
        </is>
      </c>
      <c r="X53" s="97" t="n"/>
      <c r="Y53" s="97" t="n"/>
      <c r="Z53" s="98" t="inlineStr">
        <is>
          <t>M</t>
        </is>
      </c>
      <c r="AA53" s="103" t="inlineStr">
        <is>
          <t>N</t>
        </is>
      </c>
      <c r="AB53" s="97" t="n"/>
      <c r="AC53" s="97" t="n"/>
      <c r="AD53" s="97" t="n"/>
      <c r="AE53" s="98" t="inlineStr">
        <is>
          <t>M</t>
        </is>
      </c>
      <c r="AF53" s="97" t="n"/>
      <c r="AG53" s="97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103" t="inlineStr">
        <is>
          <t>N</t>
        </is>
      </c>
      <c r="D54" s="97" t="n"/>
      <c r="E54" s="97" t="n"/>
      <c r="F54" s="97" t="n"/>
      <c r="G54" s="97" t="n"/>
      <c r="H54" s="103" t="inlineStr">
        <is>
          <t>N</t>
        </is>
      </c>
      <c r="I54" s="97" t="n"/>
      <c r="J54" s="103" t="inlineStr">
        <is>
          <t>N</t>
        </is>
      </c>
      <c r="K54" s="97" t="n"/>
      <c r="L54" s="97" t="n"/>
      <c r="M54" s="97" t="n"/>
      <c r="N54" s="97" t="n"/>
      <c r="O54" s="103" t="inlineStr">
        <is>
          <t>N</t>
        </is>
      </c>
      <c r="P54" s="97" t="n"/>
      <c r="Q54" s="103" t="inlineStr">
        <is>
          <t>N</t>
        </is>
      </c>
      <c r="R54" s="97" t="n"/>
      <c r="S54" s="97" t="n"/>
      <c r="T54" s="97" t="n"/>
      <c r="U54" s="97" t="n"/>
      <c r="V54" s="103" t="inlineStr">
        <is>
          <t>N</t>
        </is>
      </c>
      <c r="W54" s="97" t="n"/>
      <c r="X54" s="103" t="inlineStr">
        <is>
          <t>N</t>
        </is>
      </c>
      <c r="Y54" s="97" t="n"/>
      <c r="Z54" s="97" t="n"/>
      <c r="AA54" s="97" t="n"/>
      <c r="AB54" s="97" t="n"/>
      <c r="AC54" s="103" t="inlineStr">
        <is>
          <t>N</t>
        </is>
      </c>
      <c r="AD54" s="97" t="n"/>
      <c r="AE54" s="103" t="inlineStr">
        <is>
          <t>N</t>
        </is>
      </c>
      <c r="AF54" s="97" t="n"/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8" t="inlineStr">
        <is>
          <t>M</t>
        </is>
      </c>
      <c r="D55" s="98" t="inlineStr">
        <is>
          <t>M</t>
        </is>
      </c>
      <c r="E55" s="98" t="inlineStr">
        <is>
          <t>M</t>
        </is>
      </c>
      <c r="F55" s="97" t="n"/>
      <c r="G55" s="97" t="n"/>
      <c r="H55" s="98" t="inlineStr">
        <is>
          <t>M</t>
        </is>
      </c>
      <c r="I55" s="98" t="inlineStr">
        <is>
          <t>M</t>
        </is>
      </c>
      <c r="J55" s="97" t="n"/>
      <c r="K55" s="98" t="inlineStr">
        <is>
          <t>M</t>
        </is>
      </c>
      <c r="L55" s="98" t="inlineStr">
        <is>
          <t>M</t>
        </is>
      </c>
      <c r="M55" s="97" t="n"/>
      <c r="N55" s="98" t="inlineStr">
        <is>
          <t>M</t>
        </is>
      </c>
      <c r="O55" s="98" t="inlineStr">
        <is>
          <t>M</t>
        </is>
      </c>
      <c r="P55" s="98" t="inlineStr">
        <is>
          <t>M</t>
        </is>
      </c>
      <c r="Q55" s="97" t="n"/>
      <c r="R55" s="97" t="n"/>
      <c r="S55" s="98" t="inlineStr">
        <is>
          <t>M</t>
        </is>
      </c>
      <c r="T55" s="97" t="n"/>
      <c r="U55" s="98" t="inlineStr">
        <is>
          <t>M</t>
        </is>
      </c>
      <c r="V55" s="98" t="inlineStr">
        <is>
          <t>M</t>
        </is>
      </c>
      <c r="W55" s="98" t="inlineStr">
        <is>
          <t>M</t>
        </is>
      </c>
      <c r="X55" s="97" t="n"/>
      <c r="Y55" s="97" t="n"/>
      <c r="Z55" s="98" t="inlineStr">
        <is>
          <t>M</t>
        </is>
      </c>
      <c r="AA55" s="97" t="n"/>
      <c r="AB55" s="97" t="n"/>
      <c r="AC55" s="97" t="n"/>
      <c r="AD55" s="98" t="inlineStr">
        <is>
          <t>M</t>
        </is>
      </c>
      <c r="AE55" s="98" t="inlineStr">
        <is>
          <t>M</t>
        </is>
      </c>
      <c r="AF55" s="98" t="inlineStr">
        <is>
          <t>M</t>
        </is>
      </c>
      <c r="AG55" s="98" t="inlineStr">
        <is>
          <t>M</t>
        </is>
      </c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102" t="inlineStr">
        <is>
          <t>D</t>
        </is>
      </c>
      <c r="D56" s="97" t="n"/>
      <c r="E56" s="97" t="n"/>
      <c r="F56" s="102" t="inlineStr">
        <is>
          <t>D</t>
        </is>
      </c>
      <c r="G56" s="97" t="n"/>
      <c r="H56" s="102" t="inlineStr">
        <is>
          <t>D</t>
        </is>
      </c>
      <c r="I56" s="97" t="n"/>
      <c r="J56" s="97" t="n"/>
      <c r="K56" s="97" t="n"/>
      <c r="L56" s="97" t="n"/>
      <c r="M56" s="102" t="inlineStr">
        <is>
          <t>D</t>
        </is>
      </c>
      <c r="N56" s="97" t="n"/>
      <c r="O56" s="97" t="n"/>
      <c r="P56" s="97" t="n"/>
      <c r="Q56" s="102" t="inlineStr">
        <is>
          <t>D</t>
        </is>
      </c>
      <c r="R56" s="97" t="n"/>
      <c r="S56" s="97" t="n"/>
      <c r="T56" s="102" t="inlineStr">
        <is>
          <t>D</t>
        </is>
      </c>
      <c r="U56" s="97" t="n"/>
      <c r="V56" s="102" t="inlineStr">
        <is>
          <t>D</t>
        </is>
      </c>
      <c r="W56" s="97" t="n"/>
      <c r="X56" s="97" t="n"/>
      <c r="Y56" s="97" t="n"/>
      <c r="Z56" s="97" t="n"/>
      <c r="AA56" s="104" t="inlineStr">
        <is>
          <t>T</t>
        </is>
      </c>
      <c r="AB56" s="97" t="n"/>
      <c r="AC56" s="97" t="n"/>
      <c r="AD56" s="103" t="inlineStr">
        <is>
          <t>N</t>
        </is>
      </c>
      <c r="AE56" s="97" t="n"/>
      <c r="AF56" s="98" t="inlineStr">
        <is>
          <t>M</t>
        </is>
      </c>
      <c r="AG56" s="97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103" t="inlineStr">
        <is>
          <t>N</t>
        </is>
      </c>
      <c r="F57" s="97" t="n"/>
      <c r="G57" s="103" t="inlineStr">
        <is>
          <t>N</t>
        </is>
      </c>
      <c r="H57" s="97" t="n"/>
      <c r="I57" s="97" t="n"/>
      <c r="J57" s="97" t="n"/>
      <c r="K57" s="97" t="n"/>
      <c r="L57" s="103" t="inlineStr">
        <is>
          <t>N</t>
        </is>
      </c>
      <c r="M57" s="97" t="n"/>
      <c r="N57" s="103" t="inlineStr">
        <is>
          <t>N</t>
        </is>
      </c>
      <c r="O57" s="97" t="n"/>
      <c r="P57" s="97" t="n"/>
      <c r="Q57" s="97" t="n"/>
      <c r="R57" s="97" t="n"/>
      <c r="S57" s="103" t="inlineStr">
        <is>
          <t>N</t>
        </is>
      </c>
      <c r="T57" s="97" t="n"/>
      <c r="U57" s="97" t="n"/>
      <c r="V57" s="97" t="n"/>
      <c r="W57" s="97" t="n"/>
      <c r="X57" s="103" t="inlineStr">
        <is>
          <t>N</t>
        </is>
      </c>
      <c r="Y57" s="97" t="n"/>
      <c r="Z57" s="97" t="n"/>
      <c r="AA57" s="97" t="n"/>
      <c r="AB57" s="103" t="inlineStr">
        <is>
          <t>N</t>
        </is>
      </c>
      <c r="AC57" s="97" t="n"/>
      <c r="AD57" s="97" t="n"/>
      <c r="AE57" s="103" t="inlineStr">
        <is>
          <t>N</t>
        </is>
      </c>
      <c r="AF57" s="97" t="n"/>
      <c r="AG57" s="103" t="inlineStr">
        <is>
          <t>N</t>
        </is>
      </c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115" t="inlineStr">
        <is>
          <t>FE</t>
        </is>
      </c>
      <c r="F58" s="115" t="inlineStr">
        <is>
          <t>FE</t>
        </is>
      </c>
      <c r="G58" s="115" t="inlineStr">
        <is>
          <t>FE</t>
        </is>
      </c>
      <c r="H58" s="115" t="inlineStr">
        <is>
          <t>FE</t>
        </is>
      </c>
      <c r="I58" s="115" t="inlineStr">
        <is>
          <t>FE</t>
        </is>
      </c>
      <c r="J58" s="115" t="inlineStr">
        <is>
          <t>FE</t>
        </is>
      </c>
      <c r="K58" s="115" t="inlineStr">
        <is>
          <t>FE</t>
        </is>
      </c>
      <c r="L58" s="115" t="inlineStr">
        <is>
          <t>FE</t>
        </is>
      </c>
      <c r="M58" s="115" t="inlineStr">
        <is>
          <t>FE</t>
        </is>
      </c>
      <c r="N58" s="115" t="inlineStr">
        <is>
          <t>FE</t>
        </is>
      </c>
      <c r="O58" s="115" t="inlineStr">
        <is>
          <t>FE</t>
        </is>
      </c>
      <c r="P58" s="115" t="inlineStr">
        <is>
          <t>FE</t>
        </is>
      </c>
      <c r="Q58" s="115" t="inlineStr">
        <is>
          <t>FE</t>
        </is>
      </c>
      <c r="R58" s="115" t="inlineStr">
        <is>
          <t>FE</t>
        </is>
      </c>
      <c r="S58" s="115" t="inlineStr">
        <is>
          <t>FE</t>
        </is>
      </c>
      <c r="T58" s="97" t="n"/>
      <c r="U58" s="103" t="inlineStr">
        <is>
          <t>N</t>
        </is>
      </c>
      <c r="V58" s="97" t="n"/>
      <c r="W58" s="97" t="n"/>
      <c r="X58" s="97" t="n"/>
      <c r="Y58" s="104" t="inlineStr">
        <is>
          <t>T</t>
        </is>
      </c>
      <c r="Z58" s="104" t="inlineStr">
        <is>
          <t>T</t>
        </is>
      </c>
      <c r="AA58" s="97" t="n"/>
      <c r="AB58" s="103" t="inlineStr">
        <is>
          <t>N</t>
        </is>
      </c>
      <c r="AC58" s="97" t="n"/>
      <c r="AD58" s="97" t="n"/>
      <c r="AE58" s="97" t="n"/>
      <c r="AF58" s="104" t="inlineStr">
        <is>
          <t>T</t>
        </is>
      </c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103" t="inlineStr">
        <is>
          <t>N</t>
        </is>
      </c>
      <c r="D59" s="103" t="inlineStr">
        <is>
          <t>N</t>
        </is>
      </c>
      <c r="E59" s="97" t="n"/>
      <c r="F59" s="97" t="n"/>
      <c r="G59" s="103" t="inlineStr">
        <is>
          <t>N</t>
        </is>
      </c>
      <c r="H59" s="97" t="n"/>
      <c r="I59" s="103" t="inlineStr">
        <is>
          <t>N</t>
        </is>
      </c>
      <c r="J59" s="97" t="n"/>
      <c r="K59" s="97" t="n"/>
      <c r="L59" s="97" t="n"/>
      <c r="M59" s="97" t="n"/>
      <c r="N59" s="103" t="inlineStr">
        <is>
          <t>N</t>
        </is>
      </c>
      <c r="O59" s="97" t="n"/>
      <c r="P59" s="97" t="n"/>
      <c r="Q59" s="103" t="inlineStr">
        <is>
          <t>N</t>
        </is>
      </c>
      <c r="R59" s="97" t="n"/>
      <c r="S59" s="97" t="n"/>
      <c r="T59" s="97" t="n"/>
      <c r="U59" s="103" t="inlineStr">
        <is>
          <t>N</t>
        </is>
      </c>
      <c r="V59" s="97" t="n"/>
      <c r="W59" s="97" t="n"/>
      <c r="X59" s="97" t="n"/>
      <c r="Y59" s="103" t="inlineStr">
        <is>
          <t>N</t>
        </is>
      </c>
      <c r="Z59" s="97" t="n"/>
      <c r="AA59" s="97" t="n"/>
      <c r="AB59" s="103" t="inlineStr">
        <is>
          <t>N</t>
        </is>
      </c>
      <c r="AC59" s="97" t="n"/>
      <c r="AD59" s="97" t="n"/>
      <c r="AE59" s="103" t="inlineStr">
        <is>
          <t>N</t>
        </is>
      </c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103" t="inlineStr">
        <is>
          <t>N</t>
        </is>
      </c>
      <c r="E60" s="97" t="n"/>
      <c r="F60" s="103" t="inlineStr">
        <is>
          <t>N</t>
        </is>
      </c>
      <c r="G60" s="97" t="n"/>
      <c r="H60" s="97" t="n"/>
      <c r="I60" s="103" t="inlineStr">
        <is>
          <t>N</t>
        </is>
      </c>
      <c r="J60" s="97" t="n"/>
      <c r="K60" s="97" t="n"/>
      <c r="L60" s="97" t="n"/>
      <c r="M60" s="97" t="n"/>
      <c r="N60" s="97" t="n"/>
      <c r="O60" s="97" t="n"/>
      <c r="P60" s="103" t="inlineStr">
        <is>
          <t>N</t>
        </is>
      </c>
      <c r="Q60" s="97" t="n"/>
      <c r="R60" s="102" t="inlineStr">
        <is>
          <t>D</t>
        </is>
      </c>
      <c r="S60" s="97" t="n"/>
      <c r="T60" s="104" t="inlineStr">
        <is>
          <t>T</t>
        </is>
      </c>
      <c r="U60" s="97" t="n"/>
      <c r="V60" s="104" t="inlineStr">
        <is>
          <t>T</t>
        </is>
      </c>
      <c r="W60" s="97" t="n"/>
      <c r="X60" s="97" t="n"/>
      <c r="Y60" s="102" t="inlineStr">
        <is>
          <t>D</t>
        </is>
      </c>
      <c r="Z60" s="97" t="n"/>
      <c r="AA60" s="104" t="inlineStr">
        <is>
          <t>T</t>
        </is>
      </c>
      <c r="AB60" s="97" t="n"/>
      <c r="AC60" s="104" t="inlineStr">
        <is>
          <t>T</t>
        </is>
      </c>
      <c r="AD60" s="97" t="n"/>
      <c r="AE60" s="97" t="n"/>
      <c r="AF60" s="102" t="inlineStr">
        <is>
          <t>D</t>
        </is>
      </c>
      <c r="AG60" s="97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103" t="inlineStr">
        <is>
          <t>N</t>
        </is>
      </c>
      <c r="E61" s="103" t="inlineStr">
        <is>
          <t>N</t>
        </is>
      </c>
      <c r="F61" s="97" t="n"/>
      <c r="G61" s="97" t="n"/>
      <c r="H61" s="102" t="inlineStr">
        <is>
          <t>D</t>
        </is>
      </c>
      <c r="I61" s="97" t="n"/>
      <c r="J61" s="97" t="n"/>
      <c r="K61" s="97" t="n"/>
      <c r="L61" s="102" t="inlineStr">
        <is>
          <t>D</t>
        </is>
      </c>
      <c r="M61" s="97" t="n"/>
      <c r="N61" s="97" t="n"/>
      <c r="O61" s="102" t="inlineStr">
        <is>
          <t>D</t>
        </is>
      </c>
      <c r="P61" s="97" t="n"/>
      <c r="Q61" s="97" t="n"/>
      <c r="R61" s="97" t="n"/>
      <c r="S61" s="102" t="inlineStr">
        <is>
          <t>D</t>
        </is>
      </c>
      <c r="T61" s="97" t="n"/>
      <c r="U61" s="97" t="n"/>
      <c r="V61" s="102" t="inlineStr">
        <is>
          <t>D</t>
        </is>
      </c>
      <c r="W61" s="97" t="n"/>
      <c r="X61" s="97" t="n"/>
      <c r="Y61" s="97" t="n"/>
      <c r="Z61" s="102" t="inlineStr">
        <is>
          <t>D</t>
        </is>
      </c>
      <c r="AA61" s="97" t="n"/>
      <c r="AB61" s="97" t="n"/>
      <c r="AC61" s="97" t="n"/>
      <c r="AD61" s="97" t="n"/>
      <c r="AE61" s="103" t="inlineStr">
        <is>
          <t>N</t>
        </is>
      </c>
      <c r="AF61" s="97" t="n"/>
      <c r="AG61" s="102" t="inlineStr">
        <is>
          <t>D</t>
        </is>
      </c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102" t="inlineStr">
        <is>
          <t>D</t>
        </is>
      </c>
      <c r="D62" s="97" t="n"/>
      <c r="E62" s="97" t="n"/>
      <c r="F62" s="103" t="inlineStr">
        <is>
          <t>N</t>
        </is>
      </c>
      <c r="G62" s="97" t="n"/>
      <c r="H62" s="97" t="n"/>
      <c r="I62" s="97" t="n"/>
      <c r="J62" s="102" t="inlineStr">
        <is>
          <t>D</t>
        </is>
      </c>
      <c r="K62" s="97" t="n"/>
      <c r="L62" s="97" t="n"/>
      <c r="M62" s="103" t="inlineStr">
        <is>
          <t>N</t>
        </is>
      </c>
      <c r="N62" s="97" t="n"/>
      <c r="O62" s="104" t="inlineStr">
        <is>
          <t>T</t>
        </is>
      </c>
      <c r="P62" s="104" t="inlineStr">
        <is>
          <t>T</t>
        </is>
      </c>
      <c r="Q62" s="97" t="n"/>
      <c r="R62" s="97" t="n"/>
      <c r="S62" s="97" t="n"/>
      <c r="T62" s="103" t="inlineStr">
        <is>
          <t>N</t>
        </is>
      </c>
      <c r="U62" s="97" t="n"/>
      <c r="V62" s="97" t="n"/>
      <c r="W62" s="97" t="n"/>
      <c r="X62" s="97" t="n"/>
      <c r="Y62" s="102" t="inlineStr">
        <is>
          <t>D</t>
        </is>
      </c>
      <c r="Z62" s="97" t="n"/>
      <c r="AA62" s="103" t="inlineStr">
        <is>
          <t>N</t>
        </is>
      </c>
      <c r="AB62" s="97" t="n"/>
      <c r="AC62" s="97" t="n"/>
      <c r="AD62" s="103" t="inlineStr">
        <is>
          <t>N</t>
        </is>
      </c>
      <c r="AE62" s="97" t="n"/>
      <c r="AF62" s="97" t="n"/>
      <c r="AG62" s="115" t="inlineStr">
        <is>
          <t>FE</t>
        </is>
      </c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102" t="inlineStr">
        <is>
          <t>D</t>
        </is>
      </c>
      <c r="D63" s="97" t="n"/>
      <c r="E63" s="97" t="n"/>
      <c r="F63" s="97" t="n"/>
      <c r="G63" s="97" t="n"/>
      <c r="H63" s="102" t="inlineStr">
        <is>
          <t>D</t>
        </is>
      </c>
      <c r="I63" s="103" t="inlineStr">
        <is>
          <t>N</t>
        </is>
      </c>
      <c r="J63" s="97" t="n"/>
      <c r="K63" s="97" t="n"/>
      <c r="L63" s="97" t="n"/>
      <c r="M63" s="97" t="n"/>
      <c r="N63" s="97" t="n"/>
      <c r="O63" s="102" t="inlineStr">
        <is>
          <t>D</t>
        </is>
      </c>
      <c r="P63" s="97" t="n"/>
      <c r="Q63" s="97" t="n"/>
      <c r="R63" s="102" t="inlineStr">
        <is>
          <t>D</t>
        </is>
      </c>
      <c r="S63" s="97" t="n"/>
      <c r="T63" s="97" t="n"/>
      <c r="U63" s="102" t="inlineStr">
        <is>
          <t>D</t>
        </is>
      </c>
      <c r="V63" s="102" t="inlineStr">
        <is>
          <t>D</t>
        </is>
      </c>
      <c r="W63" s="97" t="n"/>
      <c r="X63" s="97" t="n"/>
      <c r="Y63" s="97" t="n"/>
      <c r="Z63" s="97" t="n"/>
      <c r="AA63" s="97" t="n"/>
      <c r="AB63" s="102" t="inlineStr">
        <is>
          <t>D</t>
        </is>
      </c>
      <c r="AC63" s="102" t="inlineStr">
        <is>
          <t>D</t>
        </is>
      </c>
      <c r="AD63" s="97" t="n"/>
      <c r="AE63" s="97" t="n"/>
      <c r="AF63" s="97" t="n"/>
      <c r="AG63" s="104" t="inlineStr">
        <is>
          <t>T</t>
        </is>
      </c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104" t="inlineStr">
        <is>
          <t>T</t>
        </is>
      </c>
      <c r="F64" s="97" t="n"/>
      <c r="G64" s="103" t="inlineStr">
        <is>
          <t>N</t>
        </is>
      </c>
      <c r="H64" s="97" t="n"/>
      <c r="I64" s="104" t="inlineStr">
        <is>
          <t>T</t>
        </is>
      </c>
      <c r="J64" s="97" t="n"/>
      <c r="K64" s="97" t="n"/>
      <c r="L64" s="103" t="inlineStr">
        <is>
          <t>N</t>
        </is>
      </c>
      <c r="M64" s="97" t="n"/>
      <c r="N64" s="103" t="inlineStr">
        <is>
          <t>N</t>
        </is>
      </c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103" t="inlineStr">
        <is>
          <t>N</t>
        </is>
      </c>
      <c r="Y64" s="103" t="inlineStr">
        <is>
          <t>N</t>
        </is>
      </c>
      <c r="Z64" s="97" t="n"/>
      <c r="AA64" s="97" t="n"/>
      <c r="AB64" s="97" t="n"/>
      <c r="AC64" s="103" t="inlineStr">
        <is>
          <t>N</t>
        </is>
      </c>
      <c r="AD64" s="104" t="inlineStr">
        <is>
          <t>T</t>
        </is>
      </c>
      <c r="AE64" s="104" t="inlineStr">
        <is>
          <t>T</t>
        </is>
      </c>
      <c r="AF64" s="97" t="n"/>
      <c r="AG64" s="103" t="inlineStr">
        <is>
          <t>N</t>
        </is>
      </c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97" t="n"/>
      <c r="G65" s="97" t="n"/>
      <c r="H65" s="97" t="n"/>
      <c r="I65" s="104" t="inlineStr">
        <is>
          <t>T</t>
        </is>
      </c>
      <c r="J65" s="104" t="inlineStr">
        <is>
          <t>T</t>
        </is>
      </c>
      <c r="K65" s="102" t="inlineStr">
        <is>
          <t>D</t>
        </is>
      </c>
      <c r="L65" s="97" t="n"/>
      <c r="M65" s="98" t="inlineStr">
        <is>
          <t>M</t>
        </is>
      </c>
      <c r="N65" s="97" t="n"/>
      <c r="O65" s="98" t="inlineStr">
        <is>
          <t>M</t>
        </is>
      </c>
      <c r="P65" s="102" t="inlineStr">
        <is>
          <t>D</t>
        </is>
      </c>
      <c r="Q65" s="97" t="n"/>
      <c r="R65" s="97" t="n"/>
      <c r="S65" s="97" t="n"/>
      <c r="T65" s="97" t="n"/>
      <c r="U65" s="97" t="n"/>
      <c r="V65" s="97" t="n"/>
      <c r="W65" s="102" t="inlineStr">
        <is>
          <t>D</t>
        </is>
      </c>
      <c r="X65" s="102" t="inlineStr">
        <is>
          <t>D</t>
        </is>
      </c>
      <c r="Y65" s="97" t="n"/>
      <c r="Z65" s="97" t="n"/>
      <c r="AA65" s="98" t="inlineStr">
        <is>
          <t>M</t>
        </is>
      </c>
      <c r="AB65" s="97" t="n"/>
      <c r="AC65" s="104" t="inlineStr">
        <is>
          <t>T</t>
        </is>
      </c>
      <c r="AD65" s="102" t="inlineStr">
        <is>
          <t>D</t>
        </is>
      </c>
      <c r="AE65" s="97" t="n"/>
      <c r="AF65" s="97" t="n"/>
      <c r="AG65" s="97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103" t="inlineStr">
        <is>
          <t>N</t>
        </is>
      </c>
      <c r="D66" s="97" t="n"/>
      <c r="E66" s="98" t="inlineStr">
        <is>
          <t>M</t>
        </is>
      </c>
      <c r="F66" s="97" t="n"/>
      <c r="G66" s="97" t="n"/>
      <c r="H66" s="97" t="n"/>
      <c r="I66" s="97" t="n"/>
      <c r="J66" s="104" t="inlineStr">
        <is>
          <t>T</t>
        </is>
      </c>
      <c r="K66" s="102" t="inlineStr">
        <is>
          <t>D</t>
        </is>
      </c>
      <c r="L66" s="103" t="inlineStr">
        <is>
          <t>N</t>
        </is>
      </c>
      <c r="M66" s="97" t="n"/>
      <c r="N66" s="97" t="n"/>
      <c r="O66" s="97" t="n"/>
      <c r="P66" s="103" t="inlineStr">
        <is>
          <t>N</t>
        </is>
      </c>
      <c r="Q66" s="97" t="n"/>
      <c r="R66" s="97" t="n"/>
      <c r="S66" s="103" t="inlineStr">
        <is>
          <t>N</t>
        </is>
      </c>
      <c r="T66" s="97" t="n"/>
      <c r="U66" s="97" t="n"/>
      <c r="V66" s="103" t="inlineStr">
        <is>
          <t>N</t>
        </is>
      </c>
      <c r="W66" s="97" t="n"/>
      <c r="X66" s="97" t="n"/>
      <c r="Y66" s="97" t="n"/>
      <c r="Z66" s="103" t="inlineStr">
        <is>
          <t>N</t>
        </is>
      </c>
      <c r="AA66" s="97" t="n"/>
      <c r="AB66" s="97" t="n"/>
      <c r="AC66" s="103" t="inlineStr">
        <is>
          <t>N</t>
        </is>
      </c>
      <c r="AD66" s="97" t="n"/>
      <c r="AE66" s="97" t="n"/>
      <c r="AF66" s="97" t="n"/>
      <c r="AG66" s="103" t="inlineStr">
        <is>
          <t>N</t>
        </is>
      </c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103" t="inlineStr">
        <is>
          <t>N</t>
        </is>
      </c>
      <c r="D67" s="97" t="n"/>
      <c r="E67" s="98" t="inlineStr">
        <is>
          <t>M</t>
        </is>
      </c>
      <c r="F67" s="97" t="n"/>
      <c r="G67" s="98" t="inlineStr">
        <is>
          <t>M</t>
        </is>
      </c>
      <c r="H67" s="97" t="n"/>
      <c r="I67" s="104" t="inlineStr">
        <is>
          <t>T</t>
        </is>
      </c>
      <c r="J67" s="98" t="inlineStr">
        <is>
          <t>M</t>
        </is>
      </c>
      <c r="K67" s="97" t="n"/>
      <c r="L67" s="97" t="n"/>
      <c r="M67" s="98" t="inlineStr">
        <is>
          <t>M</t>
        </is>
      </c>
      <c r="N67" s="98" t="inlineStr">
        <is>
          <t>M</t>
        </is>
      </c>
      <c r="O67" s="97" t="n"/>
      <c r="P67" s="98" t="inlineStr">
        <is>
          <t>M</t>
        </is>
      </c>
      <c r="Q67" s="97" t="n"/>
      <c r="R67" s="98" t="inlineStr">
        <is>
          <t>M</t>
        </is>
      </c>
      <c r="S67" s="98" t="inlineStr">
        <is>
          <t>M</t>
        </is>
      </c>
      <c r="T67" s="97" t="n"/>
      <c r="U67" s="98" t="inlineStr">
        <is>
          <t>M</t>
        </is>
      </c>
      <c r="V67" s="97" t="n"/>
      <c r="W67" s="104" t="inlineStr">
        <is>
          <t>T</t>
        </is>
      </c>
      <c r="X67" s="97" t="n"/>
      <c r="Y67" s="98" t="inlineStr">
        <is>
          <t>M</t>
        </is>
      </c>
      <c r="Z67" s="98" t="inlineStr">
        <is>
          <t>M</t>
        </is>
      </c>
      <c r="AA67" s="98" t="inlineStr">
        <is>
          <t>M</t>
        </is>
      </c>
      <c r="AB67" s="103" t="inlineStr">
        <is>
          <t>N</t>
        </is>
      </c>
      <c r="AC67" s="97" t="n"/>
      <c r="AD67" s="97" t="n"/>
      <c r="AE67" s="97" t="n"/>
      <c r="AF67" s="97" t="n"/>
      <c r="AG67" s="98" t="inlineStr">
        <is>
          <t>M</t>
        </is>
      </c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102" t="inlineStr">
        <is>
          <t>D</t>
        </is>
      </c>
      <c r="E68" s="97" t="n"/>
      <c r="F68" s="97" t="n"/>
      <c r="G68" s="104" t="inlineStr">
        <is>
          <t>T</t>
        </is>
      </c>
      <c r="H68" s="97" t="n"/>
      <c r="I68" s="102" t="inlineStr">
        <is>
          <t>D</t>
        </is>
      </c>
      <c r="J68" s="97" t="n"/>
      <c r="K68" s="104" t="inlineStr">
        <is>
          <t>T</t>
        </is>
      </c>
      <c r="L68" s="97" t="n"/>
      <c r="M68" s="97" t="n"/>
      <c r="N68" s="103" t="inlineStr">
        <is>
          <t>N</t>
        </is>
      </c>
      <c r="O68" s="97" t="n"/>
      <c r="P68" s="97" t="n"/>
      <c r="Q68" s="102" t="inlineStr">
        <is>
          <t>D</t>
        </is>
      </c>
      <c r="R68" s="97" t="n"/>
      <c r="S68" s="97" t="n"/>
      <c r="T68" s="97" t="n"/>
      <c r="U68" s="102" t="inlineStr">
        <is>
          <t>D</t>
        </is>
      </c>
      <c r="V68" s="97" t="n"/>
      <c r="W68" s="102" t="inlineStr">
        <is>
          <t>D</t>
        </is>
      </c>
      <c r="X68" s="97" t="n"/>
      <c r="Y68" s="97" t="n"/>
      <c r="Z68" s="97" t="n"/>
      <c r="AA68" s="97" t="n"/>
      <c r="AB68" s="102" t="inlineStr">
        <is>
          <t>D</t>
        </is>
      </c>
      <c r="AC68" s="97" t="n"/>
      <c r="AD68" s="102" t="inlineStr">
        <is>
          <t>D</t>
        </is>
      </c>
      <c r="AE68" s="97" t="n"/>
      <c r="AF68" s="97" t="n"/>
      <c r="AG68" s="97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102" t="inlineStr">
        <is>
          <t>D</t>
        </is>
      </c>
      <c r="D69" s="97" t="n"/>
      <c r="E69" s="97" t="n"/>
      <c r="F69" s="97" t="n"/>
      <c r="G69" s="102" t="inlineStr">
        <is>
          <t>D</t>
        </is>
      </c>
      <c r="H69" s="97" t="n"/>
      <c r="I69" s="97" t="n"/>
      <c r="J69" s="102" t="inlineStr">
        <is>
          <t>D</t>
        </is>
      </c>
      <c r="K69" s="97" t="n"/>
      <c r="L69" s="97" t="n"/>
      <c r="M69" s="97" t="n"/>
      <c r="N69" s="102" t="inlineStr">
        <is>
          <t>D</t>
        </is>
      </c>
      <c r="O69" s="97" t="n"/>
      <c r="P69" s="102" t="inlineStr">
        <is>
          <t>D</t>
        </is>
      </c>
      <c r="Q69" s="97" t="n"/>
      <c r="R69" s="97" t="n"/>
      <c r="S69" s="103" t="inlineStr">
        <is>
          <t>N</t>
        </is>
      </c>
      <c r="T69" s="97" t="n"/>
      <c r="U69" s="103" t="inlineStr">
        <is>
          <t>N</t>
        </is>
      </c>
      <c r="V69" s="97" t="n"/>
      <c r="W69" s="97" t="n"/>
      <c r="X69" s="97" t="n"/>
      <c r="Y69" s="97" t="n"/>
      <c r="Z69" s="97" t="n"/>
      <c r="AA69" s="97" t="n"/>
      <c r="AB69" s="102" t="inlineStr">
        <is>
          <t>D</t>
        </is>
      </c>
      <c r="AC69" s="97" t="n"/>
      <c r="AD69" s="97" t="n"/>
      <c r="AE69" s="102" t="inlineStr">
        <is>
          <t>D</t>
        </is>
      </c>
      <c r="AF69" s="97" t="n"/>
      <c r="AG69" s="102" t="inlineStr">
        <is>
          <t>D</t>
        </is>
      </c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102" t="inlineStr">
        <is>
          <t>D</t>
        </is>
      </c>
      <c r="E70" s="97" t="n"/>
      <c r="F70" s="102" t="inlineStr">
        <is>
          <t>D</t>
        </is>
      </c>
      <c r="G70" s="102" t="inlineStr">
        <is>
          <t>D</t>
        </is>
      </c>
      <c r="H70" s="97" t="n"/>
      <c r="I70" s="97" t="n"/>
      <c r="J70" s="97" t="n"/>
      <c r="K70" s="97" t="n"/>
      <c r="L70" s="97" t="n"/>
      <c r="M70" s="102" t="inlineStr">
        <is>
          <t>D</t>
        </is>
      </c>
      <c r="N70" s="97" t="n"/>
      <c r="O70" s="102" t="inlineStr">
        <is>
          <t>D</t>
        </is>
      </c>
      <c r="P70" s="97" t="n"/>
      <c r="Q70" s="97" t="n"/>
      <c r="R70" s="97" t="n"/>
      <c r="S70" s="97" t="n"/>
      <c r="T70" s="103" t="inlineStr">
        <is>
          <t>N</t>
        </is>
      </c>
      <c r="U70" s="97" t="n"/>
      <c r="V70" s="98" t="inlineStr">
        <is>
          <t>M</t>
        </is>
      </c>
      <c r="W70" s="98" t="inlineStr">
        <is>
          <t>M</t>
        </is>
      </c>
      <c r="X70" s="97" t="n"/>
      <c r="Y70" s="97" t="n"/>
      <c r="Z70" s="97" t="n"/>
      <c r="AA70" s="104" t="inlineStr">
        <is>
          <t>T</t>
        </is>
      </c>
      <c r="AB70" s="97" t="n"/>
      <c r="AC70" s="98" t="inlineStr">
        <is>
          <t>M</t>
        </is>
      </c>
      <c r="AD70" s="97" t="n"/>
      <c r="AE70" s="103" t="inlineStr">
        <is>
          <t>N</t>
        </is>
      </c>
      <c r="AF70" s="97" t="n"/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8" t="inlineStr">
        <is>
          <t>M</t>
        </is>
      </c>
      <c r="E71" s="117" t="inlineStr">
        <is>
          <t>A</t>
        </is>
      </c>
      <c r="F71" s="117" t="inlineStr">
        <is>
          <t>A</t>
        </is>
      </c>
      <c r="G71" s="97" t="n"/>
      <c r="H71" s="117" t="inlineStr">
        <is>
          <t>A</t>
        </is>
      </c>
      <c r="I71" s="97" t="n"/>
      <c r="J71" s="97" t="n"/>
      <c r="K71" s="97" t="n"/>
      <c r="L71" s="117" t="inlineStr">
        <is>
          <t>A</t>
        </is>
      </c>
      <c r="M71" s="117" t="inlineStr">
        <is>
          <t>A</t>
        </is>
      </c>
      <c r="N71" s="97" t="n"/>
      <c r="O71" s="97" t="n"/>
      <c r="P71" s="97" t="n"/>
      <c r="Q71" s="97" t="n"/>
      <c r="R71" s="117" t="inlineStr">
        <is>
          <t>A</t>
        </is>
      </c>
      <c r="S71" s="117" t="inlineStr">
        <is>
          <t>A</t>
        </is>
      </c>
      <c r="T71" s="117" t="inlineStr">
        <is>
          <t>A</t>
        </is>
      </c>
      <c r="U71" s="97" t="n"/>
      <c r="V71" s="117" t="inlineStr">
        <is>
          <t>A</t>
        </is>
      </c>
      <c r="W71" s="97" t="n"/>
      <c r="X71" s="97" t="n"/>
      <c r="Y71" s="97" t="n"/>
      <c r="Z71" s="117" t="inlineStr">
        <is>
          <t>A</t>
        </is>
      </c>
      <c r="AA71" s="117" t="inlineStr">
        <is>
          <t>A</t>
        </is>
      </c>
      <c r="AB71" s="97" t="n"/>
      <c r="AC71" s="97" t="n"/>
      <c r="AD71" s="97" t="n"/>
      <c r="AE71" s="97" t="n"/>
      <c r="AF71" s="117" t="inlineStr">
        <is>
          <t>A</t>
        </is>
      </c>
      <c r="AG71" s="117" t="inlineStr">
        <is>
          <t>A</t>
        </is>
      </c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8" t="inlineStr">
        <is>
          <t>M</t>
        </is>
      </c>
      <c r="D72" s="97" t="n"/>
      <c r="E72" s="97" t="n"/>
      <c r="F72" s="104" t="inlineStr">
        <is>
          <t>T</t>
        </is>
      </c>
      <c r="G72" s="117" t="inlineStr">
        <is>
          <t>A</t>
        </is>
      </c>
      <c r="H72" s="97" t="n"/>
      <c r="I72" s="117" t="inlineStr">
        <is>
          <t>A</t>
        </is>
      </c>
      <c r="J72" s="97" t="n"/>
      <c r="K72" s="117" t="inlineStr">
        <is>
          <t>A</t>
        </is>
      </c>
      <c r="L72" s="117" t="inlineStr">
        <is>
          <t>A</t>
        </is>
      </c>
      <c r="M72" s="104" t="inlineStr">
        <is>
          <t>T</t>
        </is>
      </c>
      <c r="N72" s="117" t="inlineStr">
        <is>
          <t>A</t>
        </is>
      </c>
      <c r="O72" s="97" t="n"/>
      <c r="P72" s="117" t="inlineStr">
        <is>
          <t>A</t>
        </is>
      </c>
      <c r="Q72" s="97" t="n"/>
      <c r="R72" s="97" t="n"/>
      <c r="S72" s="117" t="inlineStr">
        <is>
          <t>A</t>
        </is>
      </c>
      <c r="T72" s="104" t="inlineStr">
        <is>
          <t>T</t>
        </is>
      </c>
      <c r="U72" s="117" t="inlineStr">
        <is>
          <t>A</t>
        </is>
      </c>
      <c r="V72" s="97" t="n"/>
      <c r="W72" s="97" t="n"/>
      <c r="X72" s="97" t="n"/>
      <c r="Y72" s="117" t="inlineStr">
        <is>
          <t>A</t>
        </is>
      </c>
      <c r="Z72" s="117" t="inlineStr">
        <is>
          <t>A</t>
        </is>
      </c>
      <c r="AA72" s="104" t="inlineStr">
        <is>
          <t>T</t>
        </is>
      </c>
      <c r="AB72" s="117" t="inlineStr">
        <is>
          <t>A</t>
        </is>
      </c>
      <c r="AC72" s="97" t="n"/>
      <c r="AD72" s="117" t="inlineStr">
        <is>
          <t>A</t>
        </is>
      </c>
      <c r="AE72" s="97" t="n"/>
      <c r="AF72" s="97" t="n"/>
      <c r="AG72" s="97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97" t="n"/>
      <c r="F73" s="104" t="inlineStr">
        <is>
          <t>T</t>
        </is>
      </c>
      <c r="G73" s="102" t="inlineStr">
        <is>
          <t>D</t>
        </is>
      </c>
      <c r="H73" s="97" t="n"/>
      <c r="I73" s="97" t="n"/>
      <c r="J73" s="104" t="inlineStr">
        <is>
          <t>T</t>
        </is>
      </c>
      <c r="K73" s="103" t="inlineStr">
        <is>
          <t>N</t>
        </is>
      </c>
      <c r="L73" s="104" t="inlineStr">
        <is>
          <t>T</t>
        </is>
      </c>
      <c r="M73" s="98" t="inlineStr">
        <is>
          <t>M</t>
        </is>
      </c>
      <c r="N73" s="97" t="n"/>
      <c r="O73" s="97" t="n"/>
      <c r="P73" s="97" t="n"/>
      <c r="Q73" s="104" t="inlineStr">
        <is>
          <t>T</t>
        </is>
      </c>
      <c r="R73" s="103" t="inlineStr">
        <is>
          <t>N</t>
        </is>
      </c>
      <c r="S73" s="97" t="n"/>
      <c r="T73" s="97" t="n"/>
      <c r="U73" s="103" t="inlineStr">
        <is>
          <t>N</t>
        </is>
      </c>
      <c r="V73" s="97" t="n"/>
      <c r="W73" s="103" t="inlineStr">
        <is>
          <t>N</t>
        </is>
      </c>
      <c r="X73" s="97" t="n"/>
      <c r="Y73" s="104" t="inlineStr">
        <is>
          <t>T</t>
        </is>
      </c>
      <c r="Z73" s="102" t="inlineStr">
        <is>
          <t>D</t>
        </is>
      </c>
      <c r="AA73" s="97" t="n"/>
      <c r="AB73" s="97" t="n"/>
      <c r="AC73" s="97" t="n"/>
      <c r="AD73" s="103" t="inlineStr">
        <is>
          <t>N</t>
        </is>
      </c>
      <c r="AE73" s="97" t="n"/>
      <c r="AF73" s="103" t="inlineStr">
        <is>
          <t>N</t>
        </is>
      </c>
      <c r="AG73" s="104" t="inlineStr">
        <is>
          <t>T</t>
        </is>
      </c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MAX(0,CONFIG!$B$10-C75)</f>
        <v/>
      </c>
      <c r="D78" s="109">
        <f>MAX(0,CONFIG!$B$11-D75)</f>
        <v/>
      </c>
      <c r="E78" s="109">
        <f>MAX(0,CONFIG!$B$9-E75)</f>
        <v/>
      </c>
      <c r="F78" s="109">
        <f>MAX(0,CONFIG!$B$9-F75)</f>
        <v/>
      </c>
      <c r="G78" s="109">
        <f>MAX(0,CONFIG!$B$9-G75)</f>
        <v/>
      </c>
      <c r="H78" s="109">
        <f>MAX(0,CONFIG!$B$9-H75)</f>
        <v/>
      </c>
      <c r="I78" s="109">
        <f>MAX(0,CONFIG!$B$9-I75)</f>
        <v/>
      </c>
      <c r="J78" s="109">
        <f>MAX(0,CONFIG!$B$10-J75)</f>
        <v/>
      </c>
      <c r="K78" s="109">
        <f>MAX(0,CONFIG!$B$11-K75)</f>
        <v/>
      </c>
      <c r="L78" s="109">
        <f>MAX(0,CONFIG!$B$9-L75)</f>
        <v/>
      </c>
      <c r="M78" s="109">
        <f>MAX(0,CONFIG!$B$9-M75)</f>
        <v/>
      </c>
      <c r="N78" s="109">
        <f>MAX(0,CONFIG!$B$9-N75)</f>
        <v/>
      </c>
      <c r="O78" s="109">
        <f>MAX(0,CONFIG!$B$9-O75)</f>
        <v/>
      </c>
      <c r="P78" s="109">
        <f>MAX(0,CONFIG!$B$9-P75)</f>
        <v/>
      </c>
      <c r="Q78" s="109">
        <f>MAX(0,CONFIG!$B$10-Q75)</f>
        <v/>
      </c>
      <c r="R78" s="109">
        <f>MAX(0,CONFIG!$B$11-R75)</f>
        <v/>
      </c>
      <c r="S78" s="109">
        <f>MAX(0,CONFIG!$B$9-S75)</f>
        <v/>
      </c>
      <c r="T78" s="109">
        <f>MAX(0,CONFIG!$B$9-T75)</f>
        <v/>
      </c>
      <c r="U78" s="109">
        <f>MAX(0,CONFIG!$B$9-U75)</f>
        <v/>
      </c>
      <c r="V78" s="109">
        <f>MAX(0,CONFIG!$B$9-V75)</f>
        <v/>
      </c>
      <c r="W78" s="109">
        <f>MAX(0,CONFIG!$B$9-W75)</f>
        <v/>
      </c>
      <c r="X78" s="109">
        <f>MAX(0,CONFIG!$B$10-X75)</f>
        <v/>
      </c>
      <c r="Y78" s="109">
        <f>MAX(0,CONFIG!$B$11-Y75)</f>
        <v/>
      </c>
      <c r="Z78" s="109">
        <f>MAX(0,CONFIG!$B$9-Z75)</f>
        <v/>
      </c>
      <c r="AA78" s="109">
        <f>MAX(0,CONFIG!$B$9-AA75)</f>
        <v/>
      </c>
      <c r="AB78" s="109">
        <f>MAX(0,CONFIG!$B$9-AB75)</f>
        <v/>
      </c>
      <c r="AC78" s="109">
        <f>MAX(0,CONFIG!$B$9-AC75)</f>
        <v/>
      </c>
      <c r="AD78" s="109">
        <f>MAX(0,CONFIG!$B$9-AD75)</f>
        <v/>
      </c>
      <c r="AE78" s="109">
        <f>MAX(0,CONFIG!$B$10-AE75)</f>
        <v/>
      </c>
      <c r="AF78" s="109">
        <f>MAX(0,CONFIG!$B$11-AF75)</f>
        <v/>
      </c>
      <c r="AG78" s="109">
        <f>MAX(0,CONFIG!$B$9-AG75)</f>
        <v/>
      </c>
    </row>
    <row r="79">
      <c r="A79" s="108" t="inlineStr">
        <is>
          <t>falta tarde</t>
        </is>
      </c>
      <c r="C79" s="109">
        <f>MAX(0,CONFIG!$C$10-C76)</f>
        <v/>
      </c>
      <c r="D79" s="109">
        <f>MAX(0,CONFIG!$C$11-D76)</f>
        <v/>
      </c>
      <c r="E79" s="109">
        <f>MAX(0,CONFIG!$C$9-E76)</f>
        <v/>
      </c>
      <c r="F79" s="109">
        <f>MAX(0,CONFIG!$C$9-F76)</f>
        <v/>
      </c>
      <c r="G79" s="109">
        <f>MAX(0,CONFIG!$C$9-G76)</f>
        <v/>
      </c>
      <c r="H79" s="109">
        <f>MAX(0,CONFIG!$C$9-H76)</f>
        <v/>
      </c>
      <c r="I79" s="109">
        <f>MAX(0,CONFIG!$C$9-I76)</f>
        <v/>
      </c>
      <c r="J79" s="109">
        <f>MAX(0,CONFIG!$C$10-J76)</f>
        <v/>
      </c>
      <c r="K79" s="109">
        <f>MAX(0,CONFIG!$C$11-K76)</f>
        <v/>
      </c>
      <c r="L79" s="109">
        <f>MAX(0,CONFIG!$C$9-L76)</f>
        <v/>
      </c>
      <c r="M79" s="109">
        <f>MAX(0,CONFIG!$C$9-M76)</f>
        <v/>
      </c>
      <c r="N79" s="109">
        <f>MAX(0,CONFIG!$C$9-N76)</f>
        <v/>
      </c>
      <c r="O79" s="109">
        <f>MAX(0,CONFIG!$C$9-O76)</f>
        <v/>
      </c>
      <c r="P79" s="109">
        <f>MAX(0,CONFIG!$C$9-P76)</f>
        <v/>
      </c>
      <c r="Q79" s="109">
        <f>MAX(0,CONFIG!$C$10-Q76)</f>
        <v/>
      </c>
      <c r="R79" s="109">
        <f>MAX(0,CONFIG!$C$11-R76)</f>
        <v/>
      </c>
      <c r="S79" s="109">
        <f>MAX(0,CONFIG!$C$9-S76)</f>
        <v/>
      </c>
      <c r="T79" s="109">
        <f>MAX(0,CONFIG!$C$9-T76)</f>
        <v/>
      </c>
      <c r="U79" s="109">
        <f>MAX(0,CONFIG!$C$9-U76)</f>
        <v/>
      </c>
      <c r="V79" s="109">
        <f>MAX(0,CONFIG!$C$9-V76)</f>
        <v/>
      </c>
      <c r="W79" s="109">
        <f>MAX(0,CONFIG!$C$9-W76)</f>
        <v/>
      </c>
      <c r="X79" s="109">
        <f>MAX(0,CONFIG!$C$10-X76)</f>
        <v/>
      </c>
      <c r="Y79" s="109">
        <f>MAX(0,CONFIG!$C$11-Y76)</f>
        <v/>
      </c>
      <c r="Z79" s="109">
        <f>MAX(0,CONFIG!$C$9-Z76)</f>
        <v/>
      </c>
      <c r="AA79" s="109">
        <f>MAX(0,CONFIG!$C$9-AA76)</f>
        <v/>
      </c>
      <c r="AB79" s="109">
        <f>MAX(0,CONFIG!$C$9-AB76)</f>
        <v/>
      </c>
      <c r="AC79" s="109">
        <f>MAX(0,CONFIG!$C$9-AC76)</f>
        <v/>
      </c>
      <c r="AD79" s="109">
        <f>MAX(0,CONFIG!$C$9-AD76)</f>
        <v/>
      </c>
      <c r="AE79" s="109">
        <f>MAX(0,CONFIG!$C$10-AE76)</f>
        <v/>
      </c>
      <c r="AF79" s="109">
        <f>MAX(0,CONFIG!$C$11-AF76)</f>
        <v/>
      </c>
      <c r="AG79" s="109">
        <f>MAX(0,CONFIG!$C$9-AG76)</f>
        <v/>
      </c>
    </row>
    <row r="80">
      <c r="A80" s="108" t="inlineStr">
        <is>
          <t>falta noite</t>
        </is>
      </c>
      <c r="C80" s="109">
        <f>MAX(0,CONFIG!$D$10-C77)</f>
        <v/>
      </c>
      <c r="D80" s="109">
        <f>MAX(0,CONFIG!$D$11-D77)</f>
        <v/>
      </c>
      <c r="E80" s="109">
        <f>MAX(0,CONFIG!$D$9-E77)</f>
        <v/>
      </c>
      <c r="F80" s="109">
        <f>MAX(0,CONFIG!$D$9-F77)</f>
        <v/>
      </c>
      <c r="G80" s="109">
        <f>MAX(0,CONFIG!$D$9-G77)</f>
        <v/>
      </c>
      <c r="H80" s="109">
        <f>MAX(0,CONFIG!$D$9-H77)</f>
        <v/>
      </c>
      <c r="I80" s="109">
        <f>MAX(0,CONFIG!$D$9-I77)</f>
        <v/>
      </c>
      <c r="J80" s="109">
        <f>MAX(0,CONFIG!$D$10-J77)</f>
        <v/>
      </c>
      <c r="K80" s="109">
        <f>MAX(0,CONFIG!$D$11-K77)</f>
        <v/>
      </c>
      <c r="L80" s="109">
        <f>MAX(0,CONFIG!$D$9-L77)</f>
        <v/>
      </c>
      <c r="M80" s="109">
        <f>MAX(0,CONFIG!$D$9-M77)</f>
        <v/>
      </c>
      <c r="N80" s="109">
        <f>MAX(0,CONFIG!$D$9-N77)</f>
        <v/>
      </c>
      <c r="O80" s="109">
        <f>MAX(0,CONFIG!$D$9-O77)</f>
        <v/>
      </c>
      <c r="P80" s="109">
        <f>MAX(0,CONFIG!$D$9-P77)</f>
        <v/>
      </c>
      <c r="Q80" s="109">
        <f>MAX(0,CONFIG!$D$10-Q77)</f>
        <v/>
      </c>
      <c r="R80" s="109">
        <f>MAX(0,CONFIG!$D$11-R77)</f>
        <v/>
      </c>
      <c r="S80" s="109">
        <f>MAX(0,CONFIG!$D$9-S77)</f>
        <v/>
      </c>
      <c r="T80" s="109">
        <f>MAX(0,CONFIG!$D$9-T77)</f>
        <v/>
      </c>
      <c r="U80" s="109">
        <f>MAX(0,CONFIG!$D$9-U77)</f>
        <v/>
      </c>
      <c r="V80" s="109">
        <f>MAX(0,CONFIG!$D$9-V77)</f>
        <v/>
      </c>
      <c r="W80" s="109">
        <f>MAX(0,CONFIG!$D$9-W77)</f>
        <v/>
      </c>
      <c r="X80" s="109">
        <f>MAX(0,CONFIG!$D$10-X77)</f>
        <v/>
      </c>
      <c r="Y80" s="109">
        <f>MAX(0,CONFIG!$D$11-Y77)</f>
        <v/>
      </c>
      <c r="Z80" s="109">
        <f>MAX(0,CONFIG!$D$9-Z77)</f>
        <v/>
      </c>
      <c r="AA80" s="109">
        <f>MAX(0,CONFIG!$D$9-AA77)</f>
        <v/>
      </c>
      <c r="AB80" s="109">
        <f>MAX(0,CONFIG!$D$9-AB77)</f>
        <v/>
      </c>
      <c r="AC80" s="109">
        <f>MAX(0,CONFIG!$D$9-AC77)</f>
        <v/>
      </c>
      <c r="AD80" s="109">
        <f>MAX(0,CONFIG!$D$9-AD77)</f>
        <v/>
      </c>
      <c r="AE80" s="109">
        <f>MAX(0,CONFIG!$D$10-AE77)</f>
        <v/>
      </c>
      <c r="AF80" s="109">
        <f>MAX(0,CONFIG!$D$11-AF77)</f>
        <v/>
      </c>
      <c r="AG80" s="109">
        <f>MAX(0,CONFIG!$D$9-AG77)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4D498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setembro · 2026</t>
        </is>
      </c>
      <c r="C1" s="88" t="inlineStr">
        <is>
          <t>códigos Senior</t>
        </is>
      </c>
    </row>
    <row r="2">
      <c r="C2" s="90" t="n">
        <v>1</v>
      </c>
      <c r="D2" s="90" t="n">
        <v>2</v>
      </c>
      <c r="E2" s="90" t="n">
        <v>3</v>
      </c>
      <c r="F2" s="90" t="n">
        <v>4</v>
      </c>
      <c r="G2" s="91" t="n">
        <v>5</v>
      </c>
      <c r="H2" s="91" t="n">
        <v>6</v>
      </c>
      <c r="I2" s="89" t="n">
        <v>7</v>
      </c>
      <c r="J2" s="90" t="n">
        <v>8</v>
      </c>
      <c r="K2" s="90" t="n">
        <v>9</v>
      </c>
      <c r="L2" s="90" t="n">
        <v>10</v>
      </c>
      <c r="M2" s="90" t="n">
        <v>11</v>
      </c>
      <c r="N2" s="91" t="n">
        <v>12</v>
      </c>
      <c r="O2" s="91" t="n">
        <v>13</v>
      </c>
      <c r="P2" s="90" t="n">
        <v>14</v>
      </c>
      <c r="Q2" s="90" t="n">
        <v>15</v>
      </c>
      <c r="R2" s="90" t="n">
        <v>16</v>
      </c>
      <c r="S2" s="90" t="n">
        <v>17</v>
      </c>
      <c r="T2" s="90" t="n">
        <v>18</v>
      </c>
      <c r="U2" s="91" t="n">
        <v>19</v>
      </c>
      <c r="V2" s="91" t="n">
        <v>20</v>
      </c>
      <c r="W2" s="90" t="n">
        <v>21</v>
      </c>
      <c r="X2" s="90" t="n">
        <v>22</v>
      </c>
      <c r="Y2" s="90" t="n">
        <v>23</v>
      </c>
      <c r="Z2" s="90" t="n">
        <v>24</v>
      </c>
      <c r="AA2" s="90" t="n">
        <v>25</v>
      </c>
      <c r="AB2" s="91" t="n">
        <v>26</v>
      </c>
      <c r="AC2" s="91" t="n">
        <v>27</v>
      </c>
      <c r="AD2" s="90" t="n">
        <v>28</v>
      </c>
      <c r="AE2" s="90" t="n">
        <v>29</v>
      </c>
      <c r="AF2" s="90" t="n">
        <v>30</v>
      </c>
      <c r="AG2" s="110" t="n"/>
    </row>
    <row r="3">
      <c r="C3" s="93" t="inlineStr">
        <is>
          <t>ter</t>
        </is>
      </c>
      <c r="D3" s="93" t="inlineStr">
        <is>
          <t>qua</t>
        </is>
      </c>
      <c r="E3" s="93" t="inlineStr">
        <is>
          <t>qui</t>
        </is>
      </c>
      <c r="F3" s="93" t="inlineStr">
        <is>
          <t>sex</t>
        </is>
      </c>
      <c r="G3" s="94" t="inlineStr">
        <is>
          <t>sáb</t>
        </is>
      </c>
      <c r="H3" s="94" t="inlineStr">
        <is>
          <t>dom</t>
        </is>
      </c>
      <c r="I3" s="92" t="inlineStr">
        <is>
          <t>indep</t>
        </is>
      </c>
      <c r="J3" s="93" t="inlineStr">
        <is>
          <t>ter</t>
        </is>
      </c>
      <c r="K3" s="93" t="inlineStr">
        <is>
          <t>qua</t>
        </is>
      </c>
      <c r="L3" s="93" t="inlineStr">
        <is>
          <t>qui</t>
        </is>
      </c>
      <c r="M3" s="93" t="inlineStr">
        <is>
          <t>sex</t>
        </is>
      </c>
      <c r="N3" s="94" t="inlineStr">
        <is>
          <t>sáb</t>
        </is>
      </c>
      <c r="O3" s="94" t="inlineStr">
        <is>
          <t>dom</t>
        </is>
      </c>
      <c r="P3" s="93" t="inlineStr">
        <is>
          <t>seg</t>
        </is>
      </c>
      <c r="Q3" s="93" t="inlineStr">
        <is>
          <t>ter</t>
        </is>
      </c>
      <c r="R3" s="93" t="inlineStr">
        <is>
          <t>qua</t>
        </is>
      </c>
      <c r="S3" s="93" t="inlineStr">
        <is>
          <t>qui</t>
        </is>
      </c>
      <c r="T3" s="93" t="inlineStr">
        <is>
          <t>sex</t>
        </is>
      </c>
      <c r="U3" s="94" t="inlineStr">
        <is>
          <t>sáb</t>
        </is>
      </c>
      <c r="V3" s="94" t="inlineStr">
        <is>
          <t>dom</t>
        </is>
      </c>
      <c r="W3" s="93" t="inlineStr">
        <is>
          <t>seg</t>
        </is>
      </c>
      <c r="X3" s="93" t="inlineStr">
        <is>
          <t>ter</t>
        </is>
      </c>
      <c r="Y3" s="93" t="inlineStr">
        <is>
          <t>qua</t>
        </is>
      </c>
      <c r="Z3" s="93" t="inlineStr">
        <is>
          <t>qui</t>
        </is>
      </c>
      <c r="AA3" s="93" t="inlineStr">
        <is>
          <t>sex</t>
        </is>
      </c>
      <c r="AB3" s="94" t="inlineStr">
        <is>
          <t>sáb</t>
        </is>
      </c>
      <c r="AC3" s="94" t="inlineStr">
        <is>
          <t>dom</t>
        </is>
      </c>
      <c r="AD3" s="93" t="inlineStr">
        <is>
          <t>seg</t>
        </is>
      </c>
      <c r="AE3" s="93" t="inlineStr">
        <is>
          <t>ter</t>
        </is>
      </c>
      <c r="AF3" s="93" t="inlineStr">
        <is>
          <t>qua</t>
        </is>
      </c>
      <c r="AG3" s="110" t="n"/>
    </row>
    <row r="4" hidden="1">
      <c r="A4" t="inlineStr">
        <is>
          <t>máscara fds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111" t="inlineStr">
        <is>
          <t>C</t>
        </is>
      </c>
      <c r="D8" s="98" t="inlineStr">
        <is>
          <t>M</t>
        </is>
      </c>
      <c r="E8" s="98" t="inlineStr">
        <is>
          <t>M</t>
        </is>
      </c>
      <c r="F8" s="98" t="inlineStr">
        <is>
          <t>M</t>
        </is>
      </c>
      <c r="G8" s="97" t="n"/>
      <c r="H8" s="97" t="n"/>
      <c r="I8" s="111" t="inlineStr">
        <is>
          <t>C</t>
        </is>
      </c>
      <c r="J8" s="111" t="inlineStr">
        <is>
          <t>C</t>
        </is>
      </c>
      <c r="K8" s="98" t="inlineStr">
        <is>
          <t>M</t>
        </is>
      </c>
      <c r="L8" s="98" t="inlineStr">
        <is>
          <t>M</t>
        </is>
      </c>
      <c r="M8" s="98" t="inlineStr">
        <is>
          <t>M</t>
        </is>
      </c>
      <c r="N8" s="97" t="n"/>
      <c r="O8" s="97" t="n"/>
      <c r="P8" s="111" t="inlineStr">
        <is>
          <t>C</t>
        </is>
      </c>
      <c r="Q8" s="111" t="inlineStr">
        <is>
          <t>C</t>
        </is>
      </c>
      <c r="R8" s="98" t="inlineStr">
        <is>
          <t>M</t>
        </is>
      </c>
      <c r="S8" s="98" t="inlineStr">
        <is>
          <t>M</t>
        </is>
      </c>
      <c r="T8" s="111" t="inlineStr">
        <is>
          <t>C</t>
        </is>
      </c>
      <c r="U8" s="98" t="inlineStr">
        <is>
          <t>M</t>
        </is>
      </c>
      <c r="V8" s="98" t="inlineStr">
        <is>
          <t>M</t>
        </is>
      </c>
      <c r="W8" s="111" t="inlineStr">
        <is>
          <t>C</t>
        </is>
      </c>
      <c r="X8" s="111" t="inlineStr">
        <is>
          <t>C</t>
        </is>
      </c>
      <c r="Y8" s="98" t="inlineStr">
        <is>
          <t>M</t>
        </is>
      </c>
      <c r="Z8" s="98" t="inlineStr">
        <is>
          <t>M</t>
        </is>
      </c>
      <c r="AA8" s="98" t="inlineStr">
        <is>
          <t>M</t>
        </is>
      </c>
      <c r="AB8" s="97" t="n"/>
      <c r="AC8" s="97" t="n"/>
      <c r="AD8" s="111" t="inlineStr">
        <is>
          <t>C</t>
        </is>
      </c>
      <c r="AE8" s="97" t="n"/>
      <c r="AF8" s="97" t="n"/>
      <c r="AG8" s="110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ROUND(B8*4.29,0)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8" t="inlineStr">
        <is>
          <t>M</t>
        </is>
      </c>
      <c r="D9" s="98" t="inlineStr">
        <is>
          <t>M</t>
        </is>
      </c>
      <c r="E9" s="111" t="inlineStr">
        <is>
          <t>C</t>
        </is>
      </c>
      <c r="F9" s="98" t="inlineStr">
        <is>
          <t>M</t>
        </is>
      </c>
      <c r="G9" s="97" t="n"/>
      <c r="H9" s="97" t="n"/>
      <c r="I9" s="98" t="inlineStr">
        <is>
          <t>M</t>
        </is>
      </c>
      <c r="J9" s="98" t="inlineStr">
        <is>
          <t>M</t>
        </is>
      </c>
      <c r="K9" s="98" t="inlineStr">
        <is>
          <t>M</t>
        </is>
      </c>
      <c r="L9" s="111" t="inlineStr">
        <is>
          <t>C</t>
        </is>
      </c>
      <c r="M9" s="111" t="inlineStr">
        <is>
          <t>C</t>
        </is>
      </c>
      <c r="N9" s="98" t="inlineStr">
        <is>
          <t>M</t>
        </is>
      </c>
      <c r="O9" s="98" t="inlineStr">
        <is>
          <t>M</t>
        </is>
      </c>
      <c r="P9" s="98" t="inlineStr">
        <is>
          <t>M</t>
        </is>
      </c>
      <c r="Q9" s="98" t="inlineStr">
        <is>
          <t>M</t>
        </is>
      </c>
      <c r="R9" s="98" t="inlineStr">
        <is>
          <t>M</t>
        </is>
      </c>
      <c r="S9" s="111" t="inlineStr">
        <is>
          <t>C</t>
        </is>
      </c>
      <c r="T9" s="98" t="inlineStr">
        <is>
          <t>M</t>
        </is>
      </c>
      <c r="U9" s="97" t="n"/>
      <c r="V9" s="97" t="n"/>
      <c r="W9" s="98" t="inlineStr">
        <is>
          <t>M</t>
        </is>
      </c>
      <c r="X9" s="98" t="inlineStr">
        <is>
          <t>M</t>
        </is>
      </c>
      <c r="Y9" s="98" t="inlineStr">
        <is>
          <t>M</t>
        </is>
      </c>
      <c r="Z9" s="111" t="inlineStr">
        <is>
          <t>C</t>
        </is>
      </c>
      <c r="AA9" s="98" t="inlineStr">
        <is>
          <t>M</t>
        </is>
      </c>
      <c r="AB9" s="97" t="n"/>
      <c r="AC9" s="97" t="n"/>
      <c r="AD9" s="98" t="inlineStr">
        <is>
          <t>M</t>
        </is>
      </c>
      <c r="AE9" s="97" t="n"/>
      <c r="AF9" s="97" t="n"/>
      <c r="AG9" s="110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ROUND(B9*4.29,0)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111" t="inlineStr">
        <is>
          <t>C</t>
        </is>
      </c>
      <c r="D10" s="98" t="inlineStr">
        <is>
          <t>M</t>
        </is>
      </c>
      <c r="E10" s="98" t="inlineStr">
        <is>
          <t>M</t>
        </is>
      </c>
      <c r="F10" s="111" t="inlineStr">
        <is>
          <t>C</t>
        </is>
      </c>
      <c r="G10" s="98" t="inlineStr">
        <is>
          <t>M</t>
        </is>
      </c>
      <c r="H10" s="98" t="inlineStr">
        <is>
          <t>M</t>
        </is>
      </c>
      <c r="I10" s="98" t="inlineStr">
        <is>
          <t>M</t>
        </is>
      </c>
      <c r="J10" s="111" t="inlineStr">
        <is>
          <t>C</t>
        </is>
      </c>
      <c r="K10" s="98" t="inlineStr">
        <is>
          <t>M</t>
        </is>
      </c>
      <c r="L10" s="98" t="inlineStr">
        <is>
          <t>M</t>
        </is>
      </c>
      <c r="M10" s="98" t="inlineStr">
        <is>
          <t>M</t>
        </is>
      </c>
      <c r="N10" s="97" t="n"/>
      <c r="O10" s="97" t="n"/>
      <c r="P10" s="98" t="inlineStr">
        <is>
          <t>M</t>
        </is>
      </c>
      <c r="Q10" s="111" t="inlineStr">
        <is>
          <t>C</t>
        </is>
      </c>
      <c r="R10" s="98" t="inlineStr">
        <is>
          <t>M</t>
        </is>
      </c>
      <c r="S10" s="98" t="inlineStr">
        <is>
          <t>M</t>
        </is>
      </c>
      <c r="T10" s="98" t="inlineStr">
        <is>
          <t>M</t>
        </is>
      </c>
      <c r="U10" s="97" t="n"/>
      <c r="V10" s="97" t="n"/>
      <c r="W10" s="98" t="inlineStr">
        <is>
          <t>M</t>
        </is>
      </c>
      <c r="X10" s="111" t="inlineStr">
        <is>
          <t>C</t>
        </is>
      </c>
      <c r="Y10" s="98" t="inlineStr">
        <is>
          <t>M</t>
        </is>
      </c>
      <c r="Z10" s="98" t="inlineStr">
        <is>
          <t>M</t>
        </is>
      </c>
      <c r="AA10" s="111" t="inlineStr">
        <is>
          <t>C</t>
        </is>
      </c>
      <c r="AB10" s="98" t="inlineStr">
        <is>
          <t>M</t>
        </is>
      </c>
      <c r="AC10" s="98" t="inlineStr">
        <is>
          <t>M</t>
        </is>
      </c>
      <c r="AD10" s="98" t="inlineStr">
        <is>
          <t>M</t>
        </is>
      </c>
      <c r="AE10" s="97" t="n"/>
      <c r="AF10" s="97" t="n"/>
      <c r="AG10" s="110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ROUND(B10*4.29,0)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8" t="inlineStr">
        <is>
          <t>M</t>
        </is>
      </c>
      <c r="D11" s="98" t="inlineStr">
        <is>
          <t>M</t>
        </is>
      </c>
      <c r="E11" s="98" t="inlineStr">
        <is>
          <t>M</t>
        </is>
      </c>
      <c r="F11" s="104" t="inlineStr">
        <is>
          <t>T</t>
        </is>
      </c>
      <c r="G11" s="97" t="n"/>
      <c r="H11" s="97" t="n"/>
      <c r="I11" s="97" t="n"/>
      <c r="J11" s="102" t="inlineStr">
        <is>
          <t>D</t>
        </is>
      </c>
      <c r="K11" s="98" t="inlineStr">
        <is>
          <t>M</t>
        </is>
      </c>
      <c r="L11" s="98" t="inlineStr">
        <is>
          <t>M</t>
        </is>
      </c>
      <c r="M11" s="98" t="inlineStr">
        <is>
          <t>M</t>
        </is>
      </c>
      <c r="N11" s="97" t="n"/>
      <c r="O11" s="103" t="inlineStr">
        <is>
          <t>N</t>
        </is>
      </c>
      <c r="P11" s="98" t="inlineStr">
        <is>
          <t>M</t>
        </is>
      </c>
      <c r="Q11" s="98" t="inlineStr">
        <is>
          <t>M</t>
        </is>
      </c>
      <c r="R11" s="98" t="inlineStr">
        <is>
          <t>M</t>
        </is>
      </c>
      <c r="S11" s="102" t="inlineStr">
        <is>
          <t>D</t>
        </is>
      </c>
      <c r="T11" s="98" t="inlineStr">
        <is>
          <t>M</t>
        </is>
      </c>
      <c r="U11" s="97" t="n"/>
      <c r="V11" s="97" t="n"/>
      <c r="W11" s="98" t="inlineStr">
        <is>
          <t>M</t>
        </is>
      </c>
      <c r="X11" s="98" t="inlineStr">
        <is>
          <t>M</t>
        </is>
      </c>
      <c r="Y11" s="98" t="inlineStr">
        <is>
          <t>M</t>
        </is>
      </c>
      <c r="Z11" s="98" t="inlineStr">
        <is>
          <t>M</t>
        </is>
      </c>
      <c r="AA11" s="98" t="inlineStr">
        <is>
          <t>M</t>
        </is>
      </c>
      <c r="AB11" s="98" t="inlineStr">
        <is>
          <t>M</t>
        </is>
      </c>
      <c r="AC11" s="103" t="inlineStr">
        <is>
          <t>N</t>
        </is>
      </c>
      <c r="AD11" s="97" t="n"/>
      <c r="AE11" s="98" t="inlineStr">
        <is>
          <t>M</t>
        </is>
      </c>
      <c r="AF11" s="98" t="inlineStr">
        <is>
          <t>M</t>
        </is>
      </c>
      <c r="AG11" s="110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ROUND(B11*4.29,0)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8" t="inlineStr">
        <is>
          <t>M</t>
        </is>
      </c>
      <c r="D12" s="98" t="inlineStr">
        <is>
          <t>M</t>
        </is>
      </c>
      <c r="E12" s="98" t="inlineStr">
        <is>
          <t>M</t>
        </is>
      </c>
      <c r="F12" s="98" t="inlineStr">
        <is>
          <t>M</t>
        </is>
      </c>
      <c r="G12" s="97" t="n"/>
      <c r="H12" s="97" t="n"/>
      <c r="I12" s="98" t="inlineStr">
        <is>
          <t>M</t>
        </is>
      </c>
      <c r="J12" s="98" t="inlineStr">
        <is>
          <t>M</t>
        </is>
      </c>
      <c r="K12" s="98" t="inlineStr">
        <is>
          <t>M</t>
        </is>
      </c>
      <c r="L12" s="98" t="inlineStr">
        <is>
          <t>M</t>
        </is>
      </c>
      <c r="M12" s="102" t="inlineStr">
        <is>
          <t>D</t>
        </is>
      </c>
      <c r="N12" s="104" t="inlineStr">
        <is>
          <t>T</t>
        </is>
      </c>
      <c r="O12" s="97" t="n"/>
      <c r="P12" s="98" t="inlineStr">
        <is>
          <t>M</t>
        </is>
      </c>
      <c r="Q12" s="102" t="inlineStr">
        <is>
          <t>D</t>
        </is>
      </c>
      <c r="R12" s="98" t="inlineStr">
        <is>
          <t>M</t>
        </is>
      </c>
      <c r="S12" s="102" t="inlineStr">
        <is>
          <t>D</t>
        </is>
      </c>
      <c r="T12" s="98" t="inlineStr">
        <is>
          <t>M</t>
        </is>
      </c>
      <c r="U12" s="97" t="n"/>
      <c r="V12" s="97" t="n"/>
      <c r="W12" s="98" t="inlineStr">
        <is>
          <t>M</t>
        </is>
      </c>
      <c r="X12" s="98" t="inlineStr">
        <is>
          <t>M</t>
        </is>
      </c>
      <c r="Y12" s="98" t="inlineStr">
        <is>
          <t>M</t>
        </is>
      </c>
      <c r="Z12" s="98" t="inlineStr">
        <is>
          <t>M</t>
        </is>
      </c>
      <c r="AA12" s="98" t="inlineStr">
        <is>
          <t>M</t>
        </is>
      </c>
      <c r="AB12" s="97" t="n"/>
      <c r="AC12" s="104" t="inlineStr">
        <is>
          <t>T</t>
        </is>
      </c>
      <c r="AD12" s="98" t="inlineStr">
        <is>
          <t>M</t>
        </is>
      </c>
      <c r="AE12" s="102" t="inlineStr">
        <is>
          <t>D</t>
        </is>
      </c>
      <c r="AF12" s="98" t="inlineStr">
        <is>
          <t>M</t>
        </is>
      </c>
      <c r="AG12" s="110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ROUND(B12*4.29,0)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98" t="inlineStr">
        <is>
          <t>M</t>
        </is>
      </c>
      <c r="E13" s="98" t="inlineStr">
        <is>
          <t>M</t>
        </is>
      </c>
      <c r="F13" s="98" t="inlineStr">
        <is>
          <t>M</t>
        </is>
      </c>
      <c r="G13" s="97" t="n"/>
      <c r="H13" s="97" t="n"/>
      <c r="I13" s="98" t="inlineStr">
        <is>
          <t>M</t>
        </is>
      </c>
      <c r="J13" s="98" t="inlineStr">
        <is>
          <t>M</t>
        </is>
      </c>
      <c r="K13" s="98" t="inlineStr">
        <is>
          <t>M</t>
        </is>
      </c>
      <c r="L13" s="98" t="inlineStr">
        <is>
          <t>M</t>
        </is>
      </c>
      <c r="M13" s="98" t="inlineStr">
        <is>
          <t>M</t>
        </is>
      </c>
      <c r="N13" s="97" t="n"/>
      <c r="O13" s="97" t="n"/>
      <c r="P13" s="98" t="inlineStr">
        <is>
          <t>M</t>
        </is>
      </c>
      <c r="Q13" s="98" t="inlineStr">
        <is>
          <t>M</t>
        </is>
      </c>
      <c r="R13" s="98" t="inlineStr">
        <is>
          <t>M</t>
        </is>
      </c>
      <c r="S13" s="98" t="inlineStr">
        <is>
          <t>M</t>
        </is>
      </c>
      <c r="T13" s="98" t="inlineStr">
        <is>
          <t>M</t>
        </is>
      </c>
      <c r="U13" s="103" t="inlineStr">
        <is>
          <t>N</t>
        </is>
      </c>
      <c r="V13" s="97" t="n"/>
      <c r="W13" s="98" t="inlineStr">
        <is>
          <t>M</t>
        </is>
      </c>
      <c r="X13" s="98" t="inlineStr">
        <is>
          <t>M</t>
        </is>
      </c>
      <c r="Y13" s="98" t="inlineStr">
        <is>
          <t>M</t>
        </is>
      </c>
      <c r="Z13" s="98" t="inlineStr">
        <is>
          <t>M</t>
        </is>
      </c>
      <c r="AA13" s="98" t="inlineStr">
        <is>
          <t>M</t>
        </is>
      </c>
      <c r="AB13" s="97" t="n"/>
      <c r="AC13" s="97" t="n"/>
      <c r="AD13" s="98" t="inlineStr">
        <is>
          <t>M</t>
        </is>
      </c>
      <c r="AE13" s="97" t="n"/>
      <c r="AF13" s="97" t="n"/>
      <c r="AG13" s="110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ROUND(B13*4.29,0)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102" t="inlineStr">
        <is>
          <t>D</t>
        </is>
      </c>
      <c r="D14" s="103" t="inlineStr">
        <is>
          <t>N</t>
        </is>
      </c>
      <c r="E14" s="97" t="n"/>
      <c r="F14" s="97" t="n"/>
      <c r="G14" s="102" t="inlineStr">
        <is>
          <t>D</t>
        </is>
      </c>
      <c r="H14" s="102" t="inlineStr">
        <is>
          <t>D</t>
        </is>
      </c>
      <c r="I14" s="102" t="inlineStr">
        <is>
          <t>D</t>
        </is>
      </c>
      <c r="J14" s="102" t="inlineStr">
        <is>
          <t>D</t>
        </is>
      </c>
      <c r="K14" s="97" t="n"/>
      <c r="L14" s="97" t="n"/>
      <c r="M14" s="97" t="n"/>
      <c r="N14" s="97" t="n"/>
      <c r="O14" s="97" t="n"/>
      <c r="P14" s="97" t="n"/>
      <c r="Q14" s="97" t="n"/>
      <c r="R14" s="97" t="n"/>
      <c r="S14" s="102" t="inlineStr">
        <is>
          <t>D</t>
        </is>
      </c>
      <c r="T14" s="103" t="inlineStr">
        <is>
          <t>N</t>
        </is>
      </c>
      <c r="U14" s="97" t="n"/>
      <c r="V14" s="102" t="inlineStr">
        <is>
          <t>D</t>
        </is>
      </c>
      <c r="W14" s="98" t="inlineStr">
        <is>
          <t>M</t>
        </is>
      </c>
      <c r="X14" s="102" t="inlineStr">
        <is>
          <t>D</t>
        </is>
      </c>
      <c r="Y14" s="98" t="inlineStr">
        <is>
          <t>M</t>
        </is>
      </c>
      <c r="Z14" s="102" t="inlineStr">
        <is>
          <t>D</t>
        </is>
      </c>
      <c r="AA14" s="97" t="n"/>
      <c r="AB14" s="97" t="n"/>
      <c r="AC14" s="97" t="n"/>
      <c r="AD14" s="98" t="inlineStr">
        <is>
          <t>M</t>
        </is>
      </c>
      <c r="AE14" s="102" t="inlineStr">
        <is>
          <t>D</t>
        </is>
      </c>
      <c r="AF14" s="97" t="n"/>
      <c r="AG14" s="110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ROUND(B14*4.29,0)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114" t="inlineStr">
        <is>
          <t>LM</t>
        </is>
      </c>
      <c r="D15" s="114" t="inlineStr">
        <is>
          <t>LM</t>
        </is>
      </c>
      <c r="E15" s="114" t="inlineStr">
        <is>
          <t>LM</t>
        </is>
      </c>
      <c r="F15" s="114" t="inlineStr">
        <is>
          <t>LM</t>
        </is>
      </c>
      <c r="G15" s="114" t="inlineStr">
        <is>
          <t>LM</t>
        </is>
      </c>
      <c r="H15" s="114" t="inlineStr">
        <is>
          <t>LM</t>
        </is>
      </c>
      <c r="I15" s="114" t="inlineStr">
        <is>
          <t>LM</t>
        </is>
      </c>
      <c r="J15" s="114" t="inlineStr">
        <is>
          <t>LM</t>
        </is>
      </c>
      <c r="K15" s="114" t="inlineStr">
        <is>
          <t>LM</t>
        </is>
      </c>
      <c r="L15" s="114" t="inlineStr">
        <is>
          <t>LM</t>
        </is>
      </c>
      <c r="M15" s="114" t="inlineStr">
        <is>
          <t>LM</t>
        </is>
      </c>
      <c r="N15" s="114" t="inlineStr">
        <is>
          <t>LM</t>
        </is>
      </c>
      <c r="O15" s="114" t="inlineStr">
        <is>
          <t>LM</t>
        </is>
      </c>
      <c r="P15" s="114" t="inlineStr">
        <is>
          <t>LM</t>
        </is>
      </c>
      <c r="Q15" s="114" t="inlineStr">
        <is>
          <t>LM</t>
        </is>
      </c>
      <c r="R15" s="114" t="inlineStr">
        <is>
          <t>LM</t>
        </is>
      </c>
      <c r="S15" s="114" t="inlineStr">
        <is>
          <t>LM</t>
        </is>
      </c>
      <c r="T15" s="114" t="inlineStr">
        <is>
          <t>LM</t>
        </is>
      </c>
      <c r="U15" s="114" t="inlineStr">
        <is>
          <t>LM</t>
        </is>
      </c>
      <c r="V15" s="114" t="inlineStr">
        <is>
          <t>LM</t>
        </is>
      </c>
      <c r="W15" s="114" t="inlineStr">
        <is>
          <t>LM</t>
        </is>
      </c>
      <c r="X15" s="114" t="inlineStr">
        <is>
          <t>LM</t>
        </is>
      </c>
      <c r="Y15" s="114" t="inlineStr">
        <is>
          <t>LM</t>
        </is>
      </c>
      <c r="Z15" s="114" t="inlineStr">
        <is>
          <t>LM</t>
        </is>
      </c>
      <c r="AA15" s="114" t="inlineStr">
        <is>
          <t>LM</t>
        </is>
      </c>
      <c r="AB15" s="114" t="inlineStr">
        <is>
          <t>LM</t>
        </is>
      </c>
      <c r="AC15" s="114" t="inlineStr">
        <is>
          <t>LM</t>
        </is>
      </c>
      <c r="AD15" s="114" t="inlineStr">
        <is>
          <t>LM</t>
        </is>
      </c>
      <c r="AE15" s="114" t="inlineStr">
        <is>
          <t>LM</t>
        </is>
      </c>
      <c r="AF15" s="114" t="inlineStr">
        <is>
          <t>LM</t>
        </is>
      </c>
      <c r="AG15" s="110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ROUND(B15*4.29,0)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16" t="inlineStr">
        <is>
          <t>J</t>
        </is>
      </c>
      <c r="D16" s="116" t="inlineStr">
        <is>
          <t>J</t>
        </is>
      </c>
      <c r="E16" s="116" t="inlineStr">
        <is>
          <t>J</t>
        </is>
      </c>
      <c r="F16" s="116" t="inlineStr">
        <is>
          <t>J</t>
        </is>
      </c>
      <c r="G16" s="116" t="inlineStr">
        <is>
          <t>J</t>
        </is>
      </c>
      <c r="H16" s="116" t="inlineStr">
        <is>
          <t>J</t>
        </is>
      </c>
      <c r="I16" s="97" t="n"/>
      <c r="J16" s="116" t="inlineStr">
        <is>
          <t>J</t>
        </is>
      </c>
      <c r="K16" s="116" t="inlineStr">
        <is>
          <t>J</t>
        </is>
      </c>
      <c r="L16" s="116" t="inlineStr">
        <is>
          <t>J</t>
        </is>
      </c>
      <c r="M16" s="116" t="inlineStr">
        <is>
          <t>J</t>
        </is>
      </c>
      <c r="N16" s="97" t="n"/>
      <c r="O16" s="116" t="inlineStr">
        <is>
          <t>J</t>
        </is>
      </c>
      <c r="P16" s="116" t="inlineStr">
        <is>
          <t>J</t>
        </is>
      </c>
      <c r="Q16" s="116" t="inlineStr">
        <is>
          <t>J</t>
        </is>
      </c>
      <c r="R16" s="116" t="inlineStr">
        <is>
          <t>J</t>
        </is>
      </c>
      <c r="S16" s="116" t="inlineStr">
        <is>
          <t>J</t>
        </is>
      </c>
      <c r="T16" s="116" t="inlineStr">
        <is>
          <t>J</t>
        </is>
      </c>
      <c r="U16" s="97" t="n"/>
      <c r="V16" s="116" t="inlineStr">
        <is>
          <t>J</t>
        </is>
      </c>
      <c r="W16" s="116" t="inlineStr">
        <is>
          <t>J</t>
        </is>
      </c>
      <c r="X16" s="116" t="inlineStr">
        <is>
          <t>J</t>
        </is>
      </c>
      <c r="Y16" s="116" t="inlineStr">
        <is>
          <t>J</t>
        </is>
      </c>
      <c r="Z16" s="116" t="inlineStr">
        <is>
          <t>J</t>
        </is>
      </c>
      <c r="AA16" s="116" t="inlineStr">
        <is>
          <t>J</t>
        </is>
      </c>
      <c r="AB16" s="97" t="n"/>
      <c r="AC16" s="116" t="inlineStr">
        <is>
          <t>J</t>
        </is>
      </c>
      <c r="AD16" s="116" t="inlineStr">
        <is>
          <t>J</t>
        </is>
      </c>
      <c r="AE16" s="116" t="inlineStr">
        <is>
          <t>J</t>
        </is>
      </c>
      <c r="AF16" s="116" t="inlineStr">
        <is>
          <t>J</t>
        </is>
      </c>
      <c r="AG16" s="110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ROUND(B16*4.29,0)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111" t="inlineStr">
        <is>
          <t>C</t>
        </is>
      </c>
      <c r="D17" s="104" t="inlineStr">
        <is>
          <t>T</t>
        </is>
      </c>
      <c r="E17" s="104" t="inlineStr">
        <is>
          <t>T</t>
        </is>
      </c>
      <c r="F17" s="102" t="inlineStr">
        <is>
          <t>D</t>
        </is>
      </c>
      <c r="G17" s="97" t="n"/>
      <c r="H17" s="97" t="n"/>
      <c r="I17" s="97" t="n"/>
      <c r="J17" s="103" t="inlineStr">
        <is>
          <t>N</t>
        </is>
      </c>
      <c r="K17" s="104" t="inlineStr">
        <is>
          <t>T</t>
        </is>
      </c>
      <c r="L17" s="104" t="inlineStr">
        <is>
          <t>T</t>
        </is>
      </c>
      <c r="M17" s="112" t="inlineStr">
        <is>
          <t>E</t>
        </is>
      </c>
      <c r="N17" s="103" t="inlineStr">
        <is>
          <t>N</t>
        </is>
      </c>
      <c r="O17" s="97" t="n"/>
      <c r="P17" s="112" t="inlineStr">
        <is>
          <t>E</t>
        </is>
      </c>
      <c r="Q17" s="97" t="n"/>
      <c r="R17" s="104" t="inlineStr">
        <is>
          <t>T</t>
        </is>
      </c>
      <c r="S17" s="97" t="n"/>
      <c r="T17" s="104" t="inlineStr">
        <is>
          <t>T</t>
        </is>
      </c>
      <c r="U17" s="103" t="inlineStr">
        <is>
          <t>N</t>
        </is>
      </c>
      <c r="V17" s="97" t="n"/>
      <c r="W17" s="103" t="inlineStr">
        <is>
          <t>N</t>
        </is>
      </c>
      <c r="X17" s="104" t="inlineStr">
        <is>
          <t>T</t>
        </is>
      </c>
      <c r="Y17" s="104" t="inlineStr">
        <is>
          <t>T</t>
        </is>
      </c>
      <c r="Z17" s="97" t="n"/>
      <c r="AA17" s="112" t="inlineStr">
        <is>
          <t>E</t>
        </is>
      </c>
      <c r="AB17" s="103" t="inlineStr">
        <is>
          <t>N</t>
        </is>
      </c>
      <c r="AC17" s="97" t="n"/>
      <c r="AD17" s="112" t="inlineStr">
        <is>
          <t>E</t>
        </is>
      </c>
      <c r="AE17" s="97" t="n"/>
      <c r="AF17" s="104" t="inlineStr">
        <is>
          <t>T</t>
        </is>
      </c>
      <c r="AG17" s="110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ROUND(B17*4.29,0)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104" t="inlineStr">
        <is>
          <t>T</t>
        </is>
      </c>
      <c r="D18" s="104" t="inlineStr">
        <is>
          <t>T</t>
        </is>
      </c>
      <c r="E18" s="104" t="inlineStr">
        <is>
          <t>T</t>
        </is>
      </c>
      <c r="F18" s="103" t="inlineStr">
        <is>
          <t>N</t>
        </is>
      </c>
      <c r="G18" s="97" t="n"/>
      <c r="H18" s="97" t="n"/>
      <c r="I18" s="102" t="inlineStr">
        <is>
          <t>D</t>
        </is>
      </c>
      <c r="J18" s="104" t="inlineStr">
        <is>
          <t>T</t>
        </is>
      </c>
      <c r="K18" s="104" t="inlineStr">
        <is>
          <t>T</t>
        </is>
      </c>
      <c r="L18" s="104" t="inlineStr">
        <is>
          <t>T</t>
        </is>
      </c>
      <c r="M18" s="97" t="n"/>
      <c r="N18" s="97" t="n"/>
      <c r="O18" s="97" t="n"/>
      <c r="P18" s="97" t="n"/>
      <c r="Q18" s="97" t="n"/>
      <c r="R18" s="97" t="n"/>
      <c r="S18" s="104" t="inlineStr">
        <is>
          <t>T</t>
        </is>
      </c>
      <c r="T18" s="104" t="inlineStr">
        <is>
          <t>T</t>
        </is>
      </c>
      <c r="U18" s="102" t="inlineStr">
        <is>
          <t>D</t>
        </is>
      </c>
      <c r="V18" s="103" t="inlineStr">
        <is>
          <t>N</t>
        </is>
      </c>
      <c r="W18" s="104" t="inlineStr">
        <is>
          <t>T</t>
        </is>
      </c>
      <c r="X18" s="104" t="inlineStr">
        <is>
          <t>T</t>
        </is>
      </c>
      <c r="Y18" s="104" t="inlineStr">
        <is>
          <t>T</t>
        </is>
      </c>
      <c r="Z18" s="104" t="inlineStr">
        <is>
          <t>T</t>
        </is>
      </c>
      <c r="AA18" s="97" t="n"/>
      <c r="AB18" s="102" t="inlineStr">
        <is>
          <t>D</t>
        </is>
      </c>
      <c r="AC18" s="97" t="n"/>
      <c r="AD18" s="104" t="inlineStr">
        <is>
          <t>T</t>
        </is>
      </c>
      <c r="AE18" s="102" t="inlineStr">
        <is>
          <t>D</t>
        </is>
      </c>
      <c r="AF18" s="104" t="inlineStr">
        <is>
          <t>T</t>
        </is>
      </c>
      <c r="AG18" s="110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ROUND(B18*4.29,0)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103" t="inlineStr">
        <is>
          <t>N</t>
        </is>
      </c>
      <c r="E19" s="97" t="n"/>
      <c r="F19" s="103" t="inlineStr">
        <is>
          <t>N</t>
        </is>
      </c>
      <c r="G19" s="97" t="n"/>
      <c r="H19" s="103" t="inlineStr">
        <is>
          <t>N</t>
        </is>
      </c>
      <c r="I19" s="97" t="n"/>
      <c r="J19" s="97" t="n"/>
      <c r="K19" s="103" t="inlineStr">
        <is>
          <t>N</t>
        </is>
      </c>
      <c r="L19" s="97" t="n"/>
      <c r="M19" s="103" t="inlineStr">
        <is>
          <t>N</t>
        </is>
      </c>
      <c r="N19" s="97" t="n"/>
      <c r="O19" s="103" t="inlineStr">
        <is>
          <t>N</t>
        </is>
      </c>
      <c r="P19" s="103" t="inlineStr">
        <is>
          <t>N</t>
        </is>
      </c>
      <c r="Q19" s="97" t="n"/>
      <c r="R19" s="103" t="inlineStr">
        <is>
          <t>N</t>
        </is>
      </c>
      <c r="S19" s="103" t="inlineStr">
        <is>
          <t>N</t>
        </is>
      </c>
      <c r="T19" s="97" t="n"/>
      <c r="U19" s="97" t="n"/>
      <c r="V19" s="97" t="n"/>
      <c r="W19" s="97" t="n"/>
      <c r="X19" s="97" t="n"/>
      <c r="Y19" s="103" t="inlineStr">
        <is>
          <t>N</t>
        </is>
      </c>
      <c r="Z19" s="103" t="inlineStr">
        <is>
          <t>N</t>
        </is>
      </c>
      <c r="AA19" s="97" t="n"/>
      <c r="AB19" s="97" t="n"/>
      <c r="AC19" s="103" t="inlineStr">
        <is>
          <t>N</t>
        </is>
      </c>
      <c r="AD19" s="97" t="n"/>
      <c r="AE19" s="97" t="n"/>
      <c r="AF19" s="103" t="inlineStr">
        <is>
          <t>N</t>
        </is>
      </c>
      <c r="AG19" s="110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ROUND(B19*4.29,0)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103" t="inlineStr">
        <is>
          <t>N</t>
        </is>
      </c>
      <c r="D20" s="97" t="n"/>
      <c r="E20" s="103" t="inlineStr">
        <is>
          <t>N</t>
        </is>
      </c>
      <c r="F20" s="97" t="n"/>
      <c r="G20" s="103" t="inlineStr">
        <is>
          <t>N</t>
        </is>
      </c>
      <c r="H20" s="97" t="n"/>
      <c r="I20" s="97" t="n"/>
      <c r="J20" s="103" t="inlineStr">
        <is>
          <t>N</t>
        </is>
      </c>
      <c r="K20" s="103" t="inlineStr">
        <is>
          <t>N</t>
        </is>
      </c>
      <c r="L20" s="103" t="inlineStr">
        <is>
          <t>N</t>
        </is>
      </c>
      <c r="M20" s="97" t="n"/>
      <c r="N20" s="97" t="n"/>
      <c r="O20" s="97" t="n"/>
      <c r="P20" s="97" t="n"/>
      <c r="Q20" s="97" t="n"/>
      <c r="R20" s="103" t="inlineStr">
        <is>
          <t>N</t>
        </is>
      </c>
      <c r="S20" s="103" t="inlineStr">
        <is>
          <t>N</t>
        </is>
      </c>
      <c r="T20" s="97" t="n"/>
      <c r="U20" s="97" t="n"/>
      <c r="V20" s="103" t="inlineStr">
        <is>
          <t>N</t>
        </is>
      </c>
      <c r="W20" s="97" t="n"/>
      <c r="X20" s="103" t="inlineStr">
        <is>
          <t>N</t>
        </is>
      </c>
      <c r="Y20" s="97" t="n"/>
      <c r="Z20" s="103" t="inlineStr">
        <is>
          <t>N</t>
        </is>
      </c>
      <c r="AA20" s="97" t="n"/>
      <c r="AB20" s="97" t="n"/>
      <c r="AC20" s="103" t="inlineStr">
        <is>
          <t>N</t>
        </is>
      </c>
      <c r="AD20" s="97" t="n"/>
      <c r="AE20" s="103" t="inlineStr">
        <is>
          <t>N</t>
        </is>
      </c>
      <c r="AF20" s="103" t="inlineStr">
        <is>
          <t>N</t>
        </is>
      </c>
      <c r="AG20" s="110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ROUND(B20*4.29,0)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8" t="inlineStr">
        <is>
          <t>M</t>
        </is>
      </c>
      <c r="D21" s="97" t="n"/>
      <c r="E21" s="104" t="inlineStr">
        <is>
          <t>T</t>
        </is>
      </c>
      <c r="F21" s="97" t="n"/>
      <c r="G21" s="102" t="inlineStr">
        <is>
          <t>D</t>
        </is>
      </c>
      <c r="H21" s="103" t="inlineStr">
        <is>
          <t>N</t>
        </is>
      </c>
      <c r="I21" s="104" t="inlineStr">
        <is>
          <t>T</t>
        </is>
      </c>
      <c r="J21" s="102" t="inlineStr">
        <is>
          <t>D</t>
        </is>
      </c>
      <c r="K21" s="102" t="inlineStr">
        <is>
          <t>D</t>
        </is>
      </c>
      <c r="L21" s="97" t="n"/>
      <c r="M21" s="97" t="n"/>
      <c r="N21" s="97" t="n"/>
      <c r="O21" s="97" t="n"/>
      <c r="P21" s="115" t="inlineStr">
        <is>
          <t>FE</t>
        </is>
      </c>
      <c r="Q21" s="115" t="inlineStr">
        <is>
          <t>FE</t>
        </is>
      </c>
      <c r="R21" s="115" t="inlineStr">
        <is>
          <t>FE</t>
        </is>
      </c>
      <c r="S21" s="115" t="inlineStr">
        <is>
          <t>FE</t>
        </is>
      </c>
      <c r="T21" s="115" t="inlineStr">
        <is>
          <t>FE</t>
        </is>
      </c>
      <c r="U21" s="115" t="inlineStr">
        <is>
          <t>FE</t>
        </is>
      </c>
      <c r="V21" s="115" t="inlineStr">
        <is>
          <t>FE</t>
        </is>
      </c>
      <c r="W21" s="115" t="inlineStr">
        <is>
          <t>FE</t>
        </is>
      </c>
      <c r="X21" s="115" t="inlineStr">
        <is>
          <t>FE</t>
        </is>
      </c>
      <c r="Y21" s="115" t="inlineStr">
        <is>
          <t>FE</t>
        </is>
      </c>
      <c r="Z21" s="115" t="inlineStr">
        <is>
          <t>FE</t>
        </is>
      </c>
      <c r="AA21" s="115" t="inlineStr">
        <is>
          <t>FE</t>
        </is>
      </c>
      <c r="AB21" s="115" t="inlineStr">
        <is>
          <t>FE</t>
        </is>
      </c>
      <c r="AC21" s="115" t="inlineStr">
        <is>
          <t>FE</t>
        </is>
      </c>
      <c r="AD21" s="115" t="inlineStr">
        <is>
          <t>FE</t>
        </is>
      </c>
      <c r="AE21" s="97" t="n"/>
      <c r="AF21" s="97" t="n"/>
      <c r="AG21" s="110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ROUND(B21*4.29,0)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102" t="inlineStr">
        <is>
          <t>D</t>
        </is>
      </c>
      <c r="D22" s="97" t="n"/>
      <c r="E22" s="97" t="n"/>
      <c r="F22" s="102" t="inlineStr">
        <is>
          <t>D</t>
        </is>
      </c>
      <c r="G22" s="97" t="n"/>
      <c r="H22" s="102" t="inlineStr">
        <is>
          <t>D</t>
        </is>
      </c>
      <c r="I22" s="97" t="n"/>
      <c r="J22" s="102" t="inlineStr">
        <is>
          <t>D</t>
        </is>
      </c>
      <c r="K22" s="98" t="inlineStr">
        <is>
          <t>M</t>
        </is>
      </c>
      <c r="L22" s="97" t="n"/>
      <c r="M22" s="98" t="inlineStr">
        <is>
          <t>M</t>
        </is>
      </c>
      <c r="N22" s="97" t="n"/>
      <c r="O22" s="102" t="inlineStr">
        <is>
          <t>D</t>
        </is>
      </c>
      <c r="P22" s="97" t="n"/>
      <c r="Q22" s="104" t="inlineStr">
        <is>
          <t>T</t>
        </is>
      </c>
      <c r="R22" s="97" t="n"/>
      <c r="S22" s="103" t="inlineStr">
        <is>
          <t>N</t>
        </is>
      </c>
      <c r="T22" s="97" t="n"/>
      <c r="U22" s="98" t="inlineStr">
        <is>
          <t>M</t>
        </is>
      </c>
      <c r="V22" s="102" t="inlineStr">
        <is>
          <t>D</t>
        </is>
      </c>
      <c r="W22" s="97" t="n"/>
      <c r="X22" s="102" t="inlineStr">
        <is>
          <t>D</t>
        </is>
      </c>
      <c r="Y22" s="102" t="inlineStr">
        <is>
          <t>D</t>
        </is>
      </c>
      <c r="Z22" s="102" t="inlineStr">
        <is>
          <t>D</t>
        </is>
      </c>
      <c r="AA22" s="97" t="n"/>
      <c r="AB22" s="97" t="n"/>
      <c r="AC22" s="97" t="n"/>
      <c r="AD22" s="97" t="n"/>
      <c r="AE22" s="102" t="inlineStr">
        <is>
          <t>D</t>
        </is>
      </c>
      <c r="AF22" s="98" t="inlineStr">
        <is>
          <t>M</t>
        </is>
      </c>
      <c r="AG22" s="110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ROUND(B22*4.29,0)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102" t="inlineStr">
        <is>
          <t>D</t>
        </is>
      </c>
      <c r="F23" s="97" t="n"/>
      <c r="G23" s="102" t="inlineStr">
        <is>
          <t>D</t>
        </is>
      </c>
      <c r="H23" s="97" t="n"/>
      <c r="I23" s="97" t="n"/>
      <c r="J23" s="102" t="inlineStr">
        <is>
          <t>D</t>
        </is>
      </c>
      <c r="K23" s="97" t="n"/>
      <c r="L23" s="102" t="inlineStr">
        <is>
          <t>D</t>
        </is>
      </c>
      <c r="M23" s="97" t="n"/>
      <c r="N23" s="102" t="inlineStr">
        <is>
          <t>D</t>
        </is>
      </c>
      <c r="O23" s="102" t="inlineStr">
        <is>
          <t>D</t>
        </is>
      </c>
      <c r="P23" s="97" t="n"/>
      <c r="Q23" s="102" t="inlineStr">
        <is>
          <t>D</t>
        </is>
      </c>
      <c r="R23" s="97" t="n"/>
      <c r="S23" s="102" t="inlineStr">
        <is>
          <t>D</t>
        </is>
      </c>
      <c r="T23" s="97" t="n"/>
      <c r="U23" s="97" t="n"/>
      <c r="V23" s="97" t="n"/>
      <c r="W23" s="102" t="inlineStr">
        <is>
          <t>D</t>
        </is>
      </c>
      <c r="X23" s="102" t="inlineStr">
        <is>
          <t>D</t>
        </is>
      </c>
      <c r="Y23" s="97" t="n"/>
      <c r="Z23" s="102" t="inlineStr">
        <is>
          <t>D</t>
        </is>
      </c>
      <c r="AA23" s="97" t="n"/>
      <c r="AB23" s="97" t="n"/>
      <c r="AC23" s="97" t="n"/>
      <c r="AD23" s="102" t="inlineStr">
        <is>
          <t>D</t>
        </is>
      </c>
      <c r="AE23" s="97" t="n"/>
      <c r="AF23" s="97" t="n"/>
      <c r="AG23" s="110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ROUND(B23*4.29,0)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102" t="inlineStr">
        <is>
          <t>D</t>
        </is>
      </c>
      <c r="D24" s="97" t="n"/>
      <c r="E24" s="97" t="n"/>
      <c r="F24" s="97" t="n"/>
      <c r="G24" s="103" t="inlineStr">
        <is>
          <t>N</t>
        </is>
      </c>
      <c r="H24" s="97" t="n"/>
      <c r="I24" s="97" t="n"/>
      <c r="J24" s="102" t="inlineStr">
        <is>
          <t>D</t>
        </is>
      </c>
      <c r="K24" s="102" t="inlineStr">
        <is>
          <t>D</t>
        </is>
      </c>
      <c r="L24" s="102" t="inlineStr">
        <is>
          <t>D</t>
        </is>
      </c>
      <c r="M24" s="97" t="n"/>
      <c r="N24" s="97" t="n"/>
      <c r="O24" s="97" t="n"/>
      <c r="P24" s="97" t="n"/>
      <c r="Q24" s="102" t="inlineStr">
        <is>
          <t>D</t>
        </is>
      </c>
      <c r="R24" s="97" t="n"/>
      <c r="S24" s="103" t="inlineStr">
        <is>
          <t>N</t>
        </is>
      </c>
      <c r="T24" s="97" t="n"/>
      <c r="U24" s="103" t="inlineStr">
        <is>
          <t>N</t>
        </is>
      </c>
      <c r="V24" s="97" t="n"/>
      <c r="W24" s="97" t="n"/>
      <c r="X24" s="102" t="inlineStr">
        <is>
          <t>D</t>
        </is>
      </c>
      <c r="Y24" s="97" t="n"/>
      <c r="Z24" s="104" t="inlineStr">
        <is>
          <t>T</t>
        </is>
      </c>
      <c r="AA24" s="98" t="inlineStr">
        <is>
          <t>M</t>
        </is>
      </c>
      <c r="AB24" s="103" t="inlineStr">
        <is>
          <t>N</t>
        </is>
      </c>
      <c r="AC24" s="97" t="n"/>
      <c r="AD24" s="102" t="inlineStr">
        <is>
          <t>D</t>
        </is>
      </c>
      <c r="AE24" s="97" t="n"/>
      <c r="AF24" s="97" t="n"/>
      <c r="AG24" s="110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ROUND(B24*4.29,0)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103" t="inlineStr">
        <is>
          <t>N</t>
        </is>
      </c>
      <c r="D25" s="103" t="inlineStr">
        <is>
          <t>N</t>
        </is>
      </c>
      <c r="E25" s="97" t="n"/>
      <c r="F25" s="97" t="n"/>
      <c r="G25" s="97" t="n"/>
      <c r="H25" s="103" t="inlineStr">
        <is>
          <t>N</t>
        </is>
      </c>
      <c r="I25" s="97" t="n"/>
      <c r="J25" s="103" t="inlineStr">
        <is>
          <t>N</t>
        </is>
      </c>
      <c r="K25" s="103" t="inlineStr">
        <is>
          <t>N</t>
        </is>
      </c>
      <c r="L25" s="97" t="n"/>
      <c r="M25" s="97" t="n"/>
      <c r="N25" s="97" t="n"/>
      <c r="O25" s="103" t="inlineStr">
        <is>
          <t>N</t>
        </is>
      </c>
      <c r="P25" s="103" t="inlineStr">
        <is>
          <t>N</t>
        </is>
      </c>
      <c r="Q25" s="103" t="inlineStr">
        <is>
          <t>N</t>
        </is>
      </c>
      <c r="R25" s="103" t="inlineStr">
        <is>
          <t>N</t>
        </is>
      </c>
      <c r="S25" s="97" t="n"/>
      <c r="T25" s="97" t="n"/>
      <c r="U25" s="97" t="n"/>
      <c r="V25" s="97" t="n"/>
      <c r="W25" s="103" t="inlineStr">
        <is>
          <t>N</t>
        </is>
      </c>
      <c r="X25" s="97" t="n"/>
      <c r="Y25" s="103" t="inlineStr">
        <is>
          <t>N</t>
        </is>
      </c>
      <c r="Z25" s="97" t="n"/>
      <c r="AA25" s="97" t="n"/>
      <c r="AB25" s="97" t="n"/>
      <c r="AC25" s="103" t="inlineStr">
        <is>
          <t>N</t>
        </is>
      </c>
      <c r="AD25" s="103" t="inlineStr">
        <is>
          <t>N</t>
        </is>
      </c>
      <c r="AE25" s="103" t="inlineStr">
        <is>
          <t>N</t>
        </is>
      </c>
      <c r="AF25" s="103" t="inlineStr">
        <is>
          <t>N</t>
        </is>
      </c>
      <c r="AG25" s="110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ROUND(B25*4.29,0)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102" t="inlineStr">
        <is>
          <t>D</t>
        </is>
      </c>
      <c r="D26" s="103" t="inlineStr">
        <is>
          <t>N</t>
        </is>
      </c>
      <c r="E26" s="104" t="inlineStr">
        <is>
          <t>T</t>
        </is>
      </c>
      <c r="F26" s="98" t="inlineStr">
        <is>
          <t>M</t>
        </is>
      </c>
      <c r="G26" s="97" t="n"/>
      <c r="H26" s="97" t="n"/>
      <c r="I26" s="97" t="n"/>
      <c r="J26" s="103" t="inlineStr">
        <is>
          <t>N</t>
        </is>
      </c>
      <c r="K26" s="97" t="n"/>
      <c r="L26" s="97" t="n"/>
      <c r="M26" s="102" t="inlineStr">
        <is>
          <t>D</t>
        </is>
      </c>
      <c r="N26" s="97" t="n"/>
      <c r="O26" s="103" t="inlineStr">
        <is>
          <t>N</t>
        </is>
      </c>
      <c r="P26" s="103" t="inlineStr">
        <is>
          <t>N</t>
        </is>
      </c>
      <c r="Q26" s="97" t="n"/>
      <c r="R26" s="104" t="inlineStr">
        <is>
          <t>T</t>
        </is>
      </c>
      <c r="S26" s="103" t="inlineStr">
        <is>
          <t>N</t>
        </is>
      </c>
      <c r="T26" s="104" t="inlineStr">
        <is>
          <t>T</t>
        </is>
      </c>
      <c r="U26" s="97" t="n"/>
      <c r="V26" s="103" t="inlineStr">
        <is>
          <t>N</t>
        </is>
      </c>
      <c r="W26" s="97" t="n"/>
      <c r="X26" s="103" t="inlineStr">
        <is>
          <t>N</t>
        </is>
      </c>
      <c r="Y26" s="97" t="n"/>
      <c r="Z26" s="97" t="n"/>
      <c r="AA26" s="102" t="inlineStr">
        <is>
          <t>D</t>
        </is>
      </c>
      <c r="AB26" s="97" t="n"/>
      <c r="AC26" s="103" t="inlineStr">
        <is>
          <t>N</t>
        </is>
      </c>
      <c r="AD26" s="97" t="n"/>
      <c r="AE26" s="103" t="inlineStr">
        <is>
          <t>N</t>
        </is>
      </c>
      <c r="AF26" s="97" t="n"/>
      <c r="AG26" s="110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ROUND(B26*4.29,0)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103" t="inlineStr">
        <is>
          <t>N</t>
        </is>
      </c>
      <c r="D27" s="97" t="n"/>
      <c r="E27" s="103" t="inlineStr">
        <is>
          <t>N</t>
        </is>
      </c>
      <c r="F27" s="97" t="n"/>
      <c r="G27" s="103" t="inlineStr">
        <is>
          <t>N</t>
        </is>
      </c>
      <c r="H27" s="97" t="n"/>
      <c r="I27" s="97" t="n"/>
      <c r="J27" s="97" t="n"/>
      <c r="K27" s="104" t="inlineStr">
        <is>
          <t>T</t>
        </is>
      </c>
      <c r="L27" s="103" t="inlineStr">
        <is>
          <t>N</t>
        </is>
      </c>
      <c r="M27" s="104" t="inlineStr">
        <is>
          <t>T</t>
        </is>
      </c>
      <c r="N27" s="103" t="inlineStr">
        <is>
          <t>N</t>
        </is>
      </c>
      <c r="O27" s="97" t="n"/>
      <c r="P27" s="97" t="n"/>
      <c r="Q27" s="103" t="inlineStr">
        <is>
          <t>N</t>
        </is>
      </c>
      <c r="R27" s="97" t="n"/>
      <c r="S27" s="103" t="inlineStr">
        <is>
          <t>N</t>
        </is>
      </c>
      <c r="T27" s="97" t="n"/>
      <c r="U27" s="97" t="n"/>
      <c r="V27" s="103" t="inlineStr">
        <is>
          <t>N</t>
        </is>
      </c>
      <c r="W27" s="97" t="n"/>
      <c r="X27" s="103" t="inlineStr">
        <is>
          <t>N</t>
        </is>
      </c>
      <c r="Y27" s="97" t="n"/>
      <c r="Z27" s="103" t="inlineStr">
        <is>
          <t>N</t>
        </is>
      </c>
      <c r="AA27" s="97" t="n"/>
      <c r="AB27" s="103" t="inlineStr">
        <is>
          <t>N</t>
        </is>
      </c>
      <c r="AC27" s="97" t="n"/>
      <c r="AD27" s="97" t="n"/>
      <c r="AE27" s="103" t="inlineStr">
        <is>
          <t>N</t>
        </is>
      </c>
      <c r="AF27" s="97" t="n"/>
      <c r="AG27" s="110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ROUND(B27*4.29,0)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8" t="inlineStr">
        <is>
          <t>M</t>
        </is>
      </c>
      <c r="D28" s="102" t="inlineStr">
        <is>
          <t>D</t>
        </is>
      </c>
      <c r="E28" s="97" t="n"/>
      <c r="F28" s="97" t="n"/>
      <c r="G28" s="97" t="n"/>
      <c r="H28" s="102" t="inlineStr">
        <is>
          <t>D</t>
        </is>
      </c>
      <c r="I28" s="103" t="inlineStr">
        <is>
          <t>N</t>
        </is>
      </c>
      <c r="J28" s="97" t="n"/>
      <c r="K28" s="104" t="inlineStr">
        <is>
          <t>T</t>
        </is>
      </c>
      <c r="L28" s="97" t="n"/>
      <c r="M28" s="97" t="n"/>
      <c r="N28" s="97" t="n"/>
      <c r="O28" s="102" t="inlineStr">
        <is>
          <t>D</t>
        </is>
      </c>
      <c r="P28" s="97" t="n"/>
      <c r="Q28" s="102" t="inlineStr">
        <is>
          <t>D</t>
        </is>
      </c>
      <c r="R28" s="103" t="inlineStr">
        <is>
          <t>N</t>
        </is>
      </c>
      <c r="S28" s="97" t="n"/>
      <c r="T28" s="104" t="inlineStr">
        <is>
          <t>T</t>
        </is>
      </c>
      <c r="U28" s="97" t="n"/>
      <c r="V28" s="97" t="n"/>
      <c r="W28" s="103" t="inlineStr">
        <is>
          <t>N</t>
        </is>
      </c>
      <c r="X28" s="97" t="n"/>
      <c r="Y28" s="104" t="inlineStr">
        <is>
          <t>T</t>
        </is>
      </c>
      <c r="Z28" s="97" t="n"/>
      <c r="AA28" s="97" t="n"/>
      <c r="AB28" s="102" t="inlineStr">
        <is>
          <t>D</t>
        </is>
      </c>
      <c r="AC28" s="97" t="n"/>
      <c r="AD28" s="97" t="n"/>
      <c r="AE28" s="102" t="inlineStr">
        <is>
          <t>D</t>
        </is>
      </c>
      <c r="AF28" s="97" t="n"/>
      <c r="AG28" s="110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ROUND(B28*4.29,0)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98" t="inlineStr">
        <is>
          <t>M</t>
        </is>
      </c>
      <c r="E29" s="98" t="inlineStr">
        <is>
          <t>M</t>
        </is>
      </c>
      <c r="F29" s="97" t="n"/>
      <c r="G29" s="97" t="n"/>
      <c r="H29" s="97" t="n"/>
      <c r="I29" s="103" t="inlineStr">
        <is>
          <t>N</t>
        </is>
      </c>
      <c r="J29" s="97" t="n"/>
      <c r="K29" s="98" t="inlineStr">
        <is>
          <t>M</t>
        </is>
      </c>
      <c r="L29" s="98" t="inlineStr">
        <is>
          <t>M</t>
        </is>
      </c>
      <c r="M29" s="97" t="n"/>
      <c r="N29" s="98" t="inlineStr">
        <is>
          <t>M</t>
        </is>
      </c>
      <c r="O29" s="98" t="inlineStr">
        <is>
          <t>M</t>
        </is>
      </c>
      <c r="P29" s="103" t="inlineStr">
        <is>
          <t>N</t>
        </is>
      </c>
      <c r="Q29" s="97" t="n"/>
      <c r="R29" s="97" t="n"/>
      <c r="S29" s="98" t="inlineStr">
        <is>
          <t>M</t>
        </is>
      </c>
      <c r="T29" s="98" t="inlineStr">
        <is>
          <t>M</t>
        </is>
      </c>
      <c r="U29" s="97" t="n"/>
      <c r="V29" s="97" t="n"/>
      <c r="W29" s="103" t="inlineStr">
        <is>
          <t>N</t>
        </is>
      </c>
      <c r="X29" s="97" t="n"/>
      <c r="Y29" s="97" t="n"/>
      <c r="Z29" s="98" t="inlineStr">
        <is>
          <t>M</t>
        </is>
      </c>
      <c r="AA29" s="97" t="n"/>
      <c r="AB29" s="102" t="inlineStr">
        <is>
          <t>D</t>
        </is>
      </c>
      <c r="AC29" s="98" t="inlineStr">
        <is>
          <t>M</t>
        </is>
      </c>
      <c r="AD29" s="98" t="inlineStr">
        <is>
          <t>M</t>
        </is>
      </c>
      <c r="AE29" s="97" t="n"/>
      <c r="AF29" s="98" t="inlineStr">
        <is>
          <t>M</t>
        </is>
      </c>
      <c r="AG29" s="110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ROUND(B29*4.29,0)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104" t="inlineStr">
        <is>
          <t>T</t>
        </is>
      </c>
      <c r="D30" s="104" t="inlineStr">
        <is>
          <t>T</t>
        </is>
      </c>
      <c r="E30" s="104" t="inlineStr">
        <is>
          <t>T</t>
        </is>
      </c>
      <c r="F30" s="97" t="n"/>
      <c r="G30" s="97" t="n"/>
      <c r="H30" s="103" t="inlineStr">
        <is>
          <t>N</t>
        </is>
      </c>
      <c r="I30" s="97" t="n"/>
      <c r="J30" s="104" t="inlineStr">
        <is>
          <t>T</t>
        </is>
      </c>
      <c r="K30" s="104" t="inlineStr">
        <is>
          <t>T</t>
        </is>
      </c>
      <c r="L30" s="97" t="n"/>
      <c r="M30" s="104" t="inlineStr">
        <is>
          <t>T</t>
        </is>
      </c>
      <c r="N30" s="97" t="n"/>
      <c r="O30" s="103" t="inlineStr">
        <is>
          <t>N</t>
        </is>
      </c>
      <c r="P30" s="104" t="inlineStr">
        <is>
          <t>T</t>
        </is>
      </c>
      <c r="Q30" s="104" t="inlineStr">
        <is>
          <t>T</t>
        </is>
      </c>
      <c r="R30" s="104" t="inlineStr">
        <is>
          <t>T</t>
        </is>
      </c>
      <c r="S30" s="102" t="inlineStr">
        <is>
          <t>D</t>
        </is>
      </c>
      <c r="T30" s="97" t="n"/>
      <c r="U30" s="97" t="n"/>
      <c r="V30" s="97" t="n"/>
      <c r="W30" s="115" t="inlineStr">
        <is>
          <t>FE</t>
        </is>
      </c>
      <c r="X30" s="115" t="inlineStr">
        <is>
          <t>FE</t>
        </is>
      </c>
      <c r="Y30" s="115" t="inlineStr">
        <is>
          <t>FE</t>
        </is>
      </c>
      <c r="Z30" s="115" t="inlineStr">
        <is>
          <t>FE</t>
        </is>
      </c>
      <c r="AA30" s="115" t="inlineStr">
        <is>
          <t>FE</t>
        </is>
      </c>
      <c r="AB30" s="115" t="inlineStr">
        <is>
          <t>FE</t>
        </is>
      </c>
      <c r="AC30" s="115" t="inlineStr">
        <is>
          <t>FE</t>
        </is>
      </c>
      <c r="AD30" s="115" t="inlineStr">
        <is>
          <t>FE</t>
        </is>
      </c>
      <c r="AE30" s="115" t="inlineStr">
        <is>
          <t>FE</t>
        </is>
      </c>
      <c r="AF30" s="115" t="inlineStr">
        <is>
          <t>FE</t>
        </is>
      </c>
      <c r="AG30" s="110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ROUND(B30*4.29,0)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8" t="inlineStr">
        <is>
          <t>M</t>
        </is>
      </c>
      <c r="D31" s="98" t="inlineStr">
        <is>
          <t>M</t>
        </is>
      </c>
      <c r="E31" s="98" t="inlineStr">
        <is>
          <t>M</t>
        </is>
      </c>
      <c r="F31" s="102" t="inlineStr">
        <is>
          <t>D</t>
        </is>
      </c>
      <c r="G31" s="97" t="n"/>
      <c r="H31" s="97" t="n"/>
      <c r="I31" s="98" t="inlineStr">
        <is>
          <t>M</t>
        </is>
      </c>
      <c r="J31" s="97" t="n"/>
      <c r="K31" s="98" t="inlineStr">
        <is>
          <t>M</t>
        </is>
      </c>
      <c r="L31" s="97" t="n"/>
      <c r="M31" s="98" t="inlineStr">
        <is>
          <t>M</t>
        </is>
      </c>
      <c r="N31" s="98" t="inlineStr">
        <is>
          <t>M</t>
        </is>
      </c>
      <c r="O31" s="104" t="inlineStr">
        <is>
          <t>T</t>
        </is>
      </c>
      <c r="P31" s="104" t="inlineStr">
        <is>
          <t>T</t>
        </is>
      </c>
      <c r="Q31" s="97" t="n"/>
      <c r="R31" s="98" t="inlineStr">
        <is>
          <t>M</t>
        </is>
      </c>
      <c r="S31" s="98" t="inlineStr">
        <is>
          <t>M</t>
        </is>
      </c>
      <c r="T31" s="102" t="inlineStr">
        <is>
          <t>D</t>
        </is>
      </c>
      <c r="U31" s="97" t="n"/>
      <c r="V31" s="97" t="n"/>
      <c r="W31" s="97" t="n"/>
      <c r="X31" s="98" t="inlineStr">
        <is>
          <t>M</t>
        </is>
      </c>
      <c r="Y31" s="97" t="n"/>
      <c r="Z31" s="97" t="n"/>
      <c r="AA31" s="98" t="inlineStr">
        <is>
          <t>M</t>
        </is>
      </c>
      <c r="AB31" s="98" t="inlineStr">
        <is>
          <t>M</t>
        </is>
      </c>
      <c r="AC31" s="103" t="inlineStr">
        <is>
          <t>N</t>
        </is>
      </c>
      <c r="AD31" s="104" t="inlineStr">
        <is>
          <t>T</t>
        </is>
      </c>
      <c r="AE31" s="97" t="n"/>
      <c r="AF31" s="102" t="inlineStr">
        <is>
          <t>D</t>
        </is>
      </c>
      <c r="AG31" s="110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ROUND(B31*4.29,0)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97" t="n"/>
      <c r="E32" s="97" t="n"/>
      <c r="F32" s="97" t="n"/>
      <c r="G32" s="98" t="inlineStr">
        <is>
          <t>M</t>
        </is>
      </c>
      <c r="H32" s="98" t="inlineStr">
        <is>
          <t>M</t>
        </is>
      </c>
      <c r="I32" s="102" t="inlineStr">
        <is>
          <t>D</t>
        </is>
      </c>
      <c r="J32" s="97" t="n"/>
      <c r="K32" s="97" t="n"/>
      <c r="L32" s="97" t="n"/>
      <c r="M32" s="102" t="inlineStr">
        <is>
          <t>D</t>
        </is>
      </c>
      <c r="N32" s="97" t="n"/>
      <c r="O32" s="98" t="inlineStr">
        <is>
          <t>M</t>
        </is>
      </c>
      <c r="P32" s="102" t="inlineStr">
        <is>
          <t>D</t>
        </is>
      </c>
      <c r="Q32" s="103" t="inlineStr">
        <is>
          <t>N</t>
        </is>
      </c>
      <c r="R32" s="98" t="inlineStr">
        <is>
          <t>M</t>
        </is>
      </c>
      <c r="S32" s="98" t="inlineStr">
        <is>
          <t>M</t>
        </is>
      </c>
      <c r="T32" s="97" t="n"/>
      <c r="U32" s="97" t="n"/>
      <c r="V32" s="97" t="n"/>
      <c r="W32" s="97" t="n"/>
      <c r="X32" s="97" t="n"/>
      <c r="Y32" s="97" t="n"/>
      <c r="Z32" s="102" t="inlineStr">
        <is>
          <t>D</t>
        </is>
      </c>
      <c r="AA32" s="102" t="inlineStr">
        <is>
          <t>D</t>
        </is>
      </c>
      <c r="AB32" s="98" t="inlineStr">
        <is>
          <t>M</t>
        </is>
      </c>
      <c r="AC32" s="97" t="n"/>
      <c r="AD32" s="103" t="inlineStr">
        <is>
          <t>N</t>
        </is>
      </c>
      <c r="AE32" s="97" t="n"/>
      <c r="AF32" s="97" t="n"/>
      <c r="AG32" s="110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ROUND(B32*4.29,0)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104" t="inlineStr">
        <is>
          <t>T</t>
        </is>
      </c>
      <c r="G33" s="98" t="inlineStr">
        <is>
          <t>M</t>
        </is>
      </c>
      <c r="H33" s="97" t="n"/>
      <c r="I33" s="98" t="inlineStr">
        <is>
          <t>M</t>
        </is>
      </c>
      <c r="J33" s="97" t="n"/>
      <c r="K33" s="97" t="n"/>
      <c r="L33" s="97" t="n"/>
      <c r="M33" s="97" t="n"/>
      <c r="N33" s="102" t="inlineStr">
        <is>
          <t>D</t>
        </is>
      </c>
      <c r="O33" s="98" t="inlineStr">
        <is>
          <t>M</t>
        </is>
      </c>
      <c r="P33" s="102" t="inlineStr">
        <is>
          <t>D</t>
        </is>
      </c>
      <c r="Q33" s="97" t="n"/>
      <c r="R33" s="97" t="n"/>
      <c r="S33" s="97" t="n"/>
      <c r="T33" s="102" t="inlineStr">
        <is>
          <t>D</t>
        </is>
      </c>
      <c r="U33" s="97" t="n"/>
      <c r="V33" s="97" t="n"/>
      <c r="W33" s="102" t="inlineStr">
        <is>
          <t>D</t>
        </is>
      </c>
      <c r="X33" s="97" t="n"/>
      <c r="Y33" s="97" t="n"/>
      <c r="Z33" s="97" t="n"/>
      <c r="AA33" s="103" t="inlineStr">
        <is>
          <t>N</t>
        </is>
      </c>
      <c r="AB33" s="97" t="n"/>
      <c r="AC33" s="97" t="n"/>
      <c r="AD33" s="102" t="inlineStr">
        <is>
          <t>D</t>
        </is>
      </c>
      <c r="AE33" s="97" t="n"/>
      <c r="AF33" s="97" t="n"/>
      <c r="AG33" s="110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ROUND(B33*4.29,0)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102" t="inlineStr">
        <is>
          <t>D</t>
        </is>
      </c>
      <c r="D34" s="104" t="inlineStr">
        <is>
          <t>T</t>
        </is>
      </c>
      <c r="E34" s="97" t="n"/>
      <c r="F34" s="97" t="n"/>
      <c r="G34" s="97" t="n"/>
      <c r="H34" s="97" t="n"/>
      <c r="I34" s="97" t="n"/>
      <c r="J34" s="97" t="n"/>
      <c r="K34" s="103" t="inlineStr">
        <is>
          <t>N</t>
        </is>
      </c>
      <c r="L34" s="97" t="n"/>
      <c r="M34" s="97" t="n"/>
      <c r="N34" s="102" t="inlineStr">
        <is>
          <t>D</t>
        </is>
      </c>
      <c r="O34" s="98" t="inlineStr">
        <is>
          <t>M</t>
        </is>
      </c>
      <c r="P34" s="97" t="n"/>
      <c r="Q34" s="102" t="inlineStr">
        <is>
          <t>D</t>
        </is>
      </c>
      <c r="R34" s="97" t="n"/>
      <c r="S34" s="97" t="n"/>
      <c r="T34" s="97" t="n"/>
      <c r="U34" s="102" t="inlineStr">
        <is>
          <t>D</t>
        </is>
      </c>
      <c r="V34" s="98" t="inlineStr">
        <is>
          <t>M</t>
        </is>
      </c>
      <c r="W34" s="102" t="inlineStr">
        <is>
          <t>D</t>
        </is>
      </c>
      <c r="X34" s="97" t="n"/>
      <c r="Y34" s="98" t="inlineStr">
        <is>
          <t>M</t>
        </is>
      </c>
      <c r="Z34" s="102" t="inlineStr">
        <is>
          <t>D</t>
        </is>
      </c>
      <c r="AA34" s="97" t="n"/>
      <c r="AB34" s="97" t="n"/>
      <c r="AC34" s="97" t="n"/>
      <c r="AD34" s="97" t="n"/>
      <c r="AE34" s="97" t="n"/>
      <c r="AF34" s="97" t="n"/>
      <c r="AG34" s="110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ROUND(B34*4.29,0)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97" t="n"/>
      <c r="E35" s="104" t="inlineStr">
        <is>
          <t>T</t>
        </is>
      </c>
      <c r="F35" s="103" t="inlineStr">
        <is>
          <t>N</t>
        </is>
      </c>
      <c r="G35" s="97" t="n"/>
      <c r="H35" s="97" t="n"/>
      <c r="I35" s="98" t="inlineStr">
        <is>
          <t>M</t>
        </is>
      </c>
      <c r="J35" s="98" t="inlineStr">
        <is>
          <t>M</t>
        </is>
      </c>
      <c r="K35" s="98" t="inlineStr">
        <is>
          <t>M</t>
        </is>
      </c>
      <c r="L35" s="103" t="inlineStr">
        <is>
          <t>N</t>
        </is>
      </c>
      <c r="M35" s="97" t="n"/>
      <c r="N35" s="97" t="n"/>
      <c r="O35" s="97" t="n"/>
      <c r="P35" s="98" t="inlineStr">
        <is>
          <t>M</t>
        </is>
      </c>
      <c r="Q35" s="104" t="inlineStr">
        <is>
          <t>T</t>
        </is>
      </c>
      <c r="R35" s="97" t="n"/>
      <c r="S35" s="97" t="n"/>
      <c r="T35" s="97" t="n"/>
      <c r="U35" s="104" t="inlineStr">
        <is>
          <t>T</t>
        </is>
      </c>
      <c r="V35" s="102" t="inlineStr">
        <is>
          <t>D</t>
        </is>
      </c>
      <c r="W35" s="97" t="n"/>
      <c r="X35" s="97" t="n"/>
      <c r="Y35" s="104" t="inlineStr">
        <is>
          <t>T</t>
        </is>
      </c>
      <c r="Z35" s="103" t="inlineStr">
        <is>
          <t>N</t>
        </is>
      </c>
      <c r="AA35" s="97" t="n"/>
      <c r="AB35" s="103" t="inlineStr">
        <is>
          <t>N</t>
        </is>
      </c>
      <c r="AC35" s="97" t="n"/>
      <c r="AD35" s="97" t="n"/>
      <c r="AE35" s="102" t="inlineStr">
        <is>
          <t>D</t>
        </is>
      </c>
      <c r="AF35" s="97" t="n"/>
      <c r="AG35" s="110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ROUND(B35*4.29,0)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115" t="inlineStr">
        <is>
          <t>FE</t>
        </is>
      </c>
      <c r="D36" s="115" t="inlineStr">
        <is>
          <t>FE</t>
        </is>
      </c>
      <c r="E36" s="115" t="inlineStr">
        <is>
          <t>FE</t>
        </is>
      </c>
      <c r="F36" s="115" t="inlineStr">
        <is>
          <t>FE</t>
        </is>
      </c>
      <c r="G36" s="115" t="inlineStr">
        <is>
          <t>FE</t>
        </is>
      </c>
      <c r="H36" s="115" t="inlineStr">
        <is>
          <t>FE</t>
        </is>
      </c>
      <c r="I36" s="115" t="inlineStr">
        <is>
          <t>FE</t>
        </is>
      </c>
      <c r="J36" s="115" t="inlineStr">
        <is>
          <t>FE</t>
        </is>
      </c>
      <c r="K36" s="115" t="inlineStr">
        <is>
          <t>FE</t>
        </is>
      </c>
      <c r="L36" s="115" t="inlineStr">
        <is>
          <t>FE</t>
        </is>
      </c>
      <c r="M36" s="115" t="inlineStr">
        <is>
          <t>FE</t>
        </is>
      </c>
      <c r="N36" s="115" t="inlineStr">
        <is>
          <t>FE</t>
        </is>
      </c>
      <c r="O36" s="115" t="inlineStr">
        <is>
          <t>FE</t>
        </is>
      </c>
      <c r="P36" s="115" t="inlineStr">
        <is>
          <t>FE</t>
        </is>
      </c>
      <c r="Q36" s="103" t="inlineStr">
        <is>
          <t>N</t>
        </is>
      </c>
      <c r="R36" s="97" t="n"/>
      <c r="S36" s="97" t="n"/>
      <c r="T36" s="97" t="n"/>
      <c r="U36" s="102" t="inlineStr">
        <is>
          <t>D</t>
        </is>
      </c>
      <c r="V36" s="97" t="n"/>
      <c r="W36" s="104" t="inlineStr">
        <is>
          <t>T</t>
        </is>
      </c>
      <c r="X36" s="103" t="inlineStr">
        <is>
          <t>N</t>
        </is>
      </c>
      <c r="Y36" s="97" t="n"/>
      <c r="Z36" s="102" t="inlineStr">
        <is>
          <t>D</t>
        </is>
      </c>
      <c r="AA36" s="97" t="n"/>
      <c r="AB36" s="97" t="n"/>
      <c r="AC36" s="97" t="n"/>
      <c r="AD36" s="97" t="n"/>
      <c r="AE36" s="103" t="inlineStr">
        <is>
          <t>N</t>
        </is>
      </c>
      <c r="AF36" s="97" t="n"/>
      <c r="AG36" s="110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ROUND(B36*4.29,0)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8" t="inlineStr">
        <is>
          <t>M</t>
        </is>
      </c>
      <c r="D37" s="103" t="inlineStr">
        <is>
          <t>N</t>
        </is>
      </c>
      <c r="E37" s="97" t="n"/>
      <c r="F37" s="98" t="inlineStr">
        <is>
          <t>M</t>
        </is>
      </c>
      <c r="G37" s="97" t="n"/>
      <c r="H37" s="97" t="n"/>
      <c r="I37" s="97" t="n"/>
      <c r="J37" s="98" t="inlineStr">
        <is>
          <t>M</t>
        </is>
      </c>
      <c r="K37" s="97" t="n"/>
      <c r="L37" s="97" t="n"/>
      <c r="M37" s="98" t="inlineStr">
        <is>
          <t>M</t>
        </is>
      </c>
      <c r="N37" s="102" t="inlineStr">
        <is>
          <t>D</t>
        </is>
      </c>
      <c r="O37" s="104" t="inlineStr">
        <is>
          <t>T</t>
        </is>
      </c>
      <c r="P37" s="97" t="n"/>
      <c r="Q37" s="98" t="inlineStr">
        <is>
          <t>M</t>
        </is>
      </c>
      <c r="R37" s="98" t="inlineStr">
        <is>
          <t>M</t>
        </is>
      </c>
      <c r="S37" s="97" t="n"/>
      <c r="T37" s="98" t="inlineStr">
        <is>
          <t>M</t>
        </is>
      </c>
      <c r="U37" s="97" t="n"/>
      <c r="V37" s="102" t="inlineStr">
        <is>
          <t>D</t>
        </is>
      </c>
      <c r="W37" s="104" t="inlineStr">
        <is>
          <t>T</t>
        </is>
      </c>
      <c r="X37" s="102" t="inlineStr">
        <is>
          <t>D</t>
        </is>
      </c>
      <c r="Y37" s="103" t="inlineStr">
        <is>
          <t>N</t>
        </is>
      </c>
      <c r="Z37" s="97" t="n"/>
      <c r="AA37" s="97" t="n"/>
      <c r="AB37" s="97" t="n"/>
      <c r="AC37" s="97" t="n"/>
      <c r="AD37" s="115" t="inlineStr">
        <is>
          <t>FE</t>
        </is>
      </c>
      <c r="AE37" s="115" t="inlineStr">
        <is>
          <t>FE</t>
        </is>
      </c>
      <c r="AF37" s="115" t="inlineStr">
        <is>
          <t>FE</t>
        </is>
      </c>
      <c r="AG37" s="110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ROUND(B37*4.29,0)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103" t="inlineStr">
        <is>
          <t>N</t>
        </is>
      </c>
      <c r="D38" s="97" t="n"/>
      <c r="E38" s="103" t="inlineStr">
        <is>
          <t>N</t>
        </is>
      </c>
      <c r="F38" s="97" t="n"/>
      <c r="G38" s="97" t="n"/>
      <c r="H38" s="97" t="n"/>
      <c r="I38" s="103" t="inlineStr">
        <is>
          <t>N</t>
        </is>
      </c>
      <c r="J38" s="97" t="n"/>
      <c r="K38" s="97" t="n"/>
      <c r="L38" s="97" t="n"/>
      <c r="M38" s="103" t="inlineStr">
        <is>
          <t>N</t>
        </is>
      </c>
      <c r="N38" s="97" t="n"/>
      <c r="O38" s="97" t="n"/>
      <c r="P38" s="98" t="inlineStr">
        <is>
          <t>M</t>
        </is>
      </c>
      <c r="Q38" s="98" t="inlineStr">
        <is>
          <t>M</t>
        </is>
      </c>
      <c r="R38" s="97" t="n"/>
      <c r="S38" s="97" t="n"/>
      <c r="T38" s="97" t="n"/>
      <c r="U38" s="103" t="inlineStr">
        <is>
          <t>N</t>
        </is>
      </c>
      <c r="V38" s="97" t="n"/>
      <c r="W38" s="98" t="inlineStr">
        <is>
          <t>M</t>
        </is>
      </c>
      <c r="X38" s="97" t="n"/>
      <c r="Y38" s="97" t="n"/>
      <c r="Z38" s="97" t="n"/>
      <c r="AA38" s="97" t="n"/>
      <c r="AB38" s="97" t="n"/>
      <c r="AC38" s="103" t="inlineStr">
        <is>
          <t>N</t>
        </is>
      </c>
      <c r="AD38" s="103" t="inlineStr">
        <is>
          <t>N</t>
        </is>
      </c>
      <c r="AE38" s="97" t="n"/>
      <c r="AF38" s="97" t="n"/>
      <c r="AG38" s="110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ROUND(B38*4.29,0)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104" t="inlineStr">
        <is>
          <t>T</t>
        </is>
      </c>
      <c r="E39" s="97" t="n"/>
      <c r="F39" s="97" t="n"/>
      <c r="G39" s="103" t="inlineStr">
        <is>
          <t>N</t>
        </is>
      </c>
      <c r="H39" s="97" t="n"/>
      <c r="I39" s="104" t="inlineStr">
        <is>
          <t>T</t>
        </is>
      </c>
      <c r="J39" s="97" t="n"/>
      <c r="K39" s="104" t="inlineStr">
        <is>
          <t>T</t>
        </is>
      </c>
      <c r="L39" s="97" t="n"/>
      <c r="M39" s="103" t="inlineStr">
        <is>
          <t>N</t>
        </is>
      </c>
      <c r="N39" s="97" t="n"/>
      <c r="O39" s="97" t="n"/>
      <c r="P39" s="104" t="inlineStr">
        <is>
          <t>T</t>
        </is>
      </c>
      <c r="Q39" s="97" t="n"/>
      <c r="R39" s="97" t="n"/>
      <c r="S39" s="97" t="n"/>
      <c r="T39" s="98" t="inlineStr">
        <is>
          <t>M</t>
        </is>
      </c>
      <c r="U39" s="103" t="inlineStr">
        <is>
          <t>N</t>
        </is>
      </c>
      <c r="V39" s="97" t="n"/>
      <c r="W39" s="104" t="inlineStr">
        <is>
          <t>T</t>
        </is>
      </c>
      <c r="X39" s="97" t="n"/>
      <c r="Y39" s="102" t="inlineStr">
        <is>
          <t>D</t>
        </is>
      </c>
      <c r="Z39" s="97" t="n"/>
      <c r="AA39" s="98" t="inlineStr">
        <is>
          <t>M</t>
        </is>
      </c>
      <c r="AB39" s="97" t="n"/>
      <c r="AC39" s="97" t="n"/>
      <c r="AD39" s="104" t="inlineStr">
        <is>
          <t>T</t>
        </is>
      </c>
      <c r="AE39" s="98" t="inlineStr">
        <is>
          <t>M</t>
        </is>
      </c>
      <c r="AF39" s="102" t="inlineStr">
        <is>
          <t>D</t>
        </is>
      </c>
      <c r="AG39" s="110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ROUND(B39*4.29,0)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114" t="inlineStr">
        <is>
          <t>LM</t>
        </is>
      </c>
      <c r="D40" s="114" t="inlineStr">
        <is>
          <t>LM</t>
        </is>
      </c>
      <c r="E40" s="114" t="inlineStr">
        <is>
          <t>LM</t>
        </is>
      </c>
      <c r="F40" s="114" t="inlineStr">
        <is>
          <t>LM</t>
        </is>
      </c>
      <c r="G40" s="114" t="inlineStr">
        <is>
          <t>LM</t>
        </is>
      </c>
      <c r="H40" s="114" t="inlineStr">
        <is>
          <t>LM</t>
        </is>
      </c>
      <c r="I40" s="114" t="inlineStr">
        <is>
          <t>LM</t>
        </is>
      </c>
      <c r="J40" s="114" t="inlineStr">
        <is>
          <t>LM</t>
        </is>
      </c>
      <c r="K40" s="114" t="inlineStr">
        <is>
          <t>LM</t>
        </is>
      </c>
      <c r="L40" s="114" t="inlineStr">
        <is>
          <t>LM</t>
        </is>
      </c>
      <c r="M40" s="114" t="inlineStr">
        <is>
          <t>LM</t>
        </is>
      </c>
      <c r="N40" s="114" t="inlineStr">
        <is>
          <t>LM</t>
        </is>
      </c>
      <c r="O40" s="114" t="inlineStr">
        <is>
          <t>LM</t>
        </is>
      </c>
      <c r="P40" s="114" t="inlineStr">
        <is>
          <t>LM</t>
        </is>
      </c>
      <c r="Q40" s="114" t="inlineStr">
        <is>
          <t>LM</t>
        </is>
      </c>
      <c r="R40" s="114" t="inlineStr">
        <is>
          <t>LM</t>
        </is>
      </c>
      <c r="S40" s="114" t="inlineStr">
        <is>
          <t>LM</t>
        </is>
      </c>
      <c r="T40" s="114" t="inlineStr">
        <is>
          <t>LM</t>
        </is>
      </c>
      <c r="U40" s="114" t="inlineStr">
        <is>
          <t>LM</t>
        </is>
      </c>
      <c r="V40" s="114" t="inlineStr">
        <is>
          <t>LM</t>
        </is>
      </c>
      <c r="W40" s="114" t="inlineStr">
        <is>
          <t>LM</t>
        </is>
      </c>
      <c r="X40" s="114" t="inlineStr">
        <is>
          <t>LM</t>
        </is>
      </c>
      <c r="Y40" s="114" t="inlineStr">
        <is>
          <t>LM</t>
        </is>
      </c>
      <c r="Z40" s="114" t="inlineStr">
        <is>
          <t>LM</t>
        </is>
      </c>
      <c r="AA40" s="114" t="inlineStr">
        <is>
          <t>LM</t>
        </is>
      </c>
      <c r="AB40" s="114" t="inlineStr">
        <is>
          <t>LM</t>
        </is>
      </c>
      <c r="AC40" s="114" t="inlineStr">
        <is>
          <t>LM</t>
        </is>
      </c>
      <c r="AD40" s="114" t="inlineStr">
        <is>
          <t>LM</t>
        </is>
      </c>
      <c r="AE40" s="97" t="n"/>
      <c r="AF40" s="97" t="n"/>
      <c r="AG40" s="110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ROUND(B40*4.29,0)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102" t="inlineStr">
        <is>
          <t>D</t>
        </is>
      </c>
      <c r="I41" s="102" t="inlineStr">
        <is>
          <t>D</t>
        </is>
      </c>
      <c r="J41" s="97" t="n"/>
      <c r="K41" s="97" t="n"/>
      <c r="L41" s="102" t="inlineStr">
        <is>
          <t>D</t>
        </is>
      </c>
      <c r="M41" s="97" t="n"/>
      <c r="N41" s="97" t="n"/>
      <c r="O41" s="97" t="n"/>
      <c r="P41" s="115" t="inlineStr">
        <is>
          <t>FE</t>
        </is>
      </c>
      <c r="Q41" s="115" t="inlineStr">
        <is>
          <t>FE</t>
        </is>
      </c>
      <c r="R41" s="115" t="inlineStr">
        <is>
          <t>FE</t>
        </is>
      </c>
      <c r="S41" s="115" t="inlineStr">
        <is>
          <t>FE</t>
        </is>
      </c>
      <c r="T41" s="115" t="inlineStr">
        <is>
          <t>FE</t>
        </is>
      </c>
      <c r="U41" s="115" t="inlineStr">
        <is>
          <t>FE</t>
        </is>
      </c>
      <c r="V41" s="115" t="inlineStr">
        <is>
          <t>FE</t>
        </is>
      </c>
      <c r="W41" s="115" t="inlineStr">
        <is>
          <t>FE</t>
        </is>
      </c>
      <c r="X41" s="115" t="inlineStr">
        <is>
          <t>FE</t>
        </is>
      </c>
      <c r="Y41" s="115" t="inlineStr">
        <is>
          <t>FE</t>
        </is>
      </c>
      <c r="Z41" s="115" t="inlineStr">
        <is>
          <t>FE</t>
        </is>
      </c>
      <c r="AA41" s="115" t="inlineStr">
        <is>
          <t>FE</t>
        </is>
      </c>
      <c r="AB41" s="115" t="inlineStr">
        <is>
          <t>FE</t>
        </is>
      </c>
      <c r="AC41" s="115" t="inlineStr">
        <is>
          <t>FE</t>
        </is>
      </c>
      <c r="AD41" s="115" t="inlineStr">
        <is>
          <t>FE</t>
        </is>
      </c>
      <c r="AE41" s="97" t="n"/>
      <c r="AF41" s="97" t="n"/>
      <c r="AG41" s="110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ROUND(B41*4.29,0)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8" t="inlineStr">
        <is>
          <t>M</t>
        </is>
      </c>
      <c r="D42" s="97" t="n"/>
      <c r="E42" s="97" t="n"/>
      <c r="F42" s="97" t="n"/>
      <c r="G42" s="104" t="inlineStr">
        <is>
          <t>T</t>
        </is>
      </c>
      <c r="H42" s="103" t="inlineStr">
        <is>
          <t>N</t>
        </is>
      </c>
      <c r="I42" s="97" t="n"/>
      <c r="J42" s="103" t="inlineStr">
        <is>
          <t>N</t>
        </is>
      </c>
      <c r="K42" s="97" t="n"/>
      <c r="L42" s="97" t="n"/>
      <c r="M42" s="103" t="inlineStr">
        <is>
          <t>N</t>
        </is>
      </c>
      <c r="N42" s="97" t="n"/>
      <c r="O42" s="97" t="n"/>
      <c r="P42" s="97" t="n"/>
      <c r="Q42" s="102" t="inlineStr">
        <is>
          <t>D</t>
        </is>
      </c>
      <c r="R42" s="97" t="n"/>
      <c r="S42" s="97" t="n"/>
      <c r="T42" s="97" t="n"/>
      <c r="U42" s="97" t="n"/>
      <c r="V42" s="102" t="inlineStr">
        <is>
          <t>D</t>
        </is>
      </c>
      <c r="W42" s="102" t="inlineStr">
        <is>
          <t>D</t>
        </is>
      </c>
      <c r="X42" s="97" t="n"/>
      <c r="Y42" s="103" t="inlineStr">
        <is>
          <t>N</t>
        </is>
      </c>
      <c r="Z42" s="97" t="n"/>
      <c r="AA42" s="97" t="n"/>
      <c r="AB42" s="97" t="n"/>
      <c r="AC42" s="97" t="n"/>
      <c r="AD42" s="97" t="n"/>
      <c r="AE42" s="102" t="inlineStr">
        <is>
          <t>D</t>
        </is>
      </c>
      <c r="AF42" s="97" t="n"/>
      <c r="AG42" s="110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ROUND(B42*4.29,0)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97" t="n"/>
      <c r="G43" s="103" t="inlineStr">
        <is>
          <t>N</t>
        </is>
      </c>
      <c r="H43" s="97" t="n"/>
      <c r="I43" s="103" t="inlineStr">
        <is>
          <t>N</t>
        </is>
      </c>
      <c r="J43" s="97" t="n"/>
      <c r="K43" s="97" t="n"/>
      <c r="L43" s="103" t="inlineStr">
        <is>
          <t>N</t>
        </is>
      </c>
      <c r="M43" s="97" t="n"/>
      <c r="N43" s="97" t="n"/>
      <c r="O43" s="97" t="n"/>
      <c r="P43" s="103" t="inlineStr">
        <is>
          <t>N</t>
        </is>
      </c>
      <c r="Q43" s="97" t="n"/>
      <c r="R43" s="97" t="n"/>
      <c r="S43" s="97" t="n"/>
      <c r="T43" s="97" t="n"/>
      <c r="U43" s="97" t="n"/>
      <c r="V43" s="103" t="inlineStr">
        <is>
          <t>N</t>
        </is>
      </c>
      <c r="W43" s="97" t="n"/>
      <c r="X43" s="103" t="inlineStr">
        <is>
          <t>N</t>
        </is>
      </c>
      <c r="Y43" s="97" t="n"/>
      <c r="Z43" s="103" t="inlineStr">
        <is>
          <t>N</t>
        </is>
      </c>
      <c r="AA43" s="97" t="n"/>
      <c r="AB43" s="97" t="n"/>
      <c r="AC43" s="97" t="n"/>
      <c r="AD43" s="103" t="inlineStr">
        <is>
          <t>N</t>
        </is>
      </c>
      <c r="AE43" s="97" t="n"/>
      <c r="AF43" s="97" t="n"/>
      <c r="AG43" s="110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ROUND(B43*4.29,0)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8" t="inlineStr">
        <is>
          <t>M</t>
        </is>
      </c>
      <c r="D44" s="97" t="n"/>
      <c r="E44" s="97" t="n"/>
      <c r="F44" s="104" t="inlineStr">
        <is>
          <t>T</t>
        </is>
      </c>
      <c r="G44" s="97" t="n"/>
      <c r="H44" s="102" t="inlineStr">
        <is>
          <t>D</t>
        </is>
      </c>
      <c r="I44" s="97" t="n"/>
      <c r="J44" s="102" t="inlineStr">
        <is>
          <t>D</t>
        </is>
      </c>
      <c r="K44" s="103" t="inlineStr">
        <is>
          <t>N</t>
        </is>
      </c>
      <c r="L44" s="97" t="n"/>
      <c r="M44" s="102" t="inlineStr">
        <is>
          <t>D</t>
        </is>
      </c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104" t="inlineStr">
        <is>
          <t>T</t>
        </is>
      </c>
      <c r="X44" s="98" t="inlineStr">
        <is>
          <t>M</t>
        </is>
      </c>
      <c r="Y44" s="97" t="n"/>
      <c r="Z44" s="97" t="n"/>
      <c r="AA44" s="102" t="inlineStr">
        <is>
          <t>D</t>
        </is>
      </c>
      <c r="AB44" s="97" t="n"/>
      <c r="AC44" s="102" t="inlineStr">
        <is>
          <t>D</t>
        </is>
      </c>
      <c r="AD44" s="102" t="inlineStr">
        <is>
          <t>D</t>
        </is>
      </c>
      <c r="AE44" s="97" t="n"/>
      <c r="AF44" s="97" t="n"/>
      <c r="AG44" s="110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ROUND(B44*4.29,0)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7" t="n"/>
      <c r="E45" s="98" t="inlineStr">
        <is>
          <t>M</t>
        </is>
      </c>
      <c r="F45" s="103" t="inlineStr">
        <is>
          <t>N</t>
        </is>
      </c>
      <c r="G45" s="97" t="n"/>
      <c r="H45" s="97" t="n"/>
      <c r="I45" s="97" t="n"/>
      <c r="J45" s="98" t="inlineStr">
        <is>
          <t>M</t>
        </is>
      </c>
      <c r="K45" s="97" t="n"/>
      <c r="L45" s="98" t="inlineStr">
        <is>
          <t>M</t>
        </is>
      </c>
      <c r="M45" s="97" t="n"/>
      <c r="N45" s="103" t="inlineStr">
        <is>
          <t>N</t>
        </is>
      </c>
      <c r="O45" s="97" t="n"/>
      <c r="P45" s="97" t="n"/>
      <c r="Q45" s="98" t="inlineStr">
        <is>
          <t>M</t>
        </is>
      </c>
      <c r="R45" s="97" t="n"/>
      <c r="S45" s="98" t="inlineStr">
        <is>
          <t>M</t>
        </is>
      </c>
      <c r="T45" s="97" t="n"/>
      <c r="U45" s="98" t="inlineStr">
        <is>
          <t>M</t>
        </is>
      </c>
      <c r="V45" s="97" t="n"/>
      <c r="W45" s="98" t="inlineStr">
        <is>
          <t>M</t>
        </is>
      </c>
      <c r="X45" s="98" t="inlineStr">
        <is>
          <t>M</t>
        </is>
      </c>
      <c r="Y45" s="97" t="n"/>
      <c r="Z45" s="98" t="inlineStr">
        <is>
          <t>M</t>
        </is>
      </c>
      <c r="AA45" s="97" t="n"/>
      <c r="AB45" s="98" t="inlineStr">
        <is>
          <t>M</t>
        </is>
      </c>
      <c r="AC45" s="97" t="n"/>
      <c r="AD45" s="97" t="n"/>
      <c r="AE45" s="98" t="inlineStr">
        <is>
          <t>M</t>
        </is>
      </c>
      <c r="AF45" s="97" t="n"/>
      <c r="AG45" s="110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ROUND(B45*4.29,0)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102" t="inlineStr">
        <is>
          <t>D</t>
        </is>
      </c>
      <c r="E46" s="97" t="n"/>
      <c r="F46" s="97" t="n"/>
      <c r="G46" s="97" t="n"/>
      <c r="H46" s="103" t="inlineStr">
        <is>
          <t>N</t>
        </is>
      </c>
      <c r="I46" s="97" t="n"/>
      <c r="J46" s="97" t="n"/>
      <c r="K46" s="102" t="inlineStr">
        <is>
          <t>D</t>
        </is>
      </c>
      <c r="L46" s="97" t="n"/>
      <c r="M46" s="103" t="inlineStr">
        <is>
          <t>N</t>
        </is>
      </c>
      <c r="N46" s="97" t="n"/>
      <c r="O46" s="97" t="n"/>
      <c r="P46" s="97" t="n"/>
      <c r="Q46" s="97" t="n"/>
      <c r="R46" s="102" t="inlineStr">
        <is>
          <t>D</t>
        </is>
      </c>
      <c r="S46" s="97" t="n"/>
      <c r="T46" s="97" t="n"/>
      <c r="U46" s="97" t="n"/>
      <c r="V46" s="103" t="inlineStr">
        <is>
          <t>N</t>
        </is>
      </c>
      <c r="W46" s="97" t="n"/>
      <c r="X46" s="97" t="n"/>
      <c r="Y46" s="104" t="inlineStr">
        <is>
          <t>T</t>
        </is>
      </c>
      <c r="Z46" s="97" t="n"/>
      <c r="AA46" s="103" t="inlineStr">
        <is>
          <t>N</t>
        </is>
      </c>
      <c r="AB46" s="97" t="n"/>
      <c r="AC46" s="97" t="n"/>
      <c r="AD46" s="97" t="n"/>
      <c r="AE46" s="97" t="n"/>
      <c r="AF46" s="102" t="inlineStr">
        <is>
          <t>D</t>
        </is>
      </c>
      <c r="AG46" s="110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ROUND(B46*4.29,0)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103" t="inlineStr">
        <is>
          <t>N</t>
        </is>
      </c>
      <c r="D47" s="97" t="n"/>
      <c r="E47" s="97" t="n"/>
      <c r="F47" s="97" t="n"/>
      <c r="G47" s="102" t="inlineStr">
        <is>
          <t>D</t>
        </is>
      </c>
      <c r="H47" s="97" t="n"/>
      <c r="I47" s="103" t="inlineStr">
        <is>
          <t>N</t>
        </is>
      </c>
      <c r="J47" s="97" t="n"/>
      <c r="K47" s="97" t="n"/>
      <c r="L47" s="102" t="inlineStr">
        <is>
          <t>D</t>
        </is>
      </c>
      <c r="M47" s="97" t="n"/>
      <c r="N47" s="97" t="n"/>
      <c r="O47" s="97" t="n"/>
      <c r="P47" s="97" t="n"/>
      <c r="Q47" s="103" t="inlineStr">
        <is>
          <t>N</t>
        </is>
      </c>
      <c r="R47" s="97" t="n"/>
      <c r="S47" s="97" t="n"/>
      <c r="T47" s="97" t="n"/>
      <c r="U47" s="102" t="inlineStr">
        <is>
          <t>D</t>
        </is>
      </c>
      <c r="V47" s="97" t="n"/>
      <c r="W47" s="103" t="inlineStr">
        <is>
          <t>N</t>
        </is>
      </c>
      <c r="X47" s="97" t="n"/>
      <c r="Y47" s="97" t="n"/>
      <c r="Z47" s="102" t="inlineStr">
        <is>
          <t>D</t>
        </is>
      </c>
      <c r="AA47" s="97" t="n"/>
      <c r="AB47" s="97" t="n"/>
      <c r="AC47" s="97" t="n"/>
      <c r="AD47" s="103" t="inlineStr">
        <is>
          <t>N</t>
        </is>
      </c>
      <c r="AE47" s="97" t="n"/>
      <c r="AF47" s="97" t="n"/>
      <c r="AG47" s="110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ROUND(B47*4.29,0)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115" t="inlineStr">
        <is>
          <t>FE</t>
        </is>
      </c>
      <c r="D48" s="115" t="inlineStr">
        <is>
          <t>FE</t>
        </is>
      </c>
      <c r="E48" s="115" t="inlineStr">
        <is>
          <t>FE</t>
        </is>
      </c>
      <c r="F48" s="115" t="inlineStr">
        <is>
          <t>FE</t>
        </is>
      </c>
      <c r="G48" s="115" t="inlineStr">
        <is>
          <t>FE</t>
        </is>
      </c>
      <c r="H48" s="115" t="inlineStr">
        <is>
          <t>FE</t>
        </is>
      </c>
      <c r="I48" s="115" t="inlineStr">
        <is>
          <t>FE</t>
        </is>
      </c>
      <c r="J48" s="115" t="inlineStr">
        <is>
          <t>FE</t>
        </is>
      </c>
      <c r="K48" s="115" t="inlineStr">
        <is>
          <t>FE</t>
        </is>
      </c>
      <c r="L48" s="115" t="inlineStr">
        <is>
          <t>FE</t>
        </is>
      </c>
      <c r="M48" s="115" t="inlineStr">
        <is>
          <t>FE</t>
        </is>
      </c>
      <c r="N48" s="115" t="inlineStr">
        <is>
          <t>FE</t>
        </is>
      </c>
      <c r="O48" s="115" t="inlineStr">
        <is>
          <t>FE</t>
        </is>
      </c>
      <c r="P48" s="115" t="inlineStr">
        <is>
          <t>FE</t>
        </is>
      </c>
      <c r="Q48" s="115" t="inlineStr">
        <is>
          <t>FE</t>
        </is>
      </c>
      <c r="R48" s="97" t="n"/>
      <c r="S48" s="98" t="inlineStr">
        <is>
          <t>M</t>
        </is>
      </c>
      <c r="T48" s="104" t="inlineStr">
        <is>
          <t>T</t>
        </is>
      </c>
      <c r="U48" s="98" t="inlineStr">
        <is>
          <t>M</t>
        </is>
      </c>
      <c r="V48" s="97" t="n"/>
      <c r="W48" s="97" t="n"/>
      <c r="X48" s="98" t="inlineStr">
        <is>
          <t>M</t>
        </is>
      </c>
      <c r="Y48" s="97" t="n"/>
      <c r="Z48" s="104" t="inlineStr">
        <is>
          <t>T</t>
        </is>
      </c>
      <c r="AA48" s="104" t="inlineStr">
        <is>
          <t>T</t>
        </is>
      </c>
      <c r="AB48" s="98" t="inlineStr">
        <is>
          <t>M</t>
        </is>
      </c>
      <c r="AC48" s="97" t="n"/>
      <c r="AD48" s="97" t="n"/>
      <c r="AE48" s="98" t="inlineStr">
        <is>
          <t>M</t>
        </is>
      </c>
      <c r="AF48" s="97" t="n"/>
      <c r="AG48" s="110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ROUND(B48*4.29,0)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102" t="inlineStr">
        <is>
          <t>D</t>
        </is>
      </c>
      <c r="E49" s="97" t="n"/>
      <c r="F49" s="98" t="inlineStr">
        <is>
          <t>M</t>
        </is>
      </c>
      <c r="G49" s="97" t="n"/>
      <c r="H49" s="97" t="n"/>
      <c r="I49" s="97" t="n"/>
      <c r="J49" s="97" t="n"/>
      <c r="K49" s="102" t="inlineStr">
        <is>
          <t>D</t>
        </is>
      </c>
      <c r="L49" s="97" t="n"/>
      <c r="M49" s="98" t="inlineStr">
        <is>
          <t>M</t>
        </is>
      </c>
      <c r="N49" s="102" t="inlineStr">
        <is>
          <t>D</t>
        </is>
      </c>
      <c r="O49" s="97" t="n"/>
      <c r="P49" s="97" t="n"/>
      <c r="Q49" s="97" t="n"/>
      <c r="R49" s="102" t="inlineStr">
        <is>
          <t>D</t>
        </is>
      </c>
      <c r="S49" s="97" t="n"/>
      <c r="T49" s="97" t="n"/>
      <c r="U49" s="102" t="inlineStr">
        <is>
          <t>D</t>
        </is>
      </c>
      <c r="V49" s="97" t="n"/>
      <c r="W49" s="97" t="n"/>
      <c r="X49" s="97" t="n"/>
      <c r="Y49" s="102" t="inlineStr">
        <is>
          <t>D</t>
        </is>
      </c>
      <c r="Z49" s="97" t="n"/>
      <c r="AA49" s="102" t="inlineStr">
        <is>
          <t>D</t>
        </is>
      </c>
      <c r="AB49" s="97" t="n"/>
      <c r="AC49" s="97" t="n"/>
      <c r="AD49" s="98" t="inlineStr">
        <is>
          <t>M</t>
        </is>
      </c>
      <c r="AE49" s="97" t="n"/>
      <c r="AF49" s="102" t="inlineStr">
        <is>
          <t>D</t>
        </is>
      </c>
      <c r="AG49" s="110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ROUND(B49*4.29,0)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103" t="inlineStr">
        <is>
          <t>N</t>
        </is>
      </c>
      <c r="D50" s="97" t="n"/>
      <c r="E50" s="97" t="n"/>
      <c r="F50" s="103" t="inlineStr">
        <is>
          <t>N</t>
        </is>
      </c>
      <c r="G50" s="97" t="n"/>
      <c r="H50" s="97" t="n"/>
      <c r="I50" s="97" t="n"/>
      <c r="J50" s="102" t="inlineStr">
        <is>
          <t>D</t>
        </is>
      </c>
      <c r="K50" s="97" t="n"/>
      <c r="L50" s="97" t="n"/>
      <c r="M50" s="97" t="n"/>
      <c r="N50" s="102" t="inlineStr">
        <is>
          <t>D</t>
        </is>
      </c>
      <c r="O50" s="97" t="n"/>
      <c r="P50" s="97" t="n"/>
      <c r="Q50" s="97" t="n"/>
      <c r="R50" s="97" t="n"/>
      <c r="S50" s="97" t="n"/>
      <c r="T50" s="102" t="inlineStr">
        <is>
          <t>D</t>
        </is>
      </c>
      <c r="U50" s="97" t="n"/>
      <c r="V50" s="103" t="inlineStr">
        <is>
          <t>N</t>
        </is>
      </c>
      <c r="W50" s="97" t="n"/>
      <c r="X50" s="102" t="inlineStr">
        <is>
          <t>D</t>
        </is>
      </c>
      <c r="Y50" s="97" t="n"/>
      <c r="Z50" s="97" t="n"/>
      <c r="AA50" s="103" t="inlineStr">
        <is>
          <t>N</t>
        </is>
      </c>
      <c r="AB50" s="97" t="n"/>
      <c r="AC50" s="97" t="n"/>
      <c r="AD50" s="97" t="n"/>
      <c r="AE50" s="102" t="inlineStr">
        <is>
          <t>D</t>
        </is>
      </c>
      <c r="AF50" s="97" t="n"/>
      <c r="AG50" s="110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ROUND(B50*4.29,0)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114" t="inlineStr">
        <is>
          <t>LM</t>
        </is>
      </c>
      <c r="D51" s="114" t="inlineStr">
        <is>
          <t>LM</t>
        </is>
      </c>
      <c r="E51" s="114" t="inlineStr">
        <is>
          <t>LM</t>
        </is>
      </c>
      <c r="F51" s="114" t="inlineStr">
        <is>
          <t>LM</t>
        </is>
      </c>
      <c r="G51" s="114" t="inlineStr">
        <is>
          <t>LM</t>
        </is>
      </c>
      <c r="H51" s="114" t="inlineStr">
        <is>
          <t>LM</t>
        </is>
      </c>
      <c r="I51" s="114" t="inlineStr">
        <is>
          <t>LM</t>
        </is>
      </c>
      <c r="J51" s="114" t="inlineStr">
        <is>
          <t>LM</t>
        </is>
      </c>
      <c r="K51" s="114" t="inlineStr">
        <is>
          <t>LM</t>
        </is>
      </c>
      <c r="L51" s="114" t="inlineStr">
        <is>
          <t>LM</t>
        </is>
      </c>
      <c r="M51" s="114" t="inlineStr">
        <is>
          <t>LM</t>
        </is>
      </c>
      <c r="N51" s="114" t="inlineStr">
        <is>
          <t>LM</t>
        </is>
      </c>
      <c r="O51" s="114" t="inlineStr">
        <is>
          <t>LM</t>
        </is>
      </c>
      <c r="P51" s="114" t="inlineStr">
        <is>
          <t>LM</t>
        </is>
      </c>
      <c r="Q51" s="114" t="inlineStr">
        <is>
          <t>LM</t>
        </is>
      </c>
      <c r="R51" s="114" t="inlineStr">
        <is>
          <t>LM</t>
        </is>
      </c>
      <c r="S51" s="114" t="inlineStr">
        <is>
          <t>LM</t>
        </is>
      </c>
      <c r="T51" s="114" t="inlineStr">
        <is>
          <t>LM</t>
        </is>
      </c>
      <c r="U51" s="114" t="inlineStr">
        <is>
          <t>LM</t>
        </is>
      </c>
      <c r="V51" s="114" t="inlineStr">
        <is>
          <t>LM</t>
        </is>
      </c>
      <c r="W51" s="114" t="inlineStr">
        <is>
          <t>LM</t>
        </is>
      </c>
      <c r="X51" s="114" t="inlineStr">
        <is>
          <t>LM</t>
        </is>
      </c>
      <c r="Y51" s="114" t="inlineStr">
        <is>
          <t>LM</t>
        </is>
      </c>
      <c r="Z51" s="114" t="inlineStr">
        <is>
          <t>LM</t>
        </is>
      </c>
      <c r="AA51" s="114" t="inlineStr">
        <is>
          <t>LM</t>
        </is>
      </c>
      <c r="AB51" s="114" t="inlineStr">
        <is>
          <t>LM</t>
        </is>
      </c>
      <c r="AC51" s="114" t="inlineStr">
        <is>
          <t>LM</t>
        </is>
      </c>
      <c r="AD51" s="114" t="inlineStr">
        <is>
          <t>LM</t>
        </is>
      </c>
      <c r="AE51" s="97" t="n"/>
      <c r="AF51" s="97" t="n"/>
      <c r="AG51" s="110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ROUND(B51*4.29,0)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97" t="n"/>
      <c r="F52" s="103" t="inlineStr">
        <is>
          <t>N</t>
        </is>
      </c>
      <c r="G52" s="104" t="inlineStr">
        <is>
          <t>T</t>
        </is>
      </c>
      <c r="H52" s="97" t="n"/>
      <c r="I52" s="103" t="inlineStr">
        <is>
          <t>N</t>
        </is>
      </c>
      <c r="J52" s="97" t="n"/>
      <c r="K52" s="97" t="n"/>
      <c r="L52" s="97" t="n"/>
      <c r="M52" s="97" t="n"/>
      <c r="N52" s="103" t="inlineStr">
        <is>
          <t>N</t>
        </is>
      </c>
      <c r="O52" s="97" t="n"/>
      <c r="P52" s="103" t="inlineStr">
        <is>
          <t>N</t>
        </is>
      </c>
      <c r="Q52" s="97" t="n"/>
      <c r="R52" s="97" t="n"/>
      <c r="S52" s="97" t="n"/>
      <c r="T52" s="97" t="n"/>
      <c r="U52" s="103" t="inlineStr">
        <is>
          <t>N</t>
        </is>
      </c>
      <c r="V52" s="97" t="n"/>
      <c r="W52" s="103" t="inlineStr">
        <is>
          <t>N</t>
        </is>
      </c>
      <c r="X52" s="97" t="n"/>
      <c r="Y52" s="97" t="n"/>
      <c r="Z52" s="97" t="n"/>
      <c r="AA52" s="103" t="inlineStr">
        <is>
          <t>N</t>
        </is>
      </c>
      <c r="AB52" s="97" t="n"/>
      <c r="AC52" s="97" t="n"/>
      <c r="AD52" s="103" t="inlineStr">
        <is>
          <t>N</t>
        </is>
      </c>
      <c r="AE52" s="97" t="n"/>
      <c r="AF52" s="97" t="n"/>
      <c r="AG52" s="110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ROUND(B52*4.29,0)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103" t="inlineStr">
        <is>
          <t>N</t>
        </is>
      </c>
      <c r="D53" s="103" t="inlineStr">
        <is>
          <t>N</t>
        </is>
      </c>
      <c r="E53" s="97" t="n"/>
      <c r="F53" s="97" t="n"/>
      <c r="G53" s="97" t="n"/>
      <c r="H53" s="97" t="n"/>
      <c r="I53" s="97" t="n"/>
      <c r="J53" s="103" t="inlineStr">
        <is>
          <t>N</t>
        </is>
      </c>
      <c r="K53" s="97" t="n"/>
      <c r="L53" s="97" t="n"/>
      <c r="M53" s="103" t="inlineStr">
        <is>
          <t>N</t>
        </is>
      </c>
      <c r="N53" s="97" t="n"/>
      <c r="O53" s="102" t="inlineStr">
        <is>
          <t>D</t>
        </is>
      </c>
      <c r="P53" s="102" t="inlineStr">
        <is>
          <t>D</t>
        </is>
      </c>
      <c r="Q53" s="102" t="inlineStr">
        <is>
          <t>D</t>
        </is>
      </c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103" t="inlineStr">
        <is>
          <t>N</t>
        </is>
      </c>
      <c r="AB53" s="97" t="n"/>
      <c r="AC53" s="102" t="inlineStr">
        <is>
          <t>D</t>
        </is>
      </c>
      <c r="AD53" s="103" t="inlineStr">
        <is>
          <t>N</t>
        </is>
      </c>
      <c r="AE53" s="103" t="inlineStr">
        <is>
          <t>N</t>
        </is>
      </c>
      <c r="AF53" s="97" t="n"/>
      <c r="AG53" s="110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ROUND(B53*4.29,0)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103" t="inlineStr">
        <is>
          <t>N</t>
        </is>
      </c>
      <c r="F54" s="97" t="n"/>
      <c r="G54" s="103" t="inlineStr">
        <is>
          <t>N</t>
        </is>
      </c>
      <c r="H54" s="97" t="n"/>
      <c r="I54" s="97" t="n"/>
      <c r="J54" s="97" t="n"/>
      <c r="K54" s="97" t="n"/>
      <c r="L54" s="103" t="inlineStr">
        <is>
          <t>N</t>
        </is>
      </c>
      <c r="M54" s="97" t="n"/>
      <c r="N54" s="103" t="inlineStr">
        <is>
          <t>N</t>
        </is>
      </c>
      <c r="O54" s="97" t="n"/>
      <c r="P54" s="97" t="n"/>
      <c r="Q54" s="97" t="n"/>
      <c r="R54" s="97" t="n"/>
      <c r="S54" s="103" t="inlineStr">
        <is>
          <t>N</t>
        </is>
      </c>
      <c r="T54" s="97" t="n"/>
      <c r="U54" s="103" t="inlineStr">
        <is>
          <t>N</t>
        </is>
      </c>
      <c r="V54" s="97" t="n"/>
      <c r="W54" s="97" t="n"/>
      <c r="X54" s="97" t="n"/>
      <c r="Y54" s="97" t="n"/>
      <c r="Z54" s="103" t="inlineStr">
        <is>
          <t>N</t>
        </is>
      </c>
      <c r="AA54" s="97" t="n"/>
      <c r="AB54" s="103" t="inlineStr">
        <is>
          <t>N</t>
        </is>
      </c>
      <c r="AC54" s="97" t="n"/>
      <c r="AD54" s="97" t="n"/>
      <c r="AE54" s="97" t="n"/>
      <c r="AF54" s="97" t="n"/>
      <c r="AG54" s="110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ROUND(B54*4.29,0)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8" t="inlineStr">
        <is>
          <t>M</t>
        </is>
      </c>
      <c r="E55" s="98" t="inlineStr">
        <is>
          <t>M</t>
        </is>
      </c>
      <c r="F55" s="98" t="inlineStr">
        <is>
          <t>M</t>
        </is>
      </c>
      <c r="G55" s="97" t="n"/>
      <c r="H55" s="98" t="inlineStr">
        <is>
          <t>M</t>
        </is>
      </c>
      <c r="I55" s="98" t="inlineStr">
        <is>
          <t>M</t>
        </is>
      </c>
      <c r="J55" s="97" t="n"/>
      <c r="K55" s="97" t="n"/>
      <c r="L55" s="98" t="inlineStr">
        <is>
          <t>M</t>
        </is>
      </c>
      <c r="M55" s="98" t="inlineStr">
        <is>
          <t>M</t>
        </is>
      </c>
      <c r="N55" s="98" t="inlineStr">
        <is>
          <t>M</t>
        </is>
      </c>
      <c r="O55" s="97" t="n"/>
      <c r="P55" s="98" t="inlineStr">
        <is>
          <t>M</t>
        </is>
      </c>
      <c r="Q55" s="97" t="n"/>
      <c r="R55" s="97" t="n"/>
      <c r="S55" s="98" t="inlineStr">
        <is>
          <t>M</t>
        </is>
      </c>
      <c r="T55" s="97" t="n"/>
      <c r="U55" s="98" t="inlineStr">
        <is>
          <t>M</t>
        </is>
      </c>
      <c r="V55" s="98" t="inlineStr">
        <is>
          <t>M</t>
        </is>
      </c>
      <c r="W55" s="98" t="inlineStr">
        <is>
          <t>M</t>
        </is>
      </c>
      <c r="X55" s="97" t="n"/>
      <c r="Y55" s="98" t="inlineStr">
        <is>
          <t>M</t>
        </is>
      </c>
      <c r="Z55" s="98" t="inlineStr">
        <is>
          <t>M</t>
        </is>
      </c>
      <c r="AA55" s="98" t="inlineStr">
        <is>
          <t>M</t>
        </is>
      </c>
      <c r="AB55" s="97" t="n"/>
      <c r="AC55" s="97" t="n"/>
      <c r="AD55" s="98" t="inlineStr">
        <is>
          <t>M</t>
        </is>
      </c>
      <c r="AE55" s="98" t="inlineStr">
        <is>
          <t>M</t>
        </is>
      </c>
      <c r="AF55" s="98" t="inlineStr">
        <is>
          <t>M</t>
        </is>
      </c>
      <c r="AG55" s="110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ROUND(B55*4.29,0)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102" t="inlineStr">
        <is>
          <t>D</t>
        </is>
      </c>
      <c r="F56" s="97" t="n"/>
      <c r="G56" s="97" t="n"/>
      <c r="H56" s="102" t="inlineStr">
        <is>
          <t>D</t>
        </is>
      </c>
      <c r="I56" s="102" t="inlineStr">
        <is>
          <t>D</t>
        </is>
      </c>
      <c r="J56" s="97" t="n"/>
      <c r="K56" s="97" t="n"/>
      <c r="L56" s="102" t="inlineStr">
        <is>
          <t>D</t>
        </is>
      </c>
      <c r="M56" s="97" t="n"/>
      <c r="N56" s="97" t="n"/>
      <c r="O56" s="97" t="n"/>
      <c r="P56" s="97" t="n"/>
      <c r="Q56" s="97" t="n"/>
      <c r="R56" s="98" t="inlineStr">
        <is>
          <t>M</t>
        </is>
      </c>
      <c r="S56" s="104" t="inlineStr">
        <is>
          <t>T</t>
        </is>
      </c>
      <c r="T56" s="102" t="inlineStr">
        <is>
          <t>D</t>
        </is>
      </c>
      <c r="U56" s="97" t="n"/>
      <c r="V56" s="97" t="n"/>
      <c r="W56" s="115" t="inlineStr">
        <is>
          <t>FE</t>
        </is>
      </c>
      <c r="X56" s="115" t="inlineStr">
        <is>
          <t>FE</t>
        </is>
      </c>
      <c r="Y56" s="115" t="inlineStr">
        <is>
          <t>FE</t>
        </is>
      </c>
      <c r="Z56" s="115" t="inlineStr">
        <is>
          <t>FE</t>
        </is>
      </c>
      <c r="AA56" s="115" t="inlineStr">
        <is>
          <t>FE</t>
        </is>
      </c>
      <c r="AB56" s="115" t="inlineStr">
        <is>
          <t>FE</t>
        </is>
      </c>
      <c r="AC56" s="115" t="inlineStr">
        <is>
          <t>FE</t>
        </is>
      </c>
      <c r="AD56" s="115" t="inlineStr">
        <is>
          <t>FE</t>
        </is>
      </c>
      <c r="AE56" s="115" t="inlineStr">
        <is>
          <t>FE</t>
        </is>
      </c>
      <c r="AF56" s="115" t="inlineStr">
        <is>
          <t>FE</t>
        </is>
      </c>
      <c r="AG56" s="110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ROUND(B56*4.29,0)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97" t="n"/>
      <c r="F57" s="97" t="n"/>
      <c r="G57" s="102" t="inlineStr">
        <is>
          <t>D</t>
        </is>
      </c>
      <c r="H57" s="97" t="n"/>
      <c r="I57" s="103" t="inlineStr">
        <is>
          <t>N</t>
        </is>
      </c>
      <c r="J57" s="97" t="n"/>
      <c r="K57" s="103" t="inlineStr">
        <is>
          <t>N</t>
        </is>
      </c>
      <c r="L57" s="97" t="n"/>
      <c r="M57" s="97" t="n"/>
      <c r="N57" s="97" t="n"/>
      <c r="O57" s="97" t="n"/>
      <c r="P57" s="97" t="n"/>
      <c r="Q57" s="97" t="n"/>
      <c r="R57" s="103" t="inlineStr">
        <is>
          <t>N</t>
        </is>
      </c>
      <c r="S57" s="97" t="n"/>
      <c r="T57" s="97" t="n"/>
      <c r="U57" s="102" t="inlineStr">
        <is>
          <t>D</t>
        </is>
      </c>
      <c r="V57" s="97" t="n"/>
      <c r="W57" s="103" t="inlineStr">
        <is>
          <t>N</t>
        </is>
      </c>
      <c r="X57" s="97" t="n"/>
      <c r="Y57" s="103" t="inlineStr">
        <is>
          <t>N</t>
        </is>
      </c>
      <c r="Z57" s="97" t="n"/>
      <c r="AA57" s="97" t="n"/>
      <c r="AB57" s="97" t="n"/>
      <c r="AC57" s="97" t="n"/>
      <c r="AD57" s="97" t="n"/>
      <c r="AE57" s="97" t="n"/>
      <c r="AF57" s="103" t="inlineStr">
        <is>
          <t>N</t>
        </is>
      </c>
      <c r="AG57" s="110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ROUND(B57*4.29,0)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102" t="inlineStr">
        <is>
          <t>D</t>
        </is>
      </c>
      <c r="D58" s="97" t="n"/>
      <c r="E58" s="97" t="n"/>
      <c r="F58" s="102" t="inlineStr">
        <is>
          <t>D</t>
        </is>
      </c>
      <c r="G58" s="97" t="n"/>
      <c r="H58" s="97" t="n"/>
      <c r="I58" s="97" t="n"/>
      <c r="J58" s="97" t="n"/>
      <c r="K58" s="97" t="n"/>
      <c r="L58" s="103" t="inlineStr">
        <is>
          <t>N</t>
        </is>
      </c>
      <c r="M58" s="97" t="n"/>
      <c r="N58" s="102" t="inlineStr">
        <is>
          <t>D</t>
        </is>
      </c>
      <c r="O58" s="97" t="n"/>
      <c r="P58" s="102" t="inlineStr">
        <is>
          <t>D</t>
        </is>
      </c>
      <c r="Q58" s="97" t="n"/>
      <c r="R58" s="102" t="inlineStr">
        <is>
          <t>D</t>
        </is>
      </c>
      <c r="S58" s="97" t="n"/>
      <c r="T58" s="97" t="n"/>
      <c r="U58" s="97" t="n"/>
      <c r="V58" s="97" t="n"/>
      <c r="W58" s="97" t="n"/>
      <c r="X58" s="97" t="n"/>
      <c r="Y58" s="103" t="inlineStr">
        <is>
          <t>N</t>
        </is>
      </c>
      <c r="Z58" s="97" t="n"/>
      <c r="AA58" s="97" t="n"/>
      <c r="AB58" s="102" t="inlineStr">
        <is>
          <t>D</t>
        </is>
      </c>
      <c r="AC58" s="97" t="n"/>
      <c r="AD58" s="102" t="inlineStr">
        <is>
          <t>D</t>
        </is>
      </c>
      <c r="AE58" s="97" t="n"/>
      <c r="AF58" s="103" t="inlineStr">
        <is>
          <t>N</t>
        </is>
      </c>
      <c r="AG58" s="110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ROUND(B58*4.29,0)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103" t="inlineStr">
        <is>
          <t>N</t>
        </is>
      </c>
      <c r="E59" s="97" t="n"/>
      <c r="F59" s="97" t="n"/>
      <c r="G59" s="97" t="n"/>
      <c r="H59" s="104" t="inlineStr">
        <is>
          <t>T</t>
        </is>
      </c>
      <c r="I59" s="97" t="n"/>
      <c r="J59" s="97" t="n"/>
      <c r="K59" s="103" t="inlineStr">
        <is>
          <t>N</t>
        </is>
      </c>
      <c r="L59" s="97" t="n"/>
      <c r="M59" s="97" t="n"/>
      <c r="N59" s="97" t="n"/>
      <c r="O59" s="103" t="inlineStr">
        <is>
          <t>N</t>
        </is>
      </c>
      <c r="P59" s="97" t="n"/>
      <c r="Q59" s="97" t="n"/>
      <c r="R59" s="103" t="inlineStr">
        <is>
          <t>N</t>
        </is>
      </c>
      <c r="S59" s="97" t="n"/>
      <c r="T59" s="103" t="inlineStr">
        <is>
          <t>N</t>
        </is>
      </c>
      <c r="U59" s="97" t="n"/>
      <c r="V59" s="104" t="inlineStr">
        <is>
          <t>T</t>
        </is>
      </c>
      <c r="W59" s="97" t="n"/>
      <c r="X59" s="103" t="inlineStr">
        <is>
          <t>N</t>
        </is>
      </c>
      <c r="Y59" s="103" t="inlineStr">
        <is>
          <t>N</t>
        </is>
      </c>
      <c r="Z59" s="97" t="n"/>
      <c r="AA59" s="103" t="inlineStr">
        <is>
          <t>N</t>
        </is>
      </c>
      <c r="AB59" s="97" t="n"/>
      <c r="AC59" s="97" t="n"/>
      <c r="AD59" s="97" t="n"/>
      <c r="AE59" s="97" t="n"/>
      <c r="AF59" s="103" t="inlineStr">
        <is>
          <t>N</t>
        </is>
      </c>
      <c r="AG59" s="110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ROUND(B59*4.29,0)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103" t="inlineStr">
        <is>
          <t>N</t>
        </is>
      </c>
      <c r="E60" s="97" t="n"/>
      <c r="F60" s="103" t="inlineStr">
        <is>
          <t>N</t>
        </is>
      </c>
      <c r="G60" s="97" t="n"/>
      <c r="H60" s="97" t="n"/>
      <c r="I60" s="97" t="n"/>
      <c r="J60" s="97" t="n"/>
      <c r="K60" s="103" t="inlineStr">
        <is>
          <t>N</t>
        </is>
      </c>
      <c r="L60" s="97" t="n"/>
      <c r="M60" s="97" t="n"/>
      <c r="N60" s="97" t="n"/>
      <c r="O60" s="102" t="inlineStr">
        <is>
          <t>D</t>
        </is>
      </c>
      <c r="P60" s="97" t="n"/>
      <c r="Q60" s="97" t="n"/>
      <c r="R60" s="103" t="inlineStr">
        <is>
          <t>N</t>
        </is>
      </c>
      <c r="S60" s="97" t="n"/>
      <c r="T60" s="103" t="inlineStr">
        <is>
          <t>N</t>
        </is>
      </c>
      <c r="U60" s="97" t="n"/>
      <c r="V60" s="97" t="n"/>
      <c r="W60" s="97" t="n"/>
      <c r="X60" s="97" t="n"/>
      <c r="Y60" s="97" t="n"/>
      <c r="Z60" s="97" t="n"/>
      <c r="AA60" s="103" t="inlineStr">
        <is>
          <t>N</t>
        </is>
      </c>
      <c r="AB60" s="97" t="n"/>
      <c r="AC60" s="103" t="inlineStr">
        <is>
          <t>N</t>
        </is>
      </c>
      <c r="AD60" s="97" t="n"/>
      <c r="AE60" s="97" t="n"/>
      <c r="AF60" s="103" t="inlineStr">
        <is>
          <t>N</t>
        </is>
      </c>
      <c r="AG60" s="110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ROUND(B60*4.29,0)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97" t="n"/>
      <c r="G61" s="97" t="n"/>
      <c r="H61" s="103" t="inlineStr">
        <is>
          <t>N</t>
        </is>
      </c>
      <c r="I61" s="97" t="n"/>
      <c r="J61" s="97" t="n"/>
      <c r="K61" s="97" t="n"/>
      <c r="L61" s="102" t="inlineStr">
        <is>
          <t>D</t>
        </is>
      </c>
      <c r="M61" s="103" t="inlineStr">
        <is>
          <t>N</t>
        </is>
      </c>
      <c r="N61" s="97" t="n"/>
      <c r="O61" s="97" t="n"/>
      <c r="P61" s="102" t="inlineStr">
        <is>
          <t>D</t>
        </is>
      </c>
      <c r="Q61" s="97" t="n"/>
      <c r="R61" s="97" t="n"/>
      <c r="S61" s="102" t="inlineStr">
        <is>
          <t>D</t>
        </is>
      </c>
      <c r="T61" s="97" t="n"/>
      <c r="U61" s="97" t="n"/>
      <c r="V61" s="97" t="n"/>
      <c r="W61" s="102" t="inlineStr">
        <is>
          <t>D</t>
        </is>
      </c>
      <c r="X61" s="97" t="n"/>
      <c r="Y61" s="97" t="n"/>
      <c r="Z61" s="97" t="n"/>
      <c r="AA61" s="97" t="n"/>
      <c r="AB61" s="97" t="n"/>
      <c r="AC61" s="102" t="inlineStr">
        <is>
          <t>D</t>
        </is>
      </c>
      <c r="AD61" s="102" t="inlineStr">
        <is>
          <t>D</t>
        </is>
      </c>
      <c r="AE61" s="97" t="n"/>
      <c r="AF61" s="103" t="inlineStr">
        <is>
          <t>N</t>
        </is>
      </c>
      <c r="AG61" s="110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ROUND(B61*4.29,0)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115" t="inlineStr">
        <is>
          <t>FE</t>
        </is>
      </c>
      <c r="D62" s="115" t="inlineStr">
        <is>
          <t>FE</t>
        </is>
      </c>
      <c r="E62" s="115" t="inlineStr">
        <is>
          <t>FE</t>
        </is>
      </c>
      <c r="F62" s="115" t="inlineStr">
        <is>
          <t>FE</t>
        </is>
      </c>
      <c r="G62" s="115" t="inlineStr">
        <is>
          <t>FE</t>
        </is>
      </c>
      <c r="H62" s="115" t="inlineStr">
        <is>
          <t>FE</t>
        </is>
      </c>
      <c r="I62" s="115" t="inlineStr">
        <is>
          <t>FE</t>
        </is>
      </c>
      <c r="J62" s="115" t="inlineStr">
        <is>
          <t>FE</t>
        </is>
      </c>
      <c r="K62" s="115" t="inlineStr">
        <is>
          <t>FE</t>
        </is>
      </c>
      <c r="L62" s="115" t="inlineStr">
        <is>
          <t>FE</t>
        </is>
      </c>
      <c r="M62" s="115" t="inlineStr">
        <is>
          <t>FE</t>
        </is>
      </c>
      <c r="N62" s="115" t="inlineStr">
        <is>
          <t>FE</t>
        </is>
      </c>
      <c r="O62" s="115" t="inlineStr">
        <is>
          <t>FE</t>
        </is>
      </c>
      <c r="P62" s="115" t="inlineStr">
        <is>
          <t>FE</t>
        </is>
      </c>
      <c r="Q62" s="103" t="inlineStr">
        <is>
          <t>N</t>
        </is>
      </c>
      <c r="R62" s="97" t="n"/>
      <c r="S62" s="97" t="n"/>
      <c r="T62" s="97" t="n"/>
      <c r="U62" s="102" t="inlineStr">
        <is>
          <t>D</t>
        </is>
      </c>
      <c r="V62" s="97" t="n"/>
      <c r="W62" s="97" t="n"/>
      <c r="X62" s="103" t="inlineStr">
        <is>
          <t>N</t>
        </is>
      </c>
      <c r="Y62" s="97" t="n"/>
      <c r="Z62" s="102" t="inlineStr">
        <is>
          <t>D</t>
        </is>
      </c>
      <c r="AA62" s="97" t="n"/>
      <c r="AB62" s="97" t="n"/>
      <c r="AC62" s="97" t="n"/>
      <c r="AD62" s="97" t="n"/>
      <c r="AE62" s="103" t="inlineStr">
        <is>
          <t>N</t>
        </is>
      </c>
      <c r="AF62" s="97" t="n"/>
      <c r="AG62" s="110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ROUND(B62*4.29,0)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8" t="inlineStr">
        <is>
          <t>M</t>
        </is>
      </c>
      <c r="E63" s="102" t="inlineStr">
        <is>
          <t>D</t>
        </is>
      </c>
      <c r="F63" s="97" t="n"/>
      <c r="G63" s="97" t="n"/>
      <c r="H63" s="97" t="n"/>
      <c r="I63" s="115" t="inlineStr">
        <is>
          <t>FE</t>
        </is>
      </c>
      <c r="J63" s="115" t="inlineStr">
        <is>
          <t>FE</t>
        </is>
      </c>
      <c r="K63" s="115" t="inlineStr">
        <is>
          <t>FE</t>
        </is>
      </c>
      <c r="L63" s="115" t="inlineStr">
        <is>
          <t>FE</t>
        </is>
      </c>
      <c r="M63" s="115" t="inlineStr">
        <is>
          <t>FE</t>
        </is>
      </c>
      <c r="N63" s="115" t="inlineStr">
        <is>
          <t>FE</t>
        </is>
      </c>
      <c r="O63" s="115" t="inlineStr">
        <is>
          <t>FE</t>
        </is>
      </c>
      <c r="P63" s="115" t="inlineStr">
        <is>
          <t>FE</t>
        </is>
      </c>
      <c r="Q63" s="115" t="inlineStr">
        <is>
          <t>FE</t>
        </is>
      </c>
      <c r="R63" s="115" t="inlineStr">
        <is>
          <t>FE</t>
        </is>
      </c>
      <c r="S63" s="115" t="inlineStr">
        <is>
          <t>FE</t>
        </is>
      </c>
      <c r="T63" s="115" t="inlineStr">
        <is>
          <t>FE</t>
        </is>
      </c>
      <c r="U63" s="115" t="inlineStr">
        <is>
          <t>FE</t>
        </is>
      </c>
      <c r="V63" s="115" t="inlineStr">
        <is>
          <t>FE</t>
        </is>
      </c>
      <c r="W63" s="115" t="inlineStr">
        <is>
          <t>FE</t>
        </is>
      </c>
      <c r="X63" s="97" t="n"/>
      <c r="Y63" s="97" t="n"/>
      <c r="Z63" s="97" t="n"/>
      <c r="AA63" s="97" t="n"/>
      <c r="AB63" s="104" t="inlineStr">
        <is>
          <t>T</t>
        </is>
      </c>
      <c r="AC63" s="102" t="inlineStr">
        <is>
          <t>D</t>
        </is>
      </c>
      <c r="AD63" s="102" t="inlineStr">
        <is>
          <t>D</t>
        </is>
      </c>
      <c r="AE63" s="97" t="n"/>
      <c r="AF63" s="97" t="n"/>
      <c r="AG63" s="110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ROUND(B63*4.29,0)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104" t="inlineStr">
        <is>
          <t>T</t>
        </is>
      </c>
      <c r="D64" s="104" t="inlineStr">
        <is>
          <t>T</t>
        </is>
      </c>
      <c r="E64" s="97" t="n"/>
      <c r="F64" s="97" t="n"/>
      <c r="G64" s="97" t="n"/>
      <c r="H64" s="97" t="n"/>
      <c r="I64" s="103" t="inlineStr">
        <is>
          <t>N</t>
        </is>
      </c>
      <c r="J64" s="97" t="n"/>
      <c r="K64" s="97" t="n"/>
      <c r="L64" s="97" t="n"/>
      <c r="M64" s="97" t="n"/>
      <c r="N64" s="103" t="inlineStr">
        <is>
          <t>N</t>
        </is>
      </c>
      <c r="O64" s="97" t="n"/>
      <c r="P64" s="104" t="inlineStr">
        <is>
          <t>T</t>
        </is>
      </c>
      <c r="Q64" s="103" t="inlineStr">
        <is>
          <t>N</t>
        </is>
      </c>
      <c r="R64" s="104" t="inlineStr">
        <is>
          <t>T</t>
        </is>
      </c>
      <c r="S64" s="97" t="n"/>
      <c r="T64" s="97" t="n"/>
      <c r="U64" s="97" t="n"/>
      <c r="V64" s="97" t="n"/>
      <c r="W64" s="97" t="n"/>
      <c r="X64" s="97" t="n"/>
      <c r="Y64" s="97" t="n"/>
      <c r="Z64" s="104" t="inlineStr">
        <is>
          <t>T</t>
        </is>
      </c>
      <c r="AA64" s="104" t="inlineStr">
        <is>
          <t>T</t>
        </is>
      </c>
      <c r="AB64" s="103" t="inlineStr">
        <is>
          <t>N</t>
        </is>
      </c>
      <c r="AC64" s="97" t="n"/>
      <c r="AD64" s="104" t="inlineStr">
        <is>
          <t>T</t>
        </is>
      </c>
      <c r="AE64" s="97" t="n"/>
      <c r="AF64" s="104" t="inlineStr">
        <is>
          <t>T</t>
        </is>
      </c>
      <c r="AG64" s="110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ROUND(B64*4.29,0)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102" t="inlineStr">
        <is>
          <t>D</t>
        </is>
      </c>
      <c r="G65" s="102" t="inlineStr">
        <is>
          <t>D</t>
        </is>
      </c>
      <c r="H65" s="97" t="n"/>
      <c r="I65" s="98" t="inlineStr">
        <is>
          <t>M</t>
        </is>
      </c>
      <c r="J65" s="97" t="n"/>
      <c r="K65" s="97" t="n"/>
      <c r="L65" s="98" t="inlineStr">
        <is>
          <t>M</t>
        </is>
      </c>
      <c r="M65" s="102" t="inlineStr">
        <is>
          <t>D</t>
        </is>
      </c>
      <c r="N65" s="97" t="n"/>
      <c r="O65" s="97" t="n"/>
      <c r="P65" s="97" t="n"/>
      <c r="Q65" s="97" t="n"/>
      <c r="R65" s="97" t="n"/>
      <c r="S65" s="97" t="n"/>
      <c r="T65" s="103" t="inlineStr">
        <is>
          <t>N</t>
        </is>
      </c>
      <c r="U65" s="97" t="n"/>
      <c r="V65" s="102" t="inlineStr">
        <is>
          <t>D</t>
        </is>
      </c>
      <c r="W65" s="97" t="n"/>
      <c r="X65" s="97" t="n"/>
      <c r="Y65" s="102" t="inlineStr">
        <is>
          <t>D</t>
        </is>
      </c>
      <c r="Z65" s="97" t="n"/>
      <c r="AA65" s="102" t="inlineStr">
        <is>
          <t>D</t>
        </is>
      </c>
      <c r="AB65" s="97" t="n"/>
      <c r="AC65" s="97" t="n"/>
      <c r="AD65" s="97" t="n"/>
      <c r="AE65" s="97" t="n"/>
      <c r="AF65" s="102" t="inlineStr">
        <is>
          <t>D</t>
        </is>
      </c>
      <c r="AG65" s="110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ROUND(B65*4.29,0)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103" t="inlineStr">
        <is>
          <t>N</t>
        </is>
      </c>
      <c r="F66" s="97" t="n"/>
      <c r="G66" s="97" t="n"/>
      <c r="H66" s="97" t="n"/>
      <c r="I66" s="97" t="n"/>
      <c r="J66" s="97" t="n"/>
      <c r="K66" s="97" t="n"/>
      <c r="L66" s="103" t="inlineStr">
        <is>
          <t>N</t>
        </is>
      </c>
      <c r="M66" s="97" t="n"/>
      <c r="N66" s="103" t="inlineStr">
        <is>
          <t>N</t>
        </is>
      </c>
      <c r="O66" s="97" t="n"/>
      <c r="P66" s="103" t="inlineStr">
        <is>
          <t>N</t>
        </is>
      </c>
      <c r="Q66" s="97" t="n"/>
      <c r="R66" s="97" t="n"/>
      <c r="S66" s="104" t="inlineStr">
        <is>
          <t>T</t>
        </is>
      </c>
      <c r="T66" s="104" t="inlineStr">
        <is>
          <t>T</t>
        </is>
      </c>
      <c r="U66" s="97" t="n"/>
      <c r="V66" s="97" t="n"/>
      <c r="W66" s="97" t="n"/>
      <c r="X66" s="97" t="n"/>
      <c r="Y66" s="97" t="n"/>
      <c r="Z66" s="97" t="n"/>
      <c r="AA66" s="103" t="inlineStr">
        <is>
          <t>N</t>
        </is>
      </c>
      <c r="AB66" s="97" t="n"/>
      <c r="AC66" s="102" t="inlineStr">
        <is>
          <t>D</t>
        </is>
      </c>
      <c r="AD66" s="103" t="inlineStr">
        <is>
          <t>N</t>
        </is>
      </c>
      <c r="AE66" s="97" t="n"/>
      <c r="AF66" s="97" t="n"/>
      <c r="AG66" s="110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ROUND(B66*4.29,0)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8" t="inlineStr">
        <is>
          <t>M</t>
        </is>
      </c>
      <c r="E67" s="98" t="inlineStr">
        <is>
          <t>M</t>
        </is>
      </c>
      <c r="F67" s="97" t="n"/>
      <c r="G67" s="98" t="inlineStr">
        <is>
          <t>M</t>
        </is>
      </c>
      <c r="H67" s="97" t="n"/>
      <c r="I67" s="97" t="n"/>
      <c r="J67" s="98" t="inlineStr">
        <is>
          <t>M</t>
        </is>
      </c>
      <c r="K67" s="98" t="inlineStr">
        <is>
          <t>M</t>
        </is>
      </c>
      <c r="L67" s="97" t="n"/>
      <c r="M67" s="97" t="n"/>
      <c r="N67" s="103" t="inlineStr">
        <is>
          <t>N</t>
        </is>
      </c>
      <c r="O67" s="97" t="n"/>
      <c r="P67" s="98" t="inlineStr">
        <is>
          <t>M</t>
        </is>
      </c>
      <c r="Q67" s="97" t="n"/>
      <c r="R67" s="98" t="inlineStr">
        <is>
          <t>M</t>
        </is>
      </c>
      <c r="S67" s="97" t="n"/>
      <c r="T67" s="103" t="inlineStr">
        <is>
          <t>N</t>
        </is>
      </c>
      <c r="U67" s="97" t="n"/>
      <c r="V67" s="97" t="n"/>
      <c r="W67" s="97" t="n"/>
      <c r="X67" s="98" t="inlineStr">
        <is>
          <t>M</t>
        </is>
      </c>
      <c r="Y67" s="98" t="inlineStr">
        <is>
          <t>M</t>
        </is>
      </c>
      <c r="Z67" s="97" t="n"/>
      <c r="AA67" s="97" t="n"/>
      <c r="AB67" s="103" t="inlineStr">
        <is>
          <t>N</t>
        </is>
      </c>
      <c r="AC67" s="97" t="n"/>
      <c r="AD67" s="98" t="inlineStr">
        <is>
          <t>M</t>
        </is>
      </c>
      <c r="AE67" s="98" t="inlineStr">
        <is>
          <t>M</t>
        </is>
      </c>
      <c r="AF67" s="98" t="inlineStr">
        <is>
          <t>M</t>
        </is>
      </c>
      <c r="AG67" s="110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ROUND(B67*4.29,0)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104" t="inlineStr">
        <is>
          <t>T</t>
        </is>
      </c>
      <c r="E68" s="97" t="n"/>
      <c r="F68" s="102" t="inlineStr">
        <is>
          <t>D</t>
        </is>
      </c>
      <c r="G68" s="97" t="n"/>
      <c r="H68" s="104" t="inlineStr">
        <is>
          <t>T</t>
        </is>
      </c>
      <c r="I68" s="97" t="n"/>
      <c r="J68" s="97" t="n"/>
      <c r="K68" s="103" t="inlineStr">
        <is>
          <t>N</t>
        </is>
      </c>
      <c r="L68" s="97" t="n"/>
      <c r="M68" s="97" t="n"/>
      <c r="N68" s="102" t="inlineStr">
        <is>
          <t>D</t>
        </is>
      </c>
      <c r="O68" s="97" t="n"/>
      <c r="P68" s="97" t="n"/>
      <c r="Q68" s="97" t="n"/>
      <c r="R68" s="102" t="inlineStr">
        <is>
          <t>D</t>
        </is>
      </c>
      <c r="S68" s="97" t="n"/>
      <c r="T68" s="102" t="inlineStr">
        <is>
          <t>D</t>
        </is>
      </c>
      <c r="U68" s="97" t="n"/>
      <c r="V68" s="97" t="n"/>
      <c r="W68" s="97" t="n"/>
      <c r="X68" s="97" t="n"/>
      <c r="Y68" s="102" t="inlineStr">
        <is>
          <t>D</t>
        </is>
      </c>
      <c r="Z68" s="97" t="n"/>
      <c r="AA68" s="102" t="inlineStr">
        <is>
          <t>D</t>
        </is>
      </c>
      <c r="AB68" s="97" t="n"/>
      <c r="AC68" s="97" t="n"/>
      <c r="AD68" s="97" t="n"/>
      <c r="AE68" s="97" t="n"/>
      <c r="AF68" s="97" t="n"/>
      <c r="AG68" s="110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ROUND(B68*4.29,0)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104" t="inlineStr">
        <is>
          <t>T</t>
        </is>
      </c>
      <c r="D69" s="102" t="inlineStr">
        <is>
          <t>D</t>
        </is>
      </c>
      <c r="E69" s="97" t="n"/>
      <c r="F69" s="102" t="inlineStr">
        <is>
          <t>D</t>
        </is>
      </c>
      <c r="G69" s="97" t="n"/>
      <c r="H69" s="97" t="n"/>
      <c r="I69" s="97" t="n"/>
      <c r="J69" s="97" t="n"/>
      <c r="K69" s="102" t="inlineStr">
        <is>
          <t>D</t>
        </is>
      </c>
      <c r="L69" s="97" t="n"/>
      <c r="M69" s="102" t="inlineStr">
        <is>
          <t>D</t>
        </is>
      </c>
      <c r="N69" s="97" t="n"/>
      <c r="O69" s="97" t="n"/>
      <c r="P69" s="103" t="inlineStr">
        <is>
          <t>N</t>
        </is>
      </c>
      <c r="Q69" s="97" t="n"/>
      <c r="R69" s="103" t="inlineStr">
        <is>
          <t>N</t>
        </is>
      </c>
      <c r="S69" s="97" t="n"/>
      <c r="T69" s="97" t="n"/>
      <c r="U69" s="97" t="n"/>
      <c r="V69" s="97" t="n"/>
      <c r="W69" s="97" t="n"/>
      <c r="X69" s="97" t="n"/>
      <c r="Y69" s="102" t="inlineStr">
        <is>
          <t>D</t>
        </is>
      </c>
      <c r="Z69" s="97" t="n"/>
      <c r="AA69" s="97" t="n"/>
      <c r="AB69" s="102" t="inlineStr">
        <is>
          <t>D</t>
        </is>
      </c>
      <c r="AC69" s="97" t="n"/>
      <c r="AD69" s="102" t="inlineStr">
        <is>
          <t>D</t>
        </is>
      </c>
      <c r="AE69" s="97" t="n"/>
      <c r="AF69" s="97" t="n"/>
      <c r="AG69" s="110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ROUND(B69*4.29,0)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103" t="inlineStr">
        <is>
          <t>N</t>
        </is>
      </c>
      <c r="D70" s="104" t="inlineStr">
        <is>
          <t>T</t>
        </is>
      </c>
      <c r="E70" s="98" t="inlineStr">
        <is>
          <t>M</t>
        </is>
      </c>
      <c r="F70" s="97" t="n"/>
      <c r="G70" s="97" t="n"/>
      <c r="H70" s="97" t="n"/>
      <c r="I70" s="97" t="n"/>
      <c r="J70" s="103" t="inlineStr">
        <is>
          <t>N</t>
        </is>
      </c>
      <c r="K70" s="97" t="n"/>
      <c r="L70" s="97" t="n"/>
      <c r="M70" s="97" t="n"/>
      <c r="N70" s="97" t="n"/>
      <c r="O70" s="103" t="inlineStr">
        <is>
          <t>N</t>
        </is>
      </c>
      <c r="P70" s="97" t="n"/>
      <c r="Q70" s="102" t="inlineStr">
        <is>
          <t>D</t>
        </is>
      </c>
      <c r="R70" s="97" t="n"/>
      <c r="S70" s="97" t="n"/>
      <c r="T70" s="97" t="n"/>
      <c r="U70" s="97" t="n"/>
      <c r="V70" s="102" t="inlineStr">
        <is>
          <t>D</t>
        </is>
      </c>
      <c r="W70" s="97" t="n"/>
      <c r="X70" s="102" t="inlineStr">
        <is>
          <t>D</t>
        </is>
      </c>
      <c r="Y70" s="97" t="n"/>
      <c r="Z70" s="102" t="inlineStr">
        <is>
          <t>D</t>
        </is>
      </c>
      <c r="AA70" s="97" t="n"/>
      <c r="AB70" s="97" t="n"/>
      <c r="AC70" s="97" t="n"/>
      <c r="AD70" s="102" t="inlineStr">
        <is>
          <t>D</t>
        </is>
      </c>
      <c r="AE70" s="97" t="n"/>
      <c r="AF70" s="98" t="inlineStr">
        <is>
          <t>M</t>
        </is>
      </c>
      <c r="AG70" s="110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ROUND(B70*4.29,0)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117" t="inlineStr">
        <is>
          <t>A</t>
        </is>
      </c>
      <c r="D71" s="97" t="n"/>
      <c r="E71" s="117" t="inlineStr">
        <is>
          <t>A</t>
        </is>
      </c>
      <c r="F71" s="97" t="n"/>
      <c r="G71" s="97" t="n"/>
      <c r="H71" s="97" t="n"/>
      <c r="I71" s="117" t="inlineStr">
        <is>
          <t>A</t>
        </is>
      </c>
      <c r="J71" s="117" t="inlineStr">
        <is>
          <t>A</t>
        </is>
      </c>
      <c r="K71" s="97" t="n"/>
      <c r="L71" s="97" t="n"/>
      <c r="M71" s="97" t="n"/>
      <c r="N71" s="97" t="n"/>
      <c r="O71" s="117" t="inlineStr">
        <is>
          <t>A</t>
        </is>
      </c>
      <c r="P71" s="117" t="inlineStr">
        <is>
          <t>A</t>
        </is>
      </c>
      <c r="Q71" s="117" t="inlineStr">
        <is>
          <t>A</t>
        </is>
      </c>
      <c r="R71" s="97" t="n"/>
      <c r="S71" s="117" t="inlineStr">
        <is>
          <t>A</t>
        </is>
      </c>
      <c r="T71" s="97" t="n"/>
      <c r="U71" s="97" t="n"/>
      <c r="V71" s="97" t="n"/>
      <c r="W71" s="117" t="inlineStr">
        <is>
          <t>A</t>
        </is>
      </c>
      <c r="X71" s="117" t="inlineStr">
        <is>
          <t>A</t>
        </is>
      </c>
      <c r="Y71" s="97" t="n"/>
      <c r="Z71" s="97" t="n"/>
      <c r="AA71" s="97" t="n"/>
      <c r="AB71" s="97" t="n"/>
      <c r="AC71" s="117" t="inlineStr">
        <is>
          <t>A</t>
        </is>
      </c>
      <c r="AD71" s="117" t="inlineStr">
        <is>
          <t>A</t>
        </is>
      </c>
      <c r="AE71" s="97" t="n"/>
      <c r="AF71" s="117" t="inlineStr">
        <is>
          <t>A</t>
        </is>
      </c>
      <c r="AG71" s="110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ROUND(B71*4.29,0)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104" t="inlineStr">
        <is>
          <t>T</t>
        </is>
      </c>
      <c r="D72" s="117" t="inlineStr">
        <is>
          <t>A</t>
        </is>
      </c>
      <c r="E72" s="97" t="n"/>
      <c r="F72" s="117" t="inlineStr">
        <is>
          <t>A</t>
        </is>
      </c>
      <c r="G72" s="97" t="n"/>
      <c r="H72" s="97" t="n"/>
      <c r="I72" s="97" t="n"/>
      <c r="J72" s="104" t="inlineStr">
        <is>
          <t>T</t>
        </is>
      </c>
      <c r="K72" s="117" t="inlineStr">
        <is>
          <t>A</t>
        </is>
      </c>
      <c r="L72" s="117" t="inlineStr">
        <is>
          <t>A</t>
        </is>
      </c>
      <c r="M72" s="117" t="inlineStr">
        <is>
          <t>A</t>
        </is>
      </c>
      <c r="N72" s="97" t="n"/>
      <c r="O72" s="97" t="n"/>
      <c r="P72" s="97" t="n"/>
      <c r="Q72" s="104" t="inlineStr">
        <is>
          <t>T</t>
        </is>
      </c>
      <c r="R72" s="117" t="inlineStr">
        <is>
          <t>A</t>
        </is>
      </c>
      <c r="S72" s="117" t="inlineStr">
        <is>
          <t>A</t>
        </is>
      </c>
      <c r="T72" s="117" t="inlineStr">
        <is>
          <t>A</t>
        </is>
      </c>
      <c r="U72" s="97" t="n"/>
      <c r="V72" s="97" t="n"/>
      <c r="W72" s="97" t="n"/>
      <c r="X72" s="104" t="inlineStr">
        <is>
          <t>T</t>
        </is>
      </c>
      <c r="Y72" s="117" t="inlineStr">
        <is>
          <t>A</t>
        </is>
      </c>
      <c r="Z72" s="117" t="inlineStr">
        <is>
          <t>A</t>
        </is>
      </c>
      <c r="AA72" s="117" t="inlineStr">
        <is>
          <t>A</t>
        </is>
      </c>
      <c r="AB72" s="97" t="n"/>
      <c r="AC72" s="97" t="n"/>
      <c r="AD72" s="97" t="n"/>
      <c r="AE72" s="104" t="inlineStr">
        <is>
          <t>T</t>
        </is>
      </c>
      <c r="AF72" s="117" t="inlineStr">
        <is>
          <t>A</t>
        </is>
      </c>
      <c r="AG72" s="110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ROUND(B72*4.29,0)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8" t="inlineStr">
        <is>
          <t>M</t>
        </is>
      </c>
      <c r="D73" s="102" t="inlineStr">
        <is>
          <t>D</t>
        </is>
      </c>
      <c r="E73" s="97" t="n"/>
      <c r="F73" s="102" t="inlineStr">
        <is>
          <t>D</t>
        </is>
      </c>
      <c r="G73" s="97" t="n"/>
      <c r="H73" s="97" t="n"/>
      <c r="I73" s="97" t="n"/>
      <c r="J73" s="98" t="inlineStr">
        <is>
          <t>M</t>
        </is>
      </c>
      <c r="K73" s="102" t="inlineStr">
        <is>
          <t>D</t>
        </is>
      </c>
      <c r="L73" s="97" t="n"/>
      <c r="M73" s="102" t="inlineStr">
        <is>
          <t>D</t>
        </is>
      </c>
      <c r="N73" s="97" t="n"/>
      <c r="O73" s="97" t="n"/>
      <c r="P73" s="97" t="n"/>
      <c r="Q73" s="98" t="inlineStr">
        <is>
          <t>M</t>
        </is>
      </c>
      <c r="R73" s="102" t="inlineStr">
        <is>
          <t>D</t>
        </is>
      </c>
      <c r="S73" s="97" t="n"/>
      <c r="T73" s="102" t="inlineStr">
        <is>
          <t>D</t>
        </is>
      </c>
      <c r="U73" s="97" t="n"/>
      <c r="V73" s="97" t="n"/>
      <c r="W73" s="97" t="n"/>
      <c r="X73" s="98" t="inlineStr">
        <is>
          <t>M</t>
        </is>
      </c>
      <c r="Y73" s="102" t="inlineStr">
        <is>
          <t>D</t>
        </is>
      </c>
      <c r="Z73" s="97" t="n"/>
      <c r="AA73" s="102" t="inlineStr">
        <is>
          <t>D</t>
        </is>
      </c>
      <c r="AB73" s="97" t="n"/>
      <c r="AC73" s="97" t="n"/>
      <c r="AD73" s="97" t="n"/>
      <c r="AE73" s="98" t="inlineStr">
        <is>
          <t>M</t>
        </is>
      </c>
      <c r="AF73" s="97" t="n"/>
      <c r="AG73" s="110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ROUND(B73*4.29,0)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</row>
    <row r="78">
      <c r="A78" s="108" t="inlineStr">
        <is>
          <t>falta manhã</t>
        </is>
      </c>
      <c r="C78" s="109">
        <f>MAX(0,CONFIG!$B$9-C75)</f>
        <v/>
      </c>
      <c r="D78" s="109">
        <f>MAX(0,CONFIG!$B$9-D75)</f>
        <v/>
      </c>
      <c r="E78" s="109">
        <f>MAX(0,CONFIG!$B$9-E75)</f>
        <v/>
      </c>
      <c r="F78" s="109">
        <f>MAX(0,CONFIG!$B$9-F75)</f>
        <v/>
      </c>
      <c r="G78" s="109">
        <f>MAX(0,CONFIG!$B$10-G75)</f>
        <v/>
      </c>
      <c r="H78" s="109">
        <f>MAX(0,CONFIG!$B$11-H75)</f>
        <v/>
      </c>
      <c r="I78" s="109">
        <f>MAX(0,CONFIG!$B$9-I75)</f>
        <v/>
      </c>
      <c r="J78" s="109">
        <f>MAX(0,CONFIG!$B$9-J75)</f>
        <v/>
      </c>
      <c r="K78" s="109">
        <f>MAX(0,CONFIG!$B$9-K75)</f>
        <v/>
      </c>
      <c r="L78" s="109">
        <f>MAX(0,CONFIG!$B$9-L75)</f>
        <v/>
      </c>
      <c r="M78" s="109">
        <f>MAX(0,CONFIG!$B$9-M75)</f>
        <v/>
      </c>
      <c r="N78" s="109">
        <f>MAX(0,CONFIG!$B$10-N75)</f>
        <v/>
      </c>
      <c r="O78" s="109">
        <f>MAX(0,CONFIG!$B$11-O75)</f>
        <v/>
      </c>
      <c r="P78" s="109">
        <f>MAX(0,CONFIG!$B$9-P75)</f>
        <v/>
      </c>
      <c r="Q78" s="109">
        <f>MAX(0,CONFIG!$B$9-Q75)</f>
        <v/>
      </c>
      <c r="R78" s="109">
        <f>MAX(0,CONFIG!$B$9-R75)</f>
        <v/>
      </c>
      <c r="S78" s="109">
        <f>MAX(0,CONFIG!$B$9-S75)</f>
        <v/>
      </c>
      <c r="T78" s="109">
        <f>MAX(0,CONFIG!$B$9-T75)</f>
        <v/>
      </c>
      <c r="U78" s="109">
        <f>MAX(0,CONFIG!$B$10-U75)</f>
        <v/>
      </c>
      <c r="V78" s="109">
        <f>MAX(0,CONFIG!$B$11-V75)</f>
        <v/>
      </c>
      <c r="W78" s="109">
        <f>MAX(0,CONFIG!$B$9-W75)</f>
        <v/>
      </c>
      <c r="X78" s="109">
        <f>MAX(0,CONFIG!$B$9-X75)</f>
        <v/>
      </c>
      <c r="Y78" s="109">
        <f>MAX(0,CONFIG!$B$9-Y75)</f>
        <v/>
      </c>
      <c r="Z78" s="109">
        <f>MAX(0,CONFIG!$B$9-Z75)</f>
        <v/>
      </c>
      <c r="AA78" s="109">
        <f>MAX(0,CONFIG!$B$9-AA75)</f>
        <v/>
      </c>
      <c r="AB78" s="109">
        <f>MAX(0,CONFIG!$B$10-AB75)</f>
        <v/>
      </c>
      <c r="AC78" s="109">
        <f>MAX(0,CONFIG!$B$11-AC75)</f>
        <v/>
      </c>
      <c r="AD78" s="109">
        <f>MAX(0,CONFIG!$B$9-AD75)</f>
        <v/>
      </c>
      <c r="AE78" s="109">
        <f>MAX(0,CONFIG!$B$9-AE75)</f>
        <v/>
      </c>
      <c r="AF78" s="109">
        <f>MAX(0,CONFIG!$B$9-AF75)</f>
        <v/>
      </c>
    </row>
    <row r="79">
      <c r="A79" s="108" t="inlineStr">
        <is>
          <t>falta tarde</t>
        </is>
      </c>
      <c r="C79" s="109">
        <f>MAX(0,CONFIG!$C$9-C76)</f>
        <v/>
      </c>
      <c r="D79" s="109">
        <f>MAX(0,CONFIG!$C$9-D76)</f>
        <v/>
      </c>
      <c r="E79" s="109">
        <f>MAX(0,CONFIG!$C$9-E76)</f>
        <v/>
      </c>
      <c r="F79" s="109">
        <f>MAX(0,CONFIG!$C$9-F76)</f>
        <v/>
      </c>
      <c r="G79" s="109">
        <f>MAX(0,CONFIG!$C$10-G76)</f>
        <v/>
      </c>
      <c r="H79" s="109">
        <f>MAX(0,CONFIG!$C$11-H76)</f>
        <v/>
      </c>
      <c r="I79" s="109">
        <f>MAX(0,CONFIG!$C$9-I76)</f>
        <v/>
      </c>
      <c r="J79" s="109">
        <f>MAX(0,CONFIG!$C$9-J76)</f>
        <v/>
      </c>
      <c r="K79" s="109">
        <f>MAX(0,CONFIG!$C$9-K76)</f>
        <v/>
      </c>
      <c r="L79" s="109">
        <f>MAX(0,CONFIG!$C$9-L76)</f>
        <v/>
      </c>
      <c r="M79" s="109">
        <f>MAX(0,CONFIG!$C$9-M76)</f>
        <v/>
      </c>
      <c r="N79" s="109">
        <f>MAX(0,CONFIG!$C$10-N76)</f>
        <v/>
      </c>
      <c r="O79" s="109">
        <f>MAX(0,CONFIG!$C$11-O76)</f>
        <v/>
      </c>
      <c r="P79" s="109">
        <f>MAX(0,CONFIG!$C$9-P76)</f>
        <v/>
      </c>
      <c r="Q79" s="109">
        <f>MAX(0,CONFIG!$C$9-Q76)</f>
        <v/>
      </c>
      <c r="R79" s="109">
        <f>MAX(0,CONFIG!$C$9-R76)</f>
        <v/>
      </c>
      <c r="S79" s="109">
        <f>MAX(0,CONFIG!$C$9-S76)</f>
        <v/>
      </c>
      <c r="T79" s="109">
        <f>MAX(0,CONFIG!$C$9-T76)</f>
        <v/>
      </c>
      <c r="U79" s="109">
        <f>MAX(0,CONFIG!$C$10-U76)</f>
        <v/>
      </c>
      <c r="V79" s="109">
        <f>MAX(0,CONFIG!$C$11-V76)</f>
        <v/>
      </c>
      <c r="W79" s="109">
        <f>MAX(0,CONFIG!$C$9-W76)</f>
        <v/>
      </c>
      <c r="X79" s="109">
        <f>MAX(0,CONFIG!$C$9-X76)</f>
        <v/>
      </c>
      <c r="Y79" s="109">
        <f>MAX(0,CONFIG!$C$9-Y76)</f>
        <v/>
      </c>
      <c r="Z79" s="109">
        <f>MAX(0,CONFIG!$C$9-Z76)</f>
        <v/>
      </c>
      <c r="AA79" s="109">
        <f>MAX(0,CONFIG!$C$9-AA76)</f>
        <v/>
      </c>
      <c r="AB79" s="109">
        <f>MAX(0,CONFIG!$C$10-AB76)</f>
        <v/>
      </c>
      <c r="AC79" s="109">
        <f>MAX(0,CONFIG!$C$11-AC76)</f>
        <v/>
      </c>
      <c r="AD79" s="109">
        <f>MAX(0,CONFIG!$C$9-AD76)</f>
        <v/>
      </c>
      <c r="AE79" s="109">
        <f>MAX(0,CONFIG!$C$9-AE76)</f>
        <v/>
      </c>
      <c r="AF79" s="109">
        <f>MAX(0,CONFIG!$C$9-AF76)</f>
        <v/>
      </c>
    </row>
    <row r="80">
      <c r="A80" s="108" t="inlineStr">
        <is>
          <t>falta noite</t>
        </is>
      </c>
      <c r="C80" s="109">
        <f>MAX(0,CONFIG!$D$9-C77)</f>
        <v/>
      </c>
      <c r="D80" s="109">
        <f>MAX(0,CONFIG!$D$9-D77)</f>
        <v/>
      </c>
      <c r="E80" s="109">
        <f>MAX(0,CONFIG!$D$9-E77)</f>
        <v/>
      </c>
      <c r="F80" s="109">
        <f>MAX(0,CONFIG!$D$9-F77)</f>
        <v/>
      </c>
      <c r="G80" s="109">
        <f>MAX(0,CONFIG!$D$10-G77)</f>
        <v/>
      </c>
      <c r="H80" s="109">
        <f>MAX(0,CONFIG!$D$11-H77)</f>
        <v/>
      </c>
      <c r="I80" s="109">
        <f>MAX(0,CONFIG!$D$9-I77)</f>
        <v/>
      </c>
      <c r="J80" s="109">
        <f>MAX(0,CONFIG!$D$9-J77)</f>
        <v/>
      </c>
      <c r="K80" s="109">
        <f>MAX(0,CONFIG!$D$9-K77)</f>
        <v/>
      </c>
      <c r="L80" s="109">
        <f>MAX(0,CONFIG!$D$9-L77)</f>
        <v/>
      </c>
      <c r="M80" s="109">
        <f>MAX(0,CONFIG!$D$9-M77)</f>
        <v/>
      </c>
      <c r="N80" s="109">
        <f>MAX(0,CONFIG!$D$10-N77)</f>
        <v/>
      </c>
      <c r="O80" s="109">
        <f>MAX(0,CONFIG!$D$11-O77)</f>
        <v/>
      </c>
      <c r="P80" s="109">
        <f>MAX(0,CONFIG!$D$9-P77)</f>
        <v/>
      </c>
      <c r="Q80" s="109">
        <f>MAX(0,CONFIG!$D$9-Q77)</f>
        <v/>
      </c>
      <c r="R80" s="109">
        <f>MAX(0,CONFIG!$D$9-R77)</f>
        <v/>
      </c>
      <c r="S80" s="109">
        <f>MAX(0,CONFIG!$D$9-S77)</f>
        <v/>
      </c>
      <c r="T80" s="109">
        <f>MAX(0,CONFIG!$D$9-T77)</f>
        <v/>
      </c>
      <c r="U80" s="109">
        <f>MAX(0,CONFIG!$D$10-U77)</f>
        <v/>
      </c>
      <c r="V80" s="109">
        <f>MAX(0,CONFIG!$D$11-V77)</f>
        <v/>
      </c>
      <c r="W80" s="109">
        <f>MAX(0,CONFIG!$D$9-W77)</f>
        <v/>
      </c>
      <c r="X80" s="109">
        <f>MAX(0,CONFIG!$D$9-X77)</f>
        <v/>
      </c>
      <c r="Y80" s="109">
        <f>MAX(0,CONFIG!$D$9-Y77)</f>
        <v/>
      </c>
      <c r="Z80" s="109">
        <f>MAX(0,CONFIG!$D$9-Z77)</f>
        <v/>
      </c>
      <c r="AA80" s="109">
        <f>MAX(0,CONFIG!$D$9-AA77)</f>
        <v/>
      </c>
      <c r="AB80" s="109">
        <f>MAX(0,CONFIG!$D$10-AB77)</f>
        <v/>
      </c>
      <c r="AC80" s="109">
        <f>MAX(0,CONFIG!$D$11-AC77)</f>
        <v/>
      </c>
      <c r="AD80" s="109">
        <f>MAX(0,CONFIG!$D$9-AD77)</f>
        <v/>
      </c>
      <c r="AE80" s="109">
        <f>MAX(0,CONFIG!$D$9-AE77)</f>
        <v/>
      </c>
      <c r="AF80" s="109">
        <f>MAX(0,CONFIG!$D$9-AF77)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A299CB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outubro · 2026</t>
        </is>
      </c>
      <c r="C1" s="88" t="inlineStr">
        <is>
          <t>escala montada pelo escala_out_v3.py — cobertura 100%, 48 convocações por critério público</t>
        </is>
      </c>
    </row>
    <row r="2">
      <c r="C2" s="90" t="n">
        <v>1</v>
      </c>
      <c r="D2" s="90" t="n">
        <v>2</v>
      </c>
      <c r="E2" s="91" t="n">
        <v>3</v>
      </c>
      <c r="F2" s="91" t="n">
        <v>4</v>
      </c>
      <c r="G2" s="90" t="n">
        <v>5</v>
      </c>
      <c r="H2" s="90" t="n">
        <v>6</v>
      </c>
      <c r="I2" s="90" t="n">
        <v>7</v>
      </c>
      <c r="J2" s="90" t="n">
        <v>8</v>
      </c>
      <c r="K2" s="90" t="n">
        <v>9</v>
      </c>
      <c r="L2" s="91" t="n">
        <v>10</v>
      </c>
      <c r="M2" s="91" t="n">
        <v>11</v>
      </c>
      <c r="N2" s="89" t="n">
        <v>12</v>
      </c>
      <c r="O2" s="90" t="n">
        <v>13</v>
      </c>
      <c r="P2" s="90" t="n">
        <v>14</v>
      </c>
      <c r="Q2" s="90" t="n">
        <v>15</v>
      </c>
      <c r="R2" s="90" t="n">
        <v>16</v>
      </c>
      <c r="S2" s="91" t="n">
        <v>17</v>
      </c>
      <c r="T2" s="91" t="n">
        <v>18</v>
      </c>
      <c r="U2" s="90" t="n">
        <v>19</v>
      </c>
      <c r="V2" s="90" t="n">
        <v>20</v>
      </c>
      <c r="W2" s="90" t="n">
        <v>21</v>
      </c>
      <c r="X2" s="90" t="n">
        <v>22</v>
      </c>
      <c r="Y2" s="90" t="n">
        <v>23</v>
      </c>
      <c r="Z2" s="91" t="n">
        <v>24</v>
      </c>
      <c r="AA2" s="91" t="n">
        <v>25</v>
      </c>
      <c r="AB2" s="90" t="n">
        <v>26</v>
      </c>
      <c r="AC2" s="90" t="n">
        <v>27</v>
      </c>
      <c r="AD2" s="90" t="n">
        <v>28</v>
      </c>
      <c r="AE2" s="90" t="n">
        <v>29</v>
      </c>
      <c r="AF2" s="90" t="n">
        <v>30</v>
      </c>
      <c r="AG2" s="91" t="n">
        <v>31</v>
      </c>
    </row>
    <row r="3">
      <c r="C3" s="93" t="inlineStr">
        <is>
          <t>qui</t>
        </is>
      </c>
      <c r="D3" s="93" t="inlineStr">
        <is>
          <t>sex</t>
        </is>
      </c>
      <c r="E3" s="94" t="inlineStr">
        <is>
          <t>sáb</t>
        </is>
      </c>
      <c r="F3" s="94" t="inlineStr">
        <is>
          <t>dom</t>
        </is>
      </c>
      <c r="G3" s="93" t="inlineStr">
        <is>
          <t>seg</t>
        </is>
      </c>
      <c r="H3" s="93" t="inlineStr">
        <is>
          <t>ter</t>
        </is>
      </c>
      <c r="I3" s="93" t="inlineStr">
        <is>
          <t>qua</t>
        </is>
      </c>
      <c r="J3" s="93" t="inlineStr">
        <is>
          <t>qui</t>
        </is>
      </c>
      <c r="K3" s="93" t="inlineStr">
        <is>
          <t>sex</t>
        </is>
      </c>
      <c r="L3" s="94" t="inlineStr">
        <is>
          <t>sáb</t>
        </is>
      </c>
      <c r="M3" s="94" t="inlineStr">
        <is>
          <t>dom</t>
        </is>
      </c>
      <c r="N3" s="92" t="inlineStr">
        <is>
          <t>N.Sra</t>
        </is>
      </c>
      <c r="O3" s="93" t="inlineStr">
        <is>
          <t>ter</t>
        </is>
      </c>
      <c r="P3" s="93" t="inlineStr">
        <is>
          <t>qua</t>
        </is>
      </c>
      <c r="Q3" s="93" t="inlineStr">
        <is>
          <t>qui</t>
        </is>
      </c>
      <c r="R3" s="93" t="inlineStr">
        <is>
          <t>sex</t>
        </is>
      </c>
      <c r="S3" s="94" t="inlineStr">
        <is>
          <t>sáb</t>
        </is>
      </c>
      <c r="T3" s="94" t="inlineStr">
        <is>
          <t>dom</t>
        </is>
      </c>
      <c r="U3" s="93" t="inlineStr">
        <is>
          <t>seg</t>
        </is>
      </c>
      <c r="V3" s="93" t="inlineStr">
        <is>
          <t>ter</t>
        </is>
      </c>
      <c r="W3" s="93" t="inlineStr">
        <is>
          <t>qua</t>
        </is>
      </c>
      <c r="X3" s="93" t="inlineStr">
        <is>
          <t>qui</t>
        </is>
      </c>
      <c r="Y3" s="93" t="inlineStr">
        <is>
          <t>sex</t>
        </is>
      </c>
      <c r="Z3" s="94" t="inlineStr">
        <is>
          <t>sáb</t>
        </is>
      </c>
      <c r="AA3" s="94" t="inlineStr">
        <is>
          <t>dom</t>
        </is>
      </c>
      <c r="AB3" s="93" t="inlineStr">
        <is>
          <t>seg</t>
        </is>
      </c>
      <c r="AC3" s="93" t="inlineStr">
        <is>
          <t>ter</t>
        </is>
      </c>
      <c r="AD3" s="93" t="inlineStr">
        <is>
          <t>qua</t>
        </is>
      </c>
      <c r="AE3" s="93" t="inlineStr">
        <is>
          <t>qui</t>
        </is>
      </c>
      <c r="AF3" s="93" t="inlineStr">
        <is>
          <t>sex</t>
        </is>
      </c>
      <c r="AG3" s="94" t="inlineStr">
        <is>
          <t>sáb</t>
        </is>
      </c>
    </row>
    <row r="4" hidden="1">
      <c r="A4" t="inlineStr">
        <is>
          <t>máscara fds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</row>
    <row r="5" hidden="1">
      <c r="A5" t="inlineStr">
        <is>
          <t>máscara sexta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8" t="inlineStr">
        <is>
          <t>M</t>
        </is>
      </c>
      <c r="D8" s="97" t="n"/>
      <c r="E8" s="97" t="n"/>
      <c r="F8" s="97" t="n"/>
      <c r="G8" s="111" t="inlineStr">
        <is>
          <t>C</t>
        </is>
      </c>
      <c r="H8" s="111" t="inlineStr">
        <is>
          <t>C</t>
        </is>
      </c>
      <c r="I8" s="98" t="inlineStr">
        <is>
          <t>M</t>
        </is>
      </c>
      <c r="J8" s="98" t="inlineStr">
        <is>
          <t>M</t>
        </is>
      </c>
      <c r="K8" s="111" t="inlineStr">
        <is>
          <t>C</t>
        </is>
      </c>
      <c r="L8" s="98" t="inlineStr">
        <is>
          <t>M</t>
        </is>
      </c>
      <c r="M8" s="98" t="inlineStr">
        <is>
          <t>M</t>
        </is>
      </c>
      <c r="N8" s="97" t="n"/>
      <c r="O8" s="111" t="inlineStr">
        <is>
          <t>C</t>
        </is>
      </c>
      <c r="P8" s="98" t="inlineStr">
        <is>
          <t>M</t>
        </is>
      </c>
      <c r="Q8" s="98" t="inlineStr">
        <is>
          <t>M</t>
        </is>
      </c>
      <c r="R8" s="97" t="n"/>
      <c r="S8" s="97" t="n"/>
      <c r="T8" s="97" t="n"/>
      <c r="U8" s="111" t="inlineStr">
        <is>
          <t>C</t>
        </is>
      </c>
      <c r="V8" s="111" t="inlineStr">
        <is>
          <t>C</t>
        </is>
      </c>
      <c r="W8" s="98" t="inlineStr">
        <is>
          <t>M</t>
        </is>
      </c>
      <c r="X8" s="98" t="inlineStr">
        <is>
          <t>M</t>
        </is>
      </c>
      <c r="Y8" s="97" t="n"/>
      <c r="Z8" s="97" t="n"/>
      <c r="AA8" s="97" t="n"/>
      <c r="AB8" s="111" t="inlineStr">
        <is>
          <t>C</t>
        </is>
      </c>
      <c r="AC8" s="111" t="inlineStr">
        <is>
          <t>C</t>
        </is>
      </c>
      <c r="AD8" s="98" t="inlineStr">
        <is>
          <t>M</t>
        </is>
      </c>
      <c r="AE8" s="98" t="inlineStr">
        <is>
          <t>M</t>
        </is>
      </c>
      <c r="AF8" s="111" t="inlineStr">
        <is>
          <t>C</t>
        </is>
      </c>
      <c r="AG8" s="98" t="inlineStr">
        <is>
          <t>M</t>
        </is>
      </c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111" t="inlineStr">
        <is>
          <t>C</t>
        </is>
      </c>
      <c r="D9" s="111" t="inlineStr">
        <is>
          <t>C</t>
        </is>
      </c>
      <c r="E9" s="98" t="inlineStr">
        <is>
          <t>M</t>
        </is>
      </c>
      <c r="F9" s="98" t="inlineStr">
        <is>
          <t>M</t>
        </is>
      </c>
      <c r="G9" s="98" t="inlineStr">
        <is>
          <t>M</t>
        </is>
      </c>
      <c r="H9" s="98" t="inlineStr">
        <is>
          <t>M</t>
        </is>
      </c>
      <c r="I9" s="98" t="inlineStr">
        <is>
          <t>M</t>
        </is>
      </c>
      <c r="J9" s="111" t="inlineStr">
        <is>
          <t>C</t>
        </is>
      </c>
      <c r="K9" s="97" t="n"/>
      <c r="L9" s="97" t="n"/>
      <c r="M9" s="97" t="n"/>
      <c r="N9" s="97" t="n"/>
      <c r="O9" s="98" t="inlineStr">
        <is>
          <t>M</t>
        </is>
      </c>
      <c r="P9" s="98" t="inlineStr">
        <is>
          <t>M</t>
        </is>
      </c>
      <c r="Q9" s="111" t="inlineStr">
        <is>
          <t>C</t>
        </is>
      </c>
      <c r="R9" s="97" t="n"/>
      <c r="S9" s="97" t="n"/>
      <c r="T9" s="97" t="n"/>
      <c r="U9" s="98" t="inlineStr">
        <is>
          <t>M</t>
        </is>
      </c>
      <c r="V9" s="98" t="inlineStr">
        <is>
          <t>M</t>
        </is>
      </c>
      <c r="W9" s="98" t="inlineStr">
        <is>
          <t>M</t>
        </is>
      </c>
      <c r="X9" s="111" t="inlineStr">
        <is>
          <t>C</t>
        </is>
      </c>
      <c r="Y9" s="111" t="inlineStr">
        <is>
          <t>C</t>
        </is>
      </c>
      <c r="Z9" s="98" t="inlineStr">
        <is>
          <t>M</t>
        </is>
      </c>
      <c r="AA9" s="98" t="inlineStr">
        <is>
          <t>M</t>
        </is>
      </c>
      <c r="AB9" s="98" t="inlineStr">
        <is>
          <t>M</t>
        </is>
      </c>
      <c r="AC9" s="98" t="inlineStr">
        <is>
          <t>M</t>
        </is>
      </c>
      <c r="AD9" s="98" t="inlineStr">
        <is>
          <t>M</t>
        </is>
      </c>
      <c r="AE9" s="111" t="inlineStr">
        <is>
          <t>C</t>
        </is>
      </c>
      <c r="AF9" s="98" t="inlineStr">
        <is>
          <t>M</t>
        </is>
      </c>
      <c r="AG9" s="97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8" t="inlineStr">
        <is>
          <t>M</t>
        </is>
      </c>
      <c r="D10" s="98" t="inlineStr">
        <is>
          <t>M</t>
        </is>
      </c>
      <c r="E10" s="97" t="n"/>
      <c r="F10" s="97" t="n"/>
      <c r="G10" s="98" t="inlineStr">
        <is>
          <t>M</t>
        </is>
      </c>
      <c r="H10" s="111" t="inlineStr">
        <is>
          <t>C</t>
        </is>
      </c>
      <c r="I10" s="98" t="inlineStr">
        <is>
          <t>M</t>
        </is>
      </c>
      <c r="J10" s="98" t="inlineStr">
        <is>
          <t>M</t>
        </is>
      </c>
      <c r="K10" s="98" t="inlineStr">
        <is>
          <t>M</t>
        </is>
      </c>
      <c r="L10" s="97" t="n"/>
      <c r="M10" s="97" t="n"/>
      <c r="N10" s="97" t="n"/>
      <c r="O10" s="98" t="inlineStr">
        <is>
          <t>M</t>
        </is>
      </c>
      <c r="P10" s="98" t="inlineStr">
        <is>
          <t>M</t>
        </is>
      </c>
      <c r="Q10" s="98" t="inlineStr">
        <is>
          <t>M</t>
        </is>
      </c>
      <c r="R10" s="111" t="inlineStr">
        <is>
          <t>C</t>
        </is>
      </c>
      <c r="S10" s="98" t="inlineStr">
        <is>
          <t>M</t>
        </is>
      </c>
      <c r="T10" s="98" t="inlineStr">
        <is>
          <t>M</t>
        </is>
      </c>
      <c r="U10" s="98" t="inlineStr">
        <is>
          <t>M</t>
        </is>
      </c>
      <c r="V10" s="111" t="inlineStr">
        <is>
          <t>C</t>
        </is>
      </c>
      <c r="W10" s="98" t="inlineStr">
        <is>
          <t>M</t>
        </is>
      </c>
      <c r="X10" s="98" t="inlineStr">
        <is>
          <t>M</t>
        </is>
      </c>
      <c r="Y10" s="98" t="inlineStr">
        <is>
          <t>M</t>
        </is>
      </c>
      <c r="Z10" s="97" t="n"/>
      <c r="AA10" s="97" t="n"/>
      <c r="AB10" s="98" t="inlineStr">
        <is>
          <t>M</t>
        </is>
      </c>
      <c r="AC10" s="98" t="inlineStr">
        <is>
          <t>M</t>
        </is>
      </c>
      <c r="AD10" s="98" t="inlineStr">
        <is>
          <t>M</t>
        </is>
      </c>
      <c r="AE10" s="98" t="inlineStr">
        <is>
          <t>M</t>
        </is>
      </c>
      <c r="AF10" s="98" t="inlineStr">
        <is>
          <t>M</t>
        </is>
      </c>
      <c r="AG10" s="97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8" t="inlineStr">
        <is>
          <t>M</t>
        </is>
      </c>
      <c r="D11" s="98" t="inlineStr">
        <is>
          <t>M</t>
        </is>
      </c>
      <c r="E11" s="97" t="n"/>
      <c r="F11" s="103" t="inlineStr">
        <is>
          <t>N</t>
        </is>
      </c>
      <c r="G11" s="98" t="inlineStr">
        <is>
          <t>M</t>
        </is>
      </c>
      <c r="H11" s="98" t="inlineStr">
        <is>
          <t>M</t>
        </is>
      </c>
      <c r="I11" s="98" t="inlineStr">
        <is>
          <t>M</t>
        </is>
      </c>
      <c r="J11" s="102" t="inlineStr">
        <is>
          <t>D</t>
        </is>
      </c>
      <c r="K11" s="98" t="inlineStr">
        <is>
          <t>M</t>
        </is>
      </c>
      <c r="L11" s="97" t="n"/>
      <c r="M11" s="97" t="n"/>
      <c r="N11" s="97" t="n"/>
      <c r="O11" s="98" t="inlineStr">
        <is>
          <t>M</t>
        </is>
      </c>
      <c r="P11" s="98" t="inlineStr">
        <is>
          <t>M</t>
        </is>
      </c>
      <c r="Q11" s="102" t="inlineStr">
        <is>
          <t>D</t>
        </is>
      </c>
      <c r="R11" s="98" t="inlineStr">
        <is>
          <t>M</t>
        </is>
      </c>
      <c r="S11" s="97" t="n"/>
      <c r="T11" s="103" t="inlineStr">
        <is>
          <t>N</t>
        </is>
      </c>
      <c r="U11" s="98" t="inlineStr">
        <is>
          <t>M</t>
        </is>
      </c>
      <c r="V11" s="98" t="inlineStr">
        <is>
          <t>M</t>
        </is>
      </c>
      <c r="W11" s="98" t="inlineStr">
        <is>
          <t>M</t>
        </is>
      </c>
      <c r="X11" s="102" t="inlineStr">
        <is>
          <t>D</t>
        </is>
      </c>
      <c r="Y11" s="98" t="inlineStr">
        <is>
          <t>M</t>
        </is>
      </c>
      <c r="Z11" s="98" t="inlineStr">
        <is>
          <t>M</t>
        </is>
      </c>
      <c r="AA11" s="97" t="n"/>
      <c r="AB11" s="98" t="inlineStr">
        <is>
          <t>M</t>
        </is>
      </c>
      <c r="AC11" s="98" t="inlineStr">
        <is>
          <t>M</t>
        </is>
      </c>
      <c r="AD11" s="98" t="inlineStr">
        <is>
          <t>M</t>
        </is>
      </c>
      <c r="AE11" s="102" t="inlineStr">
        <is>
          <t>D</t>
        </is>
      </c>
      <c r="AF11" s="98" t="inlineStr">
        <is>
          <t>M</t>
        </is>
      </c>
      <c r="AG11" s="97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8" t="inlineStr">
        <is>
          <t>M</t>
        </is>
      </c>
      <c r="D12" s="98" t="inlineStr">
        <is>
          <t>M</t>
        </is>
      </c>
      <c r="E12" s="97" t="n"/>
      <c r="F12" s="97" t="n"/>
      <c r="G12" s="98" t="inlineStr">
        <is>
          <t>M</t>
        </is>
      </c>
      <c r="H12" s="102" t="inlineStr">
        <is>
          <t>D</t>
        </is>
      </c>
      <c r="I12" s="98" t="inlineStr">
        <is>
          <t>M</t>
        </is>
      </c>
      <c r="J12" s="102" t="inlineStr">
        <is>
          <t>D</t>
        </is>
      </c>
      <c r="K12" s="98" t="inlineStr">
        <is>
          <t>M</t>
        </is>
      </c>
      <c r="L12" s="102" t="inlineStr">
        <is>
          <t>D</t>
        </is>
      </c>
      <c r="M12" s="97" t="n"/>
      <c r="N12" s="97" t="n"/>
      <c r="O12" s="98" t="inlineStr">
        <is>
          <t>M</t>
        </is>
      </c>
      <c r="P12" s="98" t="inlineStr">
        <is>
          <t>M</t>
        </is>
      </c>
      <c r="Q12" s="102" t="inlineStr">
        <is>
          <t>D</t>
        </is>
      </c>
      <c r="R12" s="98" t="inlineStr">
        <is>
          <t>M</t>
        </is>
      </c>
      <c r="S12" s="97" t="n"/>
      <c r="T12" s="97" t="n"/>
      <c r="U12" s="98" t="inlineStr">
        <is>
          <t>M</t>
        </is>
      </c>
      <c r="V12" s="102" t="inlineStr">
        <is>
          <t>D</t>
        </is>
      </c>
      <c r="W12" s="98" t="inlineStr">
        <is>
          <t>M</t>
        </is>
      </c>
      <c r="X12" s="98" t="inlineStr">
        <is>
          <t>M</t>
        </is>
      </c>
      <c r="Y12" s="98" t="inlineStr">
        <is>
          <t>M</t>
        </is>
      </c>
      <c r="Z12" s="102" t="inlineStr">
        <is>
          <t>D</t>
        </is>
      </c>
      <c r="AA12" s="97" t="n"/>
      <c r="AB12" s="98" t="inlineStr">
        <is>
          <t>M</t>
        </is>
      </c>
      <c r="AC12" s="102" t="inlineStr">
        <is>
          <t>D</t>
        </is>
      </c>
      <c r="AD12" s="98" t="inlineStr">
        <is>
          <t>M</t>
        </is>
      </c>
      <c r="AE12" s="98" t="inlineStr">
        <is>
          <t>M</t>
        </is>
      </c>
      <c r="AF12" s="98" t="inlineStr">
        <is>
          <t>M</t>
        </is>
      </c>
      <c r="AG12" s="97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8" t="inlineStr">
        <is>
          <t>M</t>
        </is>
      </c>
      <c r="D13" s="98" t="inlineStr">
        <is>
          <t>M</t>
        </is>
      </c>
      <c r="E13" s="103" t="inlineStr">
        <is>
          <t>N</t>
        </is>
      </c>
      <c r="F13" s="97" t="n"/>
      <c r="G13" s="98" t="inlineStr">
        <is>
          <t>M</t>
        </is>
      </c>
      <c r="H13" s="98" t="inlineStr">
        <is>
          <t>M</t>
        </is>
      </c>
      <c r="I13" s="98" t="inlineStr">
        <is>
          <t>M</t>
        </is>
      </c>
      <c r="J13" s="98" t="inlineStr">
        <is>
          <t>M</t>
        </is>
      </c>
      <c r="K13" s="98" t="inlineStr">
        <is>
          <t>M</t>
        </is>
      </c>
      <c r="L13" s="97" t="n"/>
      <c r="M13" s="97" t="n"/>
      <c r="N13" s="115" t="inlineStr">
        <is>
          <t>FE</t>
        </is>
      </c>
      <c r="O13" s="115" t="inlineStr">
        <is>
          <t>FE</t>
        </is>
      </c>
      <c r="P13" s="115" t="inlineStr">
        <is>
          <t>FE</t>
        </is>
      </c>
      <c r="Q13" s="115" t="inlineStr">
        <is>
          <t>FE</t>
        </is>
      </c>
      <c r="R13" s="115" t="inlineStr">
        <is>
          <t>FE</t>
        </is>
      </c>
      <c r="S13" s="115" t="inlineStr">
        <is>
          <t>FE</t>
        </is>
      </c>
      <c r="T13" s="115" t="inlineStr">
        <is>
          <t>FE</t>
        </is>
      </c>
      <c r="U13" s="115" t="inlineStr">
        <is>
          <t>FE</t>
        </is>
      </c>
      <c r="V13" s="115" t="inlineStr">
        <is>
          <t>FE</t>
        </is>
      </c>
      <c r="W13" s="115" t="inlineStr">
        <is>
          <t>FE</t>
        </is>
      </c>
      <c r="X13" s="115" t="inlineStr">
        <is>
          <t>FE</t>
        </is>
      </c>
      <c r="Y13" s="115" t="inlineStr">
        <is>
          <t>FE</t>
        </is>
      </c>
      <c r="Z13" s="115" t="inlineStr">
        <is>
          <t>FE</t>
        </is>
      </c>
      <c r="AA13" s="115" t="inlineStr">
        <is>
          <t>FE</t>
        </is>
      </c>
      <c r="AB13" s="115" t="inlineStr">
        <is>
          <t>FE</t>
        </is>
      </c>
      <c r="AC13" s="98" t="inlineStr">
        <is>
          <t>M</t>
        </is>
      </c>
      <c r="AD13" s="98" t="inlineStr">
        <is>
          <t>M</t>
        </is>
      </c>
      <c r="AE13" s="98" t="inlineStr">
        <is>
          <t>M</t>
        </is>
      </c>
      <c r="AF13" s="98" t="inlineStr">
        <is>
          <t>M</t>
        </is>
      </c>
      <c r="AG13" s="103" t="inlineStr">
        <is>
          <t>N</t>
        </is>
      </c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8" t="inlineStr">
        <is>
          <t>M</t>
        </is>
      </c>
      <c r="D14" s="98" t="inlineStr">
        <is>
          <t>M</t>
        </is>
      </c>
      <c r="E14" s="102" t="inlineStr">
        <is>
          <t>D</t>
        </is>
      </c>
      <c r="F14" s="98" t="inlineStr">
        <is>
          <t>M</t>
        </is>
      </c>
      <c r="G14" s="98" t="inlineStr">
        <is>
          <t>M</t>
        </is>
      </c>
      <c r="H14" s="102" t="inlineStr">
        <is>
          <t>D</t>
        </is>
      </c>
      <c r="I14" s="97" t="n"/>
      <c r="J14" s="98" t="inlineStr">
        <is>
          <t>M</t>
        </is>
      </c>
      <c r="K14" s="97" t="n"/>
      <c r="L14" s="97" t="n"/>
      <c r="M14" s="97" t="n"/>
      <c r="N14" s="97" t="n"/>
      <c r="O14" s="102" t="inlineStr">
        <is>
          <t>D</t>
        </is>
      </c>
      <c r="P14" s="97" t="n"/>
      <c r="Q14" s="98" t="inlineStr">
        <is>
          <t>M</t>
        </is>
      </c>
      <c r="R14" s="102" t="inlineStr">
        <is>
          <t>D</t>
        </is>
      </c>
      <c r="S14" s="102" t="inlineStr">
        <is>
          <t>D</t>
        </is>
      </c>
      <c r="T14" s="98" t="inlineStr">
        <is>
          <t>M</t>
        </is>
      </c>
      <c r="U14" s="102" t="inlineStr">
        <is>
          <t>D</t>
        </is>
      </c>
      <c r="V14" s="102" t="inlineStr">
        <is>
          <t>D</t>
        </is>
      </c>
      <c r="W14" s="97" t="n"/>
      <c r="X14" s="98" t="inlineStr">
        <is>
          <t>M</t>
        </is>
      </c>
      <c r="Y14" s="98" t="inlineStr">
        <is>
          <t>M</t>
        </is>
      </c>
      <c r="Z14" s="97" t="n"/>
      <c r="AA14" s="97" t="n"/>
      <c r="AB14" s="97" t="n"/>
      <c r="AC14" s="97" t="n"/>
      <c r="AD14" s="97" t="n"/>
      <c r="AE14" s="97" t="n"/>
      <c r="AF14" s="97" t="n"/>
      <c r="AG14" s="97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8" t="inlineStr">
        <is>
          <t>M</t>
        </is>
      </c>
      <c r="D15" s="98" t="inlineStr">
        <is>
          <t>M</t>
        </is>
      </c>
      <c r="E15" s="97" t="n"/>
      <c r="F15" s="97" t="n"/>
      <c r="G15" s="98" t="inlineStr">
        <is>
          <t>M</t>
        </is>
      </c>
      <c r="H15" s="98" t="inlineStr">
        <is>
          <t>M</t>
        </is>
      </c>
      <c r="I15" s="98" t="inlineStr">
        <is>
          <t>M</t>
        </is>
      </c>
      <c r="J15" s="98" t="inlineStr">
        <is>
          <t>M</t>
        </is>
      </c>
      <c r="K15" s="98" t="inlineStr">
        <is>
          <t>M</t>
        </is>
      </c>
      <c r="L15" s="103" t="inlineStr">
        <is>
          <t>N</t>
        </is>
      </c>
      <c r="M15" s="97" t="n"/>
      <c r="N15" s="97" t="n"/>
      <c r="O15" s="98" t="inlineStr">
        <is>
          <t>M</t>
        </is>
      </c>
      <c r="P15" s="98" t="inlineStr">
        <is>
          <t>M</t>
        </is>
      </c>
      <c r="Q15" s="98" t="inlineStr">
        <is>
          <t>M</t>
        </is>
      </c>
      <c r="R15" s="98" t="inlineStr">
        <is>
          <t>M</t>
        </is>
      </c>
      <c r="S15" s="97" t="n"/>
      <c r="T15" s="98" t="inlineStr">
        <is>
          <t>M</t>
        </is>
      </c>
      <c r="U15" s="98" t="inlineStr">
        <is>
          <t>M</t>
        </is>
      </c>
      <c r="V15" s="98" t="inlineStr">
        <is>
          <t>M</t>
        </is>
      </c>
      <c r="W15" s="98" t="inlineStr">
        <is>
          <t>M</t>
        </is>
      </c>
      <c r="X15" s="98" t="inlineStr">
        <is>
          <t>M</t>
        </is>
      </c>
      <c r="Y15" s="98" t="inlineStr">
        <is>
          <t>M</t>
        </is>
      </c>
      <c r="Z15" s="103" t="inlineStr">
        <is>
          <t>N</t>
        </is>
      </c>
      <c r="AA15" s="97" t="n"/>
      <c r="AB15" s="98" t="inlineStr">
        <is>
          <t>M</t>
        </is>
      </c>
      <c r="AC15" s="98" t="inlineStr">
        <is>
          <t>M</t>
        </is>
      </c>
      <c r="AD15" s="98" t="inlineStr">
        <is>
          <t>M</t>
        </is>
      </c>
      <c r="AE15" s="98" t="inlineStr">
        <is>
          <t>M</t>
        </is>
      </c>
      <c r="AF15" s="98" t="inlineStr">
        <is>
          <t>M</t>
        </is>
      </c>
      <c r="AG15" s="97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116" t="inlineStr">
        <is>
          <t>J</t>
        </is>
      </c>
      <c r="D16" s="116" t="inlineStr">
        <is>
          <t>J</t>
        </is>
      </c>
      <c r="E16" s="116" t="inlineStr">
        <is>
          <t>J</t>
        </is>
      </c>
      <c r="F16" s="97" t="n"/>
      <c r="G16" s="116" t="inlineStr">
        <is>
          <t>J</t>
        </is>
      </c>
      <c r="H16" s="116" t="inlineStr">
        <is>
          <t>J</t>
        </is>
      </c>
      <c r="I16" s="116" t="inlineStr">
        <is>
          <t>J</t>
        </is>
      </c>
      <c r="J16" s="116" t="inlineStr">
        <is>
          <t>J</t>
        </is>
      </c>
      <c r="K16" s="116" t="inlineStr">
        <is>
          <t>J</t>
        </is>
      </c>
      <c r="L16" s="116" t="inlineStr">
        <is>
          <t>J</t>
        </is>
      </c>
      <c r="M16" s="97" t="n"/>
      <c r="N16" s="97" t="n"/>
      <c r="O16" s="116" t="inlineStr">
        <is>
          <t>J</t>
        </is>
      </c>
      <c r="P16" s="116" t="inlineStr">
        <is>
          <t>J</t>
        </is>
      </c>
      <c r="Q16" s="116" t="inlineStr">
        <is>
          <t>J</t>
        </is>
      </c>
      <c r="R16" s="116" t="inlineStr">
        <is>
          <t>J</t>
        </is>
      </c>
      <c r="S16" s="116" t="inlineStr">
        <is>
          <t>J</t>
        </is>
      </c>
      <c r="T16" s="97" t="n"/>
      <c r="U16" s="116" t="inlineStr">
        <is>
          <t>J</t>
        </is>
      </c>
      <c r="V16" s="116" t="inlineStr">
        <is>
          <t>J</t>
        </is>
      </c>
      <c r="W16" s="116" t="inlineStr">
        <is>
          <t>J</t>
        </is>
      </c>
      <c r="X16" s="116" t="inlineStr">
        <is>
          <t>J</t>
        </is>
      </c>
      <c r="Y16" s="116" t="inlineStr">
        <is>
          <t>J</t>
        </is>
      </c>
      <c r="Z16" s="116" t="inlineStr">
        <is>
          <t>J</t>
        </is>
      </c>
      <c r="AA16" s="97" t="n"/>
      <c r="AB16" s="116" t="inlineStr">
        <is>
          <t>J</t>
        </is>
      </c>
      <c r="AC16" s="116" t="inlineStr">
        <is>
          <t>J</t>
        </is>
      </c>
      <c r="AD16" s="116" t="inlineStr">
        <is>
          <t>J</t>
        </is>
      </c>
      <c r="AE16" s="116" t="inlineStr">
        <is>
          <t>J</t>
        </is>
      </c>
      <c r="AF16" s="116" t="inlineStr">
        <is>
          <t>J</t>
        </is>
      </c>
      <c r="AG16" s="116" t="inlineStr">
        <is>
          <t>J</t>
        </is>
      </c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104" t="inlineStr">
        <is>
          <t>T</t>
        </is>
      </c>
      <c r="D17" s="103" t="inlineStr">
        <is>
          <t>N</t>
        </is>
      </c>
      <c r="E17" s="104" t="inlineStr">
        <is>
          <t>T</t>
        </is>
      </c>
      <c r="F17" s="97" t="n"/>
      <c r="G17" s="103" t="inlineStr">
        <is>
          <t>N</t>
        </is>
      </c>
      <c r="H17" s="112" t="inlineStr">
        <is>
          <t>E</t>
        </is>
      </c>
      <c r="I17" s="98" t="inlineStr">
        <is>
          <t>M</t>
        </is>
      </c>
      <c r="J17" s="104" t="inlineStr">
        <is>
          <t>T</t>
        </is>
      </c>
      <c r="K17" s="104" t="inlineStr">
        <is>
          <t>T</t>
        </is>
      </c>
      <c r="L17" s="103" t="inlineStr">
        <is>
          <t>N</t>
        </is>
      </c>
      <c r="M17" s="97" t="n"/>
      <c r="N17" s="103" t="inlineStr">
        <is>
          <t>N</t>
        </is>
      </c>
      <c r="O17" s="97" t="n"/>
      <c r="P17" s="102" t="inlineStr">
        <is>
          <t>D</t>
        </is>
      </c>
      <c r="Q17" s="103" t="inlineStr">
        <is>
          <t>N</t>
        </is>
      </c>
      <c r="R17" s="97" t="n"/>
      <c r="S17" s="97" t="n"/>
      <c r="T17" s="97" t="n"/>
      <c r="U17" s="115" t="inlineStr">
        <is>
          <t>FE</t>
        </is>
      </c>
      <c r="V17" s="115" t="inlineStr">
        <is>
          <t>FE</t>
        </is>
      </c>
      <c r="W17" s="115" t="inlineStr">
        <is>
          <t>FE</t>
        </is>
      </c>
      <c r="X17" s="115" t="inlineStr">
        <is>
          <t>FE</t>
        </is>
      </c>
      <c r="Y17" s="115" t="inlineStr">
        <is>
          <t>FE</t>
        </is>
      </c>
      <c r="Z17" s="115" t="inlineStr">
        <is>
          <t>FE</t>
        </is>
      </c>
      <c r="AA17" s="115" t="inlineStr">
        <is>
          <t>FE</t>
        </is>
      </c>
      <c r="AB17" s="115" t="inlineStr">
        <is>
          <t>FE</t>
        </is>
      </c>
      <c r="AC17" s="115" t="inlineStr">
        <is>
          <t>FE</t>
        </is>
      </c>
      <c r="AD17" s="115" t="inlineStr">
        <is>
          <t>FE</t>
        </is>
      </c>
      <c r="AE17" s="115" t="inlineStr">
        <is>
          <t>FE</t>
        </is>
      </c>
      <c r="AF17" s="115" t="inlineStr">
        <is>
          <t>FE</t>
        </is>
      </c>
      <c r="AG17" s="115" t="inlineStr">
        <is>
          <t>FE</t>
        </is>
      </c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104" t="inlineStr">
        <is>
          <t>T</t>
        </is>
      </c>
      <c r="D18" s="102" t="inlineStr">
        <is>
          <t>D</t>
        </is>
      </c>
      <c r="E18" s="97" t="n"/>
      <c r="F18" s="97" t="n"/>
      <c r="G18" s="104" t="inlineStr">
        <is>
          <t>T</t>
        </is>
      </c>
      <c r="H18" s="104" t="inlineStr">
        <is>
          <t>T</t>
        </is>
      </c>
      <c r="I18" s="104" t="inlineStr">
        <is>
          <t>T</t>
        </is>
      </c>
      <c r="J18" s="104" t="inlineStr">
        <is>
          <t>T</t>
        </is>
      </c>
      <c r="K18" s="97" t="n"/>
      <c r="L18" s="97" t="n"/>
      <c r="M18" s="102" t="inlineStr">
        <is>
          <t>D</t>
        </is>
      </c>
      <c r="N18" s="102" t="inlineStr">
        <is>
          <t>D</t>
        </is>
      </c>
      <c r="O18" s="104" t="inlineStr">
        <is>
          <t>T</t>
        </is>
      </c>
      <c r="P18" s="102" t="inlineStr">
        <is>
          <t>D</t>
        </is>
      </c>
      <c r="Q18" s="104" t="inlineStr">
        <is>
          <t>T</t>
        </is>
      </c>
      <c r="R18" s="97" t="n"/>
      <c r="S18" s="97" t="n"/>
      <c r="T18" s="97" t="n"/>
      <c r="U18" s="104" t="inlineStr">
        <is>
          <t>T</t>
        </is>
      </c>
      <c r="V18" s="104" t="inlineStr">
        <is>
          <t>T</t>
        </is>
      </c>
      <c r="W18" s="104" t="inlineStr">
        <is>
          <t>T</t>
        </is>
      </c>
      <c r="X18" s="97" t="n"/>
      <c r="Y18" s="104" t="inlineStr">
        <is>
          <t>T</t>
        </is>
      </c>
      <c r="Z18" s="97" t="n"/>
      <c r="AA18" s="102" t="inlineStr">
        <is>
          <t>D</t>
        </is>
      </c>
      <c r="AB18" s="104" t="inlineStr">
        <is>
          <t>T</t>
        </is>
      </c>
      <c r="AC18" s="104" t="inlineStr">
        <is>
          <t>T</t>
        </is>
      </c>
      <c r="AD18" s="104" t="inlineStr">
        <is>
          <t>T</t>
        </is>
      </c>
      <c r="AE18" s="104" t="inlineStr">
        <is>
          <t>T</t>
        </is>
      </c>
      <c r="AF18" s="97" t="n"/>
      <c r="AG18" s="103" t="inlineStr">
        <is>
          <t>N</t>
        </is>
      </c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103" t="inlineStr">
        <is>
          <t>N</t>
        </is>
      </c>
      <c r="D19" s="97" t="n"/>
      <c r="E19" s="97" t="n"/>
      <c r="F19" s="103" t="inlineStr">
        <is>
          <t>N</t>
        </is>
      </c>
      <c r="G19" s="97" t="n"/>
      <c r="H19" s="97" t="n"/>
      <c r="I19" s="103" t="inlineStr">
        <is>
          <t>N</t>
        </is>
      </c>
      <c r="J19" s="103" t="inlineStr">
        <is>
          <t>N</t>
        </is>
      </c>
      <c r="K19" s="97" t="n"/>
      <c r="L19" s="97" t="n"/>
      <c r="M19" s="103" t="inlineStr">
        <is>
          <t>N</t>
        </is>
      </c>
      <c r="N19" s="97" t="n"/>
      <c r="O19" s="97" t="n"/>
      <c r="P19" s="103" t="inlineStr">
        <is>
          <t>N</t>
        </is>
      </c>
      <c r="Q19" s="103" t="inlineStr">
        <is>
          <t>N</t>
        </is>
      </c>
      <c r="R19" s="97" t="n"/>
      <c r="S19" s="103" t="inlineStr">
        <is>
          <t>N</t>
        </is>
      </c>
      <c r="T19" s="103" t="inlineStr">
        <is>
          <t>N</t>
        </is>
      </c>
      <c r="U19" s="97" t="n"/>
      <c r="V19" s="103" t="inlineStr">
        <is>
          <t>N</t>
        </is>
      </c>
      <c r="W19" s="97" t="n"/>
      <c r="X19" s="103" t="inlineStr">
        <is>
          <t>N</t>
        </is>
      </c>
      <c r="Y19" s="103" t="inlineStr">
        <is>
          <t>N</t>
        </is>
      </c>
      <c r="Z19" s="97" t="n"/>
      <c r="AA19" s="103" t="inlineStr">
        <is>
          <t>N</t>
        </is>
      </c>
      <c r="AB19" s="97" t="n"/>
      <c r="AC19" s="97" t="n"/>
      <c r="AD19" s="103" t="inlineStr">
        <is>
          <t>N</t>
        </is>
      </c>
      <c r="AE19" s="103" t="inlineStr">
        <is>
          <t>N</t>
        </is>
      </c>
      <c r="AF19" s="97" t="n"/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103" t="inlineStr">
        <is>
          <t>N</t>
        </is>
      </c>
      <c r="D20" s="103" t="inlineStr">
        <is>
          <t>N</t>
        </is>
      </c>
      <c r="E20" s="97" t="n"/>
      <c r="F20" s="97" t="n"/>
      <c r="G20" s="97" t="n"/>
      <c r="H20" s="103" t="inlineStr">
        <is>
          <t>N</t>
        </is>
      </c>
      <c r="I20" s="103" t="inlineStr">
        <is>
          <t>N</t>
        </is>
      </c>
      <c r="J20" s="103" t="inlineStr">
        <is>
          <t>N</t>
        </is>
      </c>
      <c r="K20" s="97" t="n"/>
      <c r="L20" s="97" t="n"/>
      <c r="M20" s="97" t="n"/>
      <c r="N20" s="97" t="n"/>
      <c r="O20" s="103" t="inlineStr">
        <is>
          <t>N</t>
        </is>
      </c>
      <c r="P20" s="103" t="inlineStr">
        <is>
          <t>N</t>
        </is>
      </c>
      <c r="Q20" s="97" t="n"/>
      <c r="R20" s="97" t="n"/>
      <c r="S20" s="97" t="n"/>
      <c r="T20" s="103" t="inlineStr">
        <is>
          <t>N</t>
        </is>
      </c>
      <c r="U20" s="97" t="n"/>
      <c r="V20" s="103" t="inlineStr">
        <is>
          <t>N</t>
        </is>
      </c>
      <c r="W20" s="97" t="n"/>
      <c r="X20" s="103" t="inlineStr">
        <is>
          <t>N</t>
        </is>
      </c>
      <c r="Y20" s="97" t="n"/>
      <c r="Z20" s="97" t="n"/>
      <c r="AA20" s="103" t="inlineStr">
        <is>
          <t>N</t>
        </is>
      </c>
      <c r="AB20" s="97" t="n"/>
      <c r="AC20" s="103" t="inlineStr">
        <is>
          <t>N</t>
        </is>
      </c>
      <c r="AD20" s="103" t="inlineStr">
        <is>
          <t>N</t>
        </is>
      </c>
      <c r="AE20" s="97" t="n"/>
      <c r="AF20" s="103" t="inlineStr">
        <is>
          <t>N</t>
        </is>
      </c>
      <c r="AG20" s="97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104" t="inlineStr">
        <is>
          <t>T</t>
        </is>
      </c>
      <c r="D21" s="97" t="n"/>
      <c r="E21" s="97" t="n"/>
      <c r="F21" s="103" t="inlineStr">
        <is>
          <t>N</t>
        </is>
      </c>
      <c r="G21" s="104" t="inlineStr">
        <is>
          <t>T</t>
        </is>
      </c>
      <c r="H21" s="98" t="inlineStr">
        <is>
          <t>M</t>
        </is>
      </c>
      <c r="I21" s="102" t="inlineStr">
        <is>
          <t>D</t>
        </is>
      </c>
      <c r="J21" s="97" t="n"/>
      <c r="K21" s="97" t="n"/>
      <c r="L21" s="98" t="inlineStr">
        <is>
          <t>M</t>
        </is>
      </c>
      <c r="M21" s="98" t="inlineStr">
        <is>
          <t>M</t>
        </is>
      </c>
      <c r="N21" s="103" t="inlineStr">
        <is>
          <t>N</t>
        </is>
      </c>
      <c r="O21" s="104" t="inlineStr">
        <is>
          <t>T</t>
        </is>
      </c>
      <c r="P21" s="102" t="inlineStr">
        <is>
          <t>D</t>
        </is>
      </c>
      <c r="Q21" s="104" t="inlineStr">
        <is>
          <t>T</t>
        </is>
      </c>
      <c r="R21" s="97" t="n"/>
      <c r="S21" s="97" t="n"/>
      <c r="T21" s="103" t="inlineStr">
        <is>
          <t>N</t>
        </is>
      </c>
      <c r="U21" s="104" t="inlineStr">
        <is>
          <t>T</t>
        </is>
      </c>
      <c r="V21" s="98" t="inlineStr">
        <is>
          <t>M</t>
        </is>
      </c>
      <c r="W21" s="102" t="inlineStr">
        <is>
          <t>D</t>
        </is>
      </c>
      <c r="X21" s="104" t="inlineStr">
        <is>
          <t>T</t>
        </is>
      </c>
      <c r="Y21" s="97" t="n"/>
      <c r="Z21" s="97" t="n"/>
      <c r="AA21" s="103" t="inlineStr">
        <is>
          <t>N</t>
        </is>
      </c>
      <c r="AB21" s="104" t="inlineStr">
        <is>
          <t>T</t>
        </is>
      </c>
      <c r="AC21" s="98" t="inlineStr">
        <is>
          <t>M</t>
        </is>
      </c>
      <c r="AD21" s="102" t="inlineStr">
        <is>
          <t>D</t>
        </is>
      </c>
      <c r="AE21" s="104" t="inlineStr">
        <is>
          <t>T</t>
        </is>
      </c>
      <c r="AF21" s="97" t="n"/>
      <c r="AG21" s="97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8" t="inlineStr">
        <is>
          <t>M</t>
        </is>
      </c>
      <c r="D22" s="97" t="n"/>
      <c r="E22" s="97" t="n"/>
      <c r="F22" s="104" t="inlineStr">
        <is>
          <t>T</t>
        </is>
      </c>
      <c r="G22" s="97" t="n"/>
      <c r="H22" s="102" t="inlineStr">
        <is>
          <t>D</t>
        </is>
      </c>
      <c r="I22" s="97" t="n"/>
      <c r="J22" s="97" t="n"/>
      <c r="K22" s="97" t="n"/>
      <c r="L22" s="98" t="inlineStr">
        <is>
          <t>M</t>
        </is>
      </c>
      <c r="M22" s="102" t="inlineStr">
        <is>
          <t>D</t>
        </is>
      </c>
      <c r="N22" s="97" t="n"/>
      <c r="O22" s="103" t="inlineStr">
        <is>
          <t>N</t>
        </is>
      </c>
      <c r="P22" s="97" t="n"/>
      <c r="Q22" s="97" t="n"/>
      <c r="R22" s="97" t="n"/>
      <c r="S22" s="102" t="inlineStr">
        <is>
          <t>D</t>
        </is>
      </c>
      <c r="T22" s="104" t="inlineStr">
        <is>
          <t>T</t>
        </is>
      </c>
      <c r="U22" s="97" t="n"/>
      <c r="V22" s="102" t="inlineStr">
        <is>
          <t>D</t>
        </is>
      </c>
      <c r="W22" s="98" t="inlineStr">
        <is>
          <t>M</t>
        </is>
      </c>
      <c r="X22" s="98" t="inlineStr">
        <is>
          <t>M</t>
        </is>
      </c>
      <c r="Y22" s="97" t="n"/>
      <c r="Z22" s="97" t="n"/>
      <c r="AA22" s="97" t="n"/>
      <c r="AB22" s="97" t="n"/>
      <c r="AC22" s="102" t="inlineStr">
        <is>
          <t>D</t>
        </is>
      </c>
      <c r="AD22" s="97" t="n"/>
      <c r="AE22" s="98" t="inlineStr">
        <is>
          <t>M</t>
        </is>
      </c>
      <c r="AF22" s="103" t="inlineStr">
        <is>
          <t>N</t>
        </is>
      </c>
      <c r="AG22" s="97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102" t="inlineStr">
        <is>
          <t>D</t>
        </is>
      </c>
      <c r="D23" s="97" t="n"/>
      <c r="E23" s="102" t="inlineStr">
        <is>
          <t>D</t>
        </is>
      </c>
      <c r="F23" s="102" t="inlineStr">
        <is>
          <t>D</t>
        </is>
      </c>
      <c r="G23" s="97" t="n"/>
      <c r="H23" s="102" t="inlineStr">
        <is>
          <t>D</t>
        </is>
      </c>
      <c r="I23" s="97" t="n"/>
      <c r="J23" s="102" t="inlineStr">
        <is>
          <t>D</t>
        </is>
      </c>
      <c r="K23" s="97" t="n"/>
      <c r="L23" s="97" t="n"/>
      <c r="M23" s="97" t="n"/>
      <c r="N23" s="97" t="n"/>
      <c r="O23" s="102" t="inlineStr">
        <is>
          <t>D</t>
        </is>
      </c>
      <c r="P23" s="97" t="n"/>
      <c r="Q23" s="102" t="inlineStr">
        <is>
          <t>D</t>
        </is>
      </c>
      <c r="R23" s="97" t="n"/>
      <c r="S23" s="102" t="inlineStr">
        <is>
          <t>D</t>
        </is>
      </c>
      <c r="T23" s="97" t="n"/>
      <c r="U23" s="102" t="inlineStr">
        <is>
          <t>D</t>
        </is>
      </c>
      <c r="V23" s="102" t="inlineStr">
        <is>
          <t>D</t>
        </is>
      </c>
      <c r="W23" s="97" t="n"/>
      <c r="X23" s="102" t="inlineStr">
        <is>
          <t>D</t>
        </is>
      </c>
      <c r="Y23" s="97" t="n"/>
      <c r="Z23" s="97" t="n"/>
      <c r="AA23" s="97" t="n"/>
      <c r="AB23" s="102" t="inlineStr">
        <is>
          <t>D</t>
        </is>
      </c>
      <c r="AC23" s="102" t="inlineStr">
        <is>
          <t>D</t>
        </is>
      </c>
      <c r="AD23" s="97" t="n"/>
      <c r="AE23" s="102" t="inlineStr">
        <is>
          <t>D</t>
        </is>
      </c>
      <c r="AF23" s="97" t="n"/>
      <c r="AG23" s="104" t="inlineStr">
        <is>
          <t>T</t>
        </is>
      </c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102" t="inlineStr">
        <is>
          <t>D</t>
        </is>
      </c>
      <c r="D24" s="97" t="n"/>
      <c r="E24" s="103" t="inlineStr">
        <is>
          <t>N</t>
        </is>
      </c>
      <c r="F24" s="97" t="n"/>
      <c r="G24" s="97" t="n"/>
      <c r="H24" s="102" t="inlineStr">
        <is>
          <t>D</t>
        </is>
      </c>
      <c r="I24" s="98" t="inlineStr">
        <is>
          <t>M</t>
        </is>
      </c>
      <c r="J24" s="102" t="inlineStr">
        <is>
          <t>D</t>
        </is>
      </c>
      <c r="K24" s="98" t="inlineStr">
        <is>
          <t>M</t>
        </is>
      </c>
      <c r="L24" s="97" t="n"/>
      <c r="M24" s="97" t="n"/>
      <c r="N24" s="97" t="n"/>
      <c r="O24" s="97" t="n"/>
      <c r="P24" s="97" t="n"/>
      <c r="Q24" s="102" t="inlineStr">
        <is>
          <t>D</t>
        </is>
      </c>
      <c r="R24" s="103" t="inlineStr">
        <is>
          <t>N</t>
        </is>
      </c>
      <c r="S24" s="103" t="inlineStr">
        <is>
          <t>N</t>
        </is>
      </c>
      <c r="T24" s="97" t="n"/>
      <c r="U24" s="97" t="n"/>
      <c r="V24" s="102" t="inlineStr">
        <is>
          <t>D</t>
        </is>
      </c>
      <c r="W24" s="97" t="n"/>
      <c r="X24" s="102" t="inlineStr">
        <is>
          <t>D</t>
        </is>
      </c>
      <c r="Y24" s="97" t="n"/>
      <c r="Z24" s="103" t="inlineStr">
        <is>
          <t>N</t>
        </is>
      </c>
      <c r="AA24" s="97" t="n"/>
      <c r="AB24" s="97" t="n"/>
      <c r="AC24" s="102" t="inlineStr">
        <is>
          <t>D</t>
        </is>
      </c>
      <c r="AD24" s="97" t="n"/>
      <c r="AE24" s="102" t="inlineStr">
        <is>
          <t>D</t>
        </is>
      </c>
      <c r="AF24" s="97" t="n"/>
      <c r="AG24" s="103" t="inlineStr">
        <is>
          <t>N</t>
        </is>
      </c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103" t="inlineStr">
        <is>
          <t>N</t>
        </is>
      </c>
      <c r="G25" s="97" t="n"/>
      <c r="H25" s="103" t="inlineStr">
        <is>
          <t>N</t>
        </is>
      </c>
      <c r="I25" s="103" t="inlineStr">
        <is>
          <t>N</t>
        </is>
      </c>
      <c r="J25" s="97" t="n"/>
      <c r="K25" s="97" t="n"/>
      <c r="L25" s="97" t="n"/>
      <c r="M25" s="103" t="inlineStr">
        <is>
          <t>N</t>
        </is>
      </c>
      <c r="N25" s="97" t="n"/>
      <c r="O25" s="103" t="inlineStr">
        <is>
          <t>N</t>
        </is>
      </c>
      <c r="P25" s="103" t="inlineStr">
        <is>
          <t>N</t>
        </is>
      </c>
      <c r="Q25" s="97" t="n"/>
      <c r="R25" s="97" t="n"/>
      <c r="S25" s="97" t="n"/>
      <c r="T25" s="103" t="inlineStr">
        <is>
          <t>N</t>
        </is>
      </c>
      <c r="U25" s="115" t="inlineStr">
        <is>
          <t>FE</t>
        </is>
      </c>
      <c r="V25" s="115" t="inlineStr">
        <is>
          <t>FE</t>
        </is>
      </c>
      <c r="W25" s="115" t="inlineStr">
        <is>
          <t>FE</t>
        </is>
      </c>
      <c r="X25" s="115" t="inlineStr">
        <is>
          <t>FE</t>
        </is>
      </c>
      <c r="Y25" s="115" t="inlineStr">
        <is>
          <t>FE</t>
        </is>
      </c>
      <c r="Z25" s="115" t="inlineStr">
        <is>
          <t>FE</t>
        </is>
      </c>
      <c r="AA25" s="115" t="inlineStr">
        <is>
          <t>FE</t>
        </is>
      </c>
      <c r="AB25" s="115" t="inlineStr">
        <is>
          <t>FE</t>
        </is>
      </c>
      <c r="AC25" s="115" t="inlineStr">
        <is>
          <t>FE</t>
        </is>
      </c>
      <c r="AD25" s="115" t="inlineStr">
        <is>
          <t>FE</t>
        </is>
      </c>
      <c r="AE25" s="115" t="inlineStr">
        <is>
          <t>FE</t>
        </is>
      </c>
      <c r="AF25" s="115" t="inlineStr">
        <is>
          <t>FE</t>
        </is>
      </c>
      <c r="AG25" s="115" t="inlineStr">
        <is>
          <t>FE</t>
        </is>
      </c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104" t="inlineStr">
        <is>
          <t>T</t>
        </is>
      </c>
      <c r="D26" s="98" t="inlineStr">
        <is>
          <t>M</t>
        </is>
      </c>
      <c r="E26" s="97" t="n"/>
      <c r="F26" s="103" t="inlineStr">
        <is>
          <t>N</t>
        </is>
      </c>
      <c r="G26" s="97" t="n"/>
      <c r="H26" s="103" t="inlineStr">
        <is>
          <t>N</t>
        </is>
      </c>
      <c r="I26" s="97" t="n"/>
      <c r="J26" s="104" t="inlineStr">
        <is>
          <t>T</t>
        </is>
      </c>
      <c r="K26" s="102" t="inlineStr">
        <is>
          <t>D</t>
        </is>
      </c>
      <c r="L26" s="98" t="inlineStr">
        <is>
          <t>M</t>
        </is>
      </c>
      <c r="M26" s="104" t="inlineStr">
        <is>
          <t>T</t>
        </is>
      </c>
      <c r="N26" s="97" t="n"/>
      <c r="O26" s="102" t="inlineStr">
        <is>
          <t>D</t>
        </is>
      </c>
      <c r="P26" s="97" t="n"/>
      <c r="Q26" s="97" t="n"/>
      <c r="R26" s="103" t="inlineStr">
        <is>
          <t>N</t>
        </is>
      </c>
      <c r="S26" s="97" t="n"/>
      <c r="T26" s="103" t="inlineStr">
        <is>
          <t>N</t>
        </is>
      </c>
      <c r="U26" s="97" t="n"/>
      <c r="V26" s="103" t="inlineStr">
        <is>
          <t>N</t>
        </is>
      </c>
      <c r="W26" s="97" t="n"/>
      <c r="X26" s="97" t="n"/>
      <c r="Y26" s="102" t="inlineStr">
        <is>
          <t>D</t>
        </is>
      </c>
      <c r="Z26" s="97" t="n"/>
      <c r="AA26" s="103" t="inlineStr">
        <is>
          <t>N</t>
        </is>
      </c>
      <c r="AB26" s="97" t="n"/>
      <c r="AC26" s="103" t="inlineStr">
        <is>
          <t>N</t>
        </is>
      </c>
      <c r="AD26" s="97" t="n"/>
      <c r="AE26" s="102" t="inlineStr">
        <is>
          <t>D</t>
        </is>
      </c>
      <c r="AF26" s="104" t="inlineStr">
        <is>
          <t>T</t>
        </is>
      </c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103" t="inlineStr">
        <is>
          <t>N</t>
        </is>
      </c>
      <c r="D27" s="97" t="n"/>
      <c r="E27" s="103" t="inlineStr">
        <is>
          <t>N</t>
        </is>
      </c>
      <c r="F27" s="97" t="n"/>
      <c r="G27" s="97" t="n"/>
      <c r="H27" s="103" t="inlineStr">
        <is>
          <t>N</t>
        </is>
      </c>
      <c r="I27" s="97" t="n"/>
      <c r="J27" s="103" t="inlineStr">
        <is>
          <t>N</t>
        </is>
      </c>
      <c r="K27" s="97" t="n"/>
      <c r="L27" s="103" t="inlineStr">
        <is>
          <t>N</t>
        </is>
      </c>
      <c r="M27" s="97" t="n"/>
      <c r="N27" s="97" t="n"/>
      <c r="O27" s="103" t="inlineStr">
        <is>
          <t>N</t>
        </is>
      </c>
      <c r="P27" s="97" t="n"/>
      <c r="Q27" s="103" t="inlineStr">
        <is>
          <t>N</t>
        </is>
      </c>
      <c r="R27" s="97" t="n"/>
      <c r="S27" s="103" t="inlineStr">
        <is>
          <t>N</t>
        </is>
      </c>
      <c r="T27" s="97" t="n"/>
      <c r="U27" s="97" t="n"/>
      <c r="V27" s="103" t="inlineStr">
        <is>
          <t>N</t>
        </is>
      </c>
      <c r="W27" s="97" t="n"/>
      <c r="X27" s="103" t="inlineStr">
        <is>
          <t>N</t>
        </is>
      </c>
      <c r="Y27" s="97" t="n"/>
      <c r="Z27" s="103" t="inlineStr">
        <is>
          <t>N</t>
        </is>
      </c>
      <c r="AA27" s="97" t="n"/>
      <c r="AB27" s="97" t="n"/>
      <c r="AC27" s="103" t="inlineStr">
        <is>
          <t>N</t>
        </is>
      </c>
      <c r="AD27" s="97" t="n"/>
      <c r="AE27" s="103" t="inlineStr">
        <is>
          <t>N</t>
        </is>
      </c>
      <c r="AF27" s="97" t="n"/>
      <c r="AG27" s="103" t="inlineStr">
        <is>
          <t>N</t>
        </is>
      </c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115" t="inlineStr">
        <is>
          <t>FE</t>
        </is>
      </c>
      <c r="D28" s="115" t="inlineStr">
        <is>
          <t>FE</t>
        </is>
      </c>
      <c r="E28" s="115" t="inlineStr">
        <is>
          <t>FE</t>
        </is>
      </c>
      <c r="F28" s="115" t="inlineStr">
        <is>
          <t>FE</t>
        </is>
      </c>
      <c r="G28" s="115" t="inlineStr">
        <is>
          <t>FE</t>
        </is>
      </c>
      <c r="H28" s="115" t="inlineStr">
        <is>
          <t>FE</t>
        </is>
      </c>
      <c r="I28" s="115" t="inlineStr">
        <is>
          <t>FE</t>
        </is>
      </c>
      <c r="J28" s="115" t="inlineStr">
        <is>
          <t>FE</t>
        </is>
      </c>
      <c r="K28" s="115" t="inlineStr">
        <is>
          <t>FE</t>
        </is>
      </c>
      <c r="L28" s="115" t="inlineStr">
        <is>
          <t>FE</t>
        </is>
      </c>
      <c r="M28" s="115" t="inlineStr">
        <is>
          <t>FE</t>
        </is>
      </c>
      <c r="N28" s="97" t="n"/>
      <c r="O28" s="102" t="inlineStr">
        <is>
          <t>D</t>
        </is>
      </c>
      <c r="P28" s="102" t="inlineStr">
        <is>
          <t>D</t>
        </is>
      </c>
      <c r="Q28" s="97" t="n"/>
      <c r="R28" s="104" t="inlineStr">
        <is>
          <t>T</t>
        </is>
      </c>
      <c r="S28" s="97" t="n"/>
      <c r="T28" s="104" t="inlineStr">
        <is>
          <t>T</t>
        </is>
      </c>
      <c r="U28" s="103" t="inlineStr">
        <is>
          <t>N</t>
        </is>
      </c>
      <c r="V28" s="97" t="n"/>
      <c r="W28" s="97" t="n"/>
      <c r="X28" s="97" t="n"/>
      <c r="Y28" s="104" t="inlineStr">
        <is>
          <t>T</t>
        </is>
      </c>
      <c r="Z28" s="97" t="n"/>
      <c r="AA28" s="102" t="inlineStr">
        <is>
          <t>D</t>
        </is>
      </c>
      <c r="AB28" s="97" t="n"/>
      <c r="AC28" s="98" t="inlineStr">
        <is>
          <t>M</t>
        </is>
      </c>
      <c r="AD28" s="98" t="inlineStr">
        <is>
          <t>M</t>
        </is>
      </c>
      <c r="AE28" s="97" t="n"/>
      <c r="AF28" s="103" t="inlineStr">
        <is>
          <t>N</t>
        </is>
      </c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8" t="inlineStr">
        <is>
          <t>M</t>
        </is>
      </c>
      <c r="D29" s="97" t="n"/>
      <c r="E29" s="98" t="inlineStr">
        <is>
          <t>M</t>
        </is>
      </c>
      <c r="F29" s="98" t="inlineStr">
        <is>
          <t>M</t>
        </is>
      </c>
      <c r="G29" s="103" t="inlineStr">
        <is>
          <t>N</t>
        </is>
      </c>
      <c r="H29" s="97" t="n"/>
      <c r="I29" s="98" t="inlineStr">
        <is>
          <t>M</t>
        </is>
      </c>
      <c r="J29" s="98" t="inlineStr">
        <is>
          <t>M</t>
        </is>
      </c>
      <c r="K29" s="97" t="n"/>
      <c r="L29" s="98" t="inlineStr">
        <is>
          <t>M</t>
        </is>
      </c>
      <c r="M29" s="97" t="n"/>
      <c r="N29" s="103" t="inlineStr">
        <is>
          <t>N</t>
        </is>
      </c>
      <c r="O29" s="97" t="n"/>
      <c r="P29" s="98" t="inlineStr">
        <is>
          <t>M</t>
        </is>
      </c>
      <c r="Q29" s="98" t="inlineStr">
        <is>
          <t>M</t>
        </is>
      </c>
      <c r="R29" s="97" t="n"/>
      <c r="S29" s="97" t="n"/>
      <c r="T29" s="97" t="n"/>
      <c r="U29" s="103" t="inlineStr">
        <is>
          <t>N</t>
        </is>
      </c>
      <c r="V29" s="97" t="n"/>
      <c r="W29" s="98" t="inlineStr">
        <is>
          <t>M</t>
        </is>
      </c>
      <c r="X29" s="98" t="inlineStr">
        <is>
          <t>M</t>
        </is>
      </c>
      <c r="Y29" s="97" t="n"/>
      <c r="Z29" s="98" t="inlineStr">
        <is>
          <t>M</t>
        </is>
      </c>
      <c r="AA29" s="97" t="n"/>
      <c r="AB29" s="103" t="inlineStr">
        <is>
          <t>N</t>
        </is>
      </c>
      <c r="AC29" s="97" t="n"/>
      <c r="AD29" s="98" t="inlineStr">
        <is>
          <t>M</t>
        </is>
      </c>
      <c r="AE29" s="98" t="inlineStr">
        <is>
          <t>M</t>
        </is>
      </c>
      <c r="AF29" s="97" t="n"/>
      <c r="AG29" s="98" t="inlineStr">
        <is>
          <t>M</t>
        </is>
      </c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115" t="inlineStr">
        <is>
          <t>FE</t>
        </is>
      </c>
      <c r="D30" s="115" t="inlineStr">
        <is>
          <t>FE</t>
        </is>
      </c>
      <c r="E30" s="115" t="inlineStr">
        <is>
          <t>FE</t>
        </is>
      </c>
      <c r="F30" s="115" t="inlineStr">
        <is>
          <t>FE</t>
        </is>
      </c>
      <c r="G30" s="115" t="inlineStr">
        <is>
          <t>FE</t>
        </is>
      </c>
      <c r="H30" s="97" t="n"/>
      <c r="I30" s="102" t="inlineStr">
        <is>
          <t>D</t>
        </is>
      </c>
      <c r="J30" s="104" t="inlineStr">
        <is>
          <t>T</t>
        </is>
      </c>
      <c r="K30" s="104" t="inlineStr">
        <is>
          <t>T</t>
        </is>
      </c>
      <c r="L30" s="97" t="n"/>
      <c r="M30" s="103" t="inlineStr">
        <is>
          <t>N</t>
        </is>
      </c>
      <c r="N30" s="97" t="n"/>
      <c r="O30" s="97" t="n"/>
      <c r="P30" s="103" t="inlineStr">
        <is>
          <t>N</t>
        </is>
      </c>
      <c r="Q30" s="104" t="inlineStr">
        <is>
          <t>T</t>
        </is>
      </c>
      <c r="R30" s="97" t="n"/>
      <c r="S30" s="97" t="n"/>
      <c r="T30" s="103" t="inlineStr">
        <is>
          <t>N</t>
        </is>
      </c>
      <c r="U30" s="97" t="n"/>
      <c r="V30" s="97" t="n"/>
      <c r="W30" s="102" t="inlineStr">
        <is>
          <t>D</t>
        </is>
      </c>
      <c r="X30" s="103" t="inlineStr">
        <is>
          <t>N</t>
        </is>
      </c>
      <c r="Y30" s="103" t="inlineStr">
        <is>
          <t>N</t>
        </is>
      </c>
      <c r="Z30" s="97" t="n"/>
      <c r="AA30" s="104" t="inlineStr">
        <is>
          <t>T</t>
        </is>
      </c>
      <c r="AB30" s="97" t="n"/>
      <c r="AC30" s="97" t="n"/>
      <c r="AD30" s="103" t="inlineStr">
        <is>
          <t>N</t>
        </is>
      </c>
      <c r="AE30" s="104" t="inlineStr">
        <is>
          <t>T</t>
        </is>
      </c>
      <c r="AF30" s="97" t="n"/>
      <c r="AG30" s="97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7" t="n"/>
      <c r="E31" s="97" t="n"/>
      <c r="F31" s="97" t="n"/>
      <c r="G31" s="104" t="inlineStr">
        <is>
          <t>T</t>
        </is>
      </c>
      <c r="H31" s="104" t="inlineStr">
        <is>
          <t>T</t>
        </is>
      </c>
      <c r="I31" s="98" t="inlineStr">
        <is>
          <t>M</t>
        </is>
      </c>
      <c r="J31" s="97" t="n"/>
      <c r="K31" s="98" t="inlineStr">
        <is>
          <t>M</t>
        </is>
      </c>
      <c r="L31" s="97" t="n"/>
      <c r="M31" s="103" t="inlineStr">
        <is>
          <t>N</t>
        </is>
      </c>
      <c r="N31" s="97" t="n"/>
      <c r="O31" s="104" t="inlineStr">
        <is>
          <t>T</t>
        </is>
      </c>
      <c r="P31" s="98" t="inlineStr">
        <is>
          <t>M</t>
        </is>
      </c>
      <c r="Q31" s="104" t="inlineStr">
        <is>
          <t>T</t>
        </is>
      </c>
      <c r="R31" s="103" t="inlineStr">
        <is>
          <t>N</t>
        </is>
      </c>
      <c r="S31" s="97" t="n"/>
      <c r="T31" s="97" t="n"/>
      <c r="U31" s="97" t="n"/>
      <c r="V31" s="104" t="inlineStr">
        <is>
          <t>T</t>
        </is>
      </c>
      <c r="W31" s="97" t="n"/>
      <c r="X31" s="97" t="n"/>
      <c r="Y31" s="98" t="inlineStr">
        <is>
          <t>M</t>
        </is>
      </c>
      <c r="Z31" s="98" t="inlineStr">
        <is>
          <t>M</t>
        </is>
      </c>
      <c r="AA31" s="103" t="inlineStr">
        <is>
          <t>N</t>
        </is>
      </c>
      <c r="AB31" s="97" t="n"/>
      <c r="AC31" s="104" t="inlineStr">
        <is>
          <t>T</t>
        </is>
      </c>
      <c r="AD31" s="102" t="inlineStr">
        <is>
          <t>D</t>
        </is>
      </c>
      <c r="AE31" s="104" t="inlineStr">
        <is>
          <t>T</t>
        </is>
      </c>
      <c r="AF31" s="98" t="inlineStr">
        <is>
          <t>M</t>
        </is>
      </c>
      <c r="AG31" s="103" t="inlineStr">
        <is>
          <t>N</t>
        </is>
      </c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115" t="inlineStr">
        <is>
          <t>FE</t>
        </is>
      </c>
      <c r="D32" s="115" t="inlineStr">
        <is>
          <t>FE</t>
        </is>
      </c>
      <c r="E32" s="115" t="inlineStr">
        <is>
          <t>FE</t>
        </is>
      </c>
      <c r="F32" s="115" t="inlineStr">
        <is>
          <t>FE</t>
        </is>
      </c>
      <c r="G32" s="115" t="inlineStr">
        <is>
          <t>FE</t>
        </is>
      </c>
      <c r="H32" s="97" t="n"/>
      <c r="I32" s="97" t="n"/>
      <c r="J32" s="102" t="inlineStr">
        <is>
          <t>D</t>
        </is>
      </c>
      <c r="K32" s="97" t="n"/>
      <c r="L32" s="98" t="inlineStr">
        <is>
          <t>M</t>
        </is>
      </c>
      <c r="M32" s="103" t="inlineStr">
        <is>
          <t>N</t>
        </is>
      </c>
      <c r="N32" s="103" t="inlineStr">
        <is>
          <t>N</t>
        </is>
      </c>
      <c r="O32" s="97" t="n"/>
      <c r="P32" s="104" t="inlineStr">
        <is>
          <t>T</t>
        </is>
      </c>
      <c r="Q32" s="98" t="inlineStr">
        <is>
          <t>M</t>
        </is>
      </c>
      <c r="R32" s="98" t="inlineStr">
        <is>
          <t>M</t>
        </is>
      </c>
      <c r="S32" s="97" t="n"/>
      <c r="T32" s="97" t="n"/>
      <c r="U32" s="102" t="inlineStr">
        <is>
          <t>D</t>
        </is>
      </c>
      <c r="V32" s="97" t="n"/>
      <c r="W32" s="97" t="n"/>
      <c r="X32" s="97" t="n"/>
      <c r="Y32" s="103" t="inlineStr">
        <is>
          <t>N</t>
        </is>
      </c>
      <c r="Z32" s="97" t="n"/>
      <c r="AA32" s="98" t="inlineStr">
        <is>
          <t>M</t>
        </is>
      </c>
      <c r="AB32" s="102" t="inlineStr">
        <is>
          <t>D</t>
        </is>
      </c>
      <c r="AC32" s="97" t="n"/>
      <c r="AD32" s="97" t="n"/>
      <c r="AE32" s="102" t="inlineStr">
        <is>
          <t>D</t>
        </is>
      </c>
      <c r="AF32" s="98" t="inlineStr">
        <is>
          <t>M</t>
        </is>
      </c>
      <c r="AG32" s="97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102" t="inlineStr">
        <is>
          <t>D</t>
        </is>
      </c>
      <c r="E33" s="98" t="inlineStr">
        <is>
          <t>M</t>
        </is>
      </c>
      <c r="F33" s="97" t="n"/>
      <c r="G33" s="102" t="inlineStr">
        <is>
          <t>D</t>
        </is>
      </c>
      <c r="H33" s="97" t="n"/>
      <c r="I33" s="97" t="n"/>
      <c r="J33" s="97" t="n"/>
      <c r="K33" s="104" t="inlineStr">
        <is>
          <t>T</t>
        </is>
      </c>
      <c r="L33" s="102" t="inlineStr">
        <is>
          <t>D</t>
        </is>
      </c>
      <c r="M33" s="97" t="n"/>
      <c r="N33" s="98" t="inlineStr">
        <is>
          <t>M</t>
        </is>
      </c>
      <c r="O33" s="97" t="n"/>
      <c r="P33" s="97" t="n"/>
      <c r="Q33" s="97" t="n"/>
      <c r="R33" s="102" t="inlineStr">
        <is>
          <t>D</t>
        </is>
      </c>
      <c r="S33" s="98" t="inlineStr">
        <is>
          <t>M</t>
        </is>
      </c>
      <c r="T33" s="97" t="n"/>
      <c r="U33" s="102" t="inlineStr">
        <is>
          <t>D</t>
        </is>
      </c>
      <c r="V33" s="97" t="n"/>
      <c r="W33" s="97" t="n"/>
      <c r="X33" s="97" t="n"/>
      <c r="Y33" s="102" t="inlineStr">
        <is>
          <t>D</t>
        </is>
      </c>
      <c r="Z33" s="97" t="n"/>
      <c r="AA33" s="97" t="n"/>
      <c r="AB33" s="102" t="inlineStr">
        <is>
          <t>D</t>
        </is>
      </c>
      <c r="AC33" s="97" t="n"/>
      <c r="AD33" s="97" t="n"/>
      <c r="AE33" s="97" t="n"/>
      <c r="AF33" s="102" t="inlineStr">
        <is>
          <t>D</t>
        </is>
      </c>
      <c r="AG33" s="97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102" t="inlineStr">
        <is>
          <t>D</t>
        </is>
      </c>
      <c r="F34" s="98" t="inlineStr">
        <is>
          <t>M</t>
        </is>
      </c>
      <c r="G34" s="97" t="n"/>
      <c r="H34" s="102" t="inlineStr">
        <is>
          <t>D</t>
        </is>
      </c>
      <c r="I34" s="98" t="inlineStr">
        <is>
          <t>M</t>
        </is>
      </c>
      <c r="J34" s="97" t="n"/>
      <c r="K34" s="97" t="n"/>
      <c r="L34" s="102" t="inlineStr">
        <is>
          <t>D</t>
        </is>
      </c>
      <c r="M34" s="97" t="n"/>
      <c r="N34" s="98" t="inlineStr">
        <is>
          <t>M</t>
        </is>
      </c>
      <c r="O34" s="97" t="n"/>
      <c r="P34" s="102" t="inlineStr">
        <is>
          <t>D</t>
        </is>
      </c>
      <c r="Q34" s="97" t="n"/>
      <c r="R34" s="103" t="inlineStr">
        <is>
          <t>N</t>
        </is>
      </c>
      <c r="S34" s="97" t="n"/>
      <c r="T34" s="97" t="n"/>
      <c r="U34" s="102" t="inlineStr">
        <is>
          <t>D</t>
        </is>
      </c>
      <c r="V34" s="98" t="inlineStr">
        <is>
          <t>M</t>
        </is>
      </c>
      <c r="W34" s="102" t="inlineStr">
        <is>
          <t>D</t>
        </is>
      </c>
      <c r="X34" s="97" t="n"/>
      <c r="Y34" s="97" t="n"/>
      <c r="Z34" s="97" t="n"/>
      <c r="AA34" s="97" t="n"/>
      <c r="AB34" s="97" t="n"/>
      <c r="AC34" s="102" t="inlineStr">
        <is>
          <t>D</t>
        </is>
      </c>
      <c r="AD34" s="102" t="inlineStr">
        <is>
          <t>D</t>
        </is>
      </c>
      <c r="AE34" s="98" t="inlineStr">
        <is>
          <t>M</t>
        </is>
      </c>
      <c r="AF34" s="97" t="n"/>
      <c r="AG34" s="104" t="inlineStr">
        <is>
          <t>T</t>
        </is>
      </c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103" t="inlineStr">
        <is>
          <t>N</t>
        </is>
      </c>
      <c r="D35" s="97" t="n"/>
      <c r="E35" s="97" t="n"/>
      <c r="F35" s="102" t="inlineStr">
        <is>
          <t>D</t>
        </is>
      </c>
      <c r="G35" s="97" t="n"/>
      <c r="H35" s="97" t="n"/>
      <c r="I35" s="97" t="n"/>
      <c r="J35" s="103" t="inlineStr">
        <is>
          <t>N</t>
        </is>
      </c>
      <c r="K35" s="103" t="inlineStr">
        <is>
          <t>N</t>
        </is>
      </c>
      <c r="L35" s="97" t="n"/>
      <c r="M35" s="102" t="inlineStr">
        <is>
          <t>D</t>
        </is>
      </c>
      <c r="N35" s="103" t="inlineStr">
        <is>
          <t>N</t>
        </is>
      </c>
      <c r="O35" s="97" t="n"/>
      <c r="P35" s="97" t="n"/>
      <c r="Q35" s="104" t="inlineStr">
        <is>
          <t>T</t>
        </is>
      </c>
      <c r="R35" s="97" t="n"/>
      <c r="S35" s="103" t="inlineStr">
        <is>
          <t>N</t>
        </is>
      </c>
      <c r="T35" s="97" t="n"/>
      <c r="U35" s="103" t="inlineStr">
        <is>
          <t>N</t>
        </is>
      </c>
      <c r="V35" s="97" t="n"/>
      <c r="W35" s="102" t="inlineStr">
        <is>
          <t>D</t>
        </is>
      </c>
      <c r="X35" s="97" t="n"/>
      <c r="Y35" s="97" t="n"/>
      <c r="Z35" s="97" t="n"/>
      <c r="AA35" s="97" t="n"/>
      <c r="AB35" s="103" t="inlineStr">
        <is>
          <t>N</t>
        </is>
      </c>
      <c r="AC35" s="97" t="n"/>
      <c r="AD35" s="104" t="inlineStr">
        <is>
          <t>T</t>
        </is>
      </c>
      <c r="AE35" s="97" t="n"/>
      <c r="AF35" s="102" t="inlineStr">
        <is>
          <t>D</t>
        </is>
      </c>
      <c r="AG35" s="97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8" t="inlineStr">
        <is>
          <t>M</t>
        </is>
      </c>
      <c r="E36" s="102" t="inlineStr">
        <is>
          <t>D</t>
        </is>
      </c>
      <c r="F36" s="104" t="inlineStr">
        <is>
          <t>T</t>
        </is>
      </c>
      <c r="G36" s="98" t="inlineStr">
        <is>
          <t>M</t>
        </is>
      </c>
      <c r="H36" s="103" t="inlineStr">
        <is>
          <t>N</t>
        </is>
      </c>
      <c r="I36" s="97" t="n"/>
      <c r="J36" s="97" t="n"/>
      <c r="K36" s="104" t="inlineStr">
        <is>
          <t>T</t>
        </is>
      </c>
      <c r="L36" s="102" t="inlineStr">
        <is>
          <t>D</t>
        </is>
      </c>
      <c r="M36" s="97" t="n"/>
      <c r="N36" s="104" t="inlineStr">
        <is>
          <t>T</t>
        </is>
      </c>
      <c r="O36" s="103" t="inlineStr">
        <is>
          <t>N</t>
        </is>
      </c>
      <c r="P36" s="97" t="n"/>
      <c r="Q36" s="104" t="inlineStr">
        <is>
          <t>T</t>
        </is>
      </c>
      <c r="R36" s="102" t="inlineStr">
        <is>
          <t>D</t>
        </is>
      </c>
      <c r="S36" s="97" t="n"/>
      <c r="T36" s="97" t="n"/>
      <c r="U36" s="102" t="inlineStr">
        <is>
          <t>D</t>
        </is>
      </c>
      <c r="V36" s="103" t="inlineStr">
        <is>
          <t>N</t>
        </is>
      </c>
      <c r="W36" s="97" t="n"/>
      <c r="X36" s="97" t="n"/>
      <c r="Y36" s="97" t="n"/>
      <c r="Z36" s="104" t="inlineStr">
        <is>
          <t>T</t>
        </is>
      </c>
      <c r="AA36" s="104" t="inlineStr">
        <is>
          <t>T</t>
        </is>
      </c>
      <c r="AB36" s="97" t="n"/>
      <c r="AC36" s="103" t="inlineStr">
        <is>
          <t>N</t>
        </is>
      </c>
      <c r="AD36" s="97" t="n"/>
      <c r="AE36" s="104" t="inlineStr">
        <is>
          <t>T</t>
        </is>
      </c>
      <c r="AF36" s="97" t="n"/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115" t="inlineStr">
        <is>
          <t>FE</t>
        </is>
      </c>
      <c r="D37" s="115" t="inlineStr">
        <is>
          <t>FE</t>
        </is>
      </c>
      <c r="E37" s="115" t="inlineStr">
        <is>
          <t>FE</t>
        </is>
      </c>
      <c r="F37" s="115" t="inlineStr">
        <is>
          <t>FE</t>
        </is>
      </c>
      <c r="G37" s="115" t="inlineStr">
        <is>
          <t>FE</t>
        </is>
      </c>
      <c r="H37" s="115" t="inlineStr">
        <is>
          <t>FE</t>
        </is>
      </c>
      <c r="I37" s="115" t="inlineStr">
        <is>
          <t>FE</t>
        </is>
      </c>
      <c r="J37" s="115" t="inlineStr">
        <is>
          <t>FE</t>
        </is>
      </c>
      <c r="K37" s="115" t="inlineStr">
        <is>
          <t>FE</t>
        </is>
      </c>
      <c r="L37" s="115" t="inlineStr">
        <is>
          <t>FE</t>
        </is>
      </c>
      <c r="M37" s="115" t="inlineStr">
        <is>
          <t>FE</t>
        </is>
      </c>
      <c r="N37" s="115" t="inlineStr">
        <is>
          <t>FE</t>
        </is>
      </c>
      <c r="O37" s="97" t="n"/>
      <c r="P37" s="103" t="inlineStr">
        <is>
          <t>N</t>
        </is>
      </c>
      <c r="Q37" s="97" t="n"/>
      <c r="R37" s="98" t="inlineStr">
        <is>
          <t>M</t>
        </is>
      </c>
      <c r="S37" s="102" t="inlineStr">
        <is>
          <t>D</t>
        </is>
      </c>
      <c r="T37" s="98" t="inlineStr">
        <is>
          <t>M</t>
        </is>
      </c>
      <c r="U37" s="97" t="n"/>
      <c r="V37" s="98" t="inlineStr">
        <is>
          <t>M</t>
        </is>
      </c>
      <c r="W37" s="103" t="inlineStr">
        <is>
          <t>N</t>
        </is>
      </c>
      <c r="X37" s="97" t="n"/>
      <c r="Y37" s="103" t="inlineStr">
        <is>
          <t>N</t>
        </is>
      </c>
      <c r="Z37" s="97" t="n"/>
      <c r="AA37" s="97" t="n"/>
      <c r="AB37" s="98" t="inlineStr">
        <is>
          <t>M</t>
        </is>
      </c>
      <c r="AC37" s="98" t="inlineStr">
        <is>
          <t>M</t>
        </is>
      </c>
      <c r="AD37" s="103" t="inlineStr">
        <is>
          <t>N</t>
        </is>
      </c>
      <c r="AE37" s="97" t="n"/>
      <c r="AF37" s="97" t="n"/>
      <c r="AG37" s="97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103" t="inlineStr">
        <is>
          <t>N</t>
        </is>
      </c>
      <c r="F38" s="97" t="n"/>
      <c r="G38" s="102" t="inlineStr">
        <is>
          <t>D</t>
        </is>
      </c>
      <c r="H38" s="97" t="n"/>
      <c r="I38" s="97" t="n"/>
      <c r="J38" s="103" t="inlineStr">
        <is>
          <t>N</t>
        </is>
      </c>
      <c r="K38" s="97" t="n"/>
      <c r="L38" s="97" t="n"/>
      <c r="M38" s="97" t="n"/>
      <c r="N38" s="97" t="n"/>
      <c r="O38" s="102" t="inlineStr">
        <is>
          <t>D</t>
        </is>
      </c>
      <c r="P38" s="97" t="n"/>
      <c r="Q38" s="97" t="n"/>
      <c r="R38" s="102" t="inlineStr">
        <is>
          <t>D</t>
        </is>
      </c>
      <c r="S38" s="97" t="n"/>
      <c r="T38" s="97" t="n"/>
      <c r="U38" s="98" t="inlineStr">
        <is>
          <t>M</t>
        </is>
      </c>
      <c r="V38" s="98" t="inlineStr">
        <is>
          <t>M</t>
        </is>
      </c>
      <c r="W38" s="97" t="n"/>
      <c r="X38" s="97" t="n"/>
      <c r="Y38" s="97" t="n"/>
      <c r="Z38" s="103" t="inlineStr">
        <is>
          <t>N</t>
        </is>
      </c>
      <c r="AA38" s="97" t="n"/>
      <c r="AB38" s="102" t="inlineStr">
        <is>
          <t>D</t>
        </is>
      </c>
      <c r="AC38" s="97" t="n"/>
      <c r="AD38" s="97" t="n"/>
      <c r="AE38" s="103" t="inlineStr">
        <is>
          <t>N</t>
        </is>
      </c>
      <c r="AF38" s="97" t="n"/>
      <c r="AG38" s="98" t="inlineStr">
        <is>
          <t>M</t>
        </is>
      </c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97" t="n"/>
      <c r="E39" s="103" t="inlineStr">
        <is>
          <t>N</t>
        </is>
      </c>
      <c r="F39" s="104" t="inlineStr">
        <is>
          <t>T</t>
        </is>
      </c>
      <c r="G39" s="104" t="inlineStr">
        <is>
          <t>T</t>
        </is>
      </c>
      <c r="H39" s="97" t="n"/>
      <c r="I39" s="102" t="inlineStr">
        <is>
          <t>D</t>
        </is>
      </c>
      <c r="J39" s="97" t="n"/>
      <c r="K39" s="98" t="inlineStr">
        <is>
          <t>M</t>
        </is>
      </c>
      <c r="L39" s="97" t="n"/>
      <c r="M39" s="97" t="n"/>
      <c r="N39" s="104" t="inlineStr">
        <is>
          <t>T</t>
        </is>
      </c>
      <c r="O39" s="97" t="n"/>
      <c r="P39" s="102" t="inlineStr">
        <is>
          <t>D</t>
        </is>
      </c>
      <c r="Q39" s="97" t="n"/>
      <c r="R39" s="98" t="inlineStr">
        <is>
          <t>M</t>
        </is>
      </c>
      <c r="S39" s="97" t="n"/>
      <c r="T39" s="97" t="n"/>
      <c r="U39" s="104" t="inlineStr">
        <is>
          <t>T</t>
        </is>
      </c>
      <c r="V39" s="97" t="n"/>
      <c r="W39" s="102" t="inlineStr">
        <is>
          <t>D</t>
        </is>
      </c>
      <c r="X39" s="97" t="n"/>
      <c r="Y39" s="98" t="inlineStr">
        <is>
          <t>M</t>
        </is>
      </c>
      <c r="Z39" s="97" t="n"/>
      <c r="AA39" s="97" t="n"/>
      <c r="AB39" s="104" t="inlineStr">
        <is>
          <t>T</t>
        </is>
      </c>
      <c r="AC39" s="97" t="n"/>
      <c r="AD39" s="97" t="n"/>
      <c r="AE39" s="97" t="n"/>
      <c r="AF39" s="103" t="inlineStr">
        <is>
          <t>N</t>
        </is>
      </c>
      <c r="AG39" s="103" t="inlineStr">
        <is>
          <t>N</t>
        </is>
      </c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114" t="inlineStr">
        <is>
          <t>LM</t>
        </is>
      </c>
      <c r="D40" s="114" t="inlineStr">
        <is>
          <t>LM</t>
        </is>
      </c>
      <c r="E40" s="114" t="inlineStr">
        <is>
          <t>LM</t>
        </is>
      </c>
      <c r="F40" s="114" t="inlineStr">
        <is>
          <t>LM</t>
        </is>
      </c>
      <c r="G40" s="114" t="inlineStr">
        <is>
          <t>LM</t>
        </is>
      </c>
      <c r="H40" s="114" t="inlineStr">
        <is>
          <t>LM</t>
        </is>
      </c>
      <c r="I40" s="114" t="inlineStr">
        <is>
          <t>LM</t>
        </is>
      </c>
      <c r="J40" s="114" t="inlineStr">
        <is>
          <t>LM</t>
        </is>
      </c>
      <c r="K40" s="114" t="inlineStr">
        <is>
          <t>LM</t>
        </is>
      </c>
      <c r="L40" s="114" t="inlineStr">
        <is>
          <t>LM</t>
        </is>
      </c>
      <c r="M40" s="114" t="inlineStr">
        <is>
          <t>LM</t>
        </is>
      </c>
      <c r="N40" s="114" t="inlineStr">
        <is>
          <t>LM</t>
        </is>
      </c>
      <c r="O40" s="114" t="inlineStr">
        <is>
          <t>LM</t>
        </is>
      </c>
      <c r="P40" s="114" t="inlineStr">
        <is>
          <t>LM</t>
        </is>
      </c>
      <c r="Q40" s="114" t="inlineStr">
        <is>
          <t>LM</t>
        </is>
      </c>
      <c r="R40" s="114" t="inlineStr">
        <is>
          <t>LM</t>
        </is>
      </c>
      <c r="S40" s="114" t="inlineStr">
        <is>
          <t>LM</t>
        </is>
      </c>
      <c r="T40" s="114" t="inlineStr">
        <is>
          <t>LM</t>
        </is>
      </c>
      <c r="U40" s="114" t="inlineStr">
        <is>
          <t>LM</t>
        </is>
      </c>
      <c r="V40" s="114" t="inlineStr">
        <is>
          <t>LM</t>
        </is>
      </c>
      <c r="W40" s="114" t="inlineStr">
        <is>
          <t>LM</t>
        </is>
      </c>
      <c r="X40" s="114" t="inlineStr">
        <is>
          <t>LM</t>
        </is>
      </c>
      <c r="Y40" s="114" t="inlineStr">
        <is>
          <t>LM</t>
        </is>
      </c>
      <c r="Z40" s="114" t="inlineStr">
        <is>
          <t>LM</t>
        </is>
      </c>
      <c r="AA40" s="114" t="inlineStr">
        <is>
          <t>LM</t>
        </is>
      </c>
      <c r="AB40" s="97" t="n"/>
      <c r="AC40" s="103" t="inlineStr">
        <is>
          <t>N</t>
        </is>
      </c>
      <c r="AD40" s="97" t="n"/>
      <c r="AE40" s="103" t="inlineStr">
        <is>
          <t>N</t>
        </is>
      </c>
      <c r="AF40" s="97" t="n"/>
      <c r="AG40" s="97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102" t="inlineStr">
        <is>
          <t>D</t>
        </is>
      </c>
      <c r="E41" s="102" t="inlineStr">
        <is>
          <t>D</t>
        </is>
      </c>
      <c r="F41" s="102" t="inlineStr">
        <is>
          <t>D</t>
        </is>
      </c>
      <c r="G41" s="97" t="n"/>
      <c r="H41" s="102" t="inlineStr">
        <is>
          <t>D</t>
        </is>
      </c>
      <c r="I41" s="97" t="n"/>
      <c r="J41" s="102" t="inlineStr">
        <is>
          <t>D</t>
        </is>
      </c>
      <c r="K41" s="97" t="n"/>
      <c r="L41" s="97" t="n"/>
      <c r="M41" s="97" t="n"/>
      <c r="N41" s="97" t="n"/>
      <c r="O41" s="102" t="inlineStr">
        <is>
          <t>D</t>
        </is>
      </c>
      <c r="P41" s="102" t="inlineStr">
        <is>
          <t>D</t>
        </is>
      </c>
      <c r="Q41" s="97" t="n"/>
      <c r="R41" s="97" t="n"/>
      <c r="S41" s="97" t="n"/>
      <c r="T41" s="97" t="n"/>
      <c r="U41" s="97" t="n"/>
      <c r="V41" s="102" t="inlineStr">
        <is>
          <t>D</t>
        </is>
      </c>
      <c r="W41" s="97" t="n"/>
      <c r="X41" s="102" t="inlineStr">
        <is>
          <t>D</t>
        </is>
      </c>
      <c r="Y41" s="97" t="n"/>
      <c r="Z41" s="97" t="n"/>
      <c r="AA41" s="97" t="n"/>
      <c r="AB41" s="102" t="inlineStr">
        <is>
          <t>D</t>
        </is>
      </c>
      <c r="AC41" s="97" t="n"/>
      <c r="AD41" s="97" t="n"/>
      <c r="AE41" s="97" t="n"/>
      <c r="AF41" s="97" t="n"/>
      <c r="AG41" s="97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104" t="inlineStr">
        <is>
          <t>T</t>
        </is>
      </c>
      <c r="D42" s="104" t="inlineStr">
        <is>
          <t>T</t>
        </is>
      </c>
      <c r="E42" s="97" t="n"/>
      <c r="F42" s="97" t="n"/>
      <c r="G42" s="97" t="n"/>
      <c r="H42" s="97" t="n"/>
      <c r="I42" s="103" t="inlineStr">
        <is>
          <t>N</t>
        </is>
      </c>
      <c r="J42" s="103" t="inlineStr">
        <is>
          <t>N</t>
        </is>
      </c>
      <c r="K42" s="97" t="n"/>
      <c r="L42" s="103" t="inlineStr">
        <is>
          <t>N</t>
        </is>
      </c>
      <c r="M42" s="97" t="n"/>
      <c r="N42" s="102" t="inlineStr">
        <is>
          <t>D</t>
        </is>
      </c>
      <c r="O42" s="97" t="n"/>
      <c r="P42" s="97" t="n"/>
      <c r="Q42" s="97" t="n"/>
      <c r="R42" s="103" t="inlineStr">
        <is>
          <t>N</t>
        </is>
      </c>
      <c r="S42" s="97" t="n"/>
      <c r="T42" s="104" t="inlineStr">
        <is>
          <t>T</t>
        </is>
      </c>
      <c r="U42" s="115" t="inlineStr">
        <is>
          <t>FE</t>
        </is>
      </c>
      <c r="V42" s="115" t="inlineStr">
        <is>
          <t>FE</t>
        </is>
      </c>
      <c r="W42" s="115" t="inlineStr">
        <is>
          <t>FE</t>
        </is>
      </c>
      <c r="X42" s="115" t="inlineStr">
        <is>
          <t>FE</t>
        </is>
      </c>
      <c r="Y42" s="115" t="inlineStr">
        <is>
          <t>FE</t>
        </is>
      </c>
      <c r="Z42" s="115" t="inlineStr">
        <is>
          <t>FE</t>
        </is>
      </c>
      <c r="AA42" s="115" t="inlineStr">
        <is>
          <t>FE</t>
        </is>
      </c>
      <c r="AB42" s="115" t="inlineStr">
        <is>
          <t>FE</t>
        </is>
      </c>
      <c r="AC42" s="115" t="inlineStr">
        <is>
          <t>FE</t>
        </is>
      </c>
      <c r="AD42" s="115" t="inlineStr">
        <is>
          <t>FE</t>
        </is>
      </c>
      <c r="AE42" s="115" t="inlineStr">
        <is>
          <t>FE</t>
        </is>
      </c>
      <c r="AF42" s="115" t="inlineStr">
        <is>
          <t>FE</t>
        </is>
      </c>
      <c r="AG42" s="115" t="inlineStr">
        <is>
          <t>FE</t>
        </is>
      </c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103" t="inlineStr">
        <is>
          <t>N</t>
        </is>
      </c>
      <c r="G43" s="103" t="inlineStr">
        <is>
          <t>N</t>
        </is>
      </c>
      <c r="H43" s="97" t="n"/>
      <c r="I43" s="103" t="inlineStr">
        <is>
          <t>N</t>
        </is>
      </c>
      <c r="J43" s="97" t="n"/>
      <c r="K43" s="97" t="n"/>
      <c r="L43" s="97" t="n"/>
      <c r="M43" s="97" t="n"/>
      <c r="N43" s="97" t="n"/>
      <c r="O43" s="97" t="n"/>
      <c r="P43" s="97" t="n"/>
      <c r="Q43" s="103" t="inlineStr">
        <is>
          <t>N</t>
        </is>
      </c>
      <c r="R43" s="97" t="n"/>
      <c r="S43" s="103" t="inlineStr">
        <is>
          <t>N</t>
        </is>
      </c>
      <c r="T43" s="97" t="n"/>
      <c r="U43" s="97" t="n"/>
      <c r="V43" s="97" t="n"/>
      <c r="W43" s="97" t="n"/>
      <c r="X43" s="103" t="inlineStr">
        <is>
          <t>N</t>
        </is>
      </c>
      <c r="Y43" s="97" t="n"/>
      <c r="Z43" s="103" t="inlineStr">
        <is>
          <t>N</t>
        </is>
      </c>
      <c r="AA43" s="97" t="n"/>
      <c r="AB43" s="103" t="inlineStr">
        <is>
          <t>N</t>
        </is>
      </c>
      <c r="AC43" s="97" t="n"/>
      <c r="AD43" s="97" t="n"/>
      <c r="AE43" s="103" t="inlineStr">
        <is>
          <t>N</t>
        </is>
      </c>
      <c r="AF43" s="97" t="n"/>
      <c r="AG43" s="97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104" t="inlineStr">
        <is>
          <t>T</t>
        </is>
      </c>
      <c r="E44" s="97" t="n"/>
      <c r="F44" s="97" t="n"/>
      <c r="G44" s="97" t="n"/>
      <c r="H44" s="102" t="inlineStr">
        <is>
          <t>D</t>
        </is>
      </c>
      <c r="I44" s="102" t="inlineStr">
        <is>
          <t>D</t>
        </is>
      </c>
      <c r="J44" s="97" t="n"/>
      <c r="K44" s="97" t="n"/>
      <c r="L44" s="104" t="inlineStr">
        <is>
          <t>T</t>
        </is>
      </c>
      <c r="M44" s="97" t="n"/>
      <c r="N44" s="97" t="n"/>
      <c r="O44" s="97" t="n"/>
      <c r="P44" s="102" t="inlineStr">
        <is>
          <t>D</t>
        </is>
      </c>
      <c r="Q44" s="97" t="n"/>
      <c r="R44" s="103" t="inlineStr">
        <is>
          <t>N</t>
        </is>
      </c>
      <c r="S44" s="97" t="n"/>
      <c r="T44" s="102" t="inlineStr">
        <is>
          <t>D</t>
        </is>
      </c>
      <c r="U44" s="97" t="n"/>
      <c r="V44" s="102" t="inlineStr">
        <is>
          <t>D</t>
        </is>
      </c>
      <c r="W44" s="97" t="n"/>
      <c r="X44" s="97" t="n"/>
      <c r="Y44" s="97" t="n"/>
      <c r="Z44" s="102" t="inlineStr">
        <is>
          <t>D</t>
        </is>
      </c>
      <c r="AA44" s="97" t="n"/>
      <c r="AB44" s="97" t="n"/>
      <c r="AC44" s="102" t="inlineStr">
        <is>
          <t>D</t>
        </is>
      </c>
      <c r="AD44" s="102" t="inlineStr">
        <is>
          <t>D</t>
        </is>
      </c>
      <c r="AE44" s="97" t="n"/>
      <c r="AF44" s="97" t="n"/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8" t="inlineStr">
        <is>
          <t>M</t>
        </is>
      </c>
      <c r="D45" s="97" t="n"/>
      <c r="E45" s="103" t="inlineStr">
        <is>
          <t>N</t>
        </is>
      </c>
      <c r="F45" s="97" t="n"/>
      <c r="G45" s="98" t="inlineStr">
        <is>
          <t>M</t>
        </is>
      </c>
      <c r="H45" s="97" t="n"/>
      <c r="I45" s="97" t="n"/>
      <c r="J45" s="98" t="inlineStr">
        <is>
          <t>M</t>
        </is>
      </c>
      <c r="K45" s="104" t="inlineStr">
        <is>
          <t>T</t>
        </is>
      </c>
      <c r="L45" s="97" t="n"/>
      <c r="M45" s="98" t="inlineStr">
        <is>
          <t>M</t>
        </is>
      </c>
      <c r="N45" s="98" t="inlineStr">
        <is>
          <t>M</t>
        </is>
      </c>
      <c r="O45" s="98" t="inlineStr">
        <is>
          <t>M</t>
        </is>
      </c>
      <c r="P45" s="103" t="inlineStr">
        <is>
          <t>N</t>
        </is>
      </c>
      <c r="Q45" s="97" t="n"/>
      <c r="R45" s="97" t="n"/>
      <c r="S45" s="97" t="n"/>
      <c r="T45" s="97" t="n"/>
      <c r="U45" s="97" t="n"/>
      <c r="V45" s="98" t="inlineStr">
        <is>
          <t>M</t>
        </is>
      </c>
      <c r="W45" s="97" t="n"/>
      <c r="X45" s="98" t="inlineStr">
        <is>
          <t>M</t>
        </is>
      </c>
      <c r="Y45" s="97" t="n"/>
      <c r="Z45" s="103" t="inlineStr">
        <is>
          <t>N</t>
        </is>
      </c>
      <c r="AA45" s="97" t="n"/>
      <c r="AB45" s="98" t="inlineStr">
        <is>
          <t>M</t>
        </is>
      </c>
      <c r="AC45" s="98" t="inlineStr">
        <is>
          <t>M</t>
        </is>
      </c>
      <c r="AD45" s="97" t="n"/>
      <c r="AE45" s="98" t="inlineStr">
        <is>
          <t>M</t>
        </is>
      </c>
      <c r="AF45" s="98" t="inlineStr">
        <is>
          <t>M</t>
        </is>
      </c>
      <c r="AG45" s="97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97" t="n"/>
      <c r="H46" s="97" t="n"/>
      <c r="I46" s="102" t="inlineStr">
        <is>
          <t>D</t>
        </is>
      </c>
      <c r="J46" s="97" t="n"/>
      <c r="K46" s="103" t="inlineStr">
        <is>
          <t>N</t>
        </is>
      </c>
      <c r="L46" s="97" t="n"/>
      <c r="M46" s="103" t="inlineStr">
        <is>
          <t>N</t>
        </is>
      </c>
      <c r="N46" s="97" t="n"/>
      <c r="O46" s="97" t="n"/>
      <c r="P46" s="102" t="inlineStr">
        <is>
          <t>D</t>
        </is>
      </c>
      <c r="Q46" s="97" t="n"/>
      <c r="R46" s="97" t="n"/>
      <c r="S46" s="97" t="n"/>
      <c r="T46" s="97" t="n"/>
      <c r="U46" s="97" t="n"/>
      <c r="V46" s="97" t="n"/>
      <c r="W46" s="102" t="inlineStr">
        <is>
          <t>D</t>
        </is>
      </c>
      <c r="X46" s="97" t="n"/>
      <c r="Y46" s="103" t="inlineStr">
        <is>
          <t>N</t>
        </is>
      </c>
      <c r="Z46" s="97" t="n"/>
      <c r="AA46" s="103" t="inlineStr">
        <is>
          <t>N</t>
        </is>
      </c>
      <c r="AB46" s="97" t="n"/>
      <c r="AC46" s="97" t="n"/>
      <c r="AD46" s="102" t="inlineStr">
        <is>
          <t>D</t>
        </is>
      </c>
      <c r="AE46" s="97" t="n"/>
      <c r="AF46" s="97" t="n"/>
      <c r="AG46" s="97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97" t="n"/>
      <c r="F47" s="97" t="n"/>
      <c r="G47" s="103" t="inlineStr">
        <is>
          <t>N</t>
        </is>
      </c>
      <c r="H47" s="97" t="n"/>
      <c r="I47" s="97" t="n"/>
      <c r="J47" s="102" t="inlineStr">
        <is>
          <t>D</t>
        </is>
      </c>
      <c r="K47" s="103" t="inlineStr">
        <is>
          <t>N</t>
        </is>
      </c>
      <c r="L47" s="97" t="n"/>
      <c r="M47" s="97" t="n"/>
      <c r="N47" s="97" t="n"/>
      <c r="O47" s="103" t="inlineStr">
        <is>
          <t>N</t>
        </is>
      </c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102" t="inlineStr">
        <is>
          <t>D</t>
        </is>
      </c>
      <c r="AA47" s="102" t="inlineStr">
        <is>
          <t>D</t>
        </is>
      </c>
      <c r="AB47" s="97" t="n"/>
      <c r="AC47" s="103" t="inlineStr">
        <is>
          <t>N</t>
        </is>
      </c>
      <c r="AD47" s="97" t="n"/>
      <c r="AE47" s="102" t="inlineStr">
        <is>
          <t>D</t>
        </is>
      </c>
      <c r="AF47" s="97" t="n"/>
      <c r="AG47" s="97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8" t="inlineStr">
        <is>
          <t>M</t>
        </is>
      </c>
      <c r="D48" s="103" t="inlineStr">
        <is>
          <t>N</t>
        </is>
      </c>
      <c r="E48" s="97" t="n"/>
      <c r="F48" s="98" t="inlineStr">
        <is>
          <t>M</t>
        </is>
      </c>
      <c r="G48" s="97" t="n"/>
      <c r="H48" s="98" t="inlineStr">
        <is>
          <t>M</t>
        </is>
      </c>
      <c r="I48" s="97" t="n"/>
      <c r="J48" s="98" t="inlineStr">
        <is>
          <t>M</t>
        </is>
      </c>
      <c r="K48" s="98" t="inlineStr">
        <is>
          <t>M</t>
        </is>
      </c>
      <c r="L48" s="98" t="inlineStr">
        <is>
          <t>M</t>
        </is>
      </c>
      <c r="M48" s="97" t="n"/>
      <c r="N48" s="97" t="n"/>
      <c r="O48" s="98" t="inlineStr">
        <is>
          <t>M</t>
        </is>
      </c>
      <c r="P48" s="97" t="n"/>
      <c r="Q48" s="98" t="inlineStr">
        <is>
          <t>M</t>
        </is>
      </c>
      <c r="R48" s="104" t="inlineStr">
        <is>
          <t>T</t>
        </is>
      </c>
      <c r="S48" s="98" t="inlineStr">
        <is>
          <t>M</t>
        </is>
      </c>
      <c r="T48" s="97" t="n"/>
      <c r="U48" s="97" t="n"/>
      <c r="V48" s="98" t="inlineStr">
        <is>
          <t>M</t>
        </is>
      </c>
      <c r="W48" s="97" t="n"/>
      <c r="X48" s="98" t="inlineStr">
        <is>
          <t>M</t>
        </is>
      </c>
      <c r="Y48" s="104" t="inlineStr">
        <is>
          <t>T</t>
        </is>
      </c>
      <c r="Z48" s="98" t="inlineStr">
        <is>
          <t>M</t>
        </is>
      </c>
      <c r="AA48" s="97" t="n"/>
      <c r="AB48" s="97" t="n"/>
      <c r="AC48" s="98" t="inlineStr">
        <is>
          <t>M</t>
        </is>
      </c>
      <c r="AD48" s="97" t="n"/>
      <c r="AE48" s="98" t="inlineStr">
        <is>
          <t>M</t>
        </is>
      </c>
      <c r="AF48" s="104" t="inlineStr">
        <is>
          <t>T</t>
        </is>
      </c>
      <c r="AG48" s="98" t="inlineStr">
        <is>
          <t>M</t>
        </is>
      </c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104" t="inlineStr">
        <is>
          <t>T</t>
        </is>
      </c>
      <c r="F49" s="97" t="n"/>
      <c r="G49" s="97" t="n"/>
      <c r="H49" s="97" t="n"/>
      <c r="I49" s="102" t="inlineStr">
        <is>
          <t>D</t>
        </is>
      </c>
      <c r="J49" s="97" t="n"/>
      <c r="K49" s="97" t="n"/>
      <c r="L49" s="97" t="n"/>
      <c r="M49" s="102" t="inlineStr">
        <is>
          <t>D</t>
        </is>
      </c>
      <c r="N49" s="98" t="inlineStr">
        <is>
          <t>M</t>
        </is>
      </c>
      <c r="O49" s="97" t="n"/>
      <c r="P49" s="102" t="inlineStr">
        <is>
          <t>D</t>
        </is>
      </c>
      <c r="Q49" s="97" t="n"/>
      <c r="R49" s="97" t="n"/>
      <c r="S49" s="97" t="n"/>
      <c r="T49" s="98" t="inlineStr">
        <is>
          <t>M</t>
        </is>
      </c>
      <c r="U49" s="97" t="n"/>
      <c r="V49" s="97" t="n"/>
      <c r="W49" s="102" t="inlineStr">
        <is>
          <t>D</t>
        </is>
      </c>
      <c r="X49" s="97" t="n"/>
      <c r="Y49" s="103" t="inlineStr">
        <is>
          <t>N</t>
        </is>
      </c>
      <c r="Z49" s="97" t="n"/>
      <c r="AA49" s="97" t="n"/>
      <c r="AB49" s="102" t="inlineStr">
        <is>
          <t>D</t>
        </is>
      </c>
      <c r="AC49" s="97" t="n"/>
      <c r="AD49" s="102" t="inlineStr">
        <is>
          <t>D</t>
        </is>
      </c>
      <c r="AE49" s="97" t="n"/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103" t="inlineStr">
        <is>
          <t>N</t>
        </is>
      </c>
      <c r="D50" s="97" t="n"/>
      <c r="E50" s="103" t="inlineStr">
        <is>
          <t>N</t>
        </is>
      </c>
      <c r="F50" s="103" t="inlineStr">
        <is>
          <t>N</t>
        </is>
      </c>
      <c r="G50" s="97" t="n"/>
      <c r="H50" s="102" t="inlineStr">
        <is>
          <t>D</t>
        </is>
      </c>
      <c r="I50" s="104" t="inlineStr">
        <is>
          <t>T</t>
        </is>
      </c>
      <c r="J50" s="104" t="inlineStr">
        <is>
          <t>T</t>
        </is>
      </c>
      <c r="K50" s="97" t="n"/>
      <c r="L50" s="97" t="n"/>
      <c r="M50" s="97" t="n"/>
      <c r="N50" s="97" t="n"/>
      <c r="O50" s="102" t="inlineStr">
        <is>
          <t>D</t>
        </is>
      </c>
      <c r="P50" s="97" t="n"/>
      <c r="Q50" s="97" t="n"/>
      <c r="R50" s="97" t="n"/>
      <c r="S50" s="103" t="inlineStr">
        <is>
          <t>N</t>
        </is>
      </c>
      <c r="T50" s="97" t="n"/>
      <c r="U50" s="97" t="n"/>
      <c r="V50" s="97" t="n"/>
      <c r="W50" s="103" t="inlineStr">
        <is>
          <t>N</t>
        </is>
      </c>
      <c r="X50" s="97" t="n"/>
      <c r="Y50" s="97" t="n"/>
      <c r="Z50" s="98" t="inlineStr">
        <is>
          <t>M</t>
        </is>
      </c>
      <c r="AA50" s="98" t="inlineStr">
        <is>
          <t>M</t>
        </is>
      </c>
      <c r="AB50" s="97" t="n"/>
      <c r="AC50" s="102" t="inlineStr">
        <is>
          <t>D</t>
        </is>
      </c>
      <c r="AD50" s="97" t="n"/>
      <c r="AE50" s="97" t="n"/>
      <c r="AF50" s="97" t="n"/>
      <c r="AG50" s="97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104" t="inlineStr">
        <is>
          <t>T</t>
        </is>
      </c>
      <c r="D51" s="104" t="inlineStr">
        <is>
          <t>T</t>
        </is>
      </c>
      <c r="E51" s="104" t="inlineStr">
        <is>
          <t>T</t>
        </is>
      </c>
      <c r="F51" s="98" t="inlineStr">
        <is>
          <t>M</t>
        </is>
      </c>
      <c r="G51" s="97" t="n"/>
      <c r="H51" s="102" t="inlineStr">
        <is>
          <t>D</t>
        </is>
      </c>
      <c r="I51" s="97" t="n"/>
      <c r="J51" s="97" t="n"/>
      <c r="K51" s="97" t="n"/>
      <c r="L51" s="97" t="n"/>
      <c r="M51" s="102" t="inlineStr">
        <is>
          <t>D</t>
        </is>
      </c>
      <c r="N51" s="97" t="n"/>
      <c r="O51" s="102" t="inlineStr">
        <is>
          <t>D</t>
        </is>
      </c>
      <c r="P51" s="97" t="n"/>
      <c r="Q51" s="97" t="n"/>
      <c r="R51" s="103" t="inlineStr">
        <is>
          <t>N</t>
        </is>
      </c>
      <c r="S51" s="97" t="n"/>
      <c r="T51" s="97" t="n"/>
      <c r="U51" s="97" t="n"/>
      <c r="V51" s="102" t="inlineStr">
        <is>
          <t>D</t>
        </is>
      </c>
      <c r="W51" s="97" t="n"/>
      <c r="X51" s="102" t="inlineStr">
        <is>
          <t>D</t>
        </is>
      </c>
      <c r="Y51" s="97" t="n"/>
      <c r="Z51" s="97" t="n"/>
      <c r="AA51" s="97" t="n"/>
      <c r="AB51" s="97" t="n"/>
      <c r="AC51" s="97" t="n"/>
      <c r="AD51" s="102" t="inlineStr">
        <is>
          <t>D</t>
        </is>
      </c>
      <c r="AE51" s="97" t="n"/>
      <c r="AF51" s="102" t="inlineStr">
        <is>
          <t>D</t>
        </is>
      </c>
      <c r="AG51" s="97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103" t="inlineStr">
        <is>
          <t>N</t>
        </is>
      </c>
      <c r="F52" s="97" t="n"/>
      <c r="G52" s="103" t="inlineStr">
        <is>
          <t>N</t>
        </is>
      </c>
      <c r="H52" s="97" t="n"/>
      <c r="I52" s="97" t="n"/>
      <c r="J52" s="97" t="n"/>
      <c r="K52" s="103" t="inlineStr">
        <is>
          <t>N</t>
        </is>
      </c>
      <c r="L52" s="103" t="inlineStr">
        <is>
          <t>N</t>
        </is>
      </c>
      <c r="M52" s="97" t="n"/>
      <c r="N52" s="103" t="inlineStr">
        <is>
          <t>N</t>
        </is>
      </c>
      <c r="O52" s="97" t="n"/>
      <c r="P52" s="97" t="n"/>
      <c r="Q52" s="103" t="inlineStr">
        <is>
          <t>N</t>
        </is>
      </c>
      <c r="R52" s="97" t="n"/>
      <c r="S52" s="97" t="n"/>
      <c r="T52" s="97" t="n"/>
      <c r="U52" s="103" t="inlineStr">
        <is>
          <t>N</t>
        </is>
      </c>
      <c r="V52" s="97" t="n"/>
      <c r="W52" s="103" t="inlineStr">
        <is>
          <t>N</t>
        </is>
      </c>
      <c r="X52" s="97" t="n"/>
      <c r="Y52" s="97" t="n"/>
      <c r="Z52" s="97" t="n"/>
      <c r="AA52" s="97" t="n"/>
      <c r="AB52" s="103" t="inlineStr">
        <is>
          <t>N</t>
        </is>
      </c>
      <c r="AC52" s="97" t="n"/>
      <c r="AD52" s="97" t="n"/>
      <c r="AE52" s="97" t="n"/>
      <c r="AF52" s="97" t="n"/>
      <c r="AG52" s="103" t="inlineStr">
        <is>
          <t>N</t>
        </is>
      </c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97" t="n"/>
      <c r="G53" s="97" t="n"/>
      <c r="H53" s="103" t="inlineStr">
        <is>
          <t>N</t>
        </is>
      </c>
      <c r="I53" s="97" t="n"/>
      <c r="J53" s="97" t="n"/>
      <c r="K53" s="97" t="n"/>
      <c r="L53" s="97" t="n"/>
      <c r="M53" s="103" t="inlineStr">
        <is>
          <t>N</t>
        </is>
      </c>
      <c r="N53" s="97" t="n"/>
      <c r="O53" s="103" t="inlineStr">
        <is>
          <t>N</t>
        </is>
      </c>
      <c r="P53" s="97" t="n"/>
      <c r="Q53" s="97" t="n"/>
      <c r="R53" s="97" t="n"/>
      <c r="S53" s="97" t="n"/>
      <c r="T53" s="97" t="n"/>
      <c r="U53" s="103" t="inlineStr">
        <is>
          <t>N</t>
        </is>
      </c>
      <c r="V53" s="97" t="n"/>
      <c r="W53" s="97" t="n"/>
      <c r="X53" s="97" t="n"/>
      <c r="Y53" s="97" t="n"/>
      <c r="Z53" s="103" t="inlineStr">
        <is>
          <t>N</t>
        </is>
      </c>
      <c r="AA53" s="97" t="n"/>
      <c r="AB53" s="103" t="inlineStr">
        <is>
          <t>N</t>
        </is>
      </c>
      <c r="AC53" s="97" t="n"/>
      <c r="AD53" s="97" t="n"/>
      <c r="AE53" s="97" t="n"/>
      <c r="AF53" s="103" t="inlineStr">
        <is>
          <t>N</t>
        </is>
      </c>
      <c r="AG53" s="97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103" t="inlineStr">
        <is>
          <t>N</t>
        </is>
      </c>
      <c r="D54" s="103" t="inlineStr">
        <is>
          <t>N</t>
        </is>
      </c>
      <c r="E54" s="97" t="n"/>
      <c r="F54" s="97" t="n"/>
      <c r="G54" s="115" t="inlineStr">
        <is>
          <t>FE</t>
        </is>
      </c>
      <c r="H54" s="115" t="inlineStr">
        <is>
          <t>FE</t>
        </is>
      </c>
      <c r="I54" s="115" t="inlineStr">
        <is>
          <t>FE</t>
        </is>
      </c>
      <c r="J54" s="115" t="inlineStr">
        <is>
          <t>FE</t>
        </is>
      </c>
      <c r="K54" s="115" t="inlineStr">
        <is>
          <t>FE</t>
        </is>
      </c>
      <c r="L54" s="115" t="inlineStr">
        <is>
          <t>FE</t>
        </is>
      </c>
      <c r="M54" s="115" t="inlineStr">
        <is>
          <t>FE</t>
        </is>
      </c>
      <c r="N54" s="115" t="inlineStr">
        <is>
          <t>FE</t>
        </is>
      </c>
      <c r="O54" s="115" t="inlineStr">
        <is>
          <t>FE</t>
        </is>
      </c>
      <c r="P54" s="115" t="inlineStr">
        <is>
          <t>FE</t>
        </is>
      </c>
      <c r="Q54" s="115" t="inlineStr">
        <is>
          <t>FE</t>
        </is>
      </c>
      <c r="R54" s="115" t="inlineStr">
        <is>
          <t>FE</t>
        </is>
      </c>
      <c r="S54" s="115" t="inlineStr">
        <is>
          <t>FE</t>
        </is>
      </c>
      <c r="T54" s="115" t="inlineStr">
        <is>
          <t>FE</t>
        </is>
      </c>
      <c r="U54" s="115" t="inlineStr">
        <is>
          <t>FE</t>
        </is>
      </c>
      <c r="V54" s="97" t="n"/>
      <c r="W54" s="97" t="n"/>
      <c r="X54" s="103" t="inlineStr">
        <is>
          <t>N</t>
        </is>
      </c>
      <c r="Y54" s="97" t="n"/>
      <c r="Z54" s="103" t="inlineStr">
        <is>
          <t>N</t>
        </is>
      </c>
      <c r="AA54" s="97" t="n"/>
      <c r="AB54" s="97" t="n"/>
      <c r="AC54" s="97" t="n"/>
      <c r="AD54" s="97" t="n"/>
      <c r="AE54" s="103" t="inlineStr">
        <is>
          <t>N</t>
        </is>
      </c>
      <c r="AF54" s="103" t="inlineStr">
        <is>
          <t>N</t>
        </is>
      </c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8" t="inlineStr">
        <is>
          <t>M</t>
        </is>
      </c>
      <c r="D55" s="97" t="n"/>
      <c r="E55" s="98" t="inlineStr">
        <is>
          <t>M</t>
        </is>
      </c>
      <c r="F55" s="98" t="inlineStr">
        <is>
          <t>M</t>
        </is>
      </c>
      <c r="G55" s="98" t="inlineStr">
        <is>
          <t>M</t>
        </is>
      </c>
      <c r="H55" s="97" t="n"/>
      <c r="I55" s="98" t="inlineStr">
        <is>
          <t>M</t>
        </is>
      </c>
      <c r="J55" s="97" t="n"/>
      <c r="K55" s="98" t="inlineStr">
        <is>
          <t>M</t>
        </is>
      </c>
      <c r="L55" s="98" t="inlineStr">
        <is>
          <t>M</t>
        </is>
      </c>
      <c r="M55" s="97" t="n"/>
      <c r="N55" s="98" t="inlineStr">
        <is>
          <t>M</t>
        </is>
      </c>
      <c r="O55" s="98" t="inlineStr">
        <is>
          <t>M</t>
        </is>
      </c>
      <c r="P55" s="98" t="inlineStr">
        <is>
          <t>M</t>
        </is>
      </c>
      <c r="Q55" s="97" t="n"/>
      <c r="R55" s="97" t="n"/>
      <c r="S55" s="98" t="inlineStr">
        <is>
          <t>M</t>
        </is>
      </c>
      <c r="T55" s="98" t="inlineStr">
        <is>
          <t>M</t>
        </is>
      </c>
      <c r="U55" s="98" t="inlineStr">
        <is>
          <t>M</t>
        </is>
      </c>
      <c r="V55" s="97" t="n"/>
      <c r="W55" s="98" t="inlineStr">
        <is>
          <t>M</t>
        </is>
      </c>
      <c r="X55" s="97" t="n"/>
      <c r="Y55" s="98" t="inlineStr">
        <is>
          <t>M</t>
        </is>
      </c>
      <c r="Z55" s="98" t="inlineStr">
        <is>
          <t>M</t>
        </is>
      </c>
      <c r="AA55" s="98" t="inlineStr">
        <is>
          <t>M</t>
        </is>
      </c>
      <c r="AB55" s="98" t="inlineStr">
        <is>
          <t>M</t>
        </is>
      </c>
      <c r="AC55" s="97" t="n"/>
      <c r="AD55" s="98" t="inlineStr">
        <is>
          <t>M</t>
        </is>
      </c>
      <c r="AE55" s="97" t="n"/>
      <c r="AF55" s="97" t="n"/>
      <c r="AG55" s="98" t="inlineStr">
        <is>
          <t>M</t>
        </is>
      </c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115" t="inlineStr">
        <is>
          <t>FE</t>
        </is>
      </c>
      <c r="D56" s="115" t="inlineStr">
        <is>
          <t>FE</t>
        </is>
      </c>
      <c r="E56" s="115" t="inlineStr">
        <is>
          <t>FE</t>
        </is>
      </c>
      <c r="F56" s="115" t="inlineStr">
        <is>
          <t>FE</t>
        </is>
      </c>
      <c r="G56" s="115" t="inlineStr">
        <is>
          <t>FE</t>
        </is>
      </c>
      <c r="H56" s="102" t="inlineStr">
        <is>
          <t>D</t>
        </is>
      </c>
      <c r="I56" s="102" t="inlineStr">
        <is>
          <t>D</t>
        </is>
      </c>
      <c r="J56" s="97" t="n"/>
      <c r="K56" s="97" t="n"/>
      <c r="L56" s="97" t="n"/>
      <c r="M56" s="97" t="n"/>
      <c r="N56" s="97" t="n"/>
      <c r="O56" s="97" t="n"/>
      <c r="P56" s="97" t="n"/>
      <c r="Q56" s="102" t="inlineStr">
        <is>
          <t>D</t>
        </is>
      </c>
      <c r="R56" s="97" t="n"/>
      <c r="S56" s="102" t="inlineStr">
        <is>
          <t>D</t>
        </is>
      </c>
      <c r="T56" s="104" t="inlineStr">
        <is>
          <t>T</t>
        </is>
      </c>
      <c r="U56" s="97" t="n"/>
      <c r="V56" s="102" t="inlineStr">
        <is>
          <t>D</t>
        </is>
      </c>
      <c r="W56" s="97" t="n"/>
      <c r="X56" s="102" t="inlineStr">
        <is>
          <t>D</t>
        </is>
      </c>
      <c r="Y56" s="97" t="n"/>
      <c r="Z56" s="104" t="inlineStr">
        <is>
          <t>T</t>
        </is>
      </c>
      <c r="AA56" s="97" t="n"/>
      <c r="AB56" s="97" t="n"/>
      <c r="AC56" s="102" t="inlineStr">
        <is>
          <t>D</t>
        </is>
      </c>
      <c r="AD56" s="97" t="n"/>
      <c r="AE56" s="97" t="n"/>
      <c r="AF56" s="97" t="n"/>
      <c r="AG56" s="102" t="inlineStr">
        <is>
          <t>D</t>
        </is>
      </c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102" t="inlineStr">
        <is>
          <t>D</t>
        </is>
      </c>
      <c r="F57" s="97" t="n"/>
      <c r="G57" s="103" t="inlineStr">
        <is>
          <t>N</t>
        </is>
      </c>
      <c r="H57" s="97" t="n"/>
      <c r="I57" s="97" t="n"/>
      <c r="J57" s="97" t="n"/>
      <c r="K57" s="103" t="inlineStr">
        <is>
          <t>N</t>
        </is>
      </c>
      <c r="L57" s="97" t="n"/>
      <c r="M57" s="97" t="n"/>
      <c r="N57" s="103" t="inlineStr">
        <is>
          <t>N</t>
        </is>
      </c>
      <c r="O57" s="97" t="n"/>
      <c r="P57" s="103" t="inlineStr">
        <is>
          <t>N</t>
        </is>
      </c>
      <c r="Q57" s="97" t="n"/>
      <c r="R57" s="97" t="n"/>
      <c r="S57" s="97" t="n"/>
      <c r="T57" s="97" t="n"/>
      <c r="U57" s="103" t="inlineStr">
        <is>
          <t>N</t>
        </is>
      </c>
      <c r="V57" s="97" t="n"/>
      <c r="W57" s="97" t="n"/>
      <c r="X57" s="97" t="n"/>
      <c r="Y57" s="97" t="n"/>
      <c r="Z57" s="102" t="inlineStr">
        <is>
          <t>D</t>
        </is>
      </c>
      <c r="AA57" s="104" t="inlineStr">
        <is>
          <t>T</t>
        </is>
      </c>
      <c r="AB57" s="103" t="inlineStr">
        <is>
          <t>N</t>
        </is>
      </c>
      <c r="AC57" s="97" t="n"/>
      <c r="AD57" s="103" t="inlineStr">
        <is>
          <t>N</t>
        </is>
      </c>
      <c r="AE57" s="97" t="n"/>
      <c r="AF57" s="97" t="n"/>
      <c r="AG57" s="104" t="inlineStr">
        <is>
          <t>T</t>
        </is>
      </c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103" t="inlineStr">
        <is>
          <t>N</t>
        </is>
      </c>
      <c r="E58" s="97" t="n"/>
      <c r="F58" s="97" t="n"/>
      <c r="G58" s="97" t="n"/>
      <c r="H58" s="97" t="n"/>
      <c r="I58" s="103" t="inlineStr">
        <is>
          <t>N</t>
        </is>
      </c>
      <c r="J58" s="97" t="n"/>
      <c r="K58" s="97" t="n"/>
      <c r="L58" s="97" t="n"/>
      <c r="M58" s="102" t="inlineStr">
        <is>
          <t>D</t>
        </is>
      </c>
      <c r="N58" s="97" t="n"/>
      <c r="O58" s="97" t="n"/>
      <c r="P58" s="103" t="inlineStr">
        <is>
          <t>N</t>
        </is>
      </c>
      <c r="Q58" s="97" t="n"/>
      <c r="R58" s="102" t="inlineStr">
        <is>
          <t>D</t>
        </is>
      </c>
      <c r="S58" s="97" t="n"/>
      <c r="T58" s="97" t="n"/>
      <c r="U58" s="102" t="inlineStr">
        <is>
          <t>D</t>
        </is>
      </c>
      <c r="V58" s="97" t="n"/>
      <c r="W58" s="103" t="inlineStr">
        <is>
          <t>N</t>
        </is>
      </c>
      <c r="X58" s="97" t="n"/>
      <c r="Y58" s="97" t="n"/>
      <c r="Z58" s="97" t="n"/>
      <c r="AA58" s="97" t="n"/>
      <c r="AB58" s="97" t="n"/>
      <c r="AC58" s="97" t="n"/>
      <c r="AD58" s="103" t="inlineStr">
        <is>
          <t>N</t>
        </is>
      </c>
      <c r="AE58" s="97" t="n"/>
      <c r="AF58" s="97" t="n"/>
      <c r="AG58" s="102" t="inlineStr">
        <is>
          <t>D</t>
        </is>
      </c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103" t="inlineStr">
        <is>
          <t>N</t>
        </is>
      </c>
      <c r="F59" s="97" t="n"/>
      <c r="G59" s="97" t="n"/>
      <c r="H59" s="97" t="n"/>
      <c r="I59" s="103" t="inlineStr">
        <is>
          <t>N</t>
        </is>
      </c>
      <c r="J59" s="97" t="n"/>
      <c r="K59" s="103" t="inlineStr">
        <is>
          <t>N</t>
        </is>
      </c>
      <c r="L59" s="103" t="inlineStr">
        <is>
          <t>N</t>
        </is>
      </c>
      <c r="M59" s="97" t="n"/>
      <c r="N59" s="97" t="n"/>
      <c r="O59" s="97" t="n"/>
      <c r="P59" s="103" t="inlineStr">
        <is>
          <t>N</t>
        </is>
      </c>
      <c r="Q59" s="97" t="n"/>
      <c r="R59" s="104" t="inlineStr">
        <is>
          <t>T</t>
        </is>
      </c>
      <c r="S59" s="97" t="n"/>
      <c r="T59" s="97" t="n"/>
      <c r="U59" s="97" t="n"/>
      <c r="V59" s="97" t="n"/>
      <c r="W59" s="103" t="inlineStr">
        <is>
          <t>N</t>
        </is>
      </c>
      <c r="X59" s="97" t="n"/>
      <c r="Y59" s="104" t="inlineStr">
        <is>
          <t>T</t>
        </is>
      </c>
      <c r="Z59" s="103" t="inlineStr">
        <is>
          <t>N</t>
        </is>
      </c>
      <c r="AA59" s="97" t="n"/>
      <c r="AB59" s="97" t="n"/>
      <c r="AC59" s="97" t="n"/>
      <c r="AD59" s="103" t="inlineStr">
        <is>
          <t>N</t>
        </is>
      </c>
      <c r="AE59" s="97" t="n"/>
      <c r="AF59" s="97" t="n"/>
      <c r="AG59" s="118" t="inlineStr">
        <is>
          <t>AB</t>
        </is>
      </c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103" t="inlineStr">
        <is>
          <t>N</t>
        </is>
      </c>
      <c r="D60" s="97" t="n"/>
      <c r="E60" s="97" t="n"/>
      <c r="F60" s="102" t="inlineStr">
        <is>
          <t>D</t>
        </is>
      </c>
      <c r="G60" s="97" t="n"/>
      <c r="H60" s="103" t="inlineStr">
        <is>
          <t>N</t>
        </is>
      </c>
      <c r="I60" s="97" t="n"/>
      <c r="J60" s="103" t="inlineStr">
        <is>
          <t>N</t>
        </is>
      </c>
      <c r="K60" s="97" t="n"/>
      <c r="L60" s="97" t="n"/>
      <c r="M60" s="97" t="n"/>
      <c r="N60" s="97" t="n"/>
      <c r="O60" s="103" t="inlineStr">
        <is>
          <t>N</t>
        </is>
      </c>
      <c r="P60" s="97" t="n"/>
      <c r="Q60" s="103" t="inlineStr">
        <is>
          <t>N</t>
        </is>
      </c>
      <c r="R60" s="97" t="n"/>
      <c r="S60" s="97" t="n"/>
      <c r="T60" s="102" t="inlineStr">
        <is>
          <t>D</t>
        </is>
      </c>
      <c r="U60" s="97" t="n"/>
      <c r="V60" s="103" t="inlineStr">
        <is>
          <t>N</t>
        </is>
      </c>
      <c r="W60" s="97" t="n"/>
      <c r="X60" s="103" t="inlineStr">
        <is>
          <t>N</t>
        </is>
      </c>
      <c r="Y60" s="97" t="n"/>
      <c r="Z60" s="97" t="n"/>
      <c r="AA60" s="102" t="inlineStr">
        <is>
          <t>D</t>
        </is>
      </c>
      <c r="AB60" s="97" t="n"/>
      <c r="AC60" s="97" t="n"/>
      <c r="AD60" s="97" t="n"/>
      <c r="AE60" s="97" t="n"/>
      <c r="AF60" s="103" t="inlineStr">
        <is>
          <t>N</t>
        </is>
      </c>
      <c r="AG60" s="97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97" t="n"/>
      <c r="G61" s="102" t="inlineStr">
        <is>
          <t>D</t>
        </is>
      </c>
      <c r="H61" s="97" t="n"/>
      <c r="I61" s="97" t="n"/>
      <c r="J61" s="102" t="inlineStr">
        <is>
          <t>D</t>
        </is>
      </c>
      <c r="K61" s="97" t="n"/>
      <c r="L61" s="104" t="inlineStr">
        <is>
          <t>T</t>
        </is>
      </c>
      <c r="M61" s="97" t="n"/>
      <c r="N61" s="102" t="inlineStr">
        <is>
          <t>D</t>
        </is>
      </c>
      <c r="O61" s="97" t="n"/>
      <c r="P61" s="97" t="n"/>
      <c r="Q61" s="102" t="inlineStr">
        <is>
          <t>D</t>
        </is>
      </c>
      <c r="R61" s="97" t="n"/>
      <c r="S61" s="102" t="inlineStr">
        <is>
          <t>D</t>
        </is>
      </c>
      <c r="T61" s="104" t="inlineStr">
        <is>
          <t>T</t>
        </is>
      </c>
      <c r="U61" s="102" t="inlineStr">
        <is>
          <t>D</t>
        </is>
      </c>
      <c r="V61" s="97" t="n"/>
      <c r="W61" s="97" t="n"/>
      <c r="X61" s="102" t="inlineStr">
        <is>
          <t>D</t>
        </is>
      </c>
      <c r="Y61" s="97" t="n"/>
      <c r="Z61" s="97" t="n"/>
      <c r="AA61" s="97" t="n"/>
      <c r="AB61" s="102" t="inlineStr">
        <is>
          <t>D</t>
        </is>
      </c>
      <c r="AC61" s="97" t="n"/>
      <c r="AD61" s="97" t="n"/>
      <c r="AE61" s="102" t="inlineStr">
        <is>
          <t>D</t>
        </is>
      </c>
      <c r="AF61" s="97" t="n"/>
      <c r="AG61" s="97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104" t="inlineStr">
        <is>
          <t>T</t>
        </is>
      </c>
      <c r="E62" s="102" t="inlineStr">
        <is>
          <t>D</t>
        </is>
      </c>
      <c r="F62" s="97" t="n"/>
      <c r="G62" s="97" t="n"/>
      <c r="H62" s="103" t="inlineStr">
        <is>
          <t>N</t>
        </is>
      </c>
      <c r="I62" s="97" t="n"/>
      <c r="J62" s="102" t="inlineStr">
        <is>
          <t>D</t>
        </is>
      </c>
      <c r="K62" s="97" t="n"/>
      <c r="L62" s="97" t="n"/>
      <c r="M62" s="97" t="n"/>
      <c r="N62" s="104" t="inlineStr">
        <is>
          <t>T</t>
        </is>
      </c>
      <c r="O62" s="103" t="inlineStr">
        <is>
          <t>N</t>
        </is>
      </c>
      <c r="P62" s="97" t="n"/>
      <c r="Q62" s="97" t="n"/>
      <c r="R62" s="97" t="n"/>
      <c r="S62" s="102" t="inlineStr">
        <is>
          <t>D</t>
        </is>
      </c>
      <c r="T62" s="97" t="n"/>
      <c r="U62" s="97" t="n"/>
      <c r="V62" s="103" t="inlineStr">
        <is>
          <t>N</t>
        </is>
      </c>
      <c r="W62" s="97" t="n"/>
      <c r="X62" s="102" t="inlineStr">
        <is>
          <t>D</t>
        </is>
      </c>
      <c r="Y62" s="97" t="n"/>
      <c r="Z62" s="97" t="n"/>
      <c r="AA62" s="97" t="n"/>
      <c r="AB62" s="97" t="n"/>
      <c r="AC62" s="103" t="inlineStr">
        <is>
          <t>N</t>
        </is>
      </c>
      <c r="AD62" s="97" t="n"/>
      <c r="AE62" s="97" t="n"/>
      <c r="AF62" s="97" t="n"/>
      <c r="AG62" s="102" t="inlineStr">
        <is>
          <t>D</t>
        </is>
      </c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102" t="inlineStr">
        <is>
          <t>D</t>
        </is>
      </c>
      <c r="D63" s="103" t="inlineStr">
        <is>
          <t>N</t>
        </is>
      </c>
      <c r="E63" s="97" t="n"/>
      <c r="F63" s="97" t="n"/>
      <c r="G63" s="97" t="n"/>
      <c r="H63" s="97" t="n"/>
      <c r="I63" s="97" t="n"/>
      <c r="J63" s="102" t="inlineStr">
        <is>
          <t>D</t>
        </is>
      </c>
      <c r="K63" s="97" t="n"/>
      <c r="L63" s="97" t="n"/>
      <c r="M63" s="104" t="inlineStr">
        <is>
          <t>T</t>
        </is>
      </c>
      <c r="N63" s="97" t="n"/>
      <c r="O63" s="97" t="n"/>
      <c r="P63" s="102" t="inlineStr">
        <is>
          <t>D</t>
        </is>
      </c>
      <c r="Q63" s="102" t="inlineStr">
        <is>
          <t>D</t>
        </is>
      </c>
      <c r="R63" s="97" t="n"/>
      <c r="S63" s="102" t="inlineStr">
        <is>
          <t>D</t>
        </is>
      </c>
      <c r="T63" s="97" t="n"/>
      <c r="U63" s="97" t="n"/>
      <c r="V63" s="97" t="n"/>
      <c r="W63" s="102" t="inlineStr">
        <is>
          <t>D</t>
        </is>
      </c>
      <c r="X63" s="97" t="n"/>
      <c r="Y63" s="97" t="n"/>
      <c r="Z63" s="97" t="n"/>
      <c r="AA63" s="102" t="inlineStr">
        <is>
          <t>D</t>
        </is>
      </c>
      <c r="AB63" s="97" t="n"/>
      <c r="AC63" s="97" t="n"/>
      <c r="AD63" s="97" t="n"/>
      <c r="AE63" s="102" t="inlineStr">
        <is>
          <t>D</t>
        </is>
      </c>
      <c r="AF63" s="104" t="inlineStr">
        <is>
          <t>T</t>
        </is>
      </c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103" t="inlineStr">
        <is>
          <t>N</t>
        </is>
      </c>
      <c r="E64" s="97" t="n"/>
      <c r="F64" s="97" t="n"/>
      <c r="G64" s="104" t="inlineStr">
        <is>
          <t>T</t>
        </is>
      </c>
      <c r="H64" s="103" t="inlineStr">
        <is>
          <t>N</t>
        </is>
      </c>
      <c r="I64" s="104" t="inlineStr">
        <is>
          <t>T</t>
        </is>
      </c>
      <c r="J64" s="97" t="n"/>
      <c r="K64" s="104" t="inlineStr">
        <is>
          <t>T</t>
        </is>
      </c>
      <c r="L64" s="97" t="n"/>
      <c r="M64" s="97" t="n"/>
      <c r="N64" s="104" t="inlineStr">
        <is>
          <t>T</t>
        </is>
      </c>
      <c r="O64" s="97" t="n"/>
      <c r="P64" s="103" t="inlineStr">
        <is>
          <t>N</t>
        </is>
      </c>
      <c r="Q64" s="97" t="n"/>
      <c r="R64" s="103" t="inlineStr">
        <is>
          <t>N</t>
        </is>
      </c>
      <c r="S64" s="97" t="n"/>
      <c r="T64" s="97" t="n"/>
      <c r="U64" s="97" t="n"/>
      <c r="V64" s="97" t="n"/>
      <c r="W64" s="97" t="n"/>
      <c r="X64" s="97" t="n"/>
      <c r="Y64" s="104" t="inlineStr">
        <is>
          <t>T</t>
        </is>
      </c>
      <c r="Z64" s="103" t="inlineStr">
        <is>
          <t>N</t>
        </is>
      </c>
      <c r="AA64" s="103" t="inlineStr">
        <is>
          <t>N</t>
        </is>
      </c>
      <c r="AB64" s="104" t="inlineStr">
        <is>
          <t>T</t>
        </is>
      </c>
      <c r="AC64" s="104" t="inlineStr">
        <is>
          <t>T</t>
        </is>
      </c>
      <c r="AD64" s="97" t="n"/>
      <c r="AE64" s="97" t="n"/>
      <c r="AF64" s="104" t="inlineStr">
        <is>
          <t>T</t>
        </is>
      </c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8" t="inlineStr">
        <is>
          <t>M</t>
        </is>
      </c>
      <c r="D65" s="102" t="inlineStr">
        <is>
          <t>D</t>
        </is>
      </c>
      <c r="E65" s="97" t="n"/>
      <c r="F65" s="97" t="n"/>
      <c r="G65" s="97" t="n"/>
      <c r="H65" s="97" t="n"/>
      <c r="I65" s="102" t="inlineStr">
        <is>
          <t>D</t>
        </is>
      </c>
      <c r="J65" s="97" t="n"/>
      <c r="K65" s="102" t="inlineStr">
        <is>
          <t>D</t>
        </is>
      </c>
      <c r="L65" s="97" t="n"/>
      <c r="M65" s="97" t="n"/>
      <c r="N65" s="97" t="n"/>
      <c r="O65" s="97" t="n"/>
      <c r="P65" s="102" t="inlineStr">
        <is>
          <t>D</t>
        </is>
      </c>
      <c r="Q65" s="97" t="n"/>
      <c r="R65" s="97" t="n"/>
      <c r="S65" s="102" t="inlineStr">
        <is>
          <t>D</t>
        </is>
      </c>
      <c r="T65" s="104" t="inlineStr">
        <is>
          <t>T</t>
        </is>
      </c>
      <c r="U65" s="97" t="n"/>
      <c r="V65" s="97" t="n"/>
      <c r="W65" s="102" t="inlineStr">
        <is>
          <t>D</t>
        </is>
      </c>
      <c r="X65" s="97" t="n"/>
      <c r="Y65" s="102" t="inlineStr">
        <is>
          <t>D</t>
        </is>
      </c>
      <c r="Z65" s="97" t="n"/>
      <c r="AA65" s="97" t="n"/>
      <c r="AB65" s="97" t="n"/>
      <c r="AC65" s="97" t="n"/>
      <c r="AD65" s="102" t="inlineStr">
        <is>
          <t>D</t>
        </is>
      </c>
      <c r="AE65" s="97" t="n"/>
      <c r="AF65" s="97" t="n"/>
      <c r="AG65" s="102" t="inlineStr">
        <is>
          <t>D</t>
        </is>
      </c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104" t="inlineStr">
        <is>
          <t>T</t>
        </is>
      </c>
      <c r="E66" s="103" t="inlineStr">
        <is>
          <t>N</t>
        </is>
      </c>
      <c r="F66" s="97" t="n"/>
      <c r="G66" s="103" t="inlineStr">
        <is>
          <t>N</t>
        </is>
      </c>
      <c r="H66" s="97" t="n"/>
      <c r="I66" s="97" t="n"/>
      <c r="J66" s="97" t="n"/>
      <c r="K66" s="103" t="inlineStr">
        <is>
          <t>N</t>
        </is>
      </c>
      <c r="L66" s="103" t="inlineStr">
        <is>
          <t>N</t>
        </is>
      </c>
      <c r="M66" s="97" t="n"/>
      <c r="N66" s="97" t="n"/>
      <c r="O66" s="97" t="n"/>
      <c r="P66" s="97" t="n"/>
      <c r="Q66" s="103" t="inlineStr">
        <is>
          <t>N</t>
        </is>
      </c>
      <c r="R66" s="97" t="n"/>
      <c r="S66" s="103" t="inlineStr">
        <is>
          <t>N</t>
        </is>
      </c>
      <c r="T66" s="97" t="n"/>
      <c r="U66" s="103" t="inlineStr">
        <is>
          <t>N</t>
        </is>
      </c>
      <c r="V66" s="97" t="n"/>
      <c r="W66" s="97" t="n"/>
      <c r="X66" s="97" t="n"/>
      <c r="Y66" s="103" t="inlineStr">
        <is>
          <t>N</t>
        </is>
      </c>
      <c r="Z66" s="97" t="n"/>
      <c r="AA66" s="97" t="n"/>
      <c r="AB66" s="103" t="inlineStr">
        <is>
          <t>N</t>
        </is>
      </c>
      <c r="AC66" s="97" t="n"/>
      <c r="AD66" s="97" t="n"/>
      <c r="AE66" s="103" t="inlineStr">
        <is>
          <t>N</t>
        </is>
      </c>
      <c r="AF66" s="97" t="n"/>
      <c r="AG66" s="97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8" t="inlineStr">
        <is>
          <t>M</t>
        </is>
      </c>
      <c r="D67" s="97" t="n"/>
      <c r="E67" s="98" t="inlineStr">
        <is>
          <t>M</t>
        </is>
      </c>
      <c r="F67" s="97" t="n"/>
      <c r="G67" s="115" t="inlineStr">
        <is>
          <t>FE</t>
        </is>
      </c>
      <c r="H67" s="115" t="inlineStr">
        <is>
          <t>FE</t>
        </is>
      </c>
      <c r="I67" s="115" t="inlineStr">
        <is>
          <t>FE</t>
        </is>
      </c>
      <c r="J67" s="115" t="inlineStr">
        <is>
          <t>FE</t>
        </is>
      </c>
      <c r="K67" s="115" t="inlineStr">
        <is>
          <t>FE</t>
        </is>
      </c>
      <c r="L67" s="115" t="inlineStr">
        <is>
          <t>FE</t>
        </is>
      </c>
      <c r="M67" s="115" t="inlineStr">
        <is>
          <t>FE</t>
        </is>
      </c>
      <c r="N67" s="115" t="inlineStr">
        <is>
          <t>FE</t>
        </is>
      </c>
      <c r="O67" s="115" t="inlineStr">
        <is>
          <t>FE</t>
        </is>
      </c>
      <c r="P67" s="115" t="inlineStr">
        <is>
          <t>FE</t>
        </is>
      </c>
      <c r="Q67" s="115" t="inlineStr">
        <is>
          <t>FE</t>
        </is>
      </c>
      <c r="R67" s="115" t="inlineStr">
        <is>
          <t>FE</t>
        </is>
      </c>
      <c r="S67" s="115" t="inlineStr">
        <is>
          <t>FE</t>
        </is>
      </c>
      <c r="T67" s="115" t="inlineStr">
        <is>
          <t>FE</t>
        </is>
      </c>
      <c r="U67" s="115" t="inlineStr">
        <is>
          <t>FE</t>
        </is>
      </c>
      <c r="V67" s="113" t="inlineStr">
        <is>
          <t>P</t>
        </is>
      </c>
      <c r="W67" s="97" t="n"/>
      <c r="X67" s="97" t="n"/>
      <c r="Y67" s="97" t="n"/>
      <c r="Z67" s="103" t="inlineStr">
        <is>
          <t>N</t>
        </is>
      </c>
      <c r="AA67" s="97" t="n"/>
      <c r="AB67" s="113" t="inlineStr">
        <is>
          <t>P</t>
        </is>
      </c>
      <c r="AC67" s="98" t="inlineStr">
        <is>
          <t>M</t>
        </is>
      </c>
      <c r="AD67" s="98" t="inlineStr">
        <is>
          <t>M</t>
        </is>
      </c>
      <c r="AE67" s="97" t="n"/>
      <c r="AF67" s="104" t="inlineStr">
        <is>
          <t>T</t>
        </is>
      </c>
      <c r="AG67" s="98" t="inlineStr">
        <is>
          <t>M</t>
        </is>
      </c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115" t="inlineStr">
        <is>
          <t>FE</t>
        </is>
      </c>
      <c r="D68" s="115" t="inlineStr">
        <is>
          <t>FE</t>
        </is>
      </c>
      <c r="E68" s="115" t="inlineStr">
        <is>
          <t>FE</t>
        </is>
      </c>
      <c r="F68" s="115" t="inlineStr">
        <is>
          <t>FE</t>
        </is>
      </c>
      <c r="G68" s="115" t="inlineStr">
        <is>
          <t>FE</t>
        </is>
      </c>
      <c r="H68" s="97" t="n"/>
      <c r="I68" s="104" t="inlineStr">
        <is>
          <t>T</t>
        </is>
      </c>
      <c r="J68" s="97" t="n"/>
      <c r="K68" s="102" t="inlineStr">
        <is>
          <t>D</t>
        </is>
      </c>
      <c r="L68" s="104" t="inlineStr">
        <is>
          <t>T</t>
        </is>
      </c>
      <c r="M68" s="97" t="n"/>
      <c r="N68" s="102" t="inlineStr">
        <is>
          <t>D</t>
        </is>
      </c>
      <c r="O68" s="97" t="n"/>
      <c r="P68" s="97" t="n"/>
      <c r="Q68" s="97" t="n"/>
      <c r="R68" s="97" t="n"/>
      <c r="S68" s="97" t="n"/>
      <c r="T68" s="97" t="n"/>
      <c r="U68" s="97" t="n"/>
      <c r="V68" s="97" t="n"/>
      <c r="W68" s="103" t="inlineStr">
        <is>
          <t>N</t>
        </is>
      </c>
      <c r="X68" s="97" t="n"/>
      <c r="Y68" s="102" t="inlineStr">
        <is>
          <t>D</t>
        </is>
      </c>
      <c r="Z68" s="104" t="inlineStr">
        <is>
          <t>T</t>
        </is>
      </c>
      <c r="AA68" s="97" t="n"/>
      <c r="AB68" s="97" t="n"/>
      <c r="AC68" s="97" t="n"/>
      <c r="AD68" s="104" t="inlineStr">
        <is>
          <t>T</t>
        </is>
      </c>
      <c r="AE68" s="97" t="n"/>
      <c r="AF68" s="102" t="inlineStr">
        <is>
          <t>D</t>
        </is>
      </c>
      <c r="AG68" s="104" t="inlineStr">
        <is>
          <t>T</t>
        </is>
      </c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98" t="inlineStr">
        <is>
          <t>M</t>
        </is>
      </c>
      <c r="F69" s="98" t="inlineStr">
        <is>
          <t>M</t>
        </is>
      </c>
      <c r="G69" s="102" t="inlineStr">
        <is>
          <t>D</t>
        </is>
      </c>
      <c r="H69" s="97" t="n"/>
      <c r="I69" s="102" t="inlineStr">
        <is>
          <t>D</t>
        </is>
      </c>
      <c r="J69" s="97" t="n"/>
      <c r="K69" s="97" t="n"/>
      <c r="L69" s="104" t="inlineStr">
        <is>
          <t>T</t>
        </is>
      </c>
      <c r="M69" s="97" t="n"/>
      <c r="N69" s="97" t="n"/>
      <c r="O69" s="97" t="n"/>
      <c r="P69" s="102" t="inlineStr">
        <is>
          <t>D</t>
        </is>
      </c>
      <c r="Q69" s="97" t="n"/>
      <c r="R69" s="102" t="inlineStr">
        <is>
          <t>D</t>
        </is>
      </c>
      <c r="S69" s="97" t="n"/>
      <c r="T69" s="98" t="inlineStr">
        <is>
          <t>M</t>
        </is>
      </c>
      <c r="U69" s="97" t="n"/>
      <c r="V69" s="97" t="n"/>
      <c r="W69" s="103" t="inlineStr">
        <is>
          <t>N</t>
        </is>
      </c>
      <c r="X69" s="97" t="n"/>
      <c r="Y69" s="97" t="n"/>
      <c r="Z69" s="102" t="inlineStr">
        <is>
          <t>D</t>
        </is>
      </c>
      <c r="AA69" s="97" t="n"/>
      <c r="AB69" s="97" t="n"/>
      <c r="AC69" s="97" t="n"/>
      <c r="AD69" s="102" t="inlineStr">
        <is>
          <t>D</t>
        </is>
      </c>
      <c r="AE69" s="98" t="inlineStr">
        <is>
          <t>M</t>
        </is>
      </c>
      <c r="AF69" s="98" t="inlineStr">
        <is>
          <t>M</t>
        </is>
      </c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8" t="inlineStr">
        <is>
          <t>M</t>
        </is>
      </c>
      <c r="D70" s="98" t="inlineStr">
        <is>
          <t>M</t>
        </is>
      </c>
      <c r="E70" s="97" t="n"/>
      <c r="F70" s="102" t="inlineStr">
        <is>
          <t>D</t>
        </is>
      </c>
      <c r="G70" s="98" t="inlineStr">
        <is>
          <t>M</t>
        </is>
      </c>
      <c r="H70" s="98" t="inlineStr">
        <is>
          <t>M</t>
        </is>
      </c>
      <c r="I70" s="103" t="inlineStr">
        <is>
          <t>N</t>
        </is>
      </c>
      <c r="J70" s="97" t="n"/>
      <c r="K70" s="114" t="inlineStr">
        <is>
          <t>LM</t>
        </is>
      </c>
      <c r="L70" s="114" t="inlineStr">
        <is>
          <t>LM</t>
        </is>
      </c>
      <c r="M70" s="114" t="inlineStr">
        <is>
          <t>LM</t>
        </is>
      </c>
      <c r="N70" s="114" t="inlineStr">
        <is>
          <t>LM</t>
        </is>
      </c>
      <c r="O70" s="114" t="inlineStr">
        <is>
          <t>LM</t>
        </is>
      </c>
      <c r="P70" s="114" t="inlineStr">
        <is>
          <t>LM</t>
        </is>
      </c>
      <c r="Q70" s="114" t="inlineStr">
        <is>
          <t>LM</t>
        </is>
      </c>
      <c r="R70" s="114" t="inlineStr">
        <is>
          <t>LM</t>
        </is>
      </c>
      <c r="S70" s="114" t="inlineStr">
        <is>
          <t>LM</t>
        </is>
      </c>
      <c r="T70" s="114" t="inlineStr">
        <is>
          <t>LM</t>
        </is>
      </c>
      <c r="U70" s="114" t="inlineStr">
        <is>
          <t>LM</t>
        </is>
      </c>
      <c r="V70" s="114" t="inlineStr">
        <is>
          <t>LM</t>
        </is>
      </c>
      <c r="W70" s="114" t="inlineStr">
        <is>
          <t>LM</t>
        </is>
      </c>
      <c r="X70" s="114" t="inlineStr">
        <is>
          <t>LM</t>
        </is>
      </c>
      <c r="Y70" s="114" t="inlineStr">
        <is>
          <t>LM</t>
        </is>
      </c>
      <c r="Z70" s="114" t="inlineStr">
        <is>
          <t>LM</t>
        </is>
      </c>
      <c r="AA70" s="114" t="inlineStr">
        <is>
          <t>LM</t>
        </is>
      </c>
      <c r="AB70" s="114" t="inlineStr">
        <is>
          <t>LM</t>
        </is>
      </c>
      <c r="AC70" s="114" t="inlineStr">
        <is>
          <t>LM</t>
        </is>
      </c>
      <c r="AD70" s="114" t="inlineStr">
        <is>
          <t>LM</t>
        </is>
      </c>
      <c r="AE70" s="98" t="inlineStr">
        <is>
          <t>M</t>
        </is>
      </c>
      <c r="AF70" s="98" t="inlineStr">
        <is>
          <t>M</t>
        </is>
      </c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97" t="n"/>
      <c r="G71" s="117" t="inlineStr">
        <is>
          <t>A</t>
        </is>
      </c>
      <c r="H71" s="97" t="n"/>
      <c r="I71" s="117" t="inlineStr">
        <is>
          <t>A</t>
        </is>
      </c>
      <c r="J71" s="97" t="n"/>
      <c r="K71" s="117" t="inlineStr">
        <is>
          <t>A</t>
        </is>
      </c>
      <c r="L71" s="97" t="n"/>
      <c r="M71" s="97" t="n"/>
      <c r="N71" s="97" t="n"/>
      <c r="O71" s="97" t="n"/>
      <c r="P71" s="117" t="inlineStr">
        <is>
          <t>A</t>
        </is>
      </c>
      <c r="Q71" s="97" t="n"/>
      <c r="R71" s="117" t="inlineStr">
        <is>
          <t>A</t>
        </is>
      </c>
      <c r="S71" s="97" t="n"/>
      <c r="T71" s="97" t="n"/>
      <c r="U71" s="117" t="inlineStr">
        <is>
          <t>A</t>
        </is>
      </c>
      <c r="V71" s="97" t="n"/>
      <c r="W71" s="117" t="inlineStr">
        <is>
          <t>A</t>
        </is>
      </c>
      <c r="X71" s="97" t="n"/>
      <c r="Y71" s="117" t="inlineStr">
        <is>
          <t>A</t>
        </is>
      </c>
      <c r="Z71" s="97" t="n"/>
      <c r="AA71" s="97" t="n"/>
      <c r="AB71" s="117" t="inlineStr">
        <is>
          <t>A</t>
        </is>
      </c>
      <c r="AC71" s="97" t="n"/>
      <c r="AD71" s="117" t="inlineStr">
        <is>
          <t>A</t>
        </is>
      </c>
      <c r="AE71" s="97" t="n"/>
      <c r="AF71" s="117" t="inlineStr">
        <is>
          <t>A</t>
        </is>
      </c>
      <c r="AG71" s="97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117" t="inlineStr">
        <is>
          <t>A</t>
        </is>
      </c>
      <c r="D72" s="117" t="inlineStr">
        <is>
          <t>A</t>
        </is>
      </c>
      <c r="E72" s="97" t="n"/>
      <c r="F72" s="97" t="n"/>
      <c r="G72" s="117" t="inlineStr">
        <is>
          <t>A</t>
        </is>
      </c>
      <c r="H72" s="117" t="inlineStr">
        <is>
          <t>A</t>
        </is>
      </c>
      <c r="I72" s="117" t="inlineStr">
        <is>
          <t>A</t>
        </is>
      </c>
      <c r="J72" s="117" t="inlineStr">
        <is>
          <t>A</t>
        </is>
      </c>
      <c r="K72" s="97" t="n"/>
      <c r="L72" s="97" t="n"/>
      <c r="M72" s="97" t="n"/>
      <c r="N72" s="97" t="n"/>
      <c r="O72" s="117" t="inlineStr">
        <is>
          <t>A</t>
        </is>
      </c>
      <c r="P72" s="117" t="inlineStr">
        <is>
          <t>A</t>
        </is>
      </c>
      <c r="Q72" s="117" t="inlineStr">
        <is>
          <t>A</t>
        </is>
      </c>
      <c r="R72" s="117" t="inlineStr">
        <is>
          <t>A</t>
        </is>
      </c>
      <c r="S72" s="97" t="n"/>
      <c r="T72" s="97" t="n"/>
      <c r="U72" s="117" t="inlineStr">
        <is>
          <t>A</t>
        </is>
      </c>
      <c r="V72" s="117" t="inlineStr">
        <is>
          <t>A</t>
        </is>
      </c>
      <c r="W72" s="117" t="inlineStr">
        <is>
          <t>A</t>
        </is>
      </c>
      <c r="X72" s="117" t="inlineStr">
        <is>
          <t>A</t>
        </is>
      </c>
      <c r="Y72" s="97" t="n"/>
      <c r="Z72" s="97" t="n"/>
      <c r="AA72" s="97" t="n"/>
      <c r="AB72" s="117" t="inlineStr">
        <is>
          <t>A</t>
        </is>
      </c>
      <c r="AC72" s="117" t="inlineStr">
        <is>
          <t>A</t>
        </is>
      </c>
      <c r="AD72" s="117" t="inlineStr">
        <is>
          <t>A</t>
        </is>
      </c>
      <c r="AE72" s="117" t="inlineStr">
        <is>
          <t>A</t>
        </is>
      </c>
      <c r="AF72" s="97" t="n"/>
      <c r="AG72" s="97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MAX(0,CONFIG!$B$4-C75)</f>
        <v/>
      </c>
      <c r="D78" s="109">
        <f>MAX(0,CONFIG!$B$4-D75)</f>
        <v/>
      </c>
      <c r="E78" s="109">
        <f>MAX(0,CONFIG!$B$5-E75)</f>
        <v/>
      </c>
      <c r="F78" s="109">
        <f>MAX(0,CONFIG!$B$6-F75)</f>
        <v/>
      </c>
      <c r="G78" s="109">
        <f>MAX(0,CONFIG!$B$4-G75)</f>
        <v/>
      </c>
      <c r="H78" s="109">
        <f>MAX(0,CONFIG!$B$4-H75)</f>
        <v/>
      </c>
      <c r="I78" s="109">
        <f>MAX(0,CONFIG!$B$4-I75)</f>
        <v/>
      </c>
      <c r="J78" s="109">
        <f>MAX(0,CONFIG!$B$4-J75)</f>
        <v/>
      </c>
      <c r="K78" s="109">
        <f>MAX(0,CONFIG!$B$4-K75)</f>
        <v/>
      </c>
      <c r="L78" s="109">
        <f>MAX(0,CONFIG!$B$5-L75)</f>
        <v/>
      </c>
      <c r="M78" s="109">
        <f>MAX(0,CONFIG!$B$6-M75)</f>
        <v/>
      </c>
      <c r="N78" s="109">
        <f>MAX(0,CONFIG!$B$4-N75)</f>
        <v/>
      </c>
      <c r="O78" s="109">
        <f>MAX(0,CONFIG!$B$4-O75)</f>
        <v/>
      </c>
      <c r="P78" s="109">
        <f>MAX(0,CONFIG!$B$4-P75)</f>
        <v/>
      </c>
      <c r="Q78" s="109">
        <f>MAX(0,CONFIG!$B$4-Q75)</f>
        <v/>
      </c>
      <c r="R78" s="109">
        <f>MAX(0,CONFIG!$B$4-R75)</f>
        <v/>
      </c>
      <c r="S78" s="109">
        <f>MAX(0,CONFIG!$B$5-S75)</f>
        <v/>
      </c>
      <c r="T78" s="109">
        <f>MAX(0,CONFIG!$B$6-T75)</f>
        <v/>
      </c>
      <c r="U78" s="109">
        <f>MAX(0,CONFIG!$B$4-U75)</f>
        <v/>
      </c>
      <c r="V78" s="109">
        <f>MAX(0,CONFIG!$B$4-V75)</f>
        <v/>
      </c>
      <c r="W78" s="109">
        <f>MAX(0,CONFIG!$B$4-W75)</f>
        <v/>
      </c>
      <c r="X78" s="109">
        <f>MAX(0,CONFIG!$B$4-X75)</f>
        <v/>
      </c>
      <c r="Y78" s="109">
        <f>MAX(0,CONFIG!$B$4-Y75)</f>
        <v/>
      </c>
      <c r="Z78" s="109">
        <f>MAX(0,CONFIG!$B$5-Z75)</f>
        <v/>
      </c>
      <c r="AA78" s="109">
        <f>MAX(0,CONFIG!$B$6-AA75)</f>
        <v/>
      </c>
      <c r="AB78" s="109">
        <f>MAX(0,CONFIG!$B$4-AB75)</f>
        <v/>
      </c>
      <c r="AC78" s="109">
        <f>MAX(0,CONFIG!$B$4-AC75)</f>
        <v/>
      </c>
      <c r="AD78" s="109">
        <f>MAX(0,CONFIG!$B$4-AD75)</f>
        <v/>
      </c>
      <c r="AE78" s="109">
        <f>MAX(0,CONFIG!$B$4-AE75)</f>
        <v/>
      </c>
      <c r="AF78" s="109">
        <f>MAX(0,CONFIG!$B$4-AF75)</f>
        <v/>
      </c>
      <c r="AG78" s="109">
        <f>MAX(0,CONFIG!$B$5-AG75)</f>
        <v/>
      </c>
    </row>
    <row r="79">
      <c r="A79" s="108" t="inlineStr">
        <is>
          <t>falta tarde</t>
        </is>
      </c>
      <c r="C79" s="109">
        <f>MAX(0,CONFIG!$C$4-C76)</f>
        <v/>
      </c>
      <c r="D79" s="109">
        <f>MAX(0,CONFIG!$C$4-D76)</f>
        <v/>
      </c>
      <c r="E79" s="109">
        <f>MAX(0,CONFIG!$C$5-E76)</f>
        <v/>
      </c>
      <c r="F79" s="109">
        <f>MAX(0,CONFIG!$C$6-F76)</f>
        <v/>
      </c>
      <c r="G79" s="109">
        <f>MAX(0,CONFIG!$C$4-G76)</f>
        <v/>
      </c>
      <c r="H79" s="109">
        <f>MAX(0,CONFIG!$C$4-H76)</f>
        <v/>
      </c>
      <c r="I79" s="109">
        <f>MAX(0,CONFIG!$C$4-I76)</f>
        <v/>
      </c>
      <c r="J79" s="109">
        <f>MAX(0,CONFIG!$C$4-J76)</f>
        <v/>
      </c>
      <c r="K79" s="109">
        <f>MAX(0,CONFIG!$C$4-K76)</f>
        <v/>
      </c>
      <c r="L79" s="109">
        <f>MAX(0,CONFIG!$C$5-L76)</f>
        <v/>
      </c>
      <c r="M79" s="109">
        <f>MAX(0,CONFIG!$C$6-M76)</f>
        <v/>
      </c>
      <c r="N79" s="109">
        <f>MAX(0,CONFIG!$C$4-N76)</f>
        <v/>
      </c>
      <c r="O79" s="109">
        <f>MAX(0,CONFIG!$C$4-O76)</f>
        <v/>
      </c>
      <c r="P79" s="109">
        <f>MAX(0,CONFIG!$C$4-P76)</f>
        <v/>
      </c>
      <c r="Q79" s="109">
        <f>MAX(0,CONFIG!$C$4-Q76)</f>
        <v/>
      </c>
      <c r="R79" s="109">
        <f>MAX(0,CONFIG!$C$4-R76)</f>
        <v/>
      </c>
      <c r="S79" s="109">
        <f>MAX(0,CONFIG!$C$5-S76)</f>
        <v/>
      </c>
      <c r="T79" s="109">
        <f>MAX(0,CONFIG!$C$6-T76)</f>
        <v/>
      </c>
      <c r="U79" s="109">
        <f>MAX(0,CONFIG!$C$4-U76)</f>
        <v/>
      </c>
      <c r="V79" s="109">
        <f>MAX(0,CONFIG!$C$4-V76)</f>
        <v/>
      </c>
      <c r="W79" s="109">
        <f>MAX(0,CONFIG!$C$4-W76)</f>
        <v/>
      </c>
      <c r="X79" s="109">
        <f>MAX(0,CONFIG!$C$4-X76)</f>
        <v/>
      </c>
      <c r="Y79" s="109">
        <f>MAX(0,CONFIG!$C$4-Y76)</f>
        <v/>
      </c>
      <c r="Z79" s="109">
        <f>MAX(0,CONFIG!$C$5-Z76)</f>
        <v/>
      </c>
      <c r="AA79" s="109">
        <f>MAX(0,CONFIG!$C$6-AA76)</f>
        <v/>
      </c>
      <c r="AB79" s="109">
        <f>MAX(0,CONFIG!$C$4-AB76)</f>
        <v/>
      </c>
      <c r="AC79" s="109">
        <f>MAX(0,CONFIG!$C$4-AC76)</f>
        <v/>
      </c>
      <c r="AD79" s="109">
        <f>MAX(0,CONFIG!$C$4-AD76)</f>
        <v/>
      </c>
      <c r="AE79" s="109">
        <f>MAX(0,CONFIG!$C$4-AE76)</f>
        <v/>
      </c>
      <c r="AF79" s="109">
        <f>MAX(0,CONFIG!$C$4-AF76)</f>
        <v/>
      </c>
      <c r="AG79" s="109">
        <f>MAX(0,CONFIG!$C$5-AG76)</f>
        <v/>
      </c>
    </row>
    <row r="80">
      <c r="A80" s="108" t="inlineStr">
        <is>
          <t>falta noite</t>
        </is>
      </c>
      <c r="C80" s="109">
        <f>MAX(0,CONFIG!$D$4-C77)</f>
        <v/>
      </c>
      <c r="D80" s="109">
        <f>MAX(0,CONFIG!$D$4-D77)</f>
        <v/>
      </c>
      <c r="E80" s="109">
        <f>MAX(0,CONFIG!$D$5-E77)</f>
        <v/>
      </c>
      <c r="F80" s="109">
        <f>MAX(0,CONFIG!$D$6-F77)</f>
        <v/>
      </c>
      <c r="G80" s="109">
        <f>MAX(0,CONFIG!$D$4-G77)</f>
        <v/>
      </c>
      <c r="H80" s="109">
        <f>MAX(0,CONFIG!$D$4-H77)</f>
        <v/>
      </c>
      <c r="I80" s="109">
        <f>MAX(0,CONFIG!$D$4-I77)</f>
        <v/>
      </c>
      <c r="J80" s="109">
        <f>MAX(0,CONFIG!$D$4-J77)</f>
        <v/>
      </c>
      <c r="K80" s="109">
        <f>MAX(0,CONFIG!$D$4-K77)</f>
        <v/>
      </c>
      <c r="L80" s="109">
        <f>MAX(0,CONFIG!$D$5-L77)</f>
        <v/>
      </c>
      <c r="M80" s="109">
        <f>MAX(0,CONFIG!$D$6-M77)</f>
        <v/>
      </c>
      <c r="N80" s="109">
        <f>MAX(0,CONFIG!$D$4-N77)</f>
        <v/>
      </c>
      <c r="O80" s="109">
        <f>MAX(0,CONFIG!$D$4-O77)</f>
        <v/>
      </c>
      <c r="P80" s="109">
        <f>MAX(0,CONFIG!$D$4-P77)</f>
        <v/>
      </c>
      <c r="Q80" s="109">
        <f>MAX(0,CONFIG!$D$4-Q77)</f>
        <v/>
      </c>
      <c r="R80" s="109">
        <f>MAX(0,CONFIG!$D$4-R77)</f>
        <v/>
      </c>
      <c r="S80" s="109">
        <f>MAX(0,CONFIG!$D$5-S77)</f>
        <v/>
      </c>
      <c r="T80" s="109">
        <f>MAX(0,CONFIG!$D$6-T77)</f>
        <v/>
      </c>
      <c r="U80" s="109">
        <f>MAX(0,CONFIG!$D$4-U77)</f>
        <v/>
      </c>
      <c r="V80" s="109">
        <f>MAX(0,CONFIG!$D$4-V77)</f>
        <v/>
      </c>
      <c r="W80" s="109">
        <f>MAX(0,CONFIG!$D$4-W77)</f>
        <v/>
      </c>
      <c r="X80" s="109">
        <f>MAX(0,CONFIG!$D$4-X77)</f>
        <v/>
      </c>
      <c r="Y80" s="109">
        <f>MAX(0,CONFIG!$D$4-Y77)</f>
        <v/>
      </c>
      <c r="Z80" s="109">
        <f>MAX(0,CONFIG!$D$5-Z77)</f>
        <v/>
      </c>
      <c r="AA80" s="109">
        <f>MAX(0,CONFIG!$D$6-AA77)</f>
        <v/>
      </c>
      <c r="AB80" s="109">
        <f>MAX(0,CONFIG!$D$4-AB77)</f>
        <v/>
      </c>
      <c r="AC80" s="109">
        <f>MAX(0,CONFIG!$D$4-AC77)</f>
        <v/>
      </c>
      <c r="AD80" s="109">
        <f>MAX(0,CONFIG!$D$4-AD77)</f>
        <v/>
      </c>
      <c r="AE80" s="109">
        <f>MAX(0,CONFIG!$D$4-AE77)</f>
        <v/>
      </c>
      <c r="AF80" s="109">
        <f>MAX(0,CONFIG!$D$4-AF77)</f>
        <v/>
      </c>
      <c r="AG80" s="109">
        <f>MAX(0,CONFIG!$D$5-AG77)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EBE8E5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novembro · 2026</t>
        </is>
      </c>
      <c r="C1" s="88" t="inlineStr">
        <is>
          <t>a montar</t>
        </is>
      </c>
    </row>
    <row r="2">
      <c r="C2" s="91" t="n">
        <v>1</v>
      </c>
      <c r="D2" s="89" t="n">
        <v>2</v>
      </c>
      <c r="E2" s="90" t="n">
        <v>3</v>
      </c>
      <c r="F2" s="90" t="n">
        <v>4</v>
      </c>
      <c r="G2" s="90" t="n">
        <v>5</v>
      </c>
      <c r="H2" s="90" t="n">
        <v>6</v>
      </c>
      <c r="I2" s="91" t="n">
        <v>7</v>
      </c>
      <c r="J2" s="91" t="n">
        <v>8</v>
      </c>
      <c r="K2" s="90" t="n">
        <v>9</v>
      </c>
      <c r="L2" s="90" t="n">
        <v>10</v>
      </c>
      <c r="M2" s="90" t="n">
        <v>11</v>
      </c>
      <c r="N2" s="90" t="n">
        <v>12</v>
      </c>
      <c r="O2" s="90" t="n">
        <v>13</v>
      </c>
      <c r="P2" s="91" t="n">
        <v>14</v>
      </c>
      <c r="Q2" s="89" t="n">
        <v>15</v>
      </c>
      <c r="R2" s="90" t="n">
        <v>16</v>
      </c>
      <c r="S2" s="90" t="n">
        <v>17</v>
      </c>
      <c r="T2" s="90" t="n">
        <v>18</v>
      </c>
      <c r="U2" s="90" t="n">
        <v>19</v>
      </c>
      <c r="V2" s="89" t="n">
        <v>20</v>
      </c>
      <c r="W2" s="91" t="n">
        <v>21</v>
      </c>
      <c r="X2" s="91" t="n">
        <v>22</v>
      </c>
      <c r="Y2" s="90" t="n">
        <v>23</v>
      </c>
      <c r="Z2" s="90" t="n">
        <v>24</v>
      </c>
      <c r="AA2" s="90" t="n">
        <v>25</v>
      </c>
      <c r="AB2" s="90" t="n">
        <v>26</v>
      </c>
      <c r="AC2" s="90" t="n">
        <v>27</v>
      </c>
      <c r="AD2" s="91" t="n">
        <v>28</v>
      </c>
      <c r="AE2" s="91" t="n">
        <v>29</v>
      </c>
      <c r="AF2" s="90" t="n">
        <v>30</v>
      </c>
      <c r="AG2" s="110" t="n"/>
    </row>
    <row r="3">
      <c r="C3" s="94" t="inlineStr">
        <is>
          <t>dom</t>
        </is>
      </c>
      <c r="D3" s="92" t="inlineStr">
        <is>
          <t>finad</t>
        </is>
      </c>
      <c r="E3" s="93" t="inlineStr">
        <is>
          <t>ter</t>
        </is>
      </c>
      <c r="F3" s="93" t="inlineStr">
        <is>
          <t>qua</t>
        </is>
      </c>
      <c r="G3" s="93" t="inlineStr">
        <is>
          <t>qui</t>
        </is>
      </c>
      <c r="H3" s="93" t="inlineStr">
        <is>
          <t>sex</t>
        </is>
      </c>
      <c r="I3" s="94" t="inlineStr">
        <is>
          <t>sáb</t>
        </is>
      </c>
      <c r="J3" s="94" t="inlineStr">
        <is>
          <t>dom</t>
        </is>
      </c>
      <c r="K3" s="93" t="inlineStr">
        <is>
          <t>seg</t>
        </is>
      </c>
      <c r="L3" s="93" t="inlineStr">
        <is>
          <t>ter</t>
        </is>
      </c>
      <c r="M3" s="93" t="inlineStr">
        <is>
          <t>qua</t>
        </is>
      </c>
      <c r="N3" s="93" t="inlineStr">
        <is>
          <t>qui</t>
        </is>
      </c>
      <c r="O3" s="93" t="inlineStr">
        <is>
          <t>sex</t>
        </is>
      </c>
      <c r="P3" s="94" t="inlineStr">
        <is>
          <t>sáb</t>
        </is>
      </c>
      <c r="Q3" s="92" t="inlineStr">
        <is>
          <t>repúb</t>
        </is>
      </c>
      <c r="R3" s="93" t="inlineStr">
        <is>
          <t>seg</t>
        </is>
      </c>
      <c r="S3" s="93" t="inlineStr">
        <is>
          <t>ter</t>
        </is>
      </c>
      <c r="T3" s="93" t="inlineStr">
        <is>
          <t>qua</t>
        </is>
      </c>
      <c r="U3" s="93" t="inlineStr">
        <is>
          <t>qui</t>
        </is>
      </c>
      <c r="V3" s="92" t="inlineStr">
        <is>
          <t>consc</t>
        </is>
      </c>
      <c r="W3" s="94" t="inlineStr">
        <is>
          <t>sáb</t>
        </is>
      </c>
      <c r="X3" s="94" t="inlineStr">
        <is>
          <t>dom</t>
        </is>
      </c>
      <c r="Y3" s="93" t="inlineStr">
        <is>
          <t>seg</t>
        </is>
      </c>
      <c r="Z3" s="93" t="inlineStr">
        <is>
          <t>ter</t>
        </is>
      </c>
      <c r="AA3" s="93" t="inlineStr">
        <is>
          <t>qua</t>
        </is>
      </c>
      <c r="AB3" s="93" t="inlineStr">
        <is>
          <t>qui</t>
        </is>
      </c>
      <c r="AC3" s="93" t="inlineStr">
        <is>
          <t>sex</t>
        </is>
      </c>
      <c r="AD3" s="94" t="inlineStr">
        <is>
          <t>sáb</t>
        </is>
      </c>
      <c r="AE3" s="94" t="inlineStr">
        <is>
          <t>dom</t>
        </is>
      </c>
      <c r="AF3" s="93" t="inlineStr">
        <is>
          <t>seg</t>
        </is>
      </c>
      <c r="AG3" s="110" t="n"/>
    </row>
    <row r="4" hidden="1">
      <c r="A4" t="inlineStr">
        <is>
          <t>máscara fds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</row>
    <row r="6" hidden="1">
      <c r="A6" t="inlineStr">
        <is>
          <t>máscara feriado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110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ROUND(B8*4.29,0)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  <c r="AA9" s="97" t="n"/>
      <c r="AB9" s="97" t="n"/>
      <c r="AC9" s="97" t="n"/>
      <c r="AD9" s="97" t="n"/>
      <c r="AE9" s="97" t="n"/>
      <c r="AF9" s="97" t="n"/>
      <c r="AG9" s="110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ROUND(B9*4.29,0)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110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ROUND(B10*4.29,0)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  <c r="AA11" s="97" t="n"/>
      <c r="AB11" s="97" t="n"/>
      <c r="AC11" s="97" t="n"/>
      <c r="AD11" s="97" t="n"/>
      <c r="AE11" s="97" t="n"/>
      <c r="AF11" s="97" t="n"/>
      <c r="AG11" s="110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ROUND(B11*4.29,0)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  <c r="AA12" s="97" t="n"/>
      <c r="AB12" s="97" t="n"/>
      <c r="AC12" s="97" t="n"/>
      <c r="AD12" s="97" t="n"/>
      <c r="AE12" s="97" t="n"/>
      <c r="AF12" s="97" t="n"/>
      <c r="AG12" s="110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ROUND(B12*4.29,0)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110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ROUND(B13*4.29,0)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  <c r="AA14" s="97" t="n"/>
      <c r="AB14" s="97" t="n"/>
      <c r="AC14" s="97" t="n"/>
      <c r="AD14" s="97" t="n"/>
      <c r="AE14" s="97" t="n"/>
      <c r="AF14" s="97" t="n"/>
      <c r="AG14" s="110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ROUND(B14*4.29,0)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110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ROUND(B15*4.29,0)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110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ROUND(B16*4.29,0)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  <c r="AA17" s="97" t="n"/>
      <c r="AB17" s="97" t="n"/>
      <c r="AC17" s="97" t="n"/>
      <c r="AD17" s="97" t="n"/>
      <c r="AE17" s="97" t="n"/>
      <c r="AF17" s="97" t="n"/>
      <c r="AG17" s="110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ROUND(B17*4.29,0)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97" t="n"/>
      <c r="E18" s="97" t="n"/>
      <c r="F18" s="97" t="n"/>
      <c r="G18" s="97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110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ROUND(B18*4.29,0)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  <c r="AA19" s="97" t="n"/>
      <c r="AB19" s="97" t="n"/>
      <c r="AC19" s="97" t="n"/>
      <c r="AD19" s="97" t="n"/>
      <c r="AE19" s="97" t="n"/>
      <c r="AF19" s="97" t="n"/>
      <c r="AG19" s="110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ROUND(B19*4.29,0)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110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ROUND(B20*4.29,0)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110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ROUND(B21*4.29,0)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  <c r="AA22" s="97" t="n"/>
      <c r="AB22" s="97" t="n"/>
      <c r="AC22" s="97" t="n"/>
      <c r="AD22" s="97" t="n"/>
      <c r="AE22" s="97" t="n"/>
      <c r="AF22" s="97" t="n"/>
      <c r="AG22" s="110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ROUND(B22*4.29,0)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97" t="n"/>
      <c r="F23" s="97" t="n"/>
      <c r="G23" s="97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  <c r="AA23" s="97" t="n"/>
      <c r="AB23" s="97" t="n"/>
      <c r="AC23" s="97" t="n"/>
      <c r="AD23" s="97" t="n"/>
      <c r="AE23" s="97" t="n"/>
      <c r="AF23" s="97" t="n"/>
      <c r="AG23" s="110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ROUND(B23*4.29,0)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  <c r="AA24" s="97" t="n"/>
      <c r="AB24" s="97" t="n"/>
      <c r="AC24" s="97" t="n"/>
      <c r="AD24" s="97" t="n"/>
      <c r="AE24" s="97" t="n"/>
      <c r="AF24" s="97" t="n"/>
      <c r="AG24" s="110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ROUND(B24*4.29,0)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  <c r="AA25" s="97" t="n"/>
      <c r="AB25" s="97" t="n"/>
      <c r="AC25" s="97" t="n"/>
      <c r="AD25" s="97" t="n"/>
      <c r="AE25" s="97" t="n"/>
      <c r="AF25" s="97" t="n"/>
      <c r="AG25" s="110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ROUND(B25*4.29,0)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97" t="n"/>
      <c r="AG26" s="110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ROUND(B26*4.29,0)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97" t="n"/>
      <c r="F27" s="97" t="n"/>
      <c r="G27" s="97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110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ROUND(B27*4.29,0)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110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ROUND(B28*4.29,0)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110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ROUND(B29*4.29,0)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110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ROUND(B30*4.29,0)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110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ROUND(B31*4.29,0)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110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ROUND(B32*4.29,0)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110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ROUND(B33*4.29,0)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110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ROUND(B34*4.29,0)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110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ROUND(B35*4.29,0)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110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ROUND(B36*4.29,0)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110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ROUND(B37*4.29,0)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110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ROUND(B38*4.29,0)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110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ROUND(B39*4.29,0)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110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ROUND(B40*4.29,0)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110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ROUND(B41*4.29,0)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110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ROUND(B42*4.29,0)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110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ROUND(B43*4.29,0)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110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ROUND(B44*4.29,0)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110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ROUND(B45*4.29,0)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110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ROUND(B46*4.29,0)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110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ROUND(B47*4.29,0)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110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ROUND(B48*4.29,0)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110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ROUND(B49*4.29,0)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110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ROUND(B50*4.29,0)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110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ROUND(B51*4.29,0)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110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ROUND(B52*4.29,0)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110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ROUND(B53*4.29,0)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110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ROUND(B54*4.29,0)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110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ROUND(B55*4.29,0)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110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ROUND(B56*4.29,0)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110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ROUND(B57*4.29,0)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110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ROUND(B58*4.29,0)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110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ROUND(B59*4.29,0)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110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ROUND(B60*4.29,0)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110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ROUND(B61*4.29,0)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110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ROUND(B62*4.29,0)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110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ROUND(B63*4.29,0)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110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ROUND(B64*4.29,0)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110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ROUND(B65*4.29,0)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110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ROUND(B66*4.29,0)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110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ROUND(B67*4.29,0)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110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ROUND(B68*4.29,0)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110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ROUND(B69*4.29,0)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110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ROUND(B70*4.29,0)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110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ROUND(B71*4.29,0)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110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ROUND(B72*4.29,0)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110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ROUND(B73*4.29,0)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</row>
    <row r="78">
      <c r="A78" s="108" t="inlineStr">
        <is>
          <t>falta manhã</t>
        </is>
      </c>
      <c r="C78" s="109">
        <f>MAX(0,CONFIG!$B$6-C75)</f>
        <v/>
      </c>
      <c r="D78" s="109">
        <f>MAX(0,CONFIG!$B$4-D75)</f>
        <v/>
      </c>
      <c r="E78" s="109">
        <f>MAX(0,CONFIG!$B$4-E75)</f>
        <v/>
      </c>
      <c r="F78" s="109">
        <f>MAX(0,CONFIG!$B$4-F75)</f>
        <v/>
      </c>
      <c r="G78" s="109">
        <f>MAX(0,CONFIG!$B$4-G75)</f>
        <v/>
      </c>
      <c r="H78" s="109">
        <f>MAX(0,CONFIG!$B$4-H75)</f>
        <v/>
      </c>
      <c r="I78" s="109">
        <f>MAX(0,CONFIG!$B$5-I75)</f>
        <v/>
      </c>
      <c r="J78" s="109">
        <f>MAX(0,CONFIG!$B$6-J75)</f>
        <v/>
      </c>
      <c r="K78" s="109">
        <f>MAX(0,CONFIG!$B$4-K75)</f>
        <v/>
      </c>
      <c r="L78" s="109">
        <f>MAX(0,CONFIG!$B$4-L75)</f>
        <v/>
      </c>
      <c r="M78" s="109">
        <f>MAX(0,CONFIG!$B$4-M75)</f>
        <v/>
      </c>
      <c r="N78" s="109">
        <f>MAX(0,CONFIG!$B$4-N75)</f>
        <v/>
      </c>
      <c r="O78" s="109">
        <f>MAX(0,CONFIG!$B$4-O75)</f>
        <v/>
      </c>
      <c r="P78" s="109">
        <f>MAX(0,CONFIG!$B$5-P75)</f>
        <v/>
      </c>
      <c r="Q78" s="109">
        <f>MAX(0,CONFIG!$B$6-Q75)</f>
        <v/>
      </c>
      <c r="R78" s="109">
        <f>MAX(0,CONFIG!$B$4-R75)</f>
        <v/>
      </c>
      <c r="S78" s="109">
        <f>MAX(0,CONFIG!$B$4-S75)</f>
        <v/>
      </c>
      <c r="T78" s="109">
        <f>MAX(0,CONFIG!$B$4-T75)</f>
        <v/>
      </c>
      <c r="U78" s="109">
        <f>MAX(0,CONFIG!$B$4-U75)</f>
        <v/>
      </c>
      <c r="V78" s="109">
        <f>MAX(0,CONFIG!$B$4-V75)</f>
        <v/>
      </c>
      <c r="W78" s="109">
        <f>MAX(0,CONFIG!$B$5-W75)</f>
        <v/>
      </c>
      <c r="X78" s="109">
        <f>MAX(0,CONFIG!$B$6-X75)</f>
        <v/>
      </c>
      <c r="Y78" s="109">
        <f>MAX(0,CONFIG!$B$4-Y75)</f>
        <v/>
      </c>
      <c r="Z78" s="109">
        <f>MAX(0,CONFIG!$B$4-Z75)</f>
        <v/>
      </c>
      <c r="AA78" s="109">
        <f>MAX(0,CONFIG!$B$4-AA75)</f>
        <v/>
      </c>
      <c r="AB78" s="109">
        <f>MAX(0,CONFIG!$B$4-AB75)</f>
        <v/>
      </c>
      <c r="AC78" s="109">
        <f>MAX(0,CONFIG!$B$4-AC75)</f>
        <v/>
      </c>
      <c r="AD78" s="109">
        <f>MAX(0,CONFIG!$B$5-AD75)</f>
        <v/>
      </c>
      <c r="AE78" s="109">
        <f>MAX(0,CONFIG!$B$6-AE75)</f>
        <v/>
      </c>
      <c r="AF78" s="109">
        <f>MAX(0,CONFIG!$B$4-AF75)</f>
        <v/>
      </c>
    </row>
    <row r="79">
      <c r="A79" s="108" t="inlineStr">
        <is>
          <t>falta tarde</t>
        </is>
      </c>
      <c r="C79" s="109">
        <f>MAX(0,CONFIG!$C$6-C76)</f>
        <v/>
      </c>
      <c r="D79" s="109">
        <f>MAX(0,CONFIG!$C$4-D76)</f>
        <v/>
      </c>
      <c r="E79" s="109">
        <f>MAX(0,CONFIG!$C$4-E76)</f>
        <v/>
      </c>
      <c r="F79" s="109">
        <f>MAX(0,CONFIG!$C$4-F76)</f>
        <v/>
      </c>
      <c r="G79" s="109">
        <f>MAX(0,CONFIG!$C$4-G76)</f>
        <v/>
      </c>
      <c r="H79" s="109">
        <f>MAX(0,CONFIG!$C$4-H76)</f>
        <v/>
      </c>
      <c r="I79" s="109">
        <f>MAX(0,CONFIG!$C$5-I76)</f>
        <v/>
      </c>
      <c r="J79" s="109">
        <f>MAX(0,CONFIG!$C$6-J76)</f>
        <v/>
      </c>
      <c r="K79" s="109">
        <f>MAX(0,CONFIG!$C$4-K76)</f>
        <v/>
      </c>
      <c r="L79" s="109">
        <f>MAX(0,CONFIG!$C$4-L76)</f>
        <v/>
      </c>
      <c r="M79" s="109">
        <f>MAX(0,CONFIG!$C$4-M76)</f>
        <v/>
      </c>
      <c r="N79" s="109">
        <f>MAX(0,CONFIG!$C$4-N76)</f>
        <v/>
      </c>
      <c r="O79" s="109">
        <f>MAX(0,CONFIG!$C$4-O76)</f>
        <v/>
      </c>
      <c r="P79" s="109">
        <f>MAX(0,CONFIG!$C$5-P76)</f>
        <v/>
      </c>
      <c r="Q79" s="109">
        <f>MAX(0,CONFIG!$C$6-Q76)</f>
        <v/>
      </c>
      <c r="R79" s="109">
        <f>MAX(0,CONFIG!$C$4-R76)</f>
        <v/>
      </c>
      <c r="S79" s="109">
        <f>MAX(0,CONFIG!$C$4-S76)</f>
        <v/>
      </c>
      <c r="T79" s="109">
        <f>MAX(0,CONFIG!$C$4-T76)</f>
        <v/>
      </c>
      <c r="U79" s="109">
        <f>MAX(0,CONFIG!$C$4-U76)</f>
        <v/>
      </c>
      <c r="V79" s="109">
        <f>MAX(0,CONFIG!$C$4-V76)</f>
        <v/>
      </c>
      <c r="W79" s="109">
        <f>MAX(0,CONFIG!$C$5-W76)</f>
        <v/>
      </c>
      <c r="X79" s="109">
        <f>MAX(0,CONFIG!$C$6-X76)</f>
        <v/>
      </c>
      <c r="Y79" s="109">
        <f>MAX(0,CONFIG!$C$4-Y76)</f>
        <v/>
      </c>
      <c r="Z79" s="109">
        <f>MAX(0,CONFIG!$C$4-Z76)</f>
        <v/>
      </c>
      <c r="AA79" s="109">
        <f>MAX(0,CONFIG!$C$4-AA76)</f>
        <v/>
      </c>
      <c r="AB79" s="109">
        <f>MAX(0,CONFIG!$C$4-AB76)</f>
        <v/>
      </c>
      <c r="AC79" s="109">
        <f>MAX(0,CONFIG!$C$4-AC76)</f>
        <v/>
      </c>
      <c r="AD79" s="109">
        <f>MAX(0,CONFIG!$C$5-AD76)</f>
        <v/>
      </c>
      <c r="AE79" s="109">
        <f>MAX(0,CONFIG!$C$6-AE76)</f>
        <v/>
      </c>
      <c r="AF79" s="109">
        <f>MAX(0,CONFIG!$C$4-AF76)</f>
        <v/>
      </c>
    </row>
    <row r="80">
      <c r="A80" s="108" t="inlineStr">
        <is>
          <t>falta noite</t>
        </is>
      </c>
      <c r="C80" s="109">
        <f>MAX(0,CONFIG!$D$6-C77)</f>
        <v/>
      </c>
      <c r="D80" s="109">
        <f>MAX(0,CONFIG!$D$4-D77)</f>
        <v/>
      </c>
      <c r="E80" s="109">
        <f>MAX(0,CONFIG!$D$4-E77)</f>
        <v/>
      </c>
      <c r="F80" s="109">
        <f>MAX(0,CONFIG!$D$4-F77)</f>
        <v/>
      </c>
      <c r="G80" s="109">
        <f>MAX(0,CONFIG!$D$4-G77)</f>
        <v/>
      </c>
      <c r="H80" s="109">
        <f>MAX(0,CONFIG!$D$4-H77)</f>
        <v/>
      </c>
      <c r="I80" s="109">
        <f>MAX(0,CONFIG!$D$5-I77)</f>
        <v/>
      </c>
      <c r="J80" s="109">
        <f>MAX(0,CONFIG!$D$6-J77)</f>
        <v/>
      </c>
      <c r="K80" s="109">
        <f>MAX(0,CONFIG!$D$4-K77)</f>
        <v/>
      </c>
      <c r="L80" s="109">
        <f>MAX(0,CONFIG!$D$4-L77)</f>
        <v/>
      </c>
      <c r="M80" s="109">
        <f>MAX(0,CONFIG!$D$4-M77)</f>
        <v/>
      </c>
      <c r="N80" s="109">
        <f>MAX(0,CONFIG!$D$4-N77)</f>
        <v/>
      </c>
      <c r="O80" s="109">
        <f>MAX(0,CONFIG!$D$4-O77)</f>
        <v/>
      </c>
      <c r="P80" s="109">
        <f>MAX(0,CONFIG!$D$5-P77)</f>
        <v/>
      </c>
      <c r="Q80" s="109">
        <f>MAX(0,CONFIG!$D$6-Q77)</f>
        <v/>
      </c>
      <c r="R80" s="109">
        <f>MAX(0,CONFIG!$D$4-R77)</f>
        <v/>
      </c>
      <c r="S80" s="109">
        <f>MAX(0,CONFIG!$D$4-S77)</f>
        <v/>
      </c>
      <c r="T80" s="109">
        <f>MAX(0,CONFIG!$D$4-T77)</f>
        <v/>
      </c>
      <c r="U80" s="109">
        <f>MAX(0,CONFIG!$D$4-U77)</f>
        <v/>
      </c>
      <c r="V80" s="109">
        <f>MAX(0,CONFIG!$D$4-V77)</f>
        <v/>
      </c>
      <c r="W80" s="109">
        <f>MAX(0,CONFIG!$D$5-W77)</f>
        <v/>
      </c>
      <c r="X80" s="109">
        <f>MAX(0,CONFIG!$D$6-X77)</f>
        <v/>
      </c>
      <c r="Y80" s="109">
        <f>MAX(0,CONFIG!$D$4-Y77)</f>
        <v/>
      </c>
      <c r="Z80" s="109">
        <f>MAX(0,CONFIG!$D$4-Z77)</f>
        <v/>
      </c>
      <c r="AA80" s="109">
        <f>MAX(0,CONFIG!$D$4-AA77)</f>
        <v/>
      </c>
      <c r="AB80" s="109">
        <f>MAX(0,CONFIG!$D$4-AB77)</f>
        <v/>
      </c>
      <c r="AC80" s="109">
        <f>MAX(0,CONFIG!$D$4-AC77)</f>
        <v/>
      </c>
      <c r="AD80" s="109">
        <f>MAX(0,CONFIG!$D$5-AD77)</f>
        <v/>
      </c>
      <c r="AE80" s="109">
        <f>MAX(0,CONFIG!$D$6-AE77)</f>
        <v/>
      </c>
      <c r="AF80" s="109">
        <f>MAX(0,CONFIG!$D$4-AF77)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EBE8E5"/>
    <outlinePr summaryBelow="1" summaryRight="1"/>
    <pageSetUpPr/>
  </sheetPr>
  <dimension ref="A1:AO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87" t="inlineStr">
        <is>
          <t>dezembro · 2026</t>
        </is>
      </c>
      <c r="C1" s="88" t="inlineStr">
        <is>
          <t>a montar</t>
        </is>
      </c>
    </row>
    <row r="2">
      <c r="C2" s="90" t="n">
        <v>1</v>
      </c>
      <c r="D2" s="90" t="n">
        <v>2</v>
      </c>
      <c r="E2" s="90" t="n">
        <v>3</v>
      </c>
      <c r="F2" s="90" t="n">
        <v>4</v>
      </c>
      <c r="G2" s="91" t="n">
        <v>5</v>
      </c>
      <c r="H2" s="91" t="n">
        <v>6</v>
      </c>
      <c r="I2" s="90" t="n">
        <v>7</v>
      </c>
      <c r="J2" s="90" t="n">
        <v>8</v>
      </c>
      <c r="K2" s="90" t="n">
        <v>9</v>
      </c>
      <c r="L2" s="90" t="n">
        <v>10</v>
      </c>
      <c r="M2" s="90" t="n">
        <v>11</v>
      </c>
      <c r="N2" s="91" t="n">
        <v>12</v>
      </c>
      <c r="O2" s="91" t="n">
        <v>13</v>
      </c>
      <c r="P2" s="90" t="n">
        <v>14</v>
      </c>
      <c r="Q2" s="90" t="n">
        <v>15</v>
      </c>
      <c r="R2" s="90" t="n">
        <v>16</v>
      </c>
      <c r="S2" s="90" t="n">
        <v>17</v>
      </c>
      <c r="T2" s="90" t="n">
        <v>18</v>
      </c>
      <c r="U2" s="91" t="n">
        <v>19</v>
      </c>
      <c r="V2" s="91" t="n">
        <v>20</v>
      </c>
      <c r="W2" s="90" t="n">
        <v>21</v>
      </c>
      <c r="X2" s="90" t="n">
        <v>22</v>
      </c>
      <c r="Y2" s="90" t="n">
        <v>23</v>
      </c>
      <c r="Z2" s="90" t="n">
        <v>24</v>
      </c>
      <c r="AA2" s="89" t="n">
        <v>25</v>
      </c>
      <c r="AB2" s="91" t="n">
        <v>26</v>
      </c>
      <c r="AC2" s="91" t="n">
        <v>27</v>
      </c>
      <c r="AD2" s="90" t="n">
        <v>28</v>
      </c>
      <c r="AE2" s="90" t="n">
        <v>29</v>
      </c>
      <c r="AF2" s="90" t="n">
        <v>30</v>
      </c>
      <c r="AG2" s="90" t="n">
        <v>31</v>
      </c>
    </row>
    <row r="3">
      <c r="C3" s="93" t="inlineStr">
        <is>
          <t>ter</t>
        </is>
      </c>
      <c r="D3" s="93" t="inlineStr">
        <is>
          <t>qua</t>
        </is>
      </c>
      <c r="E3" s="93" t="inlineStr">
        <is>
          <t>qui</t>
        </is>
      </c>
      <c r="F3" s="93" t="inlineStr">
        <is>
          <t>sex</t>
        </is>
      </c>
      <c r="G3" s="94" t="inlineStr">
        <is>
          <t>sáb</t>
        </is>
      </c>
      <c r="H3" s="94" t="inlineStr">
        <is>
          <t>dom</t>
        </is>
      </c>
      <c r="I3" s="93" t="inlineStr">
        <is>
          <t>seg</t>
        </is>
      </c>
      <c r="J3" s="93" t="inlineStr">
        <is>
          <t>ter</t>
        </is>
      </c>
      <c r="K3" s="93" t="inlineStr">
        <is>
          <t>qua</t>
        </is>
      </c>
      <c r="L3" s="93" t="inlineStr">
        <is>
          <t>qui</t>
        </is>
      </c>
      <c r="M3" s="93" t="inlineStr">
        <is>
          <t>sex</t>
        </is>
      </c>
      <c r="N3" s="94" t="inlineStr">
        <is>
          <t>sáb</t>
        </is>
      </c>
      <c r="O3" s="94" t="inlineStr">
        <is>
          <t>dom</t>
        </is>
      </c>
      <c r="P3" s="93" t="inlineStr">
        <is>
          <t>seg</t>
        </is>
      </c>
      <c r="Q3" s="93" t="inlineStr">
        <is>
          <t>ter</t>
        </is>
      </c>
      <c r="R3" s="93" t="inlineStr">
        <is>
          <t>qua</t>
        </is>
      </c>
      <c r="S3" s="93" t="inlineStr">
        <is>
          <t>qui</t>
        </is>
      </c>
      <c r="T3" s="93" t="inlineStr">
        <is>
          <t>sex</t>
        </is>
      </c>
      <c r="U3" s="94" t="inlineStr">
        <is>
          <t>sáb</t>
        </is>
      </c>
      <c r="V3" s="94" t="inlineStr">
        <is>
          <t>dom</t>
        </is>
      </c>
      <c r="W3" s="93" t="inlineStr">
        <is>
          <t>seg</t>
        </is>
      </c>
      <c r="X3" s="93" t="inlineStr">
        <is>
          <t>ter</t>
        </is>
      </c>
      <c r="Y3" s="93" t="inlineStr">
        <is>
          <t>qua</t>
        </is>
      </c>
      <c r="Z3" s="93" t="inlineStr">
        <is>
          <t>qui</t>
        </is>
      </c>
      <c r="AA3" s="92" t="inlineStr">
        <is>
          <t>natal</t>
        </is>
      </c>
      <c r="AB3" s="94" t="inlineStr">
        <is>
          <t>sáb</t>
        </is>
      </c>
      <c r="AC3" s="94" t="inlineStr">
        <is>
          <t>dom</t>
        </is>
      </c>
      <c r="AD3" s="93" t="inlineStr">
        <is>
          <t>seg</t>
        </is>
      </c>
      <c r="AE3" s="93" t="inlineStr">
        <is>
          <t>ter</t>
        </is>
      </c>
      <c r="AF3" s="93" t="inlineStr">
        <is>
          <t>qua</t>
        </is>
      </c>
      <c r="AG3" s="93" t="inlineStr">
        <is>
          <t>qui</t>
        </is>
      </c>
    </row>
    <row r="4" hidden="1">
      <c r="A4" t="inlineStr">
        <is>
          <t>máscara fds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</row>
    <row r="5" hidden="1">
      <c r="A5" t="inlineStr">
        <is>
          <t>máscara sexta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 hidden="1">
      <c r="A6" t="inlineStr">
        <is>
          <t>máscara feriado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40" t="inlineStr">
        <is>
          <t>médico</t>
        </is>
      </c>
      <c r="B7" s="40" t="inlineStr">
        <is>
          <t>CH</t>
        </is>
      </c>
      <c r="AH7" s="95" t="inlineStr">
        <is>
          <t>CH mês</t>
        </is>
      </c>
      <c r="AI7" s="95" t="inlineStr">
        <is>
          <t>fds</t>
        </is>
      </c>
      <c r="AJ7" s="95" t="inlineStr">
        <is>
          <t>SxN</t>
        </is>
      </c>
      <c r="AK7" s="95" t="inlineStr">
        <is>
          <t>feriado</t>
        </is>
      </c>
      <c r="AL7" s="95" t="inlineStr">
        <is>
          <t>meta</t>
        </is>
      </c>
      <c r="AM7" s="95" t="inlineStr">
        <is>
          <t>saldo</t>
        </is>
      </c>
      <c r="AN7" s="96" t="inlineStr">
        <is>
          <t>18h⚠</t>
        </is>
      </c>
      <c r="AO7" s="96" t="inlineStr">
        <is>
          <t>N→T</t>
        </is>
      </c>
    </row>
    <row r="8">
      <c r="A8" s="81" t="inlineStr">
        <is>
          <t>Fred</t>
        </is>
      </c>
      <c r="B8" s="93" t="n">
        <v>36</v>
      </c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9">
        <f>SUMPRODUCT(($C8:$AG8="M")*6+($C8:$AG8="T")*6+($C8:$AG8="D")*12+($C8:$AG8="N")*12+($C8:$AG8="NT")*6+($C8:$AG8="C")*10+($C8:$AG8="A")*8+($C8:$AG8="J")*5+($C8:$AG8="E")*4+($C8:$AG8="P")*6+($C8:$AG8="R")*6)</f>
        <v/>
      </c>
      <c r="AI8" s="99">
        <f>SUMPRODUCT($C$4:$AG$4,($C8:$AG8="M")*6+($C8:$AG8="T")*6+($C8:$AG8="D")*12+($C8:$AG8="N")*12+($C8:$AG8="NT")*6+($C8:$AG8="C")*10+($C8:$AG8="A")*8+($C8:$AG8="J")*5+($C8:$AG8="E")*4+($C8:$AG8="P")*6+($C8:$AG8="R")*6)</f>
        <v/>
      </c>
      <c r="AJ8" s="99">
        <f>SUMPRODUCT($C$5:$AG$5,($C8:$AG8="N")*1)</f>
        <v/>
      </c>
      <c r="AK8" s="99">
        <f>SUMPRODUCT($C$6:$AG$6,($C8:$AG8="M")*6+($C8:$AG8="T")*6+($C8:$AG8="D")*12+($C8:$AG8="N")*12+($C8:$AG8="NT")*6+($C8:$AG8="C")*10+($C8:$AG8="A")*8+($C8:$AG8="J")*5+($C8:$AG8="E")*4+($C8:$AG8="P")*6+($C8:$AG8="R")*6)</f>
        <v/>
      </c>
      <c r="AL8" s="99">
        <f>ROUND(B8*4.43,0)</f>
        <v/>
      </c>
      <c r="AM8" s="100">
        <f>AH8-AL8</f>
        <v/>
      </c>
      <c r="AN8" s="101">
        <f>SUMPRODUCT(($C8:$AF8="N")*(($D8:$AG8="M")+($D8:$AG8="E")+($D8:$AG8="C")+($D8:$AG8="D")))</f>
        <v/>
      </c>
      <c r="AO8" s="101">
        <f>SUMPRODUCT(($C8:$AF8="N")*($D8:$AG8="T"))</f>
        <v/>
      </c>
    </row>
    <row r="9">
      <c r="A9" s="81" t="inlineStr">
        <is>
          <t>Milena</t>
        </is>
      </c>
      <c r="B9" s="93" t="n">
        <v>36</v>
      </c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  <c r="AA9" s="97" t="n"/>
      <c r="AB9" s="97" t="n"/>
      <c r="AC9" s="97" t="n"/>
      <c r="AD9" s="97" t="n"/>
      <c r="AE9" s="97" t="n"/>
      <c r="AF9" s="97" t="n"/>
      <c r="AG9" s="97" t="n"/>
      <c r="AH9" s="99">
        <f>SUMPRODUCT(($C9:$AG9="M")*6+($C9:$AG9="T")*6+($C9:$AG9="D")*12+($C9:$AG9="N")*12+($C9:$AG9="NT")*6+($C9:$AG9="C")*10+($C9:$AG9="A")*8+($C9:$AG9="J")*5+($C9:$AG9="E")*4+($C9:$AG9="P")*6+($C9:$AG9="R")*6)</f>
        <v/>
      </c>
      <c r="AI9" s="99">
        <f>SUMPRODUCT($C$4:$AG$4,($C9:$AG9="M")*6+($C9:$AG9="T")*6+($C9:$AG9="D")*12+($C9:$AG9="N")*12+($C9:$AG9="NT")*6+($C9:$AG9="C")*10+($C9:$AG9="A")*8+($C9:$AG9="J")*5+($C9:$AG9="E")*4+($C9:$AG9="P")*6+($C9:$AG9="R")*6)</f>
        <v/>
      </c>
      <c r="AJ9" s="99">
        <f>SUMPRODUCT($C$5:$AG$5,($C9:$AG9="N")*1)</f>
        <v/>
      </c>
      <c r="AK9" s="99">
        <f>SUMPRODUCT($C$6:$AG$6,($C9:$AG9="M")*6+($C9:$AG9="T")*6+($C9:$AG9="D")*12+($C9:$AG9="N")*12+($C9:$AG9="NT")*6+($C9:$AG9="C")*10+($C9:$AG9="A")*8+($C9:$AG9="J")*5+($C9:$AG9="E")*4+($C9:$AG9="P")*6+($C9:$AG9="R")*6)</f>
        <v/>
      </c>
      <c r="AL9" s="99">
        <f>ROUND(B9*4.43,0)</f>
        <v/>
      </c>
      <c r="AM9" s="100">
        <f>AH9-AL9</f>
        <v/>
      </c>
      <c r="AN9" s="101">
        <f>SUMPRODUCT(($C9:$AF9="N")*(($D9:$AG9="M")+($D9:$AG9="E")+($D9:$AG9="C")+($D9:$AG9="D")))</f>
        <v/>
      </c>
      <c r="AO9" s="101">
        <f>SUMPRODUCT(($C9:$AF9="N")*($D9:$AG9="T"))</f>
        <v/>
      </c>
    </row>
    <row r="10">
      <c r="A10" s="81" t="inlineStr">
        <is>
          <t>Pabdo</t>
        </is>
      </c>
      <c r="B10" s="93" t="n">
        <v>36</v>
      </c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9">
        <f>SUMPRODUCT(($C10:$AG10="M")*6+($C10:$AG10="T")*6+($C10:$AG10="D")*12+($C10:$AG10="N")*12+($C10:$AG10="NT")*6+($C10:$AG10="C")*10+($C10:$AG10="A")*8+($C10:$AG10="J")*5+($C10:$AG10="E")*4+($C10:$AG10="P")*6+($C10:$AG10="R")*6)</f>
        <v/>
      </c>
      <c r="AI10" s="99">
        <f>SUMPRODUCT($C$4:$AG$4,($C10:$AG10="M")*6+($C10:$AG10="T")*6+($C10:$AG10="D")*12+($C10:$AG10="N")*12+($C10:$AG10="NT")*6+($C10:$AG10="C")*10+($C10:$AG10="A")*8+($C10:$AG10="J")*5+($C10:$AG10="E")*4+($C10:$AG10="P")*6+($C10:$AG10="R")*6)</f>
        <v/>
      </c>
      <c r="AJ10" s="99">
        <f>SUMPRODUCT($C$5:$AG$5,($C10:$AG10="N")*1)</f>
        <v/>
      </c>
      <c r="AK10" s="99">
        <f>SUMPRODUCT($C$6:$AG$6,($C10:$AG10="M")*6+($C10:$AG10="T")*6+($C10:$AG10="D")*12+($C10:$AG10="N")*12+($C10:$AG10="NT")*6+($C10:$AG10="C")*10+($C10:$AG10="A")*8+($C10:$AG10="J")*5+($C10:$AG10="E")*4+($C10:$AG10="P")*6+($C10:$AG10="R")*6)</f>
        <v/>
      </c>
      <c r="AL10" s="99">
        <f>ROUND(B10*4.43,0)</f>
        <v/>
      </c>
      <c r="AM10" s="100">
        <f>AH10-AL10</f>
        <v/>
      </c>
      <c r="AN10" s="101">
        <f>SUMPRODUCT(($C10:$AF10="N")*(($D10:$AG10="M")+($D10:$AG10="E")+($D10:$AG10="C")+($D10:$AG10="D")))</f>
        <v/>
      </c>
      <c r="AO10" s="101">
        <f>SUMPRODUCT(($C10:$AF10="N")*($D10:$AG10="T"))</f>
        <v/>
      </c>
    </row>
    <row r="11">
      <c r="A11" s="81" t="inlineStr">
        <is>
          <t>MSalomão</t>
        </is>
      </c>
      <c r="B11" s="93" t="n">
        <v>40</v>
      </c>
      <c r="C11" s="97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  <c r="AA11" s="97" t="n"/>
      <c r="AB11" s="97" t="n"/>
      <c r="AC11" s="97" t="n"/>
      <c r="AD11" s="97" t="n"/>
      <c r="AE11" s="97" t="n"/>
      <c r="AF11" s="97" t="n"/>
      <c r="AG11" s="97" t="n"/>
      <c r="AH11" s="99">
        <f>SUMPRODUCT(($C11:$AG11="M")*6+($C11:$AG11="T")*6+($C11:$AG11="D")*12+($C11:$AG11="N")*12+($C11:$AG11="NT")*6+($C11:$AG11="C")*10+($C11:$AG11="A")*8+($C11:$AG11="J")*5+($C11:$AG11="E")*4+($C11:$AG11="P")*6+($C11:$AG11="R")*6)</f>
        <v/>
      </c>
      <c r="AI11" s="99">
        <f>SUMPRODUCT($C$4:$AG$4,($C11:$AG11="M")*6+($C11:$AG11="T")*6+($C11:$AG11="D")*12+($C11:$AG11="N")*12+($C11:$AG11="NT")*6+($C11:$AG11="C")*10+($C11:$AG11="A")*8+($C11:$AG11="J")*5+($C11:$AG11="E")*4+($C11:$AG11="P")*6+($C11:$AG11="R")*6)</f>
        <v/>
      </c>
      <c r="AJ11" s="99">
        <f>SUMPRODUCT($C$5:$AG$5,($C11:$AG11="N")*1)</f>
        <v/>
      </c>
      <c r="AK11" s="99">
        <f>SUMPRODUCT($C$6:$AG$6,($C11:$AG11="M")*6+($C11:$AG11="T")*6+($C11:$AG11="D")*12+($C11:$AG11="N")*12+($C11:$AG11="NT")*6+($C11:$AG11="C")*10+($C11:$AG11="A")*8+($C11:$AG11="J")*5+($C11:$AG11="E")*4+($C11:$AG11="P")*6+($C11:$AG11="R")*6)</f>
        <v/>
      </c>
      <c r="AL11" s="99">
        <f>ROUND(B11*4.43,0)</f>
        <v/>
      </c>
      <c r="AM11" s="100">
        <f>AH11-AL11</f>
        <v/>
      </c>
      <c r="AN11" s="101">
        <f>SUMPRODUCT(($C11:$AF11="N")*(($D11:$AG11="M")+($D11:$AG11="E")+($D11:$AG11="C")+($D11:$AG11="D")))</f>
        <v/>
      </c>
      <c r="AO11" s="101">
        <f>SUMPRODUCT(($C11:$AF11="N")*($D11:$AG11="T"))</f>
        <v/>
      </c>
    </row>
    <row r="12">
      <c r="A12" s="81" t="inlineStr">
        <is>
          <t>DebAlves</t>
        </is>
      </c>
      <c r="B12" s="93" t="n">
        <v>40</v>
      </c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  <c r="AA12" s="97" t="n"/>
      <c r="AB12" s="97" t="n"/>
      <c r="AC12" s="97" t="n"/>
      <c r="AD12" s="97" t="n"/>
      <c r="AE12" s="97" t="n"/>
      <c r="AF12" s="97" t="n"/>
      <c r="AG12" s="97" t="n"/>
      <c r="AH12" s="99">
        <f>SUMPRODUCT(($C12:$AG12="M")*6+($C12:$AG12="T")*6+($C12:$AG12="D")*12+($C12:$AG12="N")*12+($C12:$AG12="NT")*6+($C12:$AG12="C")*10+($C12:$AG12="A")*8+($C12:$AG12="J")*5+($C12:$AG12="E")*4+($C12:$AG12="P")*6+($C12:$AG12="R")*6)</f>
        <v/>
      </c>
      <c r="AI12" s="99">
        <f>SUMPRODUCT($C$4:$AG$4,($C12:$AG12="M")*6+($C12:$AG12="T")*6+($C12:$AG12="D")*12+($C12:$AG12="N")*12+($C12:$AG12="NT")*6+($C12:$AG12="C")*10+($C12:$AG12="A")*8+($C12:$AG12="J")*5+($C12:$AG12="E")*4+($C12:$AG12="P")*6+($C12:$AG12="R")*6)</f>
        <v/>
      </c>
      <c r="AJ12" s="99">
        <f>SUMPRODUCT($C$5:$AG$5,($C12:$AG12="N")*1)</f>
        <v/>
      </c>
      <c r="AK12" s="99">
        <f>SUMPRODUCT($C$6:$AG$6,($C12:$AG12="M")*6+($C12:$AG12="T")*6+($C12:$AG12="D")*12+($C12:$AG12="N")*12+($C12:$AG12="NT")*6+($C12:$AG12="C")*10+($C12:$AG12="A")*8+($C12:$AG12="J")*5+($C12:$AG12="E")*4+($C12:$AG12="P")*6+($C12:$AG12="R")*6)</f>
        <v/>
      </c>
      <c r="AL12" s="99">
        <f>ROUND(B12*4.43,0)</f>
        <v/>
      </c>
      <c r="AM12" s="100">
        <f>AH12-AL12</f>
        <v/>
      </c>
      <c r="AN12" s="101">
        <f>SUMPRODUCT(($C12:$AF12="N")*(($D12:$AG12="M")+($D12:$AG12="E")+($D12:$AG12="C")+($D12:$AG12="D")))</f>
        <v/>
      </c>
      <c r="AO12" s="101">
        <f>SUMPRODUCT(($C12:$AF12="N")*($D12:$AG12="T"))</f>
        <v/>
      </c>
    </row>
    <row r="13">
      <c r="A13" s="81" t="inlineStr">
        <is>
          <t>Vinicius</t>
        </is>
      </c>
      <c r="B13" s="93" t="n">
        <v>36</v>
      </c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9">
        <f>SUMPRODUCT(($C13:$AG13="M")*6+($C13:$AG13="T")*6+($C13:$AG13="D")*12+($C13:$AG13="N")*12+($C13:$AG13="NT")*6+($C13:$AG13="C")*10+($C13:$AG13="A")*8+($C13:$AG13="J")*5+($C13:$AG13="E")*4+($C13:$AG13="P")*6+($C13:$AG13="R")*6)</f>
        <v/>
      </c>
      <c r="AI13" s="99">
        <f>SUMPRODUCT($C$4:$AG$4,($C13:$AG13="M")*6+($C13:$AG13="T")*6+($C13:$AG13="D")*12+($C13:$AG13="N")*12+($C13:$AG13="NT")*6+($C13:$AG13="C")*10+($C13:$AG13="A")*8+($C13:$AG13="J")*5+($C13:$AG13="E")*4+($C13:$AG13="P")*6+($C13:$AG13="R")*6)</f>
        <v/>
      </c>
      <c r="AJ13" s="99">
        <f>SUMPRODUCT($C$5:$AG$5,($C13:$AG13="N")*1)</f>
        <v/>
      </c>
      <c r="AK13" s="99">
        <f>SUMPRODUCT($C$6:$AG$6,($C13:$AG13="M")*6+($C13:$AG13="T")*6+($C13:$AG13="D")*12+($C13:$AG13="N")*12+($C13:$AG13="NT")*6+($C13:$AG13="C")*10+($C13:$AG13="A")*8+($C13:$AG13="J")*5+($C13:$AG13="E")*4+($C13:$AG13="P")*6+($C13:$AG13="R")*6)</f>
        <v/>
      </c>
      <c r="AL13" s="99">
        <f>ROUND(B13*4.43,0)</f>
        <v/>
      </c>
      <c r="AM13" s="100">
        <f>AH13-AL13</f>
        <v/>
      </c>
      <c r="AN13" s="101">
        <f>SUMPRODUCT(($C13:$AF13="N")*(($D13:$AG13="M")+($D13:$AG13="E")+($D13:$AG13="C")+($D13:$AG13="D")))</f>
        <v/>
      </c>
      <c r="AO13" s="101">
        <f>SUMPRODUCT(($C13:$AF13="N")*($D13:$AG13="T"))</f>
        <v/>
      </c>
    </row>
    <row r="14">
      <c r="A14" s="81" t="inlineStr">
        <is>
          <t>Amelio</t>
        </is>
      </c>
      <c r="B14" s="93" t="n">
        <v>36</v>
      </c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  <c r="AA14" s="97" t="n"/>
      <c r="AB14" s="97" t="n"/>
      <c r="AC14" s="97" t="n"/>
      <c r="AD14" s="97" t="n"/>
      <c r="AE14" s="97" t="n"/>
      <c r="AF14" s="97" t="n"/>
      <c r="AG14" s="97" t="n"/>
      <c r="AH14" s="99">
        <f>SUMPRODUCT(($C14:$AG14="M")*6+($C14:$AG14="T")*6+($C14:$AG14="D")*12+($C14:$AG14="N")*12+($C14:$AG14="NT")*6+($C14:$AG14="C")*10+($C14:$AG14="A")*8+($C14:$AG14="J")*5+($C14:$AG14="E")*4+($C14:$AG14="P")*6+($C14:$AG14="R")*6)</f>
        <v/>
      </c>
      <c r="AI14" s="99">
        <f>SUMPRODUCT($C$4:$AG$4,($C14:$AG14="M")*6+($C14:$AG14="T")*6+($C14:$AG14="D")*12+($C14:$AG14="N")*12+($C14:$AG14="NT")*6+($C14:$AG14="C")*10+($C14:$AG14="A")*8+($C14:$AG14="J")*5+($C14:$AG14="E")*4+($C14:$AG14="P")*6+($C14:$AG14="R")*6)</f>
        <v/>
      </c>
      <c r="AJ14" s="99">
        <f>SUMPRODUCT($C$5:$AG$5,($C14:$AG14="N")*1)</f>
        <v/>
      </c>
      <c r="AK14" s="99">
        <f>SUMPRODUCT($C$6:$AG$6,($C14:$AG14="M")*6+($C14:$AG14="T")*6+($C14:$AG14="D")*12+($C14:$AG14="N")*12+($C14:$AG14="NT")*6+($C14:$AG14="C")*10+($C14:$AG14="A")*8+($C14:$AG14="J")*5+($C14:$AG14="E")*4+($C14:$AG14="P")*6+($C14:$AG14="R")*6)</f>
        <v/>
      </c>
      <c r="AL14" s="99">
        <f>ROUND(B14*4.43,0)</f>
        <v/>
      </c>
      <c r="AM14" s="100">
        <f>AH14-AL14</f>
        <v/>
      </c>
      <c r="AN14" s="101">
        <f>SUMPRODUCT(($C14:$AF14="N")*(($D14:$AG14="M")+($D14:$AG14="E")+($D14:$AG14="C")+($D14:$AG14="D")))</f>
        <v/>
      </c>
      <c r="AO14" s="101">
        <f>SUMPRODUCT(($C14:$AF14="N")*($D14:$AG14="T"))</f>
        <v/>
      </c>
    </row>
    <row r="15">
      <c r="A15" s="81" t="inlineStr">
        <is>
          <t>Murilo</t>
        </is>
      </c>
      <c r="B15" s="93" t="n">
        <v>36</v>
      </c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97" t="n"/>
      <c r="AH15" s="99">
        <f>SUMPRODUCT(($C15:$AG15="M")*6+($C15:$AG15="T")*6+($C15:$AG15="D")*12+($C15:$AG15="N")*12+($C15:$AG15="NT")*6+($C15:$AG15="C")*10+($C15:$AG15="A")*8+($C15:$AG15="J")*5+($C15:$AG15="E")*4+($C15:$AG15="P")*6+($C15:$AG15="R")*6)</f>
        <v/>
      </c>
      <c r="AI15" s="99">
        <f>SUMPRODUCT($C$4:$AG$4,($C15:$AG15="M")*6+($C15:$AG15="T")*6+($C15:$AG15="D")*12+($C15:$AG15="N")*12+($C15:$AG15="NT")*6+($C15:$AG15="C")*10+($C15:$AG15="A")*8+($C15:$AG15="J")*5+($C15:$AG15="E")*4+($C15:$AG15="P")*6+($C15:$AG15="R")*6)</f>
        <v/>
      </c>
      <c r="AJ15" s="99">
        <f>SUMPRODUCT($C$5:$AG$5,($C15:$AG15="N")*1)</f>
        <v/>
      </c>
      <c r="AK15" s="99">
        <f>SUMPRODUCT($C$6:$AG$6,($C15:$AG15="M")*6+($C15:$AG15="T")*6+($C15:$AG15="D")*12+($C15:$AG15="N")*12+($C15:$AG15="NT")*6+($C15:$AG15="C")*10+($C15:$AG15="A")*8+($C15:$AG15="J")*5+($C15:$AG15="E")*4+($C15:$AG15="P")*6+($C15:$AG15="R")*6)</f>
        <v/>
      </c>
      <c r="AL15" s="99">
        <f>ROUND(B15*4.43,0)</f>
        <v/>
      </c>
      <c r="AM15" s="100">
        <f>AH15-AL15</f>
        <v/>
      </c>
      <c r="AN15" s="101">
        <f>SUMPRODUCT(($C15:$AF15="N")*(($D15:$AG15="M")+($D15:$AG15="E")+($D15:$AG15="C")+($D15:$AG15="D")))</f>
        <v/>
      </c>
      <c r="AO15" s="101">
        <f>SUMPRODUCT(($C15:$AF15="N")*($D15:$AG15="T"))</f>
        <v/>
      </c>
    </row>
    <row r="16">
      <c r="A16" s="81" t="inlineStr">
        <is>
          <t>Janaina</t>
        </is>
      </c>
      <c r="B16" s="93" t="n">
        <v>30</v>
      </c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9">
        <f>SUMPRODUCT(($C16:$AG16="M")*6+($C16:$AG16="T")*6+($C16:$AG16="D")*12+($C16:$AG16="N")*12+($C16:$AG16="NT")*6+($C16:$AG16="C")*10+($C16:$AG16="A")*8+($C16:$AG16="J")*5+($C16:$AG16="E")*4+($C16:$AG16="P")*6+($C16:$AG16="R")*6)</f>
        <v/>
      </c>
      <c r="AI16" s="99">
        <f>SUMPRODUCT($C$4:$AG$4,($C16:$AG16="M")*6+($C16:$AG16="T")*6+($C16:$AG16="D")*12+($C16:$AG16="N")*12+($C16:$AG16="NT")*6+($C16:$AG16="C")*10+($C16:$AG16="A")*8+($C16:$AG16="J")*5+($C16:$AG16="E")*4+($C16:$AG16="P")*6+($C16:$AG16="R")*6)</f>
        <v/>
      </c>
      <c r="AJ16" s="99">
        <f>SUMPRODUCT($C$5:$AG$5,($C16:$AG16="N")*1)</f>
        <v/>
      </c>
      <c r="AK16" s="99">
        <f>SUMPRODUCT($C$6:$AG$6,($C16:$AG16="M")*6+($C16:$AG16="T")*6+($C16:$AG16="D")*12+($C16:$AG16="N")*12+($C16:$AG16="NT")*6+($C16:$AG16="C")*10+($C16:$AG16="A")*8+($C16:$AG16="J")*5+($C16:$AG16="E")*4+($C16:$AG16="P")*6+($C16:$AG16="R")*6)</f>
        <v/>
      </c>
      <c r="AL16" s="99">
        <f>ROUND(B16*4.43,0)</f>
        <v/>
      </c>
      <c r="AM16" s="100">
        <f>AH16-AL16</f>
        <v/>
      </c>
      <c r="AN16" s="101">
        <f>SUMPRODUCT(($C16:$AF16="N")*(($D16:$AG16="M")+($D16:$AG16="E")+($D16:$AG16="C")+($D16:$AG16="D")))</f>
        <v/>
      </c>
      <c r="AO16" s="101">
        <f>SUMPRODUCT(($C16:$AF16="N")*($D16:$AG16="T"))</f>
        <v/>
      </c>
    </row>
    <row r="17">
      <c r="A17" s="81" t="inlineStr">
        <is>
          <t>Aline</t>
        </is>
      </c>
      <c r="B17" s="93" t="n">
        <v>40</v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  <c r="AA17" s="97" t="n"/>
      <c r="AB17" s="97" t="n"/>
      <c r="AC17" s="97" t="n"/>
      <c r="AD17" s="97" t="n"/>
      <c r="AE17" s="97" t="n"/>
      <c r="AF17" s="97" t="n"/>
      <c r="AG17" s="97" t="n"/>
      <c r="AH17" s="99">
        <f>SUMPRODUCT(($C17:$AG17="M")*6+($C17:$AG17="T")*6+($C17:$AG17="D")*12+($C17:$AG17="N")*12+($C17:$AG17="NT")*6+($C17:$AG17="C")*10+($C17:$AG17="A")*8+($C17:$AG17="J")*5+($C17:$AG17="E")*4+($C17:$AG17="P")*6+($C17:$AG17="R")*6)</f>
        <v/>
      </c>
      <c r="AI17" s="99">
        <f>SUMPRODUCT($C$4:$AG$4,($C17:$AG17="M")*6+($C17:$AG17="T")*6+($C17:$AG17="D")*12+($C17:$AG17="N")*12+($C17:$AG17="NT")*6+($C17:$AG17="C")*10+($C17:$AG17="A")*8+($C17:$AG17="J")*5+($C17:$AG17="E")*4+($C17:$AG17="P")*6+($C17:$AG17="R")*6)</f>
        <v/>
      </c>
      <c r="AJ17" s="99">
        <f>SUMPRODUCT($C$5:$AG$5,($C17:$AG17="N")*1)</f>
        <v/>
      </c>
      <c r="AK17" s="99">
        <f>SUMPRODUCT($C$6:$AG$6,($C17:$AG17="M")*6+($C17:$AG17="T")*6+($C17:$AG17="D")*12+($C17:$AG17="N")*12+($C17:$AG17="NT")*6+($C17:$AG17="C")*10+($C17:$AG17="A")*8+($C17:$AG17="J")*5+($C17:$AG17="E")*4+($C17:$AG17="P")*6+($C17:$AG17="R")*6)</f>
        <v/>
      </c>
      <c r="AL17" s="99">
        <f>ROUND(B17*4.43,0)</f>
        <v/>
      </c>
      <c r="AM17" s="100">
        <f>AH17-AL17</f>
        <v/>
      </c>
      <c r="AN17" s="101">
        <f>SUMPRODUCT(($C17:$AF17="N")*(($D17:$AG17="M")+($D17:$AG17="E")+($D17:$AG17="C")+($D17:$AG17="D")))</f>
        <v/>
      </c>
      <c r="AO17" s="101">
        <f>SUMPRODUCT(($C17:$AF17="N")*($D17:$AG17="T"))</f>
        <v/>
      </c>
    </row>
    <row r="18">
      <c r="A18" s="81" t="inlineStr">
        <is>
          <t>CaAbreu</t>
        </is>
      </c>
      <c r="B18" s="93" t="n">
        <v>36</v>
      </c>
      <c r="C18" s="97" t="n"/>
      <c r="D18" s="97" t="n"/>
      <c r="E18" s="97" t="n"/>
      <c r="F18" s="97" t="n"/>
      <c r="G18" s="97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97" t="n"/>
      <c r="AH18" s="99">
        <f>SUMPRODUCT(($C18:$AG18="M")*6+($C18:$AG18="T")*6+($C18:$AG18="D")*12+($C18:$AG18="N")*12+($C18:$AG18="NT")*6+($C18:$AG18="C")*10+($C18:$AG18="A")*8+($C18:$AG18="J")*5+($C18:$AG18="E")*4+($C18:$AG18="P")*6+($C18:$AG18="R")*6)</f>
        <v/>
      </c>
      <c r="AI18" s="99">
        <f>SUMPRODUCT($C$4:$AG$4,($C18:$AG18="M")*6+($C18:$AG18="T")*6+($C18:$AG18="D")*12+($C18:$AG18="N")*12+($C18:$AG18="NT")*6+($C18:$AG18="C")*10+($C18:$AG18="A")*8+($C18:$AG18="J")*5+($C18:$AG18="E")*4+($C18:$AG18="P")*6+($C18:$AG18="R")*6)</f>
        <v/>
      </c>
      <c r="AJ18" s="99">
        <f>SUMPRODUCT($C$5:$AG$5,($C18:$AG18="N")*1)</f>
        <v/>
      </c>
      <c r="AK18" s="99">
        <f>SUMPRODUCT($C$6:$AG$6,($C18:$AG18="M")*6+($C18:$AG18="T")*6+($C18:$AG18="D")*12+($C18:$AG18="N")*12+($C18:$AG18="NT")*6+($C18:$AG18="C")*10+($C18:$AG18="A")*8+($C18:$AG18="J")*5+($C18:$AG18="E")*4+($C18:$AG18="P")*6+($C18:$AG18="R")*6)</f>
        <v/>
      </c>
      <c r="AL18" s="99">
        <f>ROUND(B18*4.43,0)</f>
        <v/>
      </c>
      <c r="AM18" s="100">
        <f>AH18-AL18</f>
        <v/>
      </c>
      <c r="AN18" s="101">
        <f>SUMPRODUCT(($C18:$AF18="N")*(($D18:$AG18="M")+($D18:$AG18="E")+($D18:$AG18="C")+($D18:$AG18="D")))</f>
        <v/>
      </c>
      <c r="AO18" s="101">
        <f>SUMPRODUCT(($C18:$AF18="N")*($D18:$AG18="T"))</f>
        <v/>
      </c>
    </row>
    <row r="19">
      <c r="A19" s="81" t="inlineStr">
        <is>
          <t>Danielle</t>
        </is>
      </c>
      <c r="B19" s="93" t="n">
        <v>36</v>
      </c>
      <c r="C19" s="97" t="n"/>
      <c r="D19" s="97" t="n"/>
      <c r="E19" s="97" t="n"/>
      <c r="F19" s="97" t="n"/>
      <c r="G19" s="97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  <c r="AA19" s="97" t="n"/>
      <c r="AB19" s="97" t="n"/>
      <c r="AC19" s="97" t="n"/>
      <c r="AD19" s="97" t="n"/>
      <c r="AE19" s="97" t="n"/>
      <c r="AF19" s="97" t="n"/>
      <c r="AG19" s="97" t="n"/>
      <c r="AH19" s="99">
        <f>SUMPRODUCT(($C19:$AG19="M")*6+($C19:$AG19="T")*6+($C19:$AG19="D")*12+($C19:$AG19="N")*12+($C19:$AG19="NT")*6+($C19:$AG19="C")*10+($C19:$AG19="A")*8+($C19:$AG19="J")*5+($C19:$AG19="E")*4+($C19:$AG19="P")*6+($C19:$AG19="R")*6)</f>
        <v/>
      </c>
      <c r="AI19" s="99">
        <f>SUMPRODUCT($C$4:$AG$4,($C19:$AG19="M")*6+($C19:$AG19="T")*6+($C19:$AG19="D")*12+($C19:$AG19="N")*12+($C19:$AG19="NT")*6+($C19:$AG19="C")*10+($C19:$AG19="A")*8+($C19:$AG19="J")*5+($C19:$AG19="E")*4+($C19:$AG19="P")*6+($C19:$AG19="R")*6)</f>
        <v/>
      </c>
      <c r="AJ19" s="99">
        <f>SUMPRODUCT($C$5:$AG$5,($C19:$AG19="N")*1)</f>
        <v/>
      </c>
      <c r="AK19" s="99">
        <f>SUMPRODUCT($C$6:$AG$6,($C19:$AG19="M")*6+($C19:$AG19="T")*6+($C19:$AG19="D")*12+($C19:$AG19="N")*12+($C19:$AG19="NT")*6+($C19:$AG19="C")*10+($C19:$AG19="A")*8+($C19:$AG19="J")*5+($C19:$AG19="E")*4+($C19:$AG19="P")*6+($C19:$AG19="R")*6)</f>
        <v/>
      </c>
      <c r="AL19" s="99">
        <f>ROUND(B19*4.43,0)</f>
        <v/>
      </c>
      <c r="AM19" s="100">
        <f>AH19-AL19</f>
        <v/>
      </c>
      <c r="AN19" s="101">
        <f>SUMPRODUCT(($C19:$AF19="N")*(($D19:$AG19="M")+($D19:$AG19="E")+($D19:$AG19="C")+($D19:$AG19="D")))</f>
        <v/>
      </c>
      <c r="AO19" s="101">
        <f>SUMPRODUCT(($C19:$AF19="N")*($D19:$AG19="T"))</f>
        <v/>
      </c>
    </row>
    <row r="20">
      <c r="A20" s="81" t="inlineStr">
        <is>
          <t>Fabiula</t>
        </is>
      </c>
      <c r="B20" s="93" t="n">
        <v>36</v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9">
        <f>SUMPRODUCT(($C20:$AG20="M")*6+($C20:$AG20="T")*6+($C20:$AG20="D")*12+($C20:$AG20="N")*12+($C20:$AG20="NT")*6+($C20:$AG20="C")*10+($C20:$AG20="A")*8+($C20:$AG20="J")*5+($C20:$AG20="E")*4+($C20:$AG20="P")*6+($C20:$AG20="R")*6)</f>
        <v/>
      </c>
      <c r="AI20" s="99">
        <f>SUMPRODUCT($C$4:$AG$4,($C20:$AG20="M")*6+($C20:$AG20="T")*6+($C20:$AG20="D")*12+($C20:$AG20="N")*12+($C20:$AG20="NT")*6+($C20:$AG20="C")*10+($C20:$AG20="A")*8+($C20:$AG20="J")*5+($C20:$AG20="E")*4+($C20:$AG20="P")*6+($C20:$AG20="R")*6)</f>
        <v/>
      </c>
      <c r="AJ20" s="99">
        <f>SUMPRODUCT($C$5:$AG$5,($C20:$AG20="N")*1)</f>
        <v/>
      </c>
      <c r="AK20" s="99">
        <f>SUMPRODUCT($C$6:$AG$6,($C20:$AG20="M")*6+($C20:$AG20="T")*6+($C20:$AG20="D")*12+($C20:$AG20="N")*12+($C20:$AG20="NT")*6+($C20:$AG20="C")*10+($C20:$AG20="A")*8+($C20:$AG20="J")*5+($C20:$AG20="E")*4+($C20:$AG20="P")*6+($C20:$AG20="R")*6)</f>
        <v/>
      </c>
      <c r="AL20" s="99">
        <f>ROUND(B20*4.43,0)</f>
        <v/>
      </c>
      <c r="AM20" s="100">
        <f>AH20-AL20</f>
        <v/>
      </c>
      <c r="AN20" s="101">
        <f>SUMPRODUCT(($C20:$AF20="N")*(($D20:$AG20="M")+($D20:$AG20="E")+($D20:$AG20="C")+($D20:$AG20="D")))</f>
        <v/>
      </c>
      <c r="AO20" s="101">
        <f>SUMPRODUCT(($C20:$AF20="N")*($D20:$AG20="T"))</f>
        <v/>
      </c>
    </row>
    <row r="21">
      <c r="A21" s="81" t="inlineStr">
        <is>
          <t>Isabella</t>
        </is>
      </c>
      <c r="B21" s="93" t="n">
        <v>36</v>
      </c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9">
        <f>SUMPRODUCT(($C21:$AG21="M")*6+($C21:$AG21="T")*6+($C21:$AG21="D")*12+($C21:$AG21="N")*12+($C21:$AG21="NT")*6+($C21:$AG21="C")*10+($C21:$AG21="A")*8+($C21:$AG21="J")*5+($C21:$AG21="E")*4+($C21:$AG21="P")*6+($C21:$AG21="R")*6)</f>
        <v/>
      </c>
      <c r="AI21" s="99">
        <f>SUMPRODUCT($C$4:$AG$4,($C21:$AG21="M")*6+($C21:$AG21="T")*6+($C21:$AG21="D")*12+($C21:$AG21="N")*12+($C21:$AG21="NT")*6+($C21:$AG21="C")*10+($C21:$AG21="A")*8+($C21:$AG21="J")*5+($C21:$AG21="E")*4+($C21:$AG21="P")*6+($C21:$AG21="R")*6)</f>
        <v/>
      </c>
      <c r="AJ21" s="99">
        <f>SUMPRODUCT($C$5:$AG$5,($C21:$AG21="N")*1)</f>
        <v/>
      </c>
      <c r="AK21" s="99">
        <f>SUMPRODUCT($C$6:$AG$6,($C21:$AG21="M")*6+($C21:$AG21="T")*6+($C21:$AG21="D")*12+($C21:$AG21="N")*12+($C21:$AG21="NT")*6+($C21:$AG21="C")*10+($C21:$AG21="A")*8+($C21:$AG21="J")*5+($C21:$AG21="E")*4+($C21:$AG21="P")*6+($C21:$AG21="R")*6)</f>
        <v/>
      </c>
      <c r="AL21" s="99">
        <f>ROUND(B21*4.43,0)</f>
        <v/>
      </c>
      <c r="AM21" s="100">
        <f>AH21-AL21</f>
        <v/>
      </c>
      <c r="AN21" s="101">
        <f>SUMPRODUCT(($C21:$AF21="N")*(($D21:$AG21="M")+($D21:$AG21="E")+($D21:$AG21="C")+($D21:$AG21="D")))</f>
        <v/>
      </c>
      <c r="AO21" s="101">
        <f>SUMPRODUCT(($C21:$AF21="N")*($D21:$AG21="T"))</f>
        <v/>
      </c>
    </row>
    <row r="22">
      <c r="A22" s="81" t="inlineStr">
        <is>
          <t>JuBrito</t>
        </is>
      </c>
      <c r="B22" s="93" t="n">
        <v>30</v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  <c r="AA22" s="97" t="n"/>
      <c r="AB22" s="97" t="n"/>
      <c r="AC22" s="97" t="n"/>
      <c r="AD22" s="97" t="n"/>
      <c r="AE22" s="97" t="n"/>
      <c r="AF22" s="97" t="n"/>
      <c r="AG22" s="97" t="n"/>
      <c r="AH22" s="99">
        <f>SUMPRODUCT(($C22:$AG22="M")*6+($C22:$AG22="T")*6+($C22:$AG22="D")*12+($C22:$AG22="N")*12+($C22:$AG22="NT")*6+($C22:$AG22="C")*10+($C22:$AG22="A")*8+($C22:$AG22="J")*5+($C22:$AG22="E")*4+($C22:$AG22="P")*6+($C22:$AG22="R")*6)</f>
        <v/>
      </c>
      <c r="AI22" s="99">
        <f>SUMPRODUCT($C$4:$AG$4,($C22:$AG22="M")*6+($C22:$AG22="T")*6+($C22:$AG22="D")*12+($C22:$AG22="N")*12+($C22:$AG22="NT")*6+($C22:$AG22="C")*10+($C22:$AG22="A")*8+($C22:$AG22="J")*5+($C22:$AG22="E")*4+($C22:$AG22="P")*6+($C22:$AG22="R")*6)</f>
        <v/>
      </c>
      <c r="AJ22" s="99">
        <f>SUMPRODUCT($C$5:$AG$5,($C22:$AG22="N")*1)</f>
        <v/>
      </c>
      <c r="AK22" s="99">
        <f>SUMPRODUCT($C$6:$AG$6,($C22:$AG22="M")*6+($C22:$AG22="T")*6+($C22:$AG22="D")*12+($C22:$AG22="N")*12+($C22:$AG22="NT")*6+($C22:$AG22="C")*10+($C22:$AG22="A")*8+($C22:$AG22="J")*5+($C22:$AG22="E")*4+($C22:$AG22="P")*6+($C22:$AG22="R")*6)</f>
        <v/>
      </c>
      <c r="AL22" s="99">
        <f>ROUND(B22*4.43,0)</f>
        <v/>
      </c>
      <c r="AM22" s="100">
        <f>AH22-AL22</f>
        <v/>
      </c>
      <c r="AN22" s="101">
        <f>SUMPRODUCT(($C22:$AF22="N")*(($D22:$AG22="M")+($D22:$AG22="E")+($D22:$AG22="C")+($D22:$AG22="D")))</f>
        <v/>
      </c>
      <c r="AO22" s="101">
        <f>SUMPRODUCT(($C22:$AF22="N")*($D22:$AG22="T"))</f>
        <v/>
      </c>
    </row>
    <row r="23">
      <c r="A23" s="81" t="inlineStr">
        <is>
          <t>Kariny</t>
        </is>
      </c>
      <c r="B23" s="93" t="n">
        <v>36</v>
      </c>
      <c r="C23" s="97" t="n"/>
      <c r="D23" s="97" t="n"/>
      <c r="E23" s="97" t="n"/>
      <c r="F23" s="97" t="n"/>
      <c r="G23" s="97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  <c r="AA23" s="97" t="n"/>
      <c r="AB23" s="97" t="n"/>
      <c r="AC23" s="97" t="n"/>
      <c r="AD23" s="97" t="n"/>
      <c r="AE23" s="97" t="n"/>
      <c r="AF23" s="97" t="n"/>
      <c r="AG23" s="97" t="n"/>
      <c r="AH23" s="99">
        <f>SUMPRODUCT(($C23:$AG23="M")*6+($C23:$AG23="T")*6+($C23:$AG23="D")*12+($C23:$AG23="N")*12+($C23:$AG23="NT")*6+($C23:$AG23="C")*10+($C23:$AG23="A")*8+($C23:$AG23="J")*5+($C23:$AG23="E")*4+($C23:$AG23="P")*6+($C23:$AG23="R")*6)</f>
        <v/>
      </c>
      <c r="AI23" s="99">
        <f>SUMPRODUCT($C$4:$AG$4,($C23:$AG23="M")*6+($C23:$AG23="T")*6+($C23:$AG23="D")*12+($C23:$AG23="N")*12+($C23:$AG23="NT")*6+($C23:$AG23="C")*10+($C23:$AG23="A")*8+($C23:$AG23="J")*5+($C23:$AG23="E")*4+($C23:$AG23="P")*6+($C23:$AG23="R")*6)</f>
        <v/>
      </c>
      <c r="AJ23" s="99">
        <f>SUMPRODUCT($C$5:$AG$5,($C23:$AG23="N")*1)</f>
        <v/>
      </c>
      <c r="AK23" s="99">
        <f>SUMPRODUCT($C$6:$AG$6,($C23:$AG23="M")*6+($C23:$AG23="T")*6+($C23:$AG23="D")*12+($C23:$AG23="N")*12+($C23:$AG23="NT")*6+($C23:$AG23="C")*10+($C23:$AG23="A")*8+($C23:$AG23="J")*5+($C23:$AG23="E")*4+($C23:$AG23="P")*6+($C23:$AG23="R")*6)</f>
        <v/>
      </c>
      <c r="AL23" s="99">
        <f>ROUND(B23*4.43,0)</f>
        <v/>
      </c>
      <c r="AM23" s="100">
        <f>AH23-AL23</f>
        <v/>
      </c>
      <c r="AN23" s="101">
        <f>SUMPRODUCT(($C23:$AF23="N")*(($D23:$AG23="M")+($D23:$AG23="E")+($D23:$AG23="C")+($D23:$AG23="D")))</f>
        <v/>
      </c>
      <c r="AO23" s="101">
        <f>SUMPRODUCT(($C23:$AF23="N")*($D23:$AG23="T"))</f>
        <v/>
      </c>
    </row>
    <row r="24">
      <c r="A24" s="81" t="inlineStr">
        <is>
          <t>Mayana</t>
        </is>
      </c>
      <c r="B24" s="93" t="n">
        <v>36</v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  <c r="AA24" s="97" t="n"/>
      <c r="AB24" s="97" t="n"/>
      <c r="AC24" s="97" t="n"/>
      <c r="AD24" s="97" t="n"/>
      <c r="AE24" s="97" t="n"/>
      <c r="AF24" s="97" t="n"/>
      <c r="AG24" s="97" t="n"/>
      <c r="AH24" s="99">
        <f>SUMPRODUCT(($C24:$AG24="M")*6+($C24:$AG24="T")*6+($C24:$AG24="D")*12+($C24:$AG24="N")*12+($C24:$AG24="NT")*6+($C24:$AG24="C")*10+($C24:$AG24="A")*8+($C24:$AG24="J")*5+($C24:$AG24="E")*4+($C24:$AG24="P")*6+($C24:$AG24="R")*6)</f>
        <v/>
      </c>
      <c r="AI24" s="99">
        <f>SUMPRODUCT($C$4:$AG$4,($C24:$AG24="M")*6+($C24:$AG24="T")*6+($C24:$AG24="D")*12+($C24:$AG24="N")*12+($C24:$AG24="NT")*6+($C24:$AG24="C")*10+($C24:$AG24="A")*8+($C24:$AG24="J")*5+($C24:$AG24="E")*4+($C24:$AG24="P")*6+($C24:$AG24="R")*6)</f>
        <v/>
      </c>
      <c r="AJ24" s="99">
        <f>SUMPRODUCT($C$5:$AG$5,($C24:$AG24="N")*1)</f>
        <v/>
      </c>
      <c r="AK24" s="99">
        <f>SUMPRODUCT($C$6:$AG$6,($C24:$AG24="M")*6+($C24:$AG24="T")*6+($C24:$AG24="D")*12+($C24:$AG24="N")*12+($C24:$AG24="NT")*6+($C24:$AG24="C")*10+($C24:$AG24="A")*8+($C24:$AG24="J")*5+($C24:$AG24="E")*4+($C24:$AG24="P")*6+($C24:$AG24="R")*6)</f>
        <v/>
      </c>
      <c r="AL24" s="99">
        <f>ROUND(B24*4.43,0)</f>
        <v/>
      </c>
      <c r="AM24" s="100">
        <f>AH24-AL24</f>
        <v/>
      </c>
      <c r="AN24" s="101">
        <f>SUMPRODUCT(($C24:$AF24="N")*(($D24:$AG24="M")+($D24:$AG24="E")+($D24:$AG24="C")+($D24:$AG24="D")))</f>
        <v/>
      </c>
      <c r="AO24" s="101">
        <f>SUMPRODUCT(($C24:$AF24="N")*($D24:$AG24="T"))</f>
        <v/>
      </c>
    </row>
    <row r="25">
      <c r="A25" s="81" t="inlineStr">
        <is>
          <t>Neyde</t>
        </is>
      </c>
      <c r="B25" s="93" t="n">
        <v>36</v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  <c r="AA25" s="97" t="n"/>
      <c r="AB25" s="97" t="n"/>
      <c r="AC25" s="97" t="n"/>
      <c r="AD25" s="97" t="n"/>
      <c r="AE25" s="97" t="n"/>
      <c r="AF25" s="97" t="n"/>
      <c r="AG25" s="97" t="n"/>
      <c r="AH25" s="99">
        <f>SUMPRODUCT(($C25:$AG25="M")*6+($C25:$AG25="T")*6+($C25:$AG25="D")*12+($C25:$AG25="N")*12+($C25:$AG25="NT")*6+($C25:$AG25="C")*10+($C25:$AG25="A")*8+($C25:$AG25="J")*5+($C25:$AG25="E")*4+($C25:$AG25="P")*6+($C25:$AG25="R")*6)</f>
        <v/>
      </c>
      <c r="AI25" s="99">
        <f>SUMPRODUCT($C$4:$AG$4,($C25:$AG25="M")*6+($C25:$AG25="T")*6+($C25:$AG25="D")*12+($C25:$AG25="N")*12+($C25:$AG25="NT")*6+($C25:$AG25="C")*10+($C25:$AG25="A")*8+($C25:$AG25="J")*5+($C25:$AG25="E")*4+($C25:$AG25="P")*6+($C25:$AG25="R")*6)</f>
        <v/>
      </c>
      <c r="AJ25" s="99">
        <f>SUMPRODUCT($C$5:$AG$5,($C25:$AG25="N")*1)</f>
        <v/>
      </c>
      <c r="AK25" s="99">
        <f>SUMPRODUCT($C$6:$AG$6,($C25:$AG25="M")*6+($C25:$AG25="T")*6+($C25:$AG25="D")*12+($C25:$AG25="N")*12+($C25:$AG25="NT")*6+($C25:$AG25="C")*10+($C25:$AG25="A")*8+($C25:$AG25="J")*5+($C25:$AG25="E")*4+($C25:$AG25="P")*6+($C25:$AG25="R")*6)</f>
        <v/>
      </c>
      <c r="AL25" s="99">
        <f>ROUND(B25*4.43,0)</f>
        <v/>
      </c>
      <c r="AM25" s="100">
        <f>AH25-AL25</f>
        <v/>
      </c>
      <c r="AN25" s="101">
        <f>SUMPRODUCT(($C25:$AF25="N")*(($D25:$AG25="M")+($D25:$AG25="E")+($D25:$AG25="C")+($D25:$AG25="D")))</f>
        <v/>
      </c>
      <c r="AO25" s="101">
        <f>SUMPRODUCT(($C25:$AF25="N")*($D25:$AG25="T"))</f>
        <v/>
      </c>
    </row>
    <row r="26">
      <c r="A26" s="81" t="inlineStr">
        <is>
          <t>Roberta</t>
        </is>
      </c>
      <c r="B26" s="93" t="n">
        <v>36</v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97" t="n"/>
      <c r="AG26" s="97" t="n"/>
      <c r="AH26" s="99">
        <f>SUMPRODUCT(($C26:$AG26="M")*6+($C26:$AG26="T")*6+($C26:$AG26="D")*12+($C26:$AG26="N")*12+($C26:$AG26="NT")*6+($C26:$AG26="C")*10+($C26:$AG26="A")*8+($C26:$AG26="J")*5+($C26:$AG26="E")*4+($C26:$AG26="P")*6+($C26:$AG26="R")*6)</f>
        <v/>
      </c>
      <c r="AI26" s="99">
        <f>SUMPRODUCT($C$4:$AG$4,($C26:$AG26="M")*6+($C26:$AG26="T")*6+($C26:$AG26="D")*12+($C26:$AG26="N")*12+($C26:$AG26="NT")*6+($C26:$AG26="C")*10+($C26:$AG26="A")*8+($C26:$AG26="J")*5+($C26:$AG26="E")*4+($C26:$AG26="P")*6+($C26:$AG26="R")*6)</f>
        <v/>
      </c>
      <c r="AJ26" s="99">
        <f>SUMPRODUCT($C$5:$AG$5,($C26:$AG26="N")*1)</f>
        <v/>
      </c>
      <c r="AK26" s="99">
        <f>SUMPRODUCT($C$6:$AG$6,($C26:$AG26="M")*6+($C26:$AG26="T")*6+($C26:$AG26="D")*12+($C26:$AG26="N")*12+($C26:$AG26="NT")*6+($C26:$AG26="C")*10+($C26:$AG26="A")*8+($C26:$AG26="J")*5+($C26:$AG26="E")*4+($C26:$AG26="P")*6+($C26:$AG26="R")*6)</f>
        <v/>
      </c>
      <c r="AL26" s="99">
        <f>ROUND(B26*4.43,0)</f>
        <v/>
      </c>
      <c r="AM26" s="100">
        <f>AH26-AL26</f>
        <v/>
      </c>
      <c r="AN26" s="101">
        <f>SUMPRODUCT(($C26:$AF26="N")*(($D26:$AG26="M")+($D26:$AG26="E")+($D26:$AG26="C")+($D26:$AG26="D")))</f>
        <v/>
      </c>
      <c r="AO26" s="101">
        <f>SUMPRODUCT(($C26:$AF26="N")*($D26:$AG26="T"))</f>
        <v/>
      </c>
    </row>
    <row r="27">
      <c r="A27" s="81" t="inlineStr">
        <is>
          <t>LuAlice</t>
        </is>
      </c>
      <c r="B27" s="93" t="n">
        <v>36</v>
      </c>
      <c r="C27" s="97" t="n"/>
      <c r="D27" s="97" t="n"/>
      <c r="E27" s="97" t="n"/>
      <c r="F27" s="97" t="n"/>
      <c r="G27" s="97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97" t="n"/>
      <c r="AH27" s="99">
        <f>SUMPRODUCT(($C27:$AG27="M")*6+($C27:$AG27="T")*6+($C27:$AG27="D")*12+($C27:$AG27="N")*12+($C27:$AG27="NT")*6+($C27:$AG27="C")*10+($C27:$AG27="A")*8+($C27:$AG27="J")*5+($C27:$AG27="E")*4+($C27:$AG27="P")*6+($C27:$AG27="R")*6)</f>
        <v/>
      </c>
      <c r="AI27" s="99">
        <f>SUMPRODUCT($C$4:$AG$4,($C27:$AG27="M")*6+($C27:$AG27="T")*6+($C27:$AG27="D")*12+($C27:$AG27="N")*12+($C27:$AG27="NT")*6+($C27:$AG27="C")*10+($C27:$AG27="A")*8+($C27:$AG27="J")*5+($C27:$AG27="E")*4+($C27:$AG27="P")*6+($C27:$AG27="R")*6)</f>
        <v/>
      </c>
      <c r="AJ27" s="99">
        <f>SUMPRODUCT($C$5:$AG$5,($C27:$AG27="N")*1)</f>
        <v/>
      </c>
      <c r="AK27" s="99">
        <f>SUMPRODUCT($C$6:$AG$6,($C27:$AG27="M")*6+($C27:$AG27="T")*6+($C27:$AG27="D")*12+($C27:$AG27="N")*12+($C27:$AG27="NT")*6+($C27:$AG27="C")*10+($C27:$AG27="A")*8+($C27:$AG27="J")*5+($C27:$AG27="E")*4+($C27:$AG27="P")*6+($C27:$AG27="R")*6)</f>
        <v/>
      </c>
      <c r="AL27" s="99">
        <f>ROUND(B27*4.43,0)</f>
        <v/>
      </c>
      <c r="AM27" s="100">
        <f>AH27-AL27</f>
        <v/>
      </c>
      <c r="AN27" s="101">
        <f>SUMPRODUCT(($C27:$AF27="N")*(($D27:$AG27="M")+($D27:$AG27="E")+($D27:$AG27="C")+($D27:$AG27="D")))</f>
        <v/>
      </c>
      <c r="AO27" s="101">
        <f>SUMPRODUCT(($C27:$AF27="N")*($D27:$AG27="T"))</f>
        <v/>
      </c>
    </row>
    <row r="28">
      <c r="A28" s="81" t="inlineStr">
        <is>
          <t>Amanda</t>
        </is>
      </c>
      <c r="B28" s="93" t="n">
        <v>30</v>
      </c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9">
        <f>SUMPRODUCT(($C28:$AG28="M")*6+($C28:$AG28="T")*6+($C28:$AG28="D")*12+($C28:$AG28="N")*12+($C28:$AG28="NT")*6+($C28:$AG28="C")*10+($C28:$AG28="A")*8+($C28:$AG28="J")*5+($C28:$AG28="E")*4+($C28:$AG28="P")*6+($C28:$AG28="R")*6)</f>
        <v/>
      </c>
      <c r="AI28" s="99">
        <f>SUMPRODUCT($C$4:$AG$4,($C28:$AG28="M")*6+($C28:$AG28="T")*6+($C28:$AG28="D")*12+($C28:$AG28="N")*12+($C28:$AG28="NT")*6+($C28:$AG28="C")*10+($C28:$AG28="A")*8+($C28:$AG28="J")*5+($C28:$AG28="E")*4+($C28:$AG28="P")*6+($C28:$AG28="R")*6)</f>
        <v/>
      </c>
      <c r="AJ28" s="99">
        <f>SUMPRODUCT($C$5:$AG$5,($C28:$AG28="N")*1)</f>
        <v/>
      </c>
      <c r="AK28" s="99">
        <f>SUMPRODUCT($C$6:$AG$6,($C28:$AG28="M")*6+($C28:$AG28="T")*6+($C28:$AG28="D")*12+($C28:$AG28="N")*12+($C28:$AG28="NT")*6+($C28:$AG28="C")*10+($C28:$AG28="A")*8+($C28:$AG28="J")*5+($C28:$AG28="E")*4+($C28:$AG28="P")*6+($C28:$AG28="R")*6)</f>
        <v/>
      </c>
      <c r="AL28" s="99">
        <f>ROUND(B28*4.43,0)</f>
        <v/>
      </c>
      <c r="AM28" s="100">
        <f>AH28-AL28</f>
        <v/>
      </c>
      <c r="AN28" s="101">
        <f>SUMPRODUCT(($C28:$AF28="N")*(($D28:$AG28="M")+($D28:$AG28="E")+($D28:$AG28="C")+($D28:$AG28="D")))</f>
        <v/>
      </c>
      <c r="AO28" s="101">
        <f>SUMPRODUCT(($C28:$AF28="N")*($D28:$AG28="T"))</f>
        <v/>
      </c>
    </row>
    <row r="29">
      <c r="A29" s="81" t="inlineStr">
        <is>
          <t>Fernando</t>
        </is>
      </c>
      <c r="B29" s="93" t="n">
        <v>30</v>
      </c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97" t="n"/>
      <c r="AH29" s="99">
        <f>SUMPRODUCT(($C29:$AG29="M")*6+($C29:$AG29="T")*6+($C29:$AG29="D")*12+($C29:$AG29="N")*12+($C29:$AG29="NT")*6+($C29:$AG29="C")*10+($C29:$AG29="A")*8+($C29:$AG29="J")*5+($C29:$AG29="E")*4+($C29:$AG29="P")*6+($C29:$AG29="R")*6)</f>
        <v/>
      </c>
      <c r="AI29" s="99">
        <f>SUMPRODUCT($C$4:$AG$4,($C29:$AG29="M")*6+($C29:$AG29="T")*6+($C29:$AG29="D")*12+($C29:$AG29="N")*12+($C29:$AG29="NT")*6+($C29:$AG29="C")*10+($C29:$AG29="A")*8+($C29:$AG29="J")*5+($C29:$AG29="E")*4+($C29:$AG29="P")*6+($C29:$AG29="R")*6)</f>
        <v/>
      </c>
      <c r="AJ29" s="99">
        <f>SUMPRODUCT($C$5:$AG$5,($C29:$AG29="N")*1)</f>
        <v/>
      </c>
      <c r="AK29" s="99">
        <f>SUMPRODUCT($C$6:$AG$6,($C29:$AG29="M")*6+($C29:$AG29="T")*6+($C29:$AG29="D")*12+($C29:$AG29="N")*12+($C29:$AG29="NT")*6+($C29:$AG29="C")*10+($C29:$AG29="A")*8+($C29:$AG29="J")*5+($C29:$AG29="E")*4+($C29:$AG29="P")*6+($C29:$AG29="R")*6)</f>
        <v/>
      </c>
      <c r="AL29" s="99">
        <f>ROUND(B29*4.43,0)</f>
        <v/>
      </c>
      <c r="AM29" s="100">
        <f>AH29-AL29</f>
        <v/>
      </c>
      <c r="AN29" s="101">
        <f>SUMPRODUCT(($C29:$AF29="N")*(($D29:$AG29="M")+($D29:$AG29="E")+($D29:$AG29="C")+($D29:$AG29="D")))</f>
        <v/>
      </c>
      <c r="AO29" s="101">
        <f>SUMPRODUCT(($C29:$AF29="N")*($D29:$AG29="T"))</f>
        <v/>
      </c>
    </row>
    <row r="30">
      <c r="A30" s="81" t="inlineStr">
        <is>
          <t>João</t>
        </is>
      </c>
      <c r="B30" s="93" t="n">
        <v>30</v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9">
        <f>SUMPRODUCT(($C30:$AG30="M")*6+($C30:$AG30="T")*6+($C30:$AG30="D")*12+($C30:$AG30="N")*12+($C30:$AG30="NT")*6+($C30:$AG30="C")*10+($C30:$AG30="A")*8+($C30:$AG30="J")*5+($C30:$AG30="E")*4+($C30:$AG30="P")*6+($C30:$AG30="R")*6)</f>
        <v/>
      </c>
      <c r="AI30" s="99">
        <f>SUMPRODUCT($C$4:$AG$4,($C30:$AG30="M")*6+($C30:$AG30="T")*6+($C30:$AG30="D")*12+($C30:$AG30="N")*12+($C30:$AG30="NT")*6+($C30:$AG30="C")*10+($C30:$AG30="A")*8+($C30:$AG30="J")*5+($C30:$AG30="E")*4+($C30:$AG30="P")*6+($C30:$AG30="R")*6)</f>
        <v/>
      </c>
      <c r="AJ30" s="99">
        <f>SUMPRODUCT($C$5:$AG$5,($C30:$AG30="N")*1)</f>
        <v/>
      </c>
      <c r="AK30" s="99">
        <f>SUMPRODUCT($C$6:$AG$6,($C30:$AG30="M")*6+($C30:$AG30="T")*6+($C30:$AG30="D")*12+($C30:$AG30="N")*12+($C30:$AG30="NT")*6+($C30:$AG30="C")*10+($C30:$AG30="A")*8+($C30:$AG30="J")*5+($C30:$AG30="E")*4+($C30:$AG30="P")*6+($C30:$AG30="R")*6)</f>
        <v/>
      </c>
      <c r="AL30" s="99">
        <f>ROUND(B30*4.43,0)</f>
        <v/>
      </c>
      <c r="AM30" s="100">
        <f>AH30-AL30</f>
        <v/>
      </c>
      <c r="AN30" s="101">
        <f>SUMPRODUCT(($C30:$AF30="N")*(($D30:$AG30="M")+($D30:$AG30="E")+($D30:$AG30="C")+($D30:$AG30="D")))</f>
        <v/>
      </c>
      <c r="AO30" s="101">
        <f>SUMPRODUCT(($C30:$AF30="N")*($D30:$AG30="T"))</f>
        <v/>
      </c>
    </row>
    <row r="31">
      <c r="A31" s="81" t="inlineStr">
        <is>
          <t>JuCoutinho</t>
        </is>
      </c>
      <c r="B31" s="93" t="n">
        <v>30</v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9">
        <f>SUMPRODUCT(($C31:$AG31="M")*6+($C31:$AG31="T")*6+($C31:$AG31="D")*12+($C31:$AG31="N")*12+($C31:$AG31="NT")*6+($C31:$AG31="C")*10+($C31:$AG31="A")*8+($C31:$AG31="J")*5+($C31:$AG31="E")*4+($C31:$AG31="P")*6+($C31:$AG31="R")*6)</f>
        <v/>
      </c>
      <c r="AI31" s="99">
        <f>SUMPRODUCT($C$4:$AG$4,($C31:$AG31="M")*6+($C31:$AG31="T")*6+($C31:$AG31="D")*12+($C31:$AG31="N")*12+($C31:$AG31="NT")*6+($C31:$AG31="C")*10+($C31:$AG31="A")*8+($C31:$AG31="J")*5+($C31:$AG31="E")*4+($C31:$AG31="P")*6+($C31:$AG31="R")*6)</f>
        <v/>
      </c>
      <c r="AJ31" s="99">
        <f>SUMPRODUCT($C$5:$AG$5,($C31:$AG31="N")*1)</f>
        <v/>
      </c>
      <c r="AK31" s="99">
        <f>SUMPRODUCT($C$6:$AG$6,($C31:$AG31="M")*6+($C31:$AG31="T")*6+($C31:$AG31="D")*12+($C31:$AG31="N")*12+($C31:$AG31="NT")*6+($C31:$AG31="C")*10+($C31:$AG31="A")*8+($C31:$AG31="J")*5+($C31:$AG31="E")*4+($C31:$AG31="P")*6+($C31:$AG31="R")*6)</f>
        <v/>
      </c>
      <c r="AL31" s="99">
        <f>ROUND(B31*4.43,0)</f>
        <v/>
      </c>
      <c r="AM31" s="100">
        <f>AH31-AL31</f>
        <v/>
      </c>
      <c r="AN31" s="101">
        <f>SUMPRODUCT(($C31:$AF31="N")*(($D31:$AG31="M")+($D31:$AG31="E")+($D31:$AG31="C")+($D31:$AG31="D")))</f>
        <v/>
      </c>
      <c r="AO31" s="101">
        <f>SUMPRODUCT(($C31:$AF31="N")*($D31:$AG31="T"))</f>
        <v/>
      </c>
    </row>
    <row r="32">
      <c r="A32" s="81" t="inlineStr">
        <is>
          <t>LeLemos</t>
        </is>
      </c>
      <c r="B32" s="93" t="n">
        <v>30</v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9">
        <f>SUMPRODUCT(($C32:$AG32="M")*6+($C32:$AG32="T")*6+($C32:$AG32="D")*12+($C32:$AG32="N")*12+($C32:$AG32="NT")*6+($C32:$AG32="C")*10+($C32:$AG32="A")*8+($C32:$AG32="J")*5+($C32:$AG32="E")*4+($C32:$AG32="P")*6+($C32:$AG32="R")*6)</f>
        <v/>
      </c>
      <c r="AI32" s="99">
        <f>SUMPRODUCT($C$4:$AG$4,($C32:$AG32="M")*6+($C32:$AG32="T")*6+($C32:$AG32="D")*12+($C32:$AG32="N")*12+($C32:$AG32="NT")*6+($C32:$AG32="C")*10+($C32:$AG32="A")*8+($C32:$AG32="J")*5+($C32:$AG32="E")*4+($C32:$AG32="P")*6+($C32:$AG32="R")*6)</f>
        <v/>
      </c>
      <c r="AJ32" s="99">
        <f>SUMPRODUCT($C$5:$AG$5,($C32:$AG32="N")*1)</f>
        <v/>
      </c>
      <c r="AK32" s="99">
        <f>SUMPRODUCT($C$6:$AG$6,($C32:$AG32="M")*6+($C32:$AG32="T")*6+($C32:$AG32="D")*12+($C32:$AG32="N")*12+($C32:$AG32="NT")*6+($C32:$AG32="C")*10+($C32:$AG32="A")*8+($C32:$AG32="J")*5+($C32:$AG32="E")*4+($C32:$AG32="P")*6+($C32:$AG32="R")*6)</f>
        <v/>
      </c>
      <c r="AL32" s="99">
        <f>ROUND(B32*4.43,0)</f>
        <v/>
      </c>
      <c r="AM32" s="100">
        <f>AH32-AL32</f>
        <v/>
      </c>
      <c r="AN32" s="101">
        <f>SUMPRODUCT(($C32:$AF32="N")*(($D32:$AG32="M")+($D32:$AG32="E")+($D32:$AG32="C")+($D32:$AG32="D")))</f>
        <v/>
      </c>
      <c r="AO32" s="101">
        <f>SUMPRODUCT(($C32:$AF32="N")*($D32:$AG32="T"))</f>
        <v/>
      </c>
    </row>
    <row r="33">
      <c r="A33" s="81" t="inlineStr">
        <is>
          <t>Leomara</t>
        </is>
      </c>
      <c r="B33" s="93" t="n">
        <v>24</v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9">
        <f>SUMPRODUCT(($C33:$AG33="M")*6+($C33:$AG33="T")*6+($C33:$AG33="D")*12+($C33:$AG33="N")*12+($C33:$AG33="NT")*6+($C33:$AG33="C")*10+($C33:$AG33="A")*8+($C33:$AG33="J")*5+($C33:$AG33="E")*4+($C33:$AG33="P")*6+($C33:$AG33="R")*6)</f>
        <v/>
      </c>
      <c r="AI33" s="99">
        <f>SUMPRODUCT($C$4:$AG$4,($C33:$AG33="M")*6+($C33:$AG33="T")*6+($C33:$AG33="D")*12+($C33:$AG33="N")*12+($C33:$AG33="NT")*6+($C33:$AG33="C")*10+($C33:$AG33="A")*8+($C33:$AG33="J")*5+($C33:$AG33="E")*4+($C33:$AG33="P")*6+($C33:$AG33="R")*6)</f>
        <v/>
      </c>
      <c r="AJ33" s="99">
        <f>SUMPRODUCT($C$5:$AG$5,($C33:$AG33="N")*1)</f>
        <v/>
      </c>
      <c r="AK33" s="99">
        <f>SUMPRODUCT($C$6:$AG$6,($C33:$AG33="M")*6+($C33:$AG33="T")*6+($C33:$AG33="D")*12+($C33:$AG33="N")*12+($C33:$AG33="NT")*6+($C33:$AG33="C")*10+($C33:$AG33="A")*8+($C33:$AG33="J")*5+($C33:$AG33="E")*4+($C33:$AG33="P")*6+($C33:$AG33="R")*6)</f>
        <v/>
      </c>
      <c r="AL33" s="99">
        <f>ROUND(B33*4.43,0)</f>
        <v/>
      </c>
      <c r="AM33" s="100">
        <f>AH33-AL33</f>
        <v/>
      </c>
      <c r="AN33" s="101">
        <f>SUMPRODUCT(($C33:$AF33="N")*(($D33:$AG33="M")+($D33:$AG33="E")+($D33:$AG33="C")+($D33:$AG33="D")))</f>
        <v/>
      </c>
      <c r="AO33" s="101">
        <f>SUMPRODUCT(($C33:$AF33="N")*($D33:$AG33="T"))</f>
        <v/>
      </c>
    </row>
    <row r="34">
      <c r="A34" s="81" t="inlineStr">
        <is>
          <t>Marilia</t>
        </is>
      </c>
      <c r="B34" s="93" t="n">
        <v>30</v>
      </c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9">
        <f>SUMPRODUCT(($C34:$AG34="M")*6+($C34:$AG34="T")*6+($C34:$AG34="D")*12+($C34:$AG34="N")*12+($C34:$AG34="NT")*6+($C34:$AG34="C")*10+($C34:$AG34="A")*8+($C34:$AG34="J")*5+($C34:$AG34="E")*4+($C34:$AG34="P")*6+($C34:$AG34="R")*6)</f>
        <v/>
      </c>
      <c r="AI34" s="99">
        <f>SUMPRODUCT($C$4:$AG$4,($C34:$AG34="M")*6+($C34:$AG34="T")*6+($C34:$AG34="D")*12+($C34:$AG34="N")*12+($C34:$AG34="NT")*6+($C34:$AG34="C")*10+($C34:$AG34="A")*8+($C34:$AG34="J")*5+($C34:$AG34="E")*4+($C34:$AG34="P")*6+($C34:$AG34="R")*6)</f>
        <v/>
      </c>
      <c r="AJ34" s="99">
        <f>SUMPRODUCT($C$5:$AG$5,($C34:$AG34="N")*1)</f>
        <v/>
      </c>
      <c r="AK34" s="99">
        <f>SUMPRODUCT($C$6:$AG$6,($C34:$AG34="M")*6+($C34:$AG34="T")*6+($C34:$AG34="D")*12+($C34:$AG34="N")*12+($C34:$AG34="NT")*6+($C34:$AG34="C")*10+($C34:$AG34="A")*8+($C34:$AG34="J")*5+($C34:$AG34="E")*4+($C34:$AG34="P")*6+($C34:$AG34="R")*6)</f>
        <v/>
      </c>
      <c r="AL34" s="99">
        <f>ROUND(B34*4.43,0)</f>
        <v/>
      </c>
      <c r="AM34" s="100">
        <f>AH34-AL34</f>
        <v/>
      </c>
      <c r="AN34" s="101">
        <f>SUMPRODUCT(($C34:$AF34="N")*(($D34:$AG34="M")+($D34:$AG34="E")+($D34:$AG34="C")+($D34:$AG34="D")))</f>
        <v/>
      </c>
      <c r="AO34" s="101">
        <f>SUMPRODUCT(($C34:$AF34="N")*($D34:$AG34="T"))</f>
        <v/>
      </c>
    </row>
    <row r="35">
      <c r="A35" s="81" t="inlineStr">
        <is>
          <t>Raylander</t>
        </is>
      </c>
      <c r="B35" s="93" t="n">
        <v>30</v>
      </c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9">
        <f>SUMPRODUCT(($C35:$AG35="M")*6+($C35:$AG35="T")*6+($C35:$AG35="D")*12+($C35:$AG35="N")*12+($C35:$AG35="NT")*6+($C35:$AG35="C")*10+($C35:$AG35="A")*8+($C35:$AG35="J")*5+($C35:$AG35="E")*4+($C35:$AG35="P")*6+($C35:$AG35="R")*6)</f>
        <v/>
      </c>
      <c r="AI35" s="99">
        <f>SUMPRODUCT($C$4:$AG$4,($C35:$AG35="M")*6+($C35:$AG35="T")*6+($C35:$AG35="D")*12+($C35:$AG35="N")*12+($C35:$AG35="NT")*6+($C35:$AG35="C")*10+($C35:$AG35="A")*8+($C35:$AG35="J")*5+($C35:$AG35="E")*4+($C35:$AG35="P")*6+($C35:$AG35="R")*6)</f>
        <v/>
      </c>
      <c r="AJ35" s="99">
        <f>SUMPRODUCT($C$5:$AG$5,($C35:$AG35="N")*1)</f>
        <v/>
      </c>
      <c r="AK35" s="99">
        <f>SUMPRODUCT($C$6:$AG$6,($C35:$AG35="M")*6+($C35:$AG35="T")*6+($C35:$AG35="D")*12+($C35:$AG35="N")*12+($C35:$AG35="NT")*6+($C35:$AG35="C")*10+($C35:$AG35="A")*8+($C35:$AG35="J")*5+($C35:$AG35="E")*4+($C35:$AG35="P")*6+($C35:$AG35="R")*6)</f>
        <v/>
      </c>
      <c r="AL35" s="99">
        <f>ROUND(B35*4.43,0)</f>
        <v/>
      </c>
      <c r="AM35" s="100">
        <f>AH35-AL35</f>
        <v/>
      </c>
      <c r="AN35" s="101">
        <f>SUMPRODUCT(($C35:$AF35="N")*(($D35:$AG35="M")+($D35:$AG35="E")+($D35:$AG35="C")+($D35:$AG35="D")))</f>
        <v/>
      </c>
      <c r="AO35" s="101">
        <f>SUMPRODUCT(($C35:$AF35="N")*($D35:$AG35="T"))</f>
        <v/>
      </c>
    </row>
    <row r="36">
      <c r="A36" s="81" t="inlineStr">
        <is>
          <t>Ricardo</t>
        </is>
      </c>
      <c r="B36" s="93" t="n">
        <v>30</v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9">
        <f>SUMPRODUCT(($C36:$AG36="M")*6+($C36:$AG36="T")*6+($C36:$AG36="D")*12+($C36:$AG36="N")*12+($C36:$AG36="NT")*6+($C36:$AG36="C")*10+($C36:$AG36="A")*8+($C36:$AG36="J")*5+($C36:$AG36="E")*4+($C36:$AG36="P")*6+($C36:$AG36="R")*6)</f>
        <v/>
      </c>
      <c r="AI36" s="99">
        <f>SUMPRODUCT($C$4:$AG$4,($C36:$AG36="M")*6+($C36:$AG36="T")*6+($C36:$AG36="D")*12+($C36:$AG36="N")*12+($C36:$AG36="NT")*6+($C36:$AG36="C")*10+($C36:$AG36="A")*8+($C36:$AG36="J")*5+($C36:$AG36="E")*4+($C36:$AG36="P")*6+($C36:$AG36="R")*6)</f>
        <v/>
      </c>
      <c r="AJ36" s="99">
        <f>SUMPRODUCT($C$5:$AG$5,($C36:$AG36="N")*1)</f>
        <v/>
      </c>
      <c r="AK36" s="99">
        <f>SUMPRODUCT($C$6:$AG$6,($C36:$AG36="M")*6+($C36:$AG36="T")*6+($C36:$AG36="D")*12+($C36:$AG36="N")*12+($C36:$AG36="NT")*6+($C36:$AG36="C")*10+($C36:$AG36="A")*8+($C36:$AG36="J")*5+($C36:$AG36="E")*4+($C36:$AG36="P")*6+($C36:$AG36="R")*6)</f>
        <v/>
      </c>
      <c r="AL36" s="99">
        <f>ROUND(B36*4.43,0)</f>
        <v/>
      </c>
      <c r="AM36" s="100">
        <f>AH36-AL36</f>
        <v/>
      </c>
      <c r="AN36" s="101">
        <f>SUMPRODUCT(($C36:$AF36="N")*(($D36:$AG36="M")+($D36:$AG36="E")+($D36:$AG36="C")+($D36:$AG36="D")))</f>
        <v/>
      </c>
      <c r="AO36" s="101">
        <f>SUMPRODUCT(($C36:$AF36="N")*($D36:$AG36="T"))</f>
        <v/>
      </c>
    </row>
    <row r="37">
      <c r="A37" s="81" t="inlineStr">
        <is>
          <t>Rosana</t>
        </is>
      </c>
      <c r="B37" s="93" t="n">
        <v>30</v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9">
        <f>SUMPRODUCT(($C37:$AG37="M")*6+($C37:$AG37="T")*6+($C37:$AG37="D")*12+($C37:$AG37="N")*12+($C37:$AG37="NT")*6+($C37:$AG37="C")*10+($C37:$AG37="A")*8+($C37:$AG37="J")*5+($C37:$AG37="E")*4+($C37:$AG37="P")*6+($C37:$AG37="R")*6)</f>
        <v/>
      </c>
      <c r="AI37" s="99">
        <f>SUMPRODUCT($C$4:$AG$4,($C37:$AG37="M")*6+($C37:$AG37="T")*6+($C37:$AG37="D")*12+($C37:$AG37="N")*12+($C37:$AG37="NT")*6+($C37:$AG37="C")*10+($C37:$AG37="A")*8+($C37:$AG37="J")*5+($C37:$AG37="E")*4+($C37:$AG37="P")*6+($C37:$AG37="R")*6)</f>
        <v/>
      </c>
      <c r="AJ37" s="99">
        <f>SUMPRODUCT($C$5:$AG$5,($C37:$AG37="N")*1)</f>
        <v/>
      </c>
      <c r="AK37" s="99">
        <f>SUMPRODUCT($C$6:$AG$6,($C37:$AG37="M")*6+($C37:$AG37="T")*6+($C37:$AG37="D")*12+($C37:$AG37="N")*12+($C37:$AG37="NT")*6+($C37:$AG37="C")*10+($C37:$AG37="A")*8+($C37:$AG37="J")*5+($C37:$AG37="E")*4+($C37:$AG37="P")*6+($C37:$AG37="R")*6)</f>
        <v/>
      </c>
      <c r="AL37" s="99">
        <f>ROUND(B37*4.43,0)</f>
        <v/>
      </c>
      <c r="AM37" s="100">
        <f>AH37-AL37</f>
        <v/>
      </c>
      <c r="AN37" s="101">
        <f>SUMPRODUCT(($C37:$AF37="N")*(($D37:$AG37="M")+($D37:$AG37="E")+($D37:$AG37="C")+($D37:$AG37="D")))</f>
        <v/>
      </c>
      <c r="AO37" s="101">
        <f>SUMPRODUCT(($C37:$AF37="N")*($D37:$AG37="T"))</f>
        <v/>
      </c>
    </row>
    <row r="38">
      <c r="A38" s="81" t="inlineStr">
        <is>
          <t>AnaSeverino</t>
        </is>
      </c>
      <c r="B38" s="93" t="n">
        <v>24</v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9">
        <f>SUMPRODUCT(($C38:$AG38="M")*6+($C38:$AG38="T")*6+($C38:$AG38="D")*12+($C38:$AG38="N")*12+($C38:$AG38="NT")*6+($C38:$AG38="C")*10+($C38:$AG38="A")*8+($C38:$AG38="J")*5+($C38:$AG38="E")*4+($C38:$AG38="P")*6+($C38:$AG38="R")*6)</f>
        <v/>
      </c>
      <c r="AI38" s="99">
        <f>SUMPRODUCT($C$4:$AG$4,($C38:$AG38="M")*6+($C38:$AG38="T")*6+($C38:$AG38="D")*12+($C38:$AG38="N")*12+($C38:$AG38="NT")*6+($C38:$AG38="C")*10+($C38:$AG38="A")*8+($C38:$AG38="J")*5+($C38:$AG38="E")*4+($C38:$AG38="P")*6+($C38:$AG38="R")*6)</f>
        <v/>
      </c>
      <c r="AJ38" s="99">
        <f>SUMPRODUCT($C$5:$AG$5,($C38:$AG38="N")*1)</f>
        <v/>
      </c>
      <c r="AK38" s="99">
        <f>SUMPRODUCT($C$6:$AG$6,($C38:$AG38="M")*6+($C38:$AG38="T")*6+($C38:$AG38="D")*12+($C38:$AG38="N")*12+($C38:$AG38="NT")*6+($C38:$AG38="C")*10+($C38:$AG38="A")*8+($C38:$AG38="J")*5+($C38:$AG38="E")*4+($C38:$AG38="P")*6+($C38:$AG38="R")*6)</f>
        <v/>
      </c>
      <c r="AL38" s="99">
        <f>ROUND(B38*4.43,0)</f>
        <v/>
      </c>
      <c r="AM38" s="100">
        <f>AH38-AL38</f>
        <v/>
      </c>
      <c r="AN38" s="101">
        <f>SUMPRODUCT(($C38:$AF38="N")*(($D38:$AG38="M")+($D38:$AG38="E")+($D38:$AG38="C")+($D38:$AG38="D")))</f>
        <v/>
      </c>
      <c r="AO38" s="101">
        <f>SUMPRODUCT(($C38:$AF38="N")*($D38:$AG38="T"))</f>
        <v/>
      </c>
    </row>
    <row r="39">
      <c r="A39" s="81" t="inlineStr">
        <is>
          <t>Anna</t>
        </is>
      </c>
      <c r="B39" s="93" t="n">
        <v>24</v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9">
        <f>SUMPRODUCT(($C39:$AG39="M")*6+($C39:$AG39="T")*6+($C39:$AG39="D")*12+($C39:$AG39="N")*12+($C39:$AG39="NT")*6+($C39:$AG39="C")*10+($C39:$AG39="A")*8+($C39:$AG39="J")*5+($C39:$AG39="E")*4+($C39:$AG39="P")*6+($C39:$AG39="R")*6)</f>
        <v/>
      </c>
      <c r="AI39" s="99">
        <f>SUMPRODUCT($C$4:$AG$4,($C39:$AG39="M")*6+($C39:$AG39="T")*6+($C39:$AG39="D")*12+($C39:$AG39="N")*12+($C39:$AG39="NT")*6+($C39:$AG39="C")*10+($C39:$AG39="A")*8+($C39:$AG39="J")*5+($C39:$AG39="E")*4+($C39:$AG39="P")*6+($C39:$AG39="R")*6)</f>
        <v/>
      </c>
      <c r="AJ39" s="99">
        <f>SUMPRODUCT($C$5:$AG$5,($C39:$AG39="N")*1)</f>
        <v/>
      </c>
      <c r="AK39" s="99">
        <f>SUMPRODUCT($C$6:$AG$6,($C39:$AG39="M")*6+($C39:$AG39="T")*6+($C39:$AG39="D")*12+($C39:$AG39="N")*12+($C39:$AG39="NT")*6+($C39:$AG39="C")*10+($C39:$AG39="A")*8+($C39:$AG39="J")*5+($C39:$AG39="E")*4+($C39:$AG39="P")*6+($C39:$AG39="R")*6)</f>
        <v/>
      </c>
      <c r="AL39" s="99">
        <f>ROUND(B39*4.43,0)</f>
        <v/>
      </c>
      <c r="AM39" s="100">
        <f>AH39-AL39</f>
        <v/>
      </c>
      <c r="AN39" s="101">
        <f>SUMPRODUCT(($C39:$AF39="N")*(($D39:$AG39="M")+($D39:$AG39="E")+($D39:$AG39="C")+($D39:$AG39="D")))</f>
        <v/>
      </c>
      <c r="AO39" s="101">
        <f>SUMPRODUCT(($C39:$AF39="N")*($D39:$AG39="T"))</f>
        <v/>
      </c>
    </row>
    <row r="40">
      <c r="A40" s="81" t="inlineStr">
        <is>
          <t>Ariadne</t>
        </is>
      </c>
      <c r="B40" s="93" t="n">
        <v>24</v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9">
        <f>SUMPRODUCT(($C40:$AG40="M")*6+($C40:$AG40="T")*6+($C40:$AG40="D")*12+($C40:$AG40="N")*12+($C40:$AG40="NT")*6+($C40:$AG40="C")*10+($C40:$AG40="A")*8+($C40:$AG40="J")*5+($C40:$AG40="E")*4+($C40:$AG40="P")*6+($C40:$AG40="R")*6)</f>
        <v/>
      </c>
      <c r="AI40" s="99">
        <f>SUMPRODUCT($C$4:$AG$4,($C40:$AG40="M")*6+($C40:$AG40="T")*6+($C40:$AG40="D")*12+($C40:$AG40="N")*12+($C40:$AG40="NT")*6+($C40:$AG40="C")*10+($C40:$AG40="A")*8+($C40:$AG40="J")*5+($C40:$AG40="E")*4+($C40:$AG40="P")*6+($C40:$AG40="R")*6)</f>
        <v/>
      </c>
      <c r="AJ40" s="99">
        <f>SUMPRODUCT($C$5:$AG$5,($C40:$AG40="N")*1)</f>
        <v/>
      </c>
      <c r="AK40" s="99">
        <f>SUMPRODUCT($C$6:$AG$6,($C40:$AG40="M")*6+($C40:$AG40="T")*6+($C40:$AG40="D")*12+($C40:$AG40="N")*12+($C40:$AG40="NT")*6+($C40:$AG40="C")*10+($C40:$AG40="A")*8+($C40:$AG40="J")*5+($C40:$AG40="E")*4+($C40:$AG40="P")*6+($C40:$AG40="R")*6)</f>
        <v/>
      </c>
      <c r="AL40" s="99">
        <f>ROUND(B40*4.43,0)</f>
        <v/>
      </c>
      <c r="AM40" s="100">
        <f>AH40-AL40</f>
        <v/>
      </c>
      <c r="AN40" s="101">
        <f>SUMPRODUCT(($C40:$AF40="N")*(($D40:$AG40="M")+($D40:$AG40="E")+($D40:$AG40="C")+($D40:$AG40="D")))</f>
        <v/>
      </c>
      <c r="AO40" s="101">
        <f>SUMPRODUCT(($C40:$AF40="N")*($D40:$AG40="T"))</f>
        <v/>
      </c>
    </row>
    <row r="41">
      <c r="A41" s="81" t="inlineStr">
        <is>
          <t>Beatriz</t>
        </is>
      </c>
      <c r="B41" s="93" t="n">
        <v>24</v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9">
        <f>SUMPRODUCT(($C41:$AG41="M")*6+($C41:$AG41="T")*6+($C41:$AG41="D")*12+($C41:$AG41="N")*12+($C41:$AG41="NT")*6+($C41:$AG41="C")*10+($C41:$AG41="A")*8+($C41:$AG41="J")*5+($C41:$AG41="E")*4+($C41:$AG41="P")*6+($C41:$AG41="R")*6)</f>
        <v/>
      </c>
      <c r="AI41" s="99">
        <f>SUMPRODUCT($C$4:$AG$4,($C41:$AG41="M")*6+($C41:$AG41="T")*6+($C41:$AG41="D")*12+($C41:$AG41="N")*12+($C41:$AG41="NT")*6+($C41:$AG41="C")*10+($C41:$AG41="A")*8+($C41:$AG41="J")*5+($C41:$AG41="E")*4+($C41:$AG41="P")*6+($C41:$AG41="R")*6)</f>
        <v/>
      </c>
      <c r="AJ41" s="99">
        <f>SUMPRODUCT($C$5:$AG$5,($C41:$AG41="N")*1)</f>
        <v/>
      </c>
      <c r="AK41" s="99">
        <f>SUMPRODUCT($C$6:$AG$6,($C41:$AG41="M")*6+($C41:$AG41="T")*6+($C41:$AG41="D")*12+($C41:$AG41="N")*12+($C41:$AG41="NT")*6+($C41:$AG41="C")*10+($C41:$AG41="A")*8+($C41:$AG41="J")*5+($C41:$AG41="E")*4+($C41:$AG41="P")*6+($C41:$AG41="R")*6)</f>
        <v/>
      </c>
      <c r="AL41" s="99">
        <f>ROUND(B41*4.43,0)</f>
        <v/>
      </c>
      <c r="AM41" s="100">
        <f>AH41-AL41</f>
        <v/>
      </c>
      <c r="AN41" s="101">
        <f>SUMPRODUCT(($C41:$AF41="N")*(($D41:$AG41="M")+($D41:$AG41="E")+($D41:$AG41="C")+($D41:$AG41="D")))</f>
        <v/>
      </c>
      <c r="AO41" s="101">
        <f>SUMPRODUCT(($C41:$AF41="N")*($D41:$AG41="T"))</f>
        <v/>
      </c>
    </row>
    <row r="42">
      <c r="A42" s="81" t="inlineStr">
        <is>
          <t>Bruna</t>
        </is>
      </c>
      <c r="B42" s="93" t="n">
        <v>24</v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9">
        <f>SUMPRODUCT(($C42:$AG42="M")*6+($C42:$AG42="T")*6+($C42:$AG42="D")*12+($C42:$AG42="N")*12+($C42:$AG42="NT")*6+($C42:$AG42="C")*10+($C42:$AG42="A")*8+($C42:$AG42="J")*5+($C42:$AG42="E")*4+($C42:$AG42="P")*6+($C42:$AG42="R")*6)</f>
        <v/>
      </c>
      <c r="AI42" s="99">
        <f>SUMPRODUCT($C$4:$AG$4,($C42:$AG42="M")*6+($C42:$AG42="T")*6+($C42:$AG42="D")*12+($C42:$AG42="N")*12+($C42:$AG42="NT")*6+($C42:$AG42="C")*10+($C42:$AG42="A")*8+($C42:$AG42="J")*5+($C42:$AG42="E")*4+($C42:$AG42="P")*6+($C42:$AG42="R")*6)</f>
        <v/>
      </c>
      <c r="AJ42" s="99">
        <f>SUMPRODUCT($C$5:$AG$5,($C42:$AG42="N")*1)</f>
        <v/>
      </c>
      <c r="AK42" s="99">
        <f>SUMPRODUCT($C$6:$AG$6,($C42:$AG42="M")*6+($C42:$AG42="T")*6+($C42:$AG42="D")*12+($C42:$AG42="N")*12+($C42:$AG42="NT")*6+($C42:$AG42="C")*10+($C42:$AG42="A")*8+($C42:$AG42="J")*5+($C42:$AG42="E")*4+($C42:$AG42="P")*6+($C42:$AG42="R")*6)</f>
        <v/>
      </c>
      <c r="AL42" s="99">
        <f>ROUND(B42*4.43,0)</f>
        <v/>
      </c>
      <c r="AM42" s="100">
        <f>AH42-AL42</f>
        <v/>
      </c>
      <c r="AN42" s="101">
        <f>SUMPRODUCT(($C42:$AF42="N")*(($D42:$AG42="M")+($D42:$AG42="E")+($D42:$AG42="C")+($D42:$AG42="D")))</f>
        <v/>
      </c>
      <c r="AO42" s="101">
        <f>SUMPRODUCT(($C42:$AF42="N")*($D42:$AG42="T"))</f>
        <v/>
      </c>
    </row>
    <row r="43">
      <c r="A43" s="81" t="inlineStr">
        <is>
          <t>Constantino</t>
        </is>
      </c>
      <c r="B43" s="93" t="n">
        <v>24</v>
      </c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9">
        <f>SUMPRODUCT(($C43:$AG43="M")*6+($C43:$AG43="T")*6+($C43:$AG43="D")*12+($C43:$AG43="N")*12+($C43:$AG43="NT")*6+($C43:$AG43="C")*10+($C43:$AG43="A")*8+($C43:$AG43="J")*5+($C43:$AG43="E")*4+($C43:$AG43="P")*6+($C43:$AG43="R")*6)</f>
        <v/>
      </c>
      <c r="AI43" s="99">
        <f>SUMPRODUCT($C$4:$AG$4,($C43:$AG43="M")*6+($C43:$AG43="T")*6+($C43:$AG43="D")*12+($C43:$AG43="N")*12+($C43:$AG43="NT")*6+($C43:$AG43="C")*10+($C43:$AG43="A")*8+($C43:$AG43="J")*5+($C43:$AG43="E")*4+($C43:$AG43="P")*6+($C43:$AG43="R")*6)</f>
        <v/>
      </c>
      <c r="AJ43" s="99">
        <f>SUMPRODUCT($C$5:$AG$5,($C43:$AG43="N")*1)</f>
        <v/>
      </c>
      <c r="AK43" s="99">
        <f>SUMPRODUCT($C$6:$AG$6,($C43:$AG43="M")*6+($C43:$AG43="T")*6+($C43:$AG43="D")*12+($C43:$AG43="N")*12+($C43:$AG43="NT")*6+($C43:$AG43="C")*10+($C43:$AG43="A")*8+($C43:$AG43="J")*5+($C43:$AG43="E")*4+($C43:$AG43="P")*6+($C43:$AG43="R")*6)</f>
        <v/>
      </c>
      <c r="AL43" s="99">
        <f>ROUND(B43*4.43,0)</f>
        <v/>
      </c>
      <c r="AM43" s="100">
        <f>AH43-AL43</f>
        <v/>
      </c>
      <c r="AN43" s="101">
        <f>SUMPRODUCT(($C43:$AF43="N")*(($D43:$AG43="M")+($D43:$AG43="E")+($D43:$AG43="C")+($D43:$AG43="D")))</f>
        <v/>
      </c>
      <c r="AO43" s="101">
        <f>SUMPRODUCT(($C43:$AF43="N")*($D43:$AG43="T"))</f>
        <v/>
      </c>
    </row>
    <row r="44">
      <c r="A44" s="81" t="inlineStr">
        <is>
          <t>DebMatias</t>
        </is>
      </c>
      <c r="B44" s="93" t="n">
        <v>24</v>
      </c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9">
        <f>SUMPRODUCT(($C44:$AG44="M")*6+($C44:$AG44="T")*6+($C44:$AG44="D")*12+($C44:$AG44="N")*12+($C44:$AG44="NT")*6+($C44:$AG44="C")*10+($C44:$AG44="A")*8+($C44:$AG44="J")*5+($C44:$AG44="E")*4+($C44:$AG44="P")*6+($C44:$AG44="R")*6)</f>
        <v/>
      </c>
      <c r="AI44" s="99">
        <f>SUMPRODUCT($C$4:$AG$4,($C44:$AG44="M")*6+($C44:$AG44="T")*6+($C44:$AG44="D")*12+($C44:$AG44="N")*12+($C44:$AG44="NT")*6+($C44:$AG44="C")*10+($C44:$AG44="A")*8+($C44:$AG44="J")*5+($C44:$AG44="E")*4+($C44:$AG44="P")*6+($C44:$AG44="R")*6)</f>
        <v/>
      </c>
      <c r="AJ44" s="99">
        <f>SUMPRODUCT($C$5:$AG$5,($C44:$AG44="N")*1)</f>
        <v/>
      </c>
      <c r="AK44" s="99">
        <f>SUMPRODUCT($C$6:$AG$6,($C44:$AG44="M")*6+($C44:$AG44="T")*6+($C44:$AG44="D")*12+($C44:$AG44="N")*12+($C44:$AG44="NT")*6+($C44:$AG44="C")*10+($C44:$AG44="A")*8+($C44:$AG44="J")*5+($C44:$AG44="E")*4+($C44:$AG44="P")*6+($C44:$AG44="R")*6)</f>
        <v/>
      </c>
      <c r="AL44" s="99">
        <f>ROUND(B44*4.43,0)</f>
        <v/>
      </c>
      <c r="AM44" s="100">
        <f>AH44-AL44</f>
        <v/>
      </c>
      <c r="AN44" s="101">
        <f>SUMPRODUCT(($C44:$AF44="N")*(($D44:$AG44="M")+($D44:$AG44="E")+($D44:$AG44="C")+($D44:$AG44="D")))</f>
        <v/>
      </c>
      <c r="AO44" s="101">
        <f>SUMPRODUCT(($C44:$AF44="N")*($D44:$AG44="T"))</f>
        <v/>
      </c>
    </row>
    <row r="45">
      <c r="A45" s="81" t="inlineStr">
        <is>
          <t>Denise</t>
        </is>
      </c>
      <c r="B45" s="93" t="n">
        <v>24</v>
      </c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9">
        <f>SUMPRODUCT(($C45:$AG45="M")*6+($C45:$AG45="T")*6+($C45:$AG45="D")*12+($C45:$AG45="N")*12+($C45:$AG45="NT")*6+($C45:$AG45="C")*10+($C45:$AG45="A")*8+($C45:$AG45="J")*5+($C45:$AG45="E")*4+($C45:$AG45="P")*6+($C45:$AG45="R")*6)</f>
        <v/>
      </c>
      <c r="AI45" s="99">
        <f>SUMPRODUCT($C$4:$AG$4,($C45:$AG45="M")*6+($C45:$AG45="T")*6+($C45:$AG45="D")*12+($C45:$AG45="N")*12+($C45:$AG45="NT")*6+($C45:$AG45="C")*10+($C45:$AG45="A")*8+($C45:$AG45="J")*5+($C45:$AG45="E")*4+($C45:$AG45="P")*6+($C45:$AG45="R")*6)</f>
        <v/>
      </c>
      <c r="AJ45" s="99">
        <f>SUMPRODUCT($C$5:$AG$5,($C45:$AG45="N")*1)</f>
        <v/>
      </c>
      <c r="AK45" s="99">
        <f>SUMPRODUCT($C$6:$AG$6,($C45:$AG45="M")*6+($C45:$AG45="T")*6+($C45:$AG45="D")*12+($C45:$AG45="N")*12+($C45:$AG45="NT")*6+($C45:$AG45="C")*10+($C45:$AG45="A")*8+($C45:$AG45="J")*5+($C45:$AG45="E")*4+($C45:$AG45="P")*6+($C45:$AG45="R")*6)</f>
        <v/>
      </c>
      <c r="AL45" s="99">
        <f>ROUND(B45*4.43,0)</f>
        <v/>
      </c>
      <c r="AM45" s="100">
        <f>AH45-AL45</f>
        <v/>
      </c>
      <c r="AN45" s="101">
        <f>SUMPRODUCT(($C45:$AF45="N")*(($D45:$AG45="M")+($D45:$AG45="E")+($D45:$AG45="C")+($D45:$AG45="D")))</f>
        <v/>
      </c>
      <c r="AO45" s="101">
        <f>SUMPRODUCT(($C45:$AF45="N")*($D45:$AG45="T"))</f>
        <v/>
      </c>
    </row>
    <row r="46">
      <c r="A46" s="81" t="inlineStr">
        <is>
          <t>Ernesto</t>
        </is>
      </c>
      <c r="B46" s="93" t="n">
        <v>24</v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9">
        <f>SUMPRODUCT(($C46:$AG46="M")*6+($C46:$AG46="T")*6+($C46:$AG46="D")*12+($C46:$AG46="N")*12+($C46:$AG46="NT")*6+($C46:$AG46="C")*10+($C46:$AG46="A")*8+($C46:$AG46="J")*5+($C46:$AG46="E")*4+($C46:$AG46="P")*6+($C46:$AG46="R")*6)</f>
        <v/>
      </c>
      <c r="AI46" s="99">
        <f>SUMPRODUCT($C$4:$AG$4,($C46:$AG46="M")*6+($C46:$AG46="T")*6+($C46:$AG46="D")*12+($C46:$AG46="N")*12+($C46:$AG46="NT")*6+($C46:$AG46="C")*10+($C46:$AG46="A")*8+($C46:$AG46="J")*5+($C46:$AG46="E")*4+($C46:$AG46="P")*6+($C46:$AG46="R")*6)</f>
        <v/>
      </c>
      <c r="AJ46" s="99">
        <f>SUMPRODUCT($C$5:$AG$5,($C46:$AG46="N")*1)</f>
        <v/>
      </c>
      <c r="AK46" s="99">
        <f>SUMPRODUCT($C$6:$AG$6,($C46:$AG46="M")*6+($C46:$AG46="T")*6+($C46:$AG46="D")*12+($C46:$AG46="N")*12+($C46:$AG46="NT")*6+($C46:$AG46="C")*10+($C46:$AG46="A")*8+($C46:$AG46="J")*5+($C46:$AG46="E")*4+($C46:$AG46="P")*6+($C46:$AG46="R")*6)</f>
        <v/>
      </c>
      <c r="AL46" s="99">
        <f>ROUND(B46*4.43,0)</f>
        <v/>
      </c>
      <c r="AM46" s="100">
        <f>AH46-AL46</f>
        <v/>
      </c>
      <c r="AN46" s="101">
        <f>SUMPRODUCT(($C46:$AF46="N")*(($D46:$AG46="M")+($D46:$AG46="E")+($D46:$AG46="C")+($D46:$AG46="D")))</f>
        <v/>
      </c>
      <c r="AO46" s="101">
        <f>SUMPRODUCT(($C46:$AF46="N")*($D46:$AG46="T"))</f>
        <v/>
      </c>
    </row>
    <row r="47">
      <c r="A47" s="81" t="inlineStr">
        <is>
          <t>Grayce</t>
        </is>
      </c>
      <c r="B47" s="93" t="n">
        <v>24</v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9">
        <f>SUMPRODUCT(($C47:$AG47="M")*6+($C47:$AG47="T")*6+($C47:$AG47="D")*12+($C47:$AG47="N")*12+($C47:$AG47="NT")*6+($C47:$AG47="C")*10+($C47:$AG47="A")*8+($C47:$AG47="J")*5+($C47:$AG47="E")*4+($C47:$AG47="P")*6+($C47:$AG47="R")*6)</f>
        <v/>
      </c>
      <c r="AI47" s="99">
        <f>SUMPRODUCT($C$4:$AG$4,($C47:$AG47="M")*6+($C47:$AG47="T")*6+($C47:$AG47="D")*12+($C47:$AG47="N")*12+($C47:$AG47="NT")*6+($C47:$AG47="C")*10+($C47:$AG47="A")*8+($C47:$AG47="J")*5+($C47:$AG47="E")*4+($C47:$AG47="P")*6+($C47:$AG47="R")*6)</f>
        <v/>
      </c>
      <c r="AJ47" s="99">
        <f>SUMPRODUCT($C$5:$AG$5,($C47:$AG47="N")*1)</f>
        <v/>
      </c>
      <c r="AK47" s="99">
        <f>SUMPRODUCT($C$6:$AG$6,($C47:$AG47="M")*6+($C47:$AG47="T")*6+($C47:$AG47="D")*12+($C47:$AG47="N")*12+($C47:$AG47="NT")*6+($C47:$AG47="C")*10+($C47:$AG47="A")*8+($C47:$AG47="J")*5+($C47:$AG47="E")*4+($C47:$AG47="P")*6+($C47:$AG47="R")*6)</f>
        <v/>
      </c>
      <c r="AL47" s="99">
        <f>ROUND(B47*4.43,0)</f>
        <v/>
      </c>
      <c r="AM47" s="100">
        <f>AH47-AL47</f>
        <v/>
      </c>
      <c r="AN47" s="101">
        <f>SUMPRODUCT(($C47:$AF47="N")*(($D47:$AG47="M")+($D47:$AG47="E")+($D47:$AG47="C")+($D47:$AG47="D")))</f>
        <v/>
      </c>
      <c r="AO47" s="101">
        <f>SUMPRODUCT(($C47:$AF47="N")*($D47:$AG47="T"))</f>
        <v/>
      </c>
    </row>
    <row r="48">
      <c r="A48" s="81" t="inlineStr">
        <is>
          <t>Heloa</t>
        </is>
      </c>
      <c r="B48" s="93" t="n">
        <v>24</v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9">
        <f>SUMPRODUCT(($C48:$AG48="M")*6+($C48:$AG48="T")*6+($C48:$AG48="D")*12+($C48:$AG48="N")*12+($C48:$AG48="NT")*6+($C48:$AG48="C")*10+($C48:$AG48="A")*8+($C48:$AG48="J")*5+($C48:$AG48="E")*4+($C48:$AG48="P")*6+($C48:$AG48="R")*6)</f>
        <v/>
      </c>
      <c r="AI48" s="99">
        <f>SUMPRODUCT($C$4:$AG$4,($C48:$AG48="M")*6+($C48:$AG48="T")*6+($C48:$AG48="D")*12+($C48:$AG48="N")*12+($C48:$AG48="NT")*6+($C48:$AG48="C")*10+($C48:$AG48="A")*8+($C48:$AG48="J")*5+($C48:$AG48="E")*4+($C48:$AG48="P")*6+($C48:$AG48="R")*6)</f>
        <v/>
      </c>
      <c r="AJ48" s="99">
        <f>SUMPRODUCT($C$5:$AG$5,($C48:$AG48="N")*1)</f>
        <v/>
      </c>
      <c r="AK48" s="99">
        <f>SUMPRODUCT($C$6:$AG$6,($C48:$AG48="M")*6+($C48:$AG48="T")*6+($C48:$AG48="D")*12+($C48:$AG48="N")*12+($C48:$AG48="NT")*6+($C48:$AG48="C")*10+($C48:$AG48="A")*8+($C48:$AG48="J")*5+($C48:$AG48="E")*4+($C48:$AG48="P")*6+($C48:$AG48="R")*6)</f>
        <v/>
      </c>
      <c r="AL48" s="99">
        <f>ROUND(B48*4.43,0)</f>
        <v/>
      </c>
      <c r="AM48" s="100">
        <f>AH48-AL48</f>
        <v/>
      </c>
      <c r="AN48" s="101">
        <f>SUMPRODUCT(($C48:$AF48="N")*(($D48:$AG48="M")+($D48:$AG48="E")+($D48:$AG48="C")+($D48:$AG48="D")))</f>
        <v/>
      </c>
      <c r="AO48" s="101">
        <f>SUMPRODUCT(($C48:$AF48="N")*($D48:$AG48="T"))</f>
        <v/>
      </c>
    </row>
    <row r="49">
      <c r="A49" s="81" t="inlineStr">
        <is>
          <t>Iggor</t>
        </is>
      </c>
      <c r="B49" s="93" t="n">
        <v>24</v>
      </c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9">
        <f>SUMPRODUCT(($C49:$AG49="M")*6+($C49:$AG49="T")*6+($C49:$AG49="D")*12+($C49:$AG49="N")*12+($C49:$AG49="NT")*6+($C49:$AG49="C")*10+($C49:$AG49="A")*8+($C49:$AG49="J")*5+($C49:$AG49="E")*4+($C49:$AG49="P")*6+($C49:$AG49="R")*6)</f>
        <v/>
      </c>
      <c r="AI49" s="99">
        <f>SUMPRODUCT($C$4:$AG$4,($C49:$AG49="M")*6+($C49:$AG49="T")*6+($C49:$AG49="D")*12+($C49:$AG49="N")*12+($C49:$AG49="NT")*6+($C49:$AG49="C")*10+($C49:$AG49="A")*8+($C49:$AG49="J")*5+($C49:$AG49="E")*4+($C49:$AG49="P")*6+($C49:$AG49="R")*6)</f>
        <v/>
      </c>
      <c r="AJ49" s="99">
        <f>SUMPRODUCT($C$5:$AG$5,($C49:$AG49="N")*1)</f>
        <v/>
      </c>
      <c r="AK49" s="99">
        <f>SUMPRODUCT($C$6:$AG$6,($C49:$AG49="M")*6+($C49:$AG49="T")*6+($C49:$AG49="D")*12+($C49:$AG49="N")*12+($C49:$AG49="NT")*6+($C49:$AG49="C")*10+($C49:$AG49="A")*8+($C49:$AG49="J")*5+($C49:$AG49="E")*4+($C49:$AG49="P")*6+($C49:$AG49="R")*6)</f>
        <v/>
      </c>
      <c r="AL49" s="99">
        <f>ROUND(B49*4.43,0)</f>
        <v/>
      </c>
      <c r="AM49" s="100">
        <f>AH49-AL49</f>
        <v/>
      </c>
      <c r="AN49" s="101">
        <f>SUMPRODUCT(($C49:$AF49="N")*(($D49:$AG49="M")+($D49:$AG49="E")+($D49:$AG49="C")+($D49:$AG49="D")))</f>
        <v/>
      </c>
      <c r="AO49" s="101">
        <f>SUMPRODUCT(($C49:$AF49="N")*($D49:$AG49="T"))</f>
        <v/>
      </c>
    </row>
    <row r="50">
      <c r="A50" s="81" t="inlineStr">
        <is>
          <t>IsaRibeiro</t>
        </is>
      </c>
      <c r="B50" s="93" t="n">
        <v>24</v>
      </c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9">
        <f>SUMPRODUCT(($C50:$AG50="M")*6+($C50:$AG50="T")*6+($C50:$AG50="D")*12+($C50:$AG50="N")*12+($C50:$AG50="NT")*6+($C50:$AG50="C")*10+($C50:$AG50="A")*8+($C50:$AG50="J")*5+($C50:$AG50="E")*4+($C50:$AG50="P")*6+($C50:$AG50="R")*6)</f>
        <v/>
      </c>
      <c r="AI50" s="99">
        <f>SUMPRODUCT($C$4:$AG$4,($C50:$AG50="M")*6+($C50:$AG50="T")*6+($C50:$AG50="D")*12+($C50:$AG50="N")*12+($C50:$AG50="NT")*6+($C50:$AG50="C")*10+($C50:$AG50="A")*8+($C50:$AG50="J")*5+($C50:$AG50="E")*4+($C50:$AG50="P")*6+($C50:$AG50="R")*6)</f>
        <v/>
      </c>
      <c r="AJ50" s="99">
        <f>SUMPRODUCT($C$5:$AG$5,($C50:$AG50="N")*1)</f>
        <v/>
      </c>
      <c r="AK50" s="99">
        <f>SUMPRODUCT($C$6:$AG$6,($C50:$AG50="M")*6+($C50:$AG50="T")*6+($C50:$AG50="D")*12+($C50:$AG50="N")*12+($C50:$AG50="NT")*6+($C50:$AG50="C")*10+($C50:$AG50="A")*8+($C50:$AG50="J")*5+($C50:$AG50="E")*4+($C50:$AG50="P")*6+($C50:$AG50="R")*6)</f>
        <v/>
      </c>
      <c r="AL50" s="99">
        <f>ROUND(B50*4.43,0)</f>
        <v/>
      </c>
      <c r="AM50" s="100">
        <f>AH50-AL50</f>
        <v/>
      </c>
      <c r="AN50" s="101">
        <f>SUMPRODUCT(($C50:$AF50="N")*(($D50:$AG50="M")+($D50:$AG50="E")+($D50:$AG50="C")+($D50:$AG50="D")))</f>
        <v/>
      </c>
      <c r="AO50" s="101">
        <f>SUMPRODUCT(($C50:$AF50="N")*($D50:$AG50="T"))</f>
        <v/>
      </c>
    </row>
    <row r="51">
      <c r="A51" s="81" t="inlineStr">
        <is>
          <t>Jaqueline</t>
        </is>
      </c>
      <c r="B51" s="93" t="n">
        <v>24</v>
      </c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9">
        <f>SUMPRODUCT(($C51:$AG51="M")*6+($C51:$AG51="T")*6+($C51:$AG51="D")*12+($C51:$AG51="N")*12+($C51:$AG51="NT")*6+($C51:$AG51="C")*10+($C51:$AG51="A")*8+($C51:$AG51="J")*5+($C51:$AG51="E")*4+($C51:$AG51="P")*6+($C51:$AG51="R")*6)</f>
        <v/>
      </c>
      <c r="AI51" s="99">
        <f>SUMPRODUCT($C$4:$AG$4,($C51:$AG51="M")*6+($C51:$AG51="T")*6+($C51:$AG51="D")*12+($C51:$AG51="N")*12+($C51:$AG51="NT")*6+($C51:$AG51="C")*10+($C51:$AG51="A")*8+($C51:$AG51="J")*5+($C51:$AG51="E")*4+($C51:$AG51="P")*6+($C51:$AG51="R")*6)</f>
        <v/>
      </c>
      <c r="AJ51" s="99">
        <f>SUMPRODUCT($C$5:$AG$5,($C51:$AG51="N")*1)</f>
        <v/>
      </c>
      <c r="AK51" s="99">
        <f>SUMPRODUCT($C$6:$AG$6,($C51:$AG51="M")*6+($C51:$AG51="T")*6+($C51:$AG51="D")*12+($C51:$AG51="N")*12+($C51:$AG51="NT")*6+($C51:$AG51="C")*10+($C51:$AG51="A")*8+($C51:$AG51="J")*5+($C51:$AG51="E")*4+($C51:$AG51="P")*6+($C51:$AG51="R")*6)</f>
        <v/>
      </c>
      <c r="AL51" s="99">
        <f>ROUND(B51*4.43,0)</f>
        <v/>
      </c>
      <c r="AM51" s="100">
        <f>AH51-AL51</f>
        <v/>
      </c>
      <c r="AN51" s="101">
        <f>SUMPRODUCT(($C51:$AF51="N")*(($D51:$AG51="M")+($D51:$AG51="E")+($D51:$AG51="C")+($D51:$AG51="D")))</f>
        <v/>
      </c>
      <c r="AO51" s="101">
        <f>SUMPRODUCT(($C51:$AF51="N")*($D51:$AG51="T"))</f>
        <v/>
      </c>
    </row>
    <row r="52">
      <c r="A52" s="81" t="inlineStr">
        <is>
          <t>Joaquim</t>
        </is>
      </c>
      <c r="B52" s="93" t="n">
        <v>24</v>
      </c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9">
        <f>SUMPRODUCT(($C52:$AG52="M")*6+($C52:$AG52="T")*6+($C52:$AG52="D")*12+($C52:$AG52="N")*12+($C52:$AG52="NT")*6+($C52:$AG52="C")*10+($C52:$AG52="A")*8+($C52:$AG52="J")*5+($C52:$AG52="E")*4+($C52:$AG52="P")*6+($C52:$AG52="R")*6)</f>
        <v/>
      </c>
      <c r="AI52" s="99">
        <f>SUMPRODUCT($C$4:$AG$4,($C52:$AG52="M")*6+($C52:$AG52="T")*6+($C52:$AG52="D")*12+($C52:$AG52="N")*12+($C52:$AG52="NT")*6+($C52:$AG52="C")*10+($C52:$AG52="A")*8+($C52:$AG52="J")*5+($C52:$AG52="E")*4+($C52:$AG52="P")*6+($C52:$AG52="R")*6)</f>
        <v/>
      </c>
      <c r="AJ52" s="99">
        <f>SUMPRODUCT($C$5:$AG$5,($C52:$AG52="N")*1)</f>
        <v/>
      </c>
      <c r="AK52" s="99">
        <f>SUMPRODUCT($C$6:$AG$6,($C52:$AG52="M")*6+($C52:$AG52="T")*6+($C52:$AG52="D")*12+($C52:$AG52="N")*12+($C52:$AG52="NT")*6+($C52:$AG52="C")*10+($C52:$AG52="A")*8+($C52:$AG52="J")*5+($C52:$AG52="E")*4+($C52:$AG52="P")*6+($C52:$AG52="R")*6)</f>
        <v/>
      </c>
      <c r="AL52" s="99">
        <f>ROUND(B52*4.43,0)</f>
        <v/>
      </c>
      <c r="AM52" s="100">
        <f>AH52-AL52</f>
        <v/>
      </c>
      <c r="AN52" s="101">
        <f>SUMPRODUCT(($C52:$AF52="N")*(($D52:$AG52="M")+($D52:$AG52="E")+($D52:$AG52="C")+($D52:$AG52="D")))</f>
        <v/>
      </c>
      <c r="AO52" s="101">
        <f>SUMPRODUCT(($C52:$AF52="N")*($D52:$AG52="T"))</f>
        <v/>
      </c>
    </row>
    <row r="53">
      <c r="A53" s="81" t="inlineStr">
        <is>
          <t>JuliaFig</t>
        </is>
      </c>
      <c r="B53" s="93" t="n">
        <v>24</v>
      </c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9">
        <f>SUMPRODUCT(($C53:$AG53="M")*6+($C53:$AG53="T")*6+($C53:$AG53="D")*12+($C53:$AG53="N")*12+($C53:$AG53="NT")*6+($C53:$AG53="C")*10+($C53:$AG53="A")*8+($C53:$AG53="J")*5+($C53:$AG53="E")*4+($C53:$AG53="P")*6+($C53:$AG53="R")*6)</f>
        <v/>
      </c>
      <c r="AI53" s="99">
        <f>SUMPRODUCT($C$4:$AG$4,($C53:$AG53="M")*6+($C53:$AG53="T")*6+($C53:$AG53="D")*12+($C53:$AG53="N")*12+($C53:$AG53="NT")*6+($C53:$AG53="C")*10+($C53:$AG53="A")*8+($C53:$AG53="J")*5+($C53:$AG53="E")*4+($C53:$AG53="P")*6+($C53:$AG53="R")*6)</f>
        <v/>
      </c>
      <c r="AJ53" s="99">
        <f>SUMPRODUCT($C$5:$AG$5,($C53:$AG53="N")*1)</f>
        <v/>
      </c>
      <c r="AK53" s="99">
        <f>SUMPRODUCT($C$6:$AG$6,($C53:$AG53="M")*6+($C53:$AG53="T")*6+($C53:$AG53="D")*12+($C53:$AG53="N")*12+($C53:$AG53="NT")*6+($C53:$AG53="C")*10+($C53:$AG53="A")*8+($C53:$AG53="J")*5+($C53:$AG53="E")*4+($C53:$AG53="P")*6+($C53:$AG53="R")*6)</f>
        <v/>
      </c>
      <c r="AL53" s="99">
        <f>ROUND(B53*4.43,0)</f>
        <v/>
      </c>
      <c r="AM53" s="100">
        <f>AH53-AL53</f>
        <v/>
      </c>
      <c r="AN53" s="101">
        <f>SUMPRODUCT(($C53:$AF53="N")*(($D53:$AG53="M")+($D53:$AG53="E")+($D53:$AG53="C")+($D53:$AG53="D")))</f>
        <v/>
      </c>
      <c r="AO53" s="101">
        <f>SUMPRODUCT(($C53:$AF53="N")*($D53:$AG53="T"))</f>
        <v/>
      </c>
    </row>
    <row r="54">
      <c r="A54" s="81" t="inlineStr">
        <is>
          <t>Kozak</t>
        </is>
      </c>
      <c r="B54" s="93" t="n">
        <v>24</v>
      </c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9">
        <f>SUMPRODUCT(($C54:$AG54="M")*6+($C54:$AG54="T")*6+($C54:$AG54="D")*12+($C54:$AG54="N")*12+($C54:$AG54="NT")*6+($C54:$AG54="C")*10+($C54:$AG54="A")*8+($C54:$AG54="J")*5+($C54:$AG54="E")*4+($C54:$AG54="P")*6+($C54:$AG54="R")*6)</f>
        <v/>
      </c>
      <c r="AI54" s="99">
        <f>SUMPRODUCT($C$4:$AG$4,($C54:$AG54="M")*6+($C54:$AG54="T")*6+($C54:$AG54="D")*12+($C54:$AG54="N")*12+($C54:$AG54="NT")*6+($C54:$AG54="C")*10+($C54:$AG54="A")*8+($C54:$AG54="J")*5+($C54:$AG54="E")*4+($C54:$AG54="P")*6+($C54:$AG54="R")*6)</f>
        <v/>
      </c>
      <c r="AJ54" s="99">
        <f>SUMPRODUCT($C$5:$AG$5,($C54:$AG54="N")*1)</f>
        <v/>
      </c>
      <c r="AK54" s="99">
        <f>SUMPRODUCT($C$6:$AG$6,($C54:$AG54="M")*6+($C54:$AG54="T")*6+($C54:$AG54="D")*12+($C54:$AG54="N")*12+($C54:$AG54="NT")*6+($C54:$AG54="C")*10+($C54:$AG54="A")*8+($C54:$AG54="J")*5+($C54:$AG54="E")*4+($C54:$AG54="P")*6+($C54:$AG54="R")*6)</f>
        <v/>
      </c>
      <c r="AL54" s="99">
        <f>ROUND(B54*4.43,0)</f>
        <v/>
      </c>
      <c r="AM54" s="100">
        <f>AH54-AL54</f>
        <v/>
      </c>
      <c r="AN54" s="101">
        <f>SUMPRODUCT(($C54:$AF54="N")*(($D54:$AG54="M")+($D54:$AG54="E")+($D54:$AG54="C")+($D54:$AG54="D")))</f>
        <v/>
      </c>
      <c r="AO54" s="101">
        <f>SUMPRODUCT(($C54:$AF54="N")*($D54:$AG54="T"))</f>
        <v/>
      </c>
    </row>
    <row r="55">
      <c r="A55" s="81" t="inlineStr">
        <is>
          <t>Laura</t>
        </is>
      </c>
      <c r="B55" s="93" t="n">
        <v>24</v>
      </c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9">
        <f>SUMPRODUCT(($C55:$AG55="M")*6+($C55:$AG55="T")*6+($C55:$AG55="D")*12+($C55:$AG55="N")*12+($C55:$AG55="NT")*6+($C55:$AG55="C")*10+($C55:$AG55="A")*8+($C55:$AG55="J")*5+($C55:$AG55="E")*4+($C55:$AG55="P")*6+($C55:$AG55="R")*6)</f>
        <v/>
      </c>
      <c r="AI55" s="99">
        <f>SUMPRODUCT($C$4:$AG$4,($C55:$AG55="M")*6+($C55:$AG55="T")*6+($C55:$AG55="D")*12+($C55:$AG55="N")*12+($C55:$AG55="NT")*6+($C55:$AG55="C")*10+($C55:$AG55="A")*8+($C55:$AG55="J")*5+($C55:$AG55="E")*4+($C55:$AG55="P")*6+($C55:$AG55="R")*6)</f>
        <v/>
      </c>
      <c r="AJ55" s="99">
        <f>SUMPRODUCT($C$5:$AG$5,($C55:$AG55="N")*1)</f>
        <v/>
      </c>
      <c r="AK55" s="99">
        <f>SUMPRODUCT($C$6:$AG$6,($C55:$AG55="M")*6+($C55:$AG55="T")*6+($C55:$AG55="D")*12+($C55:$AG55="N")*12+($C55:$AG55="NT")*6+($C55:$AG55="C")*10+($C55:$AG55="A")*8+($C55:$AG55="J")*5+($C55:$AG55="E")*4+($C55:$AG55="P")*6+($C55:$AG55="R")*6)</f>
        <v/>
      </c>
      <c r="AL55" s="99">
        <f>ROUND(B55*4.43,0)</f>
        <v/>
      </c>
      <c r="AM55" s="100">
        <f>AH55-AL55</f>
        <v/>
      </c>
      <c r="AN55" s="101">
        <f>SUMPRODUCT(($C55:$AF55="N")*(($D55:$AG55="M")+($D55:$AG55="E")+($D55:$AG55="C")+($D55:$AG55="D")))</f>
        <v/>
      </c>
      <c r="AO55" s="101">
        <f>SUMPRODUCT(($C55:$AF55="N")*($D55:$AG55="T"))</f>
        <v/>
      </c>
    </row>
    <row r="56">
      <c r="A56" s="81" t="inlineStr">
        <is>
          <t>Leticia</t>
        </is>
      </c>
      <c r="B56" s="93" t="n">
        <v>24</v>
      </c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9">
        <f>SUMPRODUCT(($C56:$AG56="M")*6+($C56:$AG56="T")*6+($C56:$AG56="D")*12+($C56:$AG56="N")*12+($C56:$AG56="NT")*6+($C56:$AG56="C")*10+($C56:$AG56="A")*8+($C56:$AG56="J")*5+($C56:$AG56="E")*4+($C56:$AG56="P")*6+($C56:$AG56="R")*6)</f>
        <v/>
      </c>
      <c r="AI56" s="99">
        <f>SUMPRODUCT($C$4:$AG$4,($C56:$AG56="M")*6+($C56:$AG56="T")*6+($C56:$AG56="D")*12+($C56:$AG56="N")*12+($C56:$AG56="NT")*6+($C56:$AG56="C")*10+($C56:$AG56="A")*8+($C56:$AG56="J")*5+($C56:$AG56="E")*4+($C56:$AG56="P")*6+($C56:$AG56="R")*6)</f>
        <v/>
      </c>
      <c r="AJ56" s="99">
        <f>SUMPRODUCT($C$5:$AG$5,($C56:$AG56="N")*1)</f>
        <v/>
      </c>
      <c r="AK56" s="99">
        <f>SUMPRODUCT($C$6:$AG$6,($C56:$AG56="M")*6+($C56:$AG56="T")*6+($C56:$AG56="D")*12+($C56:$AG56="N")*12+($C56:$AG56="NT")*6+($C56:$AG56="C")*10+($C56:$AG56="A")*8+($C56:$AG56="J")*5+($C56:$AG56="E")*4+($C56:$AG56="P")*6+($C56:$AG56="R")*6)</f>
        <v/>
      </c>
      <c r="AL56" s="99">
        <f>ROUND(B56*4.43,0)</f>
        <v/>
      </c>
      <c r="AM56" s="100">
        <f>AH56-AL56</f>
        <v/>
      </c>
      <c r="AN56" s="101">
        <f>SUMPRODUCT(($C56:$AF56="N")*(($D56:$AG56="M")+($D56:$AG56="E")+($D56:$AG56="C")+($D56:$AG56="D")))</f>
        <v/>
      </c>
      <c r="AO56" s="101">
        <f>SUMPRODUCT(($C56:$AF56="N")*($D56:$AG56="T"))</f>
        <v/>
      </c>
    </row>
    <row r="57">
      <c r="A57" s="81" t="inlineStr">
        <is>
          <t>LuCosta</t>
        </is>
      </c>
      <c r="B57" s="93" t="n">
        <v>24</v>
      </c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9">
        <f>SUMPRODUCT(($C57:$AG57="M")*6+($C57:$AG57="T")*6+($C57:$AG57="D")*12+($C57:$AG57="N")*12+($C57:$AG57="NT")*6+($C57:$AG57="C")*10+($C57:$AG57="A")*8+($C57:$AG57="J")*5+($C57:$AG57="E")*4+($C57:$AG57="P")*6+($C57:$AG57="R")*6)</f>
        <v/>
      </c>
      <c r="AI57" s="99">
        <f>SUMPRODUCT($C$4:$AG$4,($C57:$AG57="M")*6+($C57:$AG57="T")*6+($C57:$AG57="D")*12+($C57:$AG57="N")*12+($C57:$AG57="NT")*6+($C57:$AG57="C")*10+($C57:$AG57="A")*8+($C57:$AG57="J")*5+($C57:$AG57="E")*4+($C57:$AG57="P")*6+($C57:$AG57="R")*6)</f>
        <v/>
      </c>
      <c r="AJ57" s="99">
        <f>SUMPRODUCT($C$5:$AG$5,($C57:$AG57="N")*1)</f>
        <v/>
      </c>
      <c r="AK57" s="99">
        <f>SUMPRODUCT($C$6:$AG$6,($C57:$AG57="M")*6+($C57:$AG57="T")*6+($C57:$AG57="D")*12+($C57:$AG57="N")*12+($C57:$AG57="NT")*6+($C57:$AG57="C")*10+($C57:$AG57="A")*8+($C57:$AG57="J")*5+($C57:$AG57="E")*4+($C57:$AG57="P")*6+($C57:$AG57="R")*6)</f>
        <v/>
      </c>
      <c r="AL57" s="99">
        <f>ROUND(B57*4.43,0)</f>
        <v/>
      </c>
      <c r="AM57" s="100">
        <f>AH57-AL57</f>
        <v/>
      </c>
      <c r="AN57" s="101">
        <f>SUMPRODUCT(($C57:$AF57="N")*(($D57:$AG57="M")+($D57:$AG57="E")+($D57:$AG57="C")+($D57:$AG57="D")))</f>
        <v/>
      </c>
      <c r="AO57" s="101">
        <f>SUMPRODUCT(($C57:$AF57="N")*($D57:$AG57="T"))</f>
        <v/>
      </c>
    </row>
    <row r="58">
      <c r="A58" s="81" t="inlineStr">
        <is>
          <t>Marcia</t>
        </is>
      </c>
      <c r="B58" s="93" t="n">
        <v>24</v>
      </c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9">
        <f>SUMPRODUCT(($C58:$AG58="M")*6+($C58:$AG58="T")*6+($C58:$AG58="D")*12+($C58:$AG58="N")*12+($C58:$AG58="NT")*6+($C58:$AG58="C")*10+($C58:$AG58="A")*8+($C58:$AG58="J")*5+($C58:$AG58="E")*4+($C58:$AG58="P")*6+($C58:$AG58="R")*6)</f>
        <v/>
      </c>
      <c r="AI58" s="99">
        <f>SUMPRODUCT($C$4:$AG$4,($C58:$AG58="M")*6+($C58:$AG58="T")*6+($C58:$AG58="D")*12+($C58:$AG58="N")*12+($C58:$AG58="NT")*6+($C58:$AG58="C")*10+($C58:$AG58="A")*8+($C58:$AG58="J")*5+($C58:$AG58="E")*4+($C58:$AG58="P")*6+($C58:$AG58="R")*6)</f>
        <v/>
      </c>
      <c r="AJ58" s="99">
        <f>SUMPRODUCT($C$5:$AG$5,($C58:$AG58="N")*1)</f>
        <v/>
      </c>
      <c r="AK58" s="99">
        <f>SUMPRODUCT($C$6:$AG$6,($C58:$AG58="M")*6+($C58:$AG58="T")*6+($C58:$AG58="D")*12+($C58:$AG58="N")*12+($C58:$AG58="NT")*6+($C58:$AG58="C")*10+($C58:$AG58="A")*8+($C58:$AG58="J")*5+($C58:$AG58="E")*4+($C58:$AG58="P")*6+($C58:$AG58="R")*6)</f>
        <v/>
      </c>
      <c r="AL58" s="99">
        <f>ROUND(B58*4.43,0)</f>
        <v/>
      </c>
      <c r="AM58" s="100">
        <f>AH58-AL58</f>
        <v/>
      </c>
      <c r="AN58" s="101">
        <f>SUMPRODUCT(($C58:$AF58="N")*(($D58:$AG58="M")+($D58:$AG58="E")+($D58:$AG58="C")+($D58:$AG58="D")))</f>
        <v/>
      </c>
      <c r="AO58" s="101">
        <f>SUMPRODUCT(($C58:$AF58="N")*($D58:$AG58="T"))</f>
        <v/>
      </c>
    </row>
    <row r="59">
      <c r="A59" s="81" t="inlineStr">
        <is>
          <t>MayWobido</t>
        </is>
      </c>
      <c r="B59" s="93" t="n">
        <v>24</v>
      </c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9">
        <f>SUMPRODUCT(($C59:$AG59="M")*6+($C59:$AG59="T")*6+($C59:$AG59="D")*12+($C59:$AG59="N")*12+($C59:$AG59="NT")*6+($C59:$AG59="C")*10+($C59:$AG59="A")*8+($C59:$AG59="J")*5+($C59:$AG59="E")*4+($C59:$AG59="P")*6+($C59:$AG59="R")*6)</f>
        <v/>
      </c>
      <c r="AI59" s="99">
        <f>SUMPRODUCT($C$4:$AG$4,($C59:$AG59="M")*6+($C59:$AG59="T")*6+($C59:$AG59="D")*12+($C59:$AG59="N")*12+($C59:$AG59="NT")*6+($C59:$AG59="C")*10+($C59:$AG59="A")*8+($C59:$AG59="J")*5+($C59:$AG59="E")*4+($C59:$AG59="P")*6+($C59:$AG59="R")*6)</f>
        <v/>
      </c>
      <c r="AJ59" s="99">
        <f>SUMPRODUCT($C$5:$AG$5,($C59:$AG59="N")*1)</f>
        <v/>
      </c>
      <c r="AK59" s="99">
        <f>SUMPRODUCT($C$6:$AG$6,($C59:$AG59="M")*6+($C59:$AG59="T")*6+($C59:$AG59="D")*12+($C59:$AG59="N")*12+($C59:$AG59="NT")*6+($C59:$AG59="C")*10+($C59:$AG59="A")*8+($C59:$AG59="J")*5+($C59:$AG59="E")*4+($C59:$AG59="P")*6+($C59:$AG59="R")*6)</f>
        <v/>
      </c>
      <c r="AL59" s="99">
        <f>ROUND(B59*4.43,0)</f>
        <v/>
      </c>
      <c r="AM59" s="100">
        <f>AH59-AL59</f>
        <v/>
      </c>
      <c r="AN59" s="101">
        <f>SUMPRODUCT(($C59:$AF59="N")*(($D59:$AG59="M")+($D59:$AG59="E")+($D59:$AG59="C")+($D59:$AG59="D")))</f>
        <v/>
      </c>
      <c r="AO59" s="101">
        <f>SUMPRODUCT(($C59:$AF59="N")*($D59:$AG59="T"))</f>
        <v/>
      </c>
    </row>
    <row r="60">
      <c r="A60" s="81" t="inlineStr">
        <is>
          <t>Melara</t>
        </is>
      </c>
      <c r="B60" s="93" t="n">
        <v>24</v>
      </c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9">
        <f>SUMPRODUCT(($C60:$AG60="M")*6+($C60:$AG60="T")*6+($C60:$AG60="D")*12+($C60:$AG60="N")*12+($C60:$AG60="NT")*6+($C60:$AG60="C")*10+($C60:$AG60="A")*8+($C60:$AG60="J")*5+($C60:$AG60="E")*4+($C60:$AG60="P")*6+($C60:$AG60="R")*6)</f>
        <v/>
      </c>
      <c r="AI60" s="99">
        <f>SUMPRODUCT($C$4:$AG$4,($C60:$AG60="M")*6+($C60:$AG60="T")*6+($C60:$AG60="D")*12+($C60:$AG60="N")*12+($C60:$AG60="NT")*6+($C60:$AG60="C")*10+($C60:$AG60="A")*8+($C60:$AG60="J")*5+($C60:$AG60="E")*4+($C60:$AG60="P")*6+($C60:$AG60="R")*6)</f>
        <v/>
      </c>
      <c r="AJ60" s="99">
        <f>SUMPRODUCT($C$5:$AG$5,($C60:$AG60="N")*1)</f>
        <v/>
      </c>
      <c r="AK60" s="99">
        <f>SUMPRODUCT($C$6:$AG$6,($C60:$AG60="M")*6+($C60:$AG60="T")*6+($C60:$AG60="D")*12+($C60:$AG60="N")*12+($C60:$AG60="NT")*6+($C60:$AG60="C")*10+($C60:$AG60="A")*8+($C60:$AG60="J")*5+($C60:$AG60="E")*4+($C60:$AG60="P")*6+($C60:$AG60="R")*6)</f>
        <v/>
      </c>
      <c r="AL60" s="99">
        <f>ROUND(B60*4.43,0)</f>
        <v/>
      </c>
      <c r="AM60" s="100">
        <f>AH60-AL60</f>
        <v/>
      </c>
      <c r="AN60" s="101">
        <f>SUMPRODUCT(($C60:$AF60="N")*(($D60:$AG60="M")+($D60:$AG60="E")+($D60:$AG60="C")+($D60:$AG60="D")))</f>
        <v/>
      </c>
      <c r="AO60" s="101">
        <f>SUMPRODUCT(($C60:$AF60="N")*($D60:$AG60="T"))</f>
        <v/>
      </c>
    </row>
    <row r="61">
      <c r="A61" s="81" t="inlineStr">
        <is>
          <t>Moabe</t>
        </is>
      </c>
      <c r="B61" s="93" t="n">
        <v>24</v>
      </c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9">
        <f>SUMPRODUCT(($C61:$AG61="M")*6+($C61:$AG61="T")*6+($C61:$AG61="D")*12+($C61:$AG61="N")*12+($C61:$AG61="NT")*6+($C61:$AG61="C")*10+($C61:$AG61="A")*8+($C61:$AG61="J")*5+($C61:$AG61="E")*4+($C61:$AG61="P")*6+($C61:$AG61="R")*6)</f>
        <v/>
      </c>
      <c r="AI61" s="99">
        <f>SUMPRODUCT($C$4:$AG$4,($C61:$AG61="M")*6+($C61:$AG61="T")*6+($C61:$AG61="D")*12+($C61:$AG61="N")*12+($C61:$AG61="NT")*6+($C61:$AG61="C")*10+($C61:$AG61="A")*8+($C61:$AG61="J")*5+($C61:$AG61="E")*4+($C61:$AG61="P")*6+($C61:$AG61="R")*6)</f>
        <v/>
      </c>
      <c r="AJ61" s="99">
        <f>SUMPRODUCT($C$5:$AG$5,($C61:$AG61="N")*1)</f>
        <v/>
      </c>
      <c r="AK61" s="99">
        <f>SUMPRODUCT($C$6:$AG$6,($C61:$AG61="M")*6+($C61:$AG61="T")*6+($C61:$AG61="D")*12+($C61:$AG61="N")*12+($C61:$AG61="NT")*6+($C61:$AG61="C")*10+($C61:$AG61="A")*8+($C61:$AG61="J")*5+($C61:$AG61="E")*4+($C61:$AG61="P")*6+($C61:$AG61="R")*6)</f>
        <v/>
      </c>
      <c r="AL61" s="99">
        <f>ROUND(B61*4.43,0)</f>
        <v/>
      </c>
      <c r="AM61" s="100">
        <f>AH61-AL61</f>
        <v/>
      </c>
      <c r="AN61" s="101">
        <f>SUMPRODUCT(($C61:$AF61="N")*(($D61:$AG61="M")+($D61:$AG61="E")+($D61:$AG61="C")+($D61:$AG61="D")))</f>
        <v/>
      </c>
      <c r="AO61" s="101">
        <f>SUMPRODUCT(($C61:$AF61="N")*($D61:$AG61="T"))</f>
        <v/>
      </c>
    </row>
    <row r="62">
      <c r="A62" s="81" t="inlineStr">
        <is>
          <t>Nishioka</t>
        </is>
      </c>
      <c r="B62" s="93" t="n">
        <v>24</v>
      </c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9">
        <f>SUMPRODUCT(($C62:$AG62="M")*6+($C62:$AG62="T")*6+($C62:$AG62="D")*12+($C62:$AG62="N")*12+($C62:$AG62="NT")*6+($C62:$AG62="C")*10+($C62:$AG62="A")*8+($C62:$AG62="J")*5+($C62:$AG62="E")*4+($C62:$AG62="P")*6+($C62:$AG62="R")*6)</f>
        <v/>
      </c>
      <c r="AI62" s="99">
        <f>SUMPRODUCT($C$4:$AG$4,($C62:$AG62="M")*6+($C62:$AG62="T")*6+($C62:$AG62="D")*12+($C62:$AG62="N")*12+($C62:$AG62="NT")*6+($C62:$AG62="C")*10+($C62:$AG62="A")*8+($C62:$AG62="J")*5+($C62:$AG62="E")*4+($C62:$AG62="P")*6+($C62:$AG62="R")*6)</f>
        <v/>
      </c>
      <c r="AJ62" s="99">
        <f>SUMPRODUCT($C$5:$AG$5,($C62:$AG62="N")*1)</f>
        <v/>
      </c>
      <c r="AK62" s="99">
        <f>SUMPRODUCT($C$6:$AG$6,($C62:$AG62="M")*6+($C62:$AG62="T")*6+($C62:$AG62="D")*12+($C62:$AG62="N")*12+($C62:$AG62="NT")*6+($C62:$AG62="C")*10+($C62:$AG62="A")*8+($C62:$AG62="J")*5+($C62:$AG62="E")*4+($C62:$AG62="P")*6+($C62:$AG62="R")*6)</f>
        <v/>
      </c>
      <c r="AL62" s="99">
        <f>ROUND(B62*4.43,0)</f>
        <v/>
      </c>
      <c r="AM62" s="100">
        <f>AH62-AL62</f>
        <v/>
      </c>
      <c r="AN62" s="101">
        <f>SUMPRODUCT(($C62:$AF62="N")*(($D62:$AG62="M")+($D62:$AG62="E")+($D62:$AG62="C")+($D62:$AG62="D")))</f>
        <v/>
      </c>
      <c r="AO62" s="101">
        <f>SUMPRODUCT(($C62:$AF62="N")*($D62:$AG62="T"))</f>
        <v/>
      </c>
    </row>
    <row r="63">
      <c r="A63" s="81" t="inlineStr">
        <is>
          <t>Patricia</t>
        </is>
      </c>
      <c r="B63" s="93" t="n">
        <v>24</v>
      </c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9">
        <f>SUMPRODUCT(($C63:$AG63="M")*6+($C63:$AG63="T")*6+($C63:$AG63="D")*12+($C63:$AG63="N")*12+($C63:$AG63="NT")*6+($C63:$AG63="C")*10+($C63:$AG63="A")*8+($C63:$AG63="J")*5+($C63:$AG63="E")*4+($C63:$AG63="P")*6+($C63:$AG63="R")*6)</f>
        <v/>
      </c>
      <c r="AI63" s="99">
        <f>SUMPRODUCT($C$4:$AG$4,($C63:$AG63="M")*6+($C63:$AG63="T")*6+($C63:$AG63="D")*12+($C63:$AG63="N")*12+($C63:$AG63="NT")*6+($C63:$AG63="C")*10+($C63:$AG63="A")*8+($C63:$AG63="J")*5+($C63:$AG63="E")*4+($C63:$AG63="P")*6+($C63:$AG63="R")*6)</f>
        <v/>
      </c>
      <c r="AJ63" s="99">
        <f>SUMPRODUCT($C$5:$AG$5,($C63:$AG63="N")*1)</f>
        <v/>
      </c>
      <c r="AK63" s="99">
        <f>SUMPRODUCT($C$6:$AG$6,($C63:$AG63="M")*6+($C63:$AG63="T")*6+($C63:$AG63="D")*12+($C63:$AG63="N")*12+($C63:$AG63="NT")*6+($C63:$AG63="C")*10+($C63:$AG63="A")*8+($C63:$AG63="J")*5+($C63:$AG63="E")*4+($C63:$AG63="P")*6+($C63:$AG63="R")*6)</f>
        <v/>
      </c>
      <c r="AL63" s="99">
        <f>ROUND(B63*4.43,0)</f>
        <v/>
      </c>
      <c r="AM63" s="100">
        <f>AH63-AL63</f>
        <v/>
      </c>
      <c r="AN63" s="101">
        <f>SUMPRODUCT(($C63:$AF63="N")*(($D63:$AG63="M")+($D63:$AG63="E")+($D63:$AG63="C")+($D63:$AG63="D")))</f>
        <v/>
      </c>
      <c r="AO63" s="101">
        <f>SUMPRODUCT(($C63:$AF63="N")*($D63:$AG63="T"))</f>
        <v/>
      </c>
    </row>
    <row r="64">
      <c r="A64" s="81" t="inlineStr">
        <is>
          <t>Pedro</t>
        </is>
      </c>
      <c r="B64" s="93" t="n">
        <v>24</v>
      </c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9">
        <f>SUMPRODUCT(($C64:$AG64="M")*6+($C64:$AG64="T")*6+($C64:$AG64="D")*12+($C64:$AG64="N")*12+($C64:$AG64="NT")*6+($C64:$AG64="C")*10+($C64:$AG64="A")*8+($C64:$AG64="J")*5+($C64:$AG64="E")*4+($C64:$AG64="P")*6+($C64:$AG64="R")*6)</f>
        <v/>
      </c>
      <c r="AI64" s="99">
        <f>SUMPRODUCT($C$4:$AG$4,($C64:$AG64="M")*6+($C64:$AG64="T")*6+($C64:$AG64="D")*12+($C64:$AG64="N")*12+($C64:$AG64="NT")*6+($C64:$AG64="C")*10+($C64:$AG64="A")*8+($C64:$AG64="J")*5+($C64:$AG64="E")*4+($C64:$AG64="P")*6+($C64:$AG64="R")*6)</f>
        <v/>
      </c>
      <c r="AJ64" s="99">
        <f>SUMPRODUCT($C$5:$AG$5,($C64:$AG64="N")*1)</f>
        <v/>
      </c>
      <c r="AK64" s="99">
        <f>SUMPRODUCT($C$6:$AG$6,($C64:$AG64="M")*6+($C64:$AG64="T")*6+($C64:$AG64="D")*12+($C64:$AG64="N")*12+($C64:$AG64="NT")*6+($C64:$AG64="C")*10+($C64:$AG64="A")*8+($C64:$AG64="J")*5+($C64:$AG64="E")*4+($C64:$AG64="P")*6+($C64:$AG64="R")*6)</f>
        <v/>
      </c>
      <c r="AL64" s="99">
        <f>ROUND(B64*4.43,0)</f>
        <v/>
      </c>
      <c r="AM64" s="100">
        <f>AH64-AL64</f>
        <v/>
      </c>
      <c r="AN64" s="101">
        <f>SUMPRODUCT(($C64:$AF64="N")*(($D64:$AG64="M")+($D64:$AG64="E")+($D64:$AG64="C")+($D64:$AG64="D")))</f>
        <v/>
      </c>
      <c r="AO64" s="101">
        <f>SUMPRODUCT(($C64:$AF64="N")*($D64:$AG64="T"))</f>
        <v/>
      </c>
    </row>
    <row r="65">
      <c r="A65" s="81" t="inlineStr">
        <is>
          <t>Pjamile</t>
        </is>
      </c>
      <c r="B65" s="93" t="n">
        <v>24</v>
      </c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9">
        <f>SUMPRODUCT(($C65:$AG65="M")*6+($C65:$AG65="T")*6+($C65:$AG65="D")*12+($C65:$AG65="N")*12+($C65:$AG65="NT")*6+($C65:$AG65="C")*10+($C65:$AG65="A")*8+($C65:$AG65="J")*5+($C65:$AG65="E")*4+($C65:$AG65="P")*6+($C65:$AG65="R")*6)</f>
        <v/>
      </c>
      <c r="AI65" s="99">
        <f>SUMPRODUCT($C$4:$AG$4,($C65:$AG65="M")*6+($C65:$AG65="T")*6+($C65:$AG65="D")*12+($C65:$AG65="N")*12+($C65:$AG65="NT")*6+($C65:$AG65="C")*10+($C65:$AG65="A")*8+($C65:$AG65="J")*5+($C65:$AG65="E")*4+($C65:$AG65="P")*6+($C65:$AG65="R")*6)</f>
        <v/>
      </c>
      <c r="AJ65" s="99">
        <f>SUMPRODUCT($C$5:$AG$5,($C65:$AG65="N")*1)</f>
        <v/>
      </c>
      <c r="AK65" s="99">
        <f>SUMPRODUCT($C$6:$AG$6,($C65:$AG65="M")*6+($C65:$AG65="T")*6+($C65:$AG65="D")*12+($C65:$AG65="N")*12+($C65:$AG65="NT")*6+($C65:$AG65="C")*10+($C65:$AG65="A")*8+($C65:$AG65="J")*5+($C65:$AG65="E")*4+($C65:$AG65="P")*6+($C65:$AG65="R")*6)</f>
        <v/>
      </c>
      <c r="AL65" s="99">
        <f>ROUND(B65*4.43,0)</f>
        <v/>
      </c>
      <c r="AM65" s="100">
        <f>AH65-AL65</f>
        <v/>
      </c>
      <c r="AN65" s="101">
        <f>SUMPRODUCT(($C65:$AF65="N")*(($D65:$AG65="M")+($D65:$AG65="E")+($D65:$AG65="C")+($D65:$AG65="D")))</f>
        <v/>
      </c>
      <c r="AO65" s="101">
        <f>SUMPRODUCT(($C65:$AF65="N")*($D65:$AG65="T"))</f>
        <v/>
      </c>
    </row>
    <row r="66">
      <c r="A66" s="81" t="inlineStr">
        <is>
          <t>Raphael</t>
        </is>
      </c>
      <c r="B66" s="93" t="n">
        <v>24</v>
      </c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9">
        <f>SUMPRODUCT(($C66:$AG66="M")*6+($C66:$AG66="T")*6+($C66:$AG66="D")*12+($C66:$AG66="N")*12+($C66:$AG66="NT")*6+($C66:$AG66="C")*10+($C66:$AG66="A")*8+($C66:$AG66="J")*5+($C66:$AG66="E")*4+($C66:$AG66="P")*6+($C66:$AG66="R")*6)</f>
        <v/>
      </c>
      <c r="AI66" s="99">
        <f>SUMPRODUCT($C$4:$AG$4,($C66:$AG66="M")*6+($C66:$AG66="T")*6+($C66:$AG66="D")*12+($C66:$AG66="N")*12+($C66:$AG66="NT")*6+($C66:$AG66="C")*10+($C66:$AG66="A")*8+($C66:$AG66="J")*5+($C66:$AG66="E")*4+($C66:$AG66="P")*6+($C66:$AG66="R")*6)</f>
        <v/>
      </c>
      <c r="AJ66" s="99">
        <f>SUMPRODUCT($C$5:$AG$5,($C66:$AG66="N")*1)</f>
        <v/>
      </c>
      <c r="AK66" s="99">
        <f>SUMPRODUCT($C$6:$AG$6,($C66:$AG66="M")*6+($C66:$AG66="T")*6+($C66:$AG66="D")*12+($C66:$AG66="N")*12+($C66:$AG66="NT")*6+($C66:$AG66="C")*10+($C66:$AG66="A")*8+($C66:$AG66="J")*5+($C66:$AG66="E")*4+($C66:$AG66="P")*6+($C66:$AG66="R")*6)</f>
        <v/>
      </c>
      <c r="AL66" s="99">
        <f>ROUND(B66*4.43,0)</f>
        <v/>
      </c>
      <c r="AM66" s="100">
        <f>AH66-AL66</f>
        <v/>
      </c>
      <c r="AN66" s="101">
        <f>SUMPRODUCT(($C66:$AF66="N")*(($D66:$AG66="M")+($D66:$AG66="E")+($D66:$AG66="C")+($D66:$AG66="D")))</f>
        <v/>
      </c>
      <c r="AO66" s="101">
        <f>SUMPRODUCT(($C66:$AF66="N")*($D66:$AG66="T"))</f>
        <v/>
      </c>
    </row>
    <row r="67">
      <c r="A67" s="81" t="inlineStr">
        <is>
          <t>Raquel</t>
        </is>
      </c>
      <c r="B67" s="93" t="n">
        <v>24</v>
      </c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9">
        <f>SUMPRODUCT(($C67:$AG67="M")*6+($C67:$AG67="T")*6+($C67:$AG67="D")*12+($C67:$AG67="N")*12+($C67:$AG67="NT")*6+($C67:$AG67="C")*10+($C67:$AG67="A")*8+($C67:$AG67="J")*5+($C67:$AG67="E")*4+($C67:$AG67="P")*6+($C67:$AG67="R")*6)</f>
        <v/>
      </c>
      <c r="AI67" s="99">
        <f>SUMPRODUCT($C$4:$AG$4,($C67:$AG67="M")*6+($C67:$AG67="T")*6+($C67:$AG67="D")*12+($C67:$AG67="N")*12+($C67:$AG67="NT")*6+($C67:$AG67="C")*10+($C67:$AG67="A")*8+($C67:$AG67="J")*5+($C67:$AG67="E")*4+($C67:$AG67="P")*6+($C67:$AG67="R")*6)</f>
        <v/>
      </c>
      <c r="AJ67" s="99">
        <f>SUMPRODUCT($C$5:$AG$5,($C67:$AG67="N")*1)</f>
        <v/>
      </c>
      <c r="AK67" s="99">
        <f>SUMPRODUCT($C$6:$AG$6,($C67:$AG67="M")*6+($C67:$AG67="T")*6+($C67:$AG67="D")*12+($C67:$AG67="N")*12+($C67:$AG67="NT")*6+($C67:$AG67="C")*10+($C67:$AG67="A")*8+($C67:$AG67="J")*5+($C67:$AG67="E")*4+($C67:$AG67="P")*6+($C67:$AG67="R")*6)</f>
        <v/>
      </c>
      <c r="AL67" s="99">
        <f>ROUND(B67*4.43,0)</f>
        <v/>
      </c>
      <c r="AM67" s="100">
        <f>AH67-AL67</f>
        <v/>
      </c>
      <c r="AN67" s="101">
        <f>SUMPRODUCT(($C67:$AF67="N")*(($D67:$AG67="M")+($D67:$AG67="E")+($D67:$AG67="C")+($D67:$AG67="D")))</f>
        <v/>
      </c>
      <c r="AO67" s="101">
        <f>SUMPRODUCT(($C67:$AF67="N")*($D67:$AG67="T"))</f>
        <v/>
      </c>
    </row>
    <row r="68">
      <c r="A68" s="81" t="inlineStr">
        <is>
          <t>Thamyres</t>
        </is>
      </c>
      <c r="B68" s="93" t="n">
        <v>24</v>
      </c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9">
        <f>SUMPRODUCT(($C68:$AG68="M")*6+($C68:$AG68="T")*6+($C68:$AG68="D")*12+($C68:$AG68="N")*12+($C68:$AG68="NT")*6+($C68:$AG68="C")*10+($C68:$AG68="A")*8+($C68:$AG68="J")*5+($C68:$AG68="E")*4+($C68:$AG68="P")*6+($C68:$AG68="R")*6)</f>
        <v/>
      </c>
      <c r="AI68" s="99">
        <f>SUMPRODUCT($C$4:$AG$4,($C68:$AG68="M")*6+($C68:$AG68="T")*6+($C68:$AG68="D")*12+($C68:$AG68="N")*12+($C68:$AG68="NT")*6+($C68:$AG68="C")*10+($C68:$AG68="A")*8+($C68:$AG68="J")*5+($C68:$AG68="E")*4+($C68:$AG68="P")*6+($C68:$AG68="R")*6)</f>
        <v/>
      </c>
      <c r="AJ68" s="99">
        <f>SUMPRODUCT($C$5:$AG$5,($C68:$AG68="N")*1)</f>
        <v/>
      </c>
      <c r="AK68" s="99">
        <f>SUMPRODUCT($C$6:$AG$6,($C68:$AG68="M")*6+($C68:$AG68="T")*6+($C68:$AG68="D")*12+($C68:$AG68="N")*12+($C68:$AG68="NT")*6+($C68:$AG68="C")*10+($C68:$AG68="A")*8+($C68:$AG68="J")*5+($C68:$AG68="E")*4+($C68:$AG68="P")*6+($C68:$AG68="R")*6)</f>
        <v/>
      </c>
      <c r="AL68" s="99">
        <f>ROUND(B68*4.43,0)</f>
        <v/>
      </c>
      <c r="AM68" s="100">
        <f>AH68-AL68</f>
        <v/>
      </c>
      <c r="AN68" s="101">
        <f>SUMPRODUCT(($C68:$AF68="N")*(($D68:$AG68="M")+($D68:$AG68="E")+($D68:$AG68="C")+($D68:$AG68="D")))</f>
        <v/>
      </c>
      <c r="AO68" s="101">
        <f>SUMPRODUCT(($C68:$AF68="N")*($D68:$AG68="T"))</f>
        <v/>
      </c>
    </row>
    <row r="69">
      <c r="A69" s="81" t="inlineStr">
        <is>
          <t>Vanessa</t>
        </is>
      </c>
      <c r="B69" s="93" t="n">
        <v>24</v>
      </c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9">
        <f>SUMPRODUCT(($C69:$AG69="M")*6+($C69:$AG69="T")*6+($C69:$AG69="D")*12+($C69:$AG69="N")*12+($C69:$AG69="NT")*6+($C69:$AG69="C")*10+($C69:$AG69="A")*8+($C69:$AG69="J")*5+($C69:$AG69="E")*4+($C69:$AG69="P")*6+($C69:$AG69="R")*6)</f>
        <v/>
      </c>
      <c r="AI69" s="99">
        <f>SUMPRODUCT($C$4:$AG$4,($C69:$AG69="M")*6+($C69:$AG69="T")*6+($C69:$AG69="D")*12+($C69:$AG69="N")*12+($C69:$AG69="NT")*6+($C69:$AG69="C")*10+($C69:$AG69="A")*8+($C69:$AG69="J")*5+($C69:$AG69="E")*4+($C69:$AG69="P")*6+($C69:$AG69="R")*6)</f>
        <v/>
      </c>
      <c r="AJ69" s="99">
        <f>SUMPRODUCT($C$5:$AG$5,($C69:$AG69="N")*1)</f>
        <v/>
      </c>
      <c r="AK69" s="99">
        <f>SUMPRODUCT($C$6:$AG$6,($C69:$AG69="M")*6+($C69:$AG69="T")*6+($C69:$AG69="D")*12+($C69:$AG69="N")*12+($C69:$AG69="NT")*6+($C69:$AG69="C")*10+($C69:$AG69="A")*8+($C69:$AG69="J")*5+($C69:$AG69="E")*4+($C69:$AG69="P")*6+($C69:$AG69="R")*6)</f>
        <v/>
      </c>
      <c r="AL69" s="99">
        <f>ROUND(B69*4.43,0)</f>
        <v/>
      </c>
      <c r="AM69" s="100">
        <f>AH69-AL69</f>
        <v/>
      </c>
      <c r="AN69" s="101">
        <f>SUMPRODUCT(($C69:$AF69="N")*(($D69:$AG69="M")+($D69:$AG69="E")+($D69:$AG69="C")+($D69:$AG69="D")))</f>
        <v/>
      </c>
      <c r="AO69" s="101">
        <f>SUMPRODUCT(($C69:$AF69="N")*($D69:$AG69="T"))</f>
        <v/>
      </c>
    </row>
    <row r="70">
      <c r="A70" s="81" t="inlineStr">
        <is>
          <t>Yuji</t>
        </is>
      </c>
      <c r="B70" s="93" t="n">
        <v>24</v>
      </c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9">
        <f>SUMPRODUCT(($C70:$AG70="M")*6+($C70:$AG70="T")*6+($C70:$AG70="D")*12+($C70:$AG70="N")*12+($C70:$AG70="NT")*6+($C70:$AG70="C")*10+($C70:$AG70="A")*8+($C70:$AG70="J")*5+($C70:$AG70="E")*4+($C70:$AG70="P")*6+($C70:$AG70="R")*6)</f>
        <v/>
      </c>
      <c r="AI70" s="99">
        <f>SUMPRODUCT($C$4:$AG$4,($C70:$AG70="M")*6+($C70:$AG70="T")*6+($C70:$AG70="D")*12+($C70:$AG70="N")*12+($C70:$AG70="NT")*6+($C70:$AG70="C")*10+($C70:$AG70="A")*8+($C70:$AG70="J")*5+($C70:$AG70="E")*4+($C70:$AG70="P")*6+($C70:$AG70="R")*6)</f>
        <v/>
      </c>
      <c r="AJ70" s="99">
        <f>SUMPRODUCT($C$5:$AG$5,($C70:$AG70="N")*1)</f>
        <v/>
      </c>
      <c r="AK70" s="99">
        <f>SUMPRODUCT($C$6:$AG$6,($C70:$AG70="M")*6+($C70:$AG70="T")*6+($C70:$AG70="D")*12+($C70:$AG70="N")*12+($C70:$AG70="NT")*6+($C70:$AG70="C")*10+($C70:$AG70="A")*8+($C70:$AG70="J")*5+($C70:$AG70="E")*4+($C70:$AG70="P")*6+($C70:$AG70="R")*6)</f>
        <v/>
      </c>
      <c r="AL70" s="99">
        <f>ROUND(B70*4.43,0)</f>
        <v/>
      </c>
      <c r="AM70" s="100">
        <f>AH70-AL70</f>
        <v/>
      </c>
      <c r="AN70" s="101">
        <f>SUMPRODUCT(($C70:$AF70="N")*(($D70:$AG70="M")+($D70:$AG70="E")+($D70:$AG70="C")+($D70:$AG70="D")))</f>
        <v/>
      </c>
      <c r="AO70" s="101">
        <f>SUMPRODUCT(($C70:$AF70="N")*($D70:$AG70="T"))</f>
        <v/>
      </c>
    </row>
    <row r="71">
      <c r="A71" s="81" t="inlineStr">
        <is>
          <t>JuIsaac</t>
        </is>
      </c>
      <c r="B71" s="93" t="n">
        <v>40</v>
      </c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9">
        <f>SUMPRODUCT(($C71:$AG71="M")*6+($C71:$AG71="T")*6+($C71:$AG71="D")*12+($C71:$AG71="N")*12+($C71:$AG71="NT")*6+($C71:$AG71="C")*10+($C71:$AG71="A")*8+($C71:$AG71="J")*5+($C71:$AG71="E")*4+($C71:$AG71="P")*6+($C71:$AG71="R")*6)</f>
        <v/>
      </c>
      <c r="AI71" s="99">
        <f>SUMPRODUCT($C$4:$AG$4,($C71:$AG71="M")*6+($C71:$AG71="T")*6+($C71:$AG71="D")*12+($C71:$AG71="N")*12+($C71:$AG71="NT")*6+($C71:$AG71="C")*10+($C71:$AG71="A")*8+($C71:$AG71="J")*5+($C71:$AG71="E")*4+($C71:$AG71="P")*6+($C71:$AG71="R")*6)</f>
        <v/>
      </c>
      <c r="AJ71" s="99">
        <f>SUMPRODUCT($C$5:$AG$5,($C71:$AG71="N")*1)</f>
        <v/>
      </c>
      <c r="AK71" s="99">
        <f>SUMPRODUCT($C$6:$AG$6,($C71:$AG71="M")*6+($C71:$AG71="T")*6+($C71:$AG71="D")*12+($C71:$AG71="N")*12+($C71:$AG71="NT")*6+($C71:$AG71="C")*10+($C71:$AG71="A")*8+($C71:$AG71="J")*5+($C71:$AG71="E")*4+($C71:$AG71="P")*6+($C71:$AG71="R")*6)</f>
        <v/>
      </c>
      <c r="AL71" s="99">
        <f>ROUND(B71*4.43,0)</f>
        <v/>
      </c>
      <c r="AM71" s="100">
        <f>AH71-AL71</f>
        <v/>
      </c>
      <c r="AN71" s="101">
        <f>SUMPRODUCT(($C71:$AF71="N")*(($D71:$AG71="M")+($D71:$AG71="E")+($D71:$AG71="C")+($D71:$AG71="D")))</f>
        <v/>
      </c>
      <c r="AO71" s="101">
        <f>SUMPRODUCT(($C71:$AF71="N")*($D71:$AG71="T"))</f>
        <v/>
      </c>
    </row>
    <row r="72">
      <c r="A72" s="81" t="inlineStr">
        <is>
          <t>Stephanie</t>
        </is>
      </c>
      <c r="B72" s="93" t="n">
        <v>40</v>
      </c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9">
        <f>SUMPRODUCT(($C72:$AG72="M")*6+($C72:$AG72="T")*6+($C72:$AG72="D")*12+($C72:$AG72="N")*12+($C72:$AG72="NT")*6+($C72:$AG72="C")*10+($C72:$AG72="A")*8+($C72:$AG72="J")*5+($C72:$AG72="E")*4+($C72:$AG72="P")*6+($C72:$AG72="R")*6)</f>
        <v/>
      </c>
      <c r="AI72" s="99">
        <f>SUMPRODUCT($C$4:$AG$4,($C72:$AG72="M")*6+($C72:$AG72="T")*6+($C72:$AG72="D")*12+($C72:$AG72="N")*12+($C72:$AG72="NT")*6+($C72:$AG72="C")*10+($C72:$AG72="A")*8+($C72:$AG72="J")*5+($C72:$AG72="E")*4+($C72:$AG72="P")*6+($C72:$AG72="R")*6)</f>
        <v/>
      </c>
      <c r="AJ72" s="99">
        <f>SUMPRODUCT($C$5:$AG$5,($C72:$AG72="N")*1)</f>
        <v/>
      </c>
      <c r="AK72" s="99">
        <f>SUMPRODUCT($C$6:$AG$6,($C72:$AG72="M")*6+($C72:$AG72="T")*6+($C72:$AG72="D")*12+($C72:$AG72="N")*12+($C72:$AG72="NT")*6+($C72:$AG72="C")*10+($C72:$AG72="A")*8+($C72:$AG72="J")*5+($C72:$AG72="E")*4+($C72:$AG72="P")*6+($C72:$AG72="R")*6)</f>
        <v/>
      </c>
      <c r="AL72" s="99">
        <f>ROUND(B72*4.43,0)</f>
        <v/>
      </c>
      <c r="AM72" s="100">
        <f>AH72-AL72</f>
        <v/>
      </c>
      <c r="AN72" s="101">
        <f>SUMPRODUCT(($C72:$AF72="N")*(($D72:$AG72="M")+($D72:$AG72="E")+($D72:$AG72="C")+($D72:$AG72="D")))</f>
        <v/>
      </c>
      <c r="AO72" s="101">
        <f>SUMPRODUCT(($C72:$AF72="N")*($D72:$AG72="T"))</f>
        <v/>
      </c>
    </row>
    <row r="73">
      <c r="A73" s="81" t="inlineStr">
        <is>
          <t>MPinheiro</t>
        </is>
      </c>
      <c r="B73" s="93" t="n">
        <v>40</v>
      </c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9">
        <f>SUMPRODUCT(($C73:$AG73="M")*6+($C73:$AG73="T")*6+($C73:$AG73="D")*12+($C73:$AG73="N")*12+($C73:$AG73="NT")*6+($C73:$AG73="C")*10+($C73:$AG73="A")*8+($C73:$AG73="J")*5+($C73:$AG73="E")*4+($C73:$AG73="P")*6+($C73:$AG73="R")*6)</f>
        <v/>
      </c>
      <c r="AI73" s="99">
        <f>SUMPRODUCT($C$4:$AG$4,($C73:$AG73="M")*6+($C73:$AG73="T")*6+($C73:$AG73="D")*12+($C73:$AG73="N")*12+($C73:$AG73="NT")*6+($C73:$AG73="C")*10+($C73:$AG73="A")*8+($C73:$AG73="J")*5+($C73:$AG73="E")*4+($C73:$AG73="P")*6+($C73:$AG73="R")*6)</f>
        <v/>
      </c>
      <c r="AJ73" s="99">
        <f>SUMPRODUCT($C$5:$AG$5,($C73:$AG73="N")*1)</f>
        <v/>
      </c>
      <c r="AK73" s="99">
        <f>SUMPRODUCT($C$6:$AG$6,($C73:$AG73="M")*6+($C73:$AG73="T")*6+($C73:$AG73="D")*12+($C73:$AG73="N")*12+($C73:$AG73="NT")*6+($C73:$AG73="C")*10+($C73:$AG73="A")*8+($C73:$AG73="J")*5+($C73:$AG73="E")*4+($C73:$AG73="P")*6+($C73:$AG73="R")*6)</f>
        <v/>
      </c>
      <c r="AL73" s="99">
        <f>ROUND(B73*4.43,0)</f>
        <v/>
      </c>
      <c r="AM73" s="100">
        <f>AH73-AL73</f>
        <v/>
      </c>
      <c r="AN73" s="101">
        <f>SUMPRODUCT(($C73:$AF73="N")*(($D73:$AG73="M")+($D73:$AG73="E")+($D73:$AG73="C")+($D73:$AG73="D")))</f>
        <v/>
      </c>
      <c r="AO73" s="101">
        <f>SUMPRODUCT(($C73:$AF73="N")*($D73:$AG73="T"))</f>
        <v/>
      </c>
    </row>
    <row r="75">
      <c r="A75" s="106" t="inlineStr">
        <is>
          <t>manhã</t>
        </is>
      </c>
      <c r="C75" s="107">
        <f>COUNTIF(C8:C73,"M")+COUNTIF(C8:C73,"D")+COUNTIF(C8:C73,"C")+COUNTIF(C8:C73,"J")+COUNTIF(C8:C73,"E")</f>
        <v/>
      </c>
      <c r="D75" s="107">
        <f>COUNTIF(D8:D73,"M")+COUNTIF(D8:D73,"D")+COUNTIF(D8:D73,"C")+COUNTIF(D8:D73,"J")+COUNTIF(D8:D73,"E")</f>
        <v/>
      </c>
      <c r="E75" s="107">
        <f>COUNTIF(E8:E73,"M")+COUNTIF(E8:E73,"D")+COUNTIF(E8:E73,"C")+COUNTIF(E8:E73,"J")+COUNTIF(E8:E73,"E")</f>
        <v/>
      </c>
      <c r="F75" s="107">
        <f>COUNTIF(F8:F73,"M")+COUNTIF(F8:F73,"D")+COUNTIF(F8:F73,"C")+COUNTIF(F8:F73,"J")+COUNTIF(F8:F73,"E")</f>
        <v/>
      </c>
      <c r="G75" s="107">
        <f>COUNTIF(G8:G73,"M")+COUNTIF(G8:G73,"D")+COUNTIF(G8:G73,"C")+COUNTIF(G8:G73,"J")+COUNTIF(G8:G73,"E")</f>
        <v/>
      </c>
      <c r="H75" s="107">
        <f>COUNTIF(H8:H73,"M")+COUNTIF(H8:H73,"D")+COUNTIF(H8:H73,"C")+COUNTIF(H8:H73,"J")+COUNTIF(H8:H73,"E")</f>
        <v/>
      </c>
      <c r="I75" s="107">
        <f>COUNTIF(I8:I73,"M")+COUNTIF(I8:I73,"D")+COUNTIF(I8:I73,"C")+COUNTIF(I8:I73,"J")+COUNTIF(I8:I73,"E")</f>
        <v/>
      </c>
      <c r="J75" s="107">
        <f>COUNTIF(J8:J73,"M")+COUNTIF(J8:J73,"D")+COUNTIF(J8:J73,"C")+COUNTIF(J8:J73,"J")+COUNTIF(J8:J73,"E")</f>
        <v/>
      </c>
      <c r="K75" s="107">
        <f>COUNTIF(K8:K73,"M")+COUNTIF(K8:K73,"D")+COUNTIF(K8:K73,"C")+COUNTIF(K8:K73,"J")+COUNTIF(K8:K73,"E")</f>
        <v/>
      </c>
      <c r="L75" s="107">
        <f>COUNTIF(L8:L73,"M")+COUNTIF(L8:L73,"D")+COUNTIF(L8:L73,"C")+COUNTIF(L8:L73,"J")+COUNTIF(L8:L73,"E")</f>
        <v/>
      </c>
      <c r="M75" s="107">
        <f>COUNTIF(M8:M73,"M")+COUNTIF(M8:M73,"D")+COUNTIF(M8:M73,"C")+COUNTIF(M8:M73,"J")+COUNTIF(M8:M73,"E")</f>
        <v/>
      </c>
      <c r="N75" s="107">
        <f>COUNTIF(N8:N73,"M")+COUNTIF(N8:N73,"D")+COUNTIF(N8:N73,"C")+COUNTIF(N8:N73,"J")+COUNTIF(N8:N73,"E")</f>
        <v/>
      </c>
      <c r="O75" s="107">
        <f>COUNTIF(O8:O73,"M")+COUNTIF(O8:O73,"D")+COUNTIF(O8:O73,"C")+COUNTIF(O8:O73,"J")+COUNTIF(O8:O73,"E")</f>
        <v/>
      </c>
      <c r="P75" s="107">
        <f>COUNTIF(P8:P73,"M")+COUNTIF(P8:P73,"D")+COUNTIF(P8:P73,"C")+COUNTIF(P8:P73,"J")+COUNTIF(P8:P73,"E")</f>
        <v/>
      </c>
      <c r="Q75" s="107">
        <f>COUNTIF(Q8:Q73,"M")+COUNTIF(Q8:Q73,"D")+COUNTIF(Q8:Q73,"C")+COUNTIF(Q8:Q73,"J")+COUNTIF(Q8:Q73,"E")</f>
        <v/>
      </c>
      <c r="R75" s="107">
        <f>COUNTIF(R8:R73,"M")+COUNTIF(R8:R73,"D")+COUNTIF(R8:R73,"C")+COUNTIF(R8:R73,"J")+COUNTIF(R8:R73,"E")</f>
        <v/>
      </c>
      <c r="S75" s="107">
        <f>COUNTIF(S8:S73,"M")+COUNTIF(S8:S73,"D")+COUNTIF(S8:S73,"C")+COUNTIF(S8:S73,"J")+COUNTIF(S8:S73,"E")</f>
        <v/>
      </c>
      <c r="T75" s="107">
        <f>COUNTIF(T8:T73,"M")+COUNTIF(T8:T73,"D")+COUNTIF(T8:T73,"C")+COUNTIF(T8:T73,"J")+COUNTIF(T8:T73,"E")</f>
        <v/>
      </c>
      <c r="U75" s="107">
        <f>COUNTIF(U8:U73,"M")+COUNTIF(U8:U73,"D")+COUNTIF(U8:U73,"C")+COUNTIF(U8:U73,"J")+COUNTIF(U8:U73,"E")</f>
        <v/>
      </c>
      <c r="V75" s="107">
        <f>COUNTIF(V8:V73,"M")+COUNTIF(V8:V73,"D")+COUNTIF(V8:V73,"C")+COUNTIF(V8:V73,"J")+COUNTIF(V8:V73,"E")</f>
        <v/>
      </c>
      <c r="W75" s="107">
        <f>COUNTIF(W8:W73,"M")+COUNTIF(W8:W73,"D")+COUNTIF(W8:W73,"C")+COUNTIF(W8:W73,"J")+COUNTIF(W8:W73,"E")</f>
        <v/>
      </c>
      <c r="X75" s="107">
        <f>COUNTIF(X8:X73,"M")+COUNTIF(X8:X73,"D")+COUNTIF(X8:X73,"C")+COUNTIF(X8:X73,"J")+COUNTIF(X8:X73,"E")</f>
        <v/>
      </c>
      <c r="Y75" s="107">
        <f>COUNTIF(Y8:Y73,"M")+COUNTIF(Y8:Y73,"D")+COUNTIF(Y8:Y73,"C")+COUNTIF(Y8:Y73,"J")+COUNTIF(Y8:Y73,"E")</f>
        <v/>
      </c>
      <c r="Z75" s="107">
        <f>COUNTIF(Z8:Z73,"M")+COUNTIF(Z8:Z73,"D")+COUNTIF(Z8:Z73,"C")+COUNTIF(Z8:Z73,"J")+COUNTIF(Z8:Z73,"E")</f>
        <v/>
      </c>
      <c r="AA75" s="107">
        <f>COUNTIF(AA8:AA73,"M")+COUNTIF(AA8:AA73,"D")+COUNTIF(AA8:AA73,"C")+COUNTIF(AA8:AA73,"J")+COUNTIF(AA8:AA73,"E")</f>
        <v/>
      </c>
      <c r="AB75" s="107">
        <f>COUNTIF(AB8:AB73,"M")+COUNTIF(AB8:AB73,"D")+COUNTIF(AB8:AB73,"C")+COUNTIF(AB8:AB73,"J")+COUNTIF(AB8:AB73,"E")</f>
        <v/>
      </c>
      <c r="AC75" s="107">
        <f>COUNTIF(AC8:AC73,"M")+COUNTIF(AC8:AC73,"D")+COUNTIF(AC8:AC73,"C")+COUNTIF(AC8:AC73,"J")+COUNTIF(AC8:AC73,"E")</f>
        <v/>
      </c>
      <c r="AD75" s="107">
        <f>COUNTIF(AD8:AD73,"M")+COUNTIF(AD8:AD73,"D")+COUNTIF(AD8:AD73,"C")+COUNTIF(AD8:AD73,"J")+COUNTIF(AD8:AD73,"E")</f>
        <v/>
      </c>
      <c r="AE75" s="107">
        <f>COUNTIF(AE8:AE73,"M")+COUNTIF(AE8:AE73,"D")+COUNTIF(AE8:AE73,"C")+COUNTIF(AE8:AE73,"J")+COUNTIF(AE8:AE73,"E")</f>
        <v/>
      </c>
      <c r="AF75" s="107">
        <f>COUNTIF(AF8:AF73,"M")+COUNTIF(AF8:AF73,"D")+COUNTIF(AF8:AF73,"C")+COUNTIF(AF8:AF73,"J")+COUNTIF(AF8:AF73,"E")</f>
        <v/>
      </c>
      <c r="AG75" s="107">
        <f>COUNTIF(AG8:AG73,"M")+COUNTIF(AG8:AG73,"D")+COUNTIF(AG8:AG73,"C")+COUNTIF(AG8:AG73,"J")+COUNTIF(AG8:AG73,"E")</f>
        <v/>
      </c>
    </row>
    <row r="76">
      <c r="A76" s="106" t="inlineStr">
        <is>
          <t>tarde</t>
        </is>
      </c>
      <c r="C76" s="107">
        <f>COUNTIF(C8:C73,"T")+COUNTIF(C8:C73,"D")+COUNTIF(C8:C73,"C")</f>
        <v/>
      </c>
      <c r="D76" s="107">
        <f>COUNTIF(D8:D73,"T")+COUNTIF(D8:D73,"D")+COUNTIF(D8:D73,"C")</f>
        <v/>
      </c>
      <c r="E76" s="107">
        <f>COUNTIF(E8:E73,"T")+COUNTIF(E8:E73,"D")+COUNTIF(E8:E73,"C")</f>
        <v/>
      </c>
      <c r="F76" s="107">
        <f>COUNTIF(F8:F73,"T")+COUNTIF(F8:F73,"D")+COUNTIF(F8:F73,"C")</f>
        <v/>
      </c>
      <c r="G76" s="107">
        <f>COUNTIF(G8:G73,"T")+COUNTIF(G8:G73,"D")+COUNTIF(G8:G73,"C")</f>
        <v/>
      </c>
      <c r="H76" s="107">
        <f>COUNTIF(H8:H73,"T")+COUNTIF(H8:H73,"D")+COUNTIF(H8:H73,"C")</f>
        <v/>
      </c>
      <c r="I76" s="107">
        <f>COUNTIF(I8:I73,"T")+COUNTIF(I8:I73,"D")+COUNTIF(I8:I73,"C")</f>
        <v/>
      </c>
      <c r="J76" s="107">
        <f>COUNTIF(J8:J73,"T")+COUNTIF(J8:J73,"D")+COUNTIF(J8:J73,"C")</f>
        <v/>
      </c>
      <c r="K76" s="107">
        <f>COUNTIF(K8:K73,"T")+COUNTIF(K8:K73,"D")+COUNTIF(K8:K73,"C")</f>
        <v/>
      </c>
      <c r="L76" s="107">
        <f>COUNTIF(L8:L73,"T")+COUNTIF(L8:L73,"D")+COUNTIF(L8:L73,"C")</f>
        <v/>
      </c>
      <c r="M76" s="107">
        <f>COUNTIF(M8:M73,"T")+COUNTIF(M8:M73,"D")+COUNTIF(M8:M73,"C")</f>
        <v/>
      </c>
      <c r="N76" s="107">
        <f>COUNTIF(N8:N73,"T")+COUNTIF(N8:N73,"D")+COUNTIF(N8:N73,"C")</f>
        <v/>
      </c>
      <c r="O76" s="107">
        <f>COUNTIF(O8:O73,"T")+COUNTIF(O8:O73,"D")+COUNTIF(O8:O73,"C")</f>
        <v/>
      </c>
      <c r="P76" s="107">
        <f>COUNTIF(P8:P73,"T")+COUNTIF(P8:P73,"D")+COUNTIF(P8:P73,"C")</f>
        <v/>
      </c>
      <c r="Q76" s="107">
        <f>COUNTIF(Q8:Q73,"T")+COUNTIF(Q8:Q73,"D")+COUNTIF(Q8:Q73,"C")</f>
        <v/>
      </c>
      <c r="R76" s="107">
        <f>COUNTIF(R8:R73,"T")+COUNTIF(R8:R73,"D")+COUNTIF(R8:R73,"C")</f>
        <v/>
      </c>
      <c r="S76" s="107">
        <f>COUNTIF(S8:S73,"T")+COUNTIF(S8:S73,"D")+COUNTIF(S8:S73,"C")</f>
        <v/>
      </c>
      <c r="T76" s="107">
        <f>COUNTIF(T8:T73,"T")+COUNTIF(T8:T73,"D")+COUNTIF(T8:T73,"C")</f>
        <v/>
      </c>
      <c r="U76" s="107">
        <f>COUNTIF(U8:U73,"T")+COUNTIF(U8:U73,"D")+COUNTIF(U8:U73,"C")</f>
        <v/>
      </c>
      <c r="V76" s="107">
        <f>COUNTIF(V8:V73,"T")+COUNTIF(V8:V73,"D")+COUNTIF(V8:V73,"C")</f>
        <v/>
      </c>
      <c r="W76" s="107">
        <f>COUNTIF(W8:W73,"T")+COUNTIF(W8:W73,"D")+COUNTIF(W8:W73,"C")</f>
        <v/>
      </c>
      <c r="X76" s="107">
        <f>COUNTIF(X8:X73,"T")+COUNTIF(X8:X73,"D")+COUNTIF(X8:X73,"C")</f>
        <v/>
      </c>
      <c r="Y76" s="107">
        <f>COUNTIF(Y8:Y73,"T")+COUNTIF(Y8:Y73,"D")+COUNTIF(Y8:Y73,"C")</f>
        <v/>
      </c>
      <c r="Z76" s="107">
        <f>COUNTIF(Z8:Z73,"T")+COUNTIF(Z8:Z73,"D")+COUNTIF(Z8:Z73,"C")</f>
        <v/>
      </c>
      <c r="AA76" s="107">
        <f>COUNTIF(AA8:AA73,"T")+COUNTIF(AA8:AA73,"D")+COUNTIF(AA8:AA73,"C")</f>
        <v/>
      </c>
      <c r="AB76" s="107">
        <f>COUNTIF(AB8:AB73,"T")+COUNTIF(AB8:AB73,"D")+COUNTIF(AB8:AB73,"C")</f>
        <v/>
      </c>
      <c r="AC76" s="107">
        <f>COUNTIF(AC8:AC73,"T")+COUNTIF(AC8:AC73,"D")+COUNTIF(AC8:AC73,"C")</f>
        <v/>
      </c>
      <c r="AD76" s="107">
        <f>COUNTIF(AD8:AD73,"T")+COUNTIF(AD8:AD73,"D")+COUNTIF(AD8:AD73,"C")</f>
        <v/>
      </c>
      <c r="AE76" s="107">
        <f>COUNTIF(AE8:AE73,"T")+COUNTIF(AE8:AE73,"D")+COUNTIF(AE8:AE73,"C")</f>
        <v/>
      </c>
      <c r="AF76" s="107">
        <f>COUNTIF(AF8:AF73,"T")+COUNTIF(AF8:AF73,"D")+COUNTIF(AF8:AF73,"C")</f>
        <v/>
      </c>
      <c r="AG76" s="107">
        <f>COUNTIF(AG8:AG73,"T")+COUNTIF(AG8:AG73,"D")+COUNTIF(AG8:AG73,"C")</f>
        <v/>
      </c>
    </row>
    <row r="77">
      <c r="A77" s="106" t="inlineStr">
        <is>
          <t>noite</t>
        </is>
      </c>
      <c r="C77" s="107">
        <f>COUNTIF(C8:C73,"N")+COUNTIF(C8:C73,"NT")</f>
        <v/>
      </c>
      <c r="D77" s="107">
        <f>COUNTIF(D8:D73,"N")+COUNTIF(D8:D73,"NT")</f>
        <v/>
      </c>
      <c r="E77" s="107">
        <f>COUNTIF(E8:E73,"N")+COUNTIF(E8:E73,"NT")</f>
        <v/>
      </c>
      <c r="F77" s="107">
        <f>COUNTIF(F8:F73,"N")+COUNTIF(F8:F73,"NT")</f>
        <v/>
      </c>
      <c r="G77" s="107">
        <f>COUNTIF(G8:G73,"N")+COUNTIF(G8:G73,"NT")</f>
        <v/>
      </c>
      <c r="H77" s="107">
        <f>COUNTIF(H8:H73,"N")+COUNTIF(H8:H73,"NT")</f>
        <v/>
      </c>
      <c r="I77" s="107">
        <f>COUNTIF(I8:I73,"N")+COUNTIF(I8:I73,"NT")</f>
        <v/>
      </c>
      <c r="J77" s="107">
        <f>COUNTIF(J8:J73,"N")+COUNTIF(J8:J73,"NT")</f>
        <v/>
      </c>
      <c r="K77" s="107">
        <f>COUNTIF(K8:K73,"N")+COUNTIF(K8:K73,"NT")</f>
        <v/>
      </c>
      <c r="L77" s="107">
        <f>COUNTIF(L8:L73,"N")+COUNTIF(L8:L73,"NT")</f>
        <v/>
      </c>
      <c r="M77" s="107">
        <f>COUNTIF(M8:M73,"N")+COUNTIF(M8:M73,"NT")</f>
        <v/>
      </c>
      <c r="N77" s="107">
        <f>COUNTIF(N8:N73,"N")+COUNTIF(N8:N73,"NT")</f>
        <v/>
      </c>
      <c r="O77" s="107">
        <f>COUNTIF(O8:O73,"N")+COUNTIF(O8:O73,"NT")</f>
        <v/>
      </c>
      <c r="P77" s="107">
        <f>COUNTIF(P8:P73,"N")+COUNTIF(P8:P73,"NT")</f>
        <v/>
      </c>
      <c r="Q77" s="107">
        <f>COUNTIF(Q8:Q73,"N")+COUNTIF(Q8:Q73,"NT")</f>
        <v/>
      </c>
      <c r="R77" s="107">
        <f>COUNTIF(R8:R73,"N")+COUNTIF(R8:R73,"NT")</f>
        <v/>
      </c>
      <c r="S77" s="107">
        <f>COUNTIF(S8:S73,"N")+COUNTIF(S8:S73,"NT")</f>
        <v/>
      </c>
      <c r="T77" s="107">
        <f>COUNTIF(T8:T73,"N")+COUNTIF(T8:T73,"NT")</f>
        <v/>
      </c>
      <c r="U77" s="107">
        <f>COUNTIF(U8:U73,"N")+COUNTIF(U8:U73,"NT")</f>
        <v/>
      </c>
      <c r="V77" s="107">
        <f>COUNTIF(V8:V73,"N")+COUNTIF(V8:V73,"NT")</f>
        <v/>
      </c>
      <c r="W77" s="107">
        <f>COUNTIF(W8:W73,"N")+COUNTIF(W8:W73,"NT")</f>
        <v/>
      </c>
      <c r="X77" s="107">
        <f>COUNTIF(X8:X73,"N")+COUNTIF(X8:X73,"NT")</f>
        <v/>
      </c>
      <c r="Y77" s="107">
        <f>COUNTIF(Y8:Y73,"N")+COUNTIF(Y8:Y73,"NT")</f>
        <v/>
      </c>
      <c r="Z77" s="107">
        <f>COUNTIF(Z8:Z73,"N")+COUNTIF(Z8:Z73,"NT")</f>
        <v/>
      </c>
      <c r="AA77" s="107">
        <f>COUNTIF(AA8:AA73,"N")+COUNTIF(AA8:AA73,"NT")</f>
        <v/>
      </c>
      <c r="AB77" s="107">
        <f>COUNTIF(AB8:AB73,"N")+COUNTIF(AB8:AB73,"NT")</f>
        <v/>
      </c>
      <c r="AC77" s="107">
        <f>COUNTIF(AC8:AC73,"N")+COUNTIF(AC8:AC73,"NT")</f>
        <v/>
      </c>
      <c r="AD77" s="107">
        <f>COUNTIF(AD8:AD73,"N")+COUNTIF(AD8:AD73,"NT")</f>
        <v/>
      </c>
      <c r="AE77" s="107">
        <f>COUNTIF(AE8:AE73,"N")+COUNTIF(AE8:AE73,"NT")</f>
        <v/>
      </c>
      <c r="AF77" s="107">
        <f>COUNTIF(AF8:AF73,"N")+COUNTIF(AF8:AF73,"NT")</f>
        <v/>
      </c>
      <c r="AG77" s="107">
        <f>COUNTIF(AG8:AG73,"N")+COUNTIF(AG8:AG73,"NT")</f>
        <v/>
      </c>
    </row>
    <row r="78">
      <c r="A78" s="108" t="inlineStr">
        <is>
          <t>falta manhã</t>
        </is>
      </c>
      <c r="C78" s="109">
        <f>MAX(0,CONFIG!$B$4-C75)</f>
        <v/>
      </c>
      <c r="D78" s="109">
        <f>MAX(0,CONFIG!$B$4-D75)</f>
        <v/>
      </c>
      <c r="E78" s="109">
        <f>MAX(0,CONFIG!$B$4-E75)</f>
        <v/>
      </c>
      <c r="F78" s="109">
        <f>MAX(0,CONFIG!$B$4-F75)</f>
        <v/>
      </c>
      <c r="G78" s="109">
        <f>MAX(0,CONFIG!$B$5-G75)</f>
        <v/>
      </c>
      <c r="H78" s="109">
        <f>MAX(0,CONFIG!$B$6-H75)</f>
        <v/>
      </c>
      <c r="I78" s="109">
        <f>MAX(0,CONFIG!$B$4-I75)</f>
        <v/>
      </c>
      <c r="J78" s="109">
        <f>MAX(0,CONFIG!$B$4-J75)</f>
        <v/>
      </c>
      <c r="K78" s="109">
        <f>MAX(0,CONFIG!$B$4-K75)</f>
        <v/>
      </c>
      <c r="L78" s="109">
        <f>MAX(0,CONFIG!$B$4-L75)</f>
        <v/>
      </c>
      <c r="M78" s="109">
        <f>MAX(0,CONFIG!$B$4-M75)</f>
        <v/>
      </c>
      <c r="N78" s="109">
        <f>MAX(0,CONFIG!$B$5-N75)</f>
        <v/>
      </c>
      <c r="O78" s="109">
        <f>MAX(0,CONFIG!$B$6-O75)</f>
        <v/>
      </c>
      <c r="P78" s="109">
        <f>MAX(0,CONFIG!$B$4-P75)</f>
        <v/>
      </c>
      <c r="Q78" s="109">
        <f>MAX(0,CONFIG!$B$4-Q75)</f>
        <v/>
      </c>
      <c r="R78" s="109">
        <f>MAX(0,CONFIG!$B$4-R75)</f>
        <v/>
      </c>
      <c r="S78" s="109">
        <f>MAX(0,CONFIG!$B$4-S75)</f>
        <v/>
      </c>
      <c r="T78" s="109">
        <f>MAX(0,CONFIG!$B$4-T75)</f>
        <v/>
      </c>
      <c r="U78" s="109">
        <f>MAX(0,CONFIG!$B$5-U75)</f>
        <v/>
      </c>
      <c r="V78" s="109">
        <f>MAX(0,CONFIG!$B$6-V75)</f>
        <v/>
      </c>
      <c r="W78" s="109">
        <f>MAX(0,CONFIG!$B$4-W75)</f>
        <v/>
      </c>
      <c r="X78" s="109">
        <f>MAX(0,CONFIG!$B$4-X75)</f>
        <v/>
      </c>
      <c r="Y78" s="109">
        <f>MAX(0,CONFIG!$B$4-Y75)</f>
        <v/>
      </c>
      <c r="Z78" s="109">
        <f>MAX(0,CONFIG!$B$4-Z75)</f>
        <v/>
      </c>
      <c r="AA78" s="109">
        <f>MAX(0,CONFIG!$B$4-AA75)</f>
        <v/>
      </c>
      <c r="AB78" s="109">
        <f>MAX(0,CONFIG!$B$5-AB75)</f>
        <v/>
      </c>
      <c r="AC78" s="109">
        <f>MAX(0,CONFIG!$B$6-AC75)</f>
        <v/>
      </c>
      <c r="AD78" s="109">
        <f>MAX(0,CONFIG!$B$4-AD75)</f>
        <v/>
      </c>
      <c r="AE78" s="109">
        <f>MAX(0,CONFIG!$B$4-AE75)</f>
        <v/>
      </c>
      <c r="AF78" s="109">
        <f>MAX(0,CONFIG!$B$4-AF75)</f>
        <v/>
      </c>
      <c r="AG78" s="109">
        <f>MAX(0,CONFIG!$B$4-AG75)</f>
        <v/>
      </c>
    </row>
    <row r="79">
      <c r="A79" s="108" t="inlineStr">
        <is>
          <t>falta tarde</t>
        </is>
      </c>
      <c r="C79" s="109">
        <f>MAX(0,CONFIG!$C$4-C76)</f>
        <v/>
      </c>
      <c r="D79" s="109">
        <f>MAX(0,CONFIG!$C$4-D76)</f>
        <v/>
      </c>
      <c r="E79" s="109">
        <f>MAX(0,CONFIG!$C$4-E76)</f>
        <v/>
      </c>
      <c r="F79" s="109">
        <f>MAX(0,CONFIG!$C$4-F76)</f>
        <v/>
      </c>
      <c r="G79" s="109">
        <f>MAX(0,CONFIG!$C$5-G76)</f>
        <v/>
      </c>
      <c r="H79" s="109">
        <f>MAX(0,CONFIG!$C$6-H76)</f>
        <v/>
      </c>
      <c r="I79" s="109">
        <f>MAX(0,CONFIG!$C$4-I76)</f>
        <v/>
      </c>
      <c r="J79" s="109">
        <f>MAX(0,CONFIG!$C$4-J76)</f>
        <v/>
      </c>
      <c r="K79" s="109">
        <f>MAX(0,CONFIG!$C$4-K76)</f>
        <v/>
      </c>
      <c r="L79" s="109">
        <f>MAX(0,CONFIG!$C$4-L76)</f>
        <v/>
      </c>
      <c r="M79" s="109">
        <f>MAX(0,CONFIG!$C$4-M76)</f>
        <v/>
      </c>
      <c r="N79" s="109">
        <f>MAX(0,CONFIG!$C$5-N76)</f>
        <v/>
      </c>
      <c r="O79" s="109">
        <f>MAX(0,CONFIG!$C$6-O76)</f>
        <v/>
      </c>
      <c r="P79" s="109">
        <f>MAX(0,CONFIG!$C$4-P76)</f>
        <v/>
      </c>
      <c r="Q79" s="109">
        <f>MAX(0,CONFIG!$C$4-Q76)</f>
        <v/>
      </c>
      <c r="R79" s="109">
        <f>MAX(0,CONFIG!$C$4-R76)</f>
        <v/>
      </c>
      <c r="S79" s="109">
        <f>MAX(0,CONFIG!$C$4-S76)</f>
        <v/>
      </c>
      <c r="T79" s="109">
        <f>MAX(0,CONFIG!$C$4-T76)</f>
        <v/>
      </c>
      <c r="U79" s="109">
        <f>MAX(0,CONFIG!$C$5-U76)</f>
        <v/>
      </c>
      <c r="V79" s="109">
        <f>MAX(0,CONFIG!$C$6-V76)</f>
        <v/>
      </c>
      <c r="W79" s="109">
        <f>MAX(0,CONFIG!$C$4-W76)</f>
        <v/>
      </c>
      <c r="X79" s="109">
        <f>MAX(0,CONFIG!$C$4-X76)</f>
        <v/>
      </c>
      <c r="Y79" s="109">
        <f>MAX(0,CONFIG!$C$4-Y76)</f>
        <v/>
      </c>
      <c r="Z79" s="109">
        <f>MAX(0,CONFIG!$C$4-Z76)</f>
        <v/>
      </c>
      <c r="AA79" s="109">
        <f>MAX(0,CONFIG!$C$4-AA76)</f>
        <v/>
      </c>
      <c r="AB79" s="109">
        <f>MAX(0,CONFIG!$C$5-AB76)</f>
        <v/>
      </c>
      <c r="AC79" s="109">
        <f>MAX(0,CONFIG!$C$6-AC76)</f>
        <v/>
      </c>
      <c r="AD79" s="109">
        <f>MAX(0,CONFIG!$C$4-AD76)</f>
        <v/>
      </c>
      <c r="AE79" s="109">
        <f>MAX(0,CONFIG!$C$4-AE76)</f>
        <v/>
      </c>
      <c r="AF79" s="109">
        <f>MAX(0,CONFIG!$C$4-AF76)</f>
        <v/>
      </c>
      <c r="AG79" s="109">
        <f>MAX(0,CONFIG!$C$4-AG76)</f>
        <v/>
      </c>
    </row>
    <row r="80">
      <c r="A80" s="108" t="inlineStr">
        <is>
          <t>falta noite</t>
        </is>
      </c>
      <c r="C80" s="109">
        <f>MAX(0,CONFIG!$D$4-C77)</f>
        <v/>
      </c>
      <c r="D80" s="109">
        <f>MAX(0,CONFIG!$D$4-D77)</f>
        <v/>
      </c>
      <c r="E80" s="109">
        <f>MAX(0,CONFIG!$D$4-E77)</f>
        <v/>
      </c>
      <c r="F80" s="109">
        <f>MAX(0,CONFIG!$D$4-F77)</f>
        <v/>
      </c>
      <c r="G80" s="109">
        <f>MAX(0,CONFIG!$D$5-G77)</f>
        <v/>
      </c>
      <c r="H80" s="109">
        <f>MAX(0,CONFIG!$D$6-H77)</f>
        <v/>
      </c>
      <c r="I80" s="109">
        <f>MAX(0,CONFIG!$D$4-I77)</f>
        <v/>
      </c>
      <c r="J80" s="109">
        <f>MAX(0,CONFIG!$D$4-J77)</f>
        <v/>
      </c>
      <c r="K80" s="109">
        <f>MAX(0,CONFIG!$D$4-K77)</f>
        <v/>
      </c>
      <c r="L80" s="109">
        <f>MAX(0,CONFIG!$D$4-L77)</f>
        <v/>
      </c>
      <c r="M80" s="109">
        <f>MAX(0,CONFIG!$D$4-M77)</f>
        <v/>
      </c>
      <c r="N80" s="109">
        <f>MAX(0,CONFIG!$D$5-N77)</f>
        <v/>
      </c>
      <c r="O80" s="109">
        <f>MAX(0,CONFIG!$D$6-O77)</f>
        <v/>
      </c>
      <c r="P80" s="109">
        <f>MAX(0,CONFIG!$D$4-P77)</f>
        <v/>
      </c>
      <c r="Q80" s="109">
        <f>MAX(0,CONFIG!$D$4-Q77)</f>
        <v/>
      </c>
      <c r="R80" s="109">
        <f>MAX(0,CONFIG!$D$4-R77)</f>
        <v/>
      </c>
      <c r="S80" s="109">
        <f>MAX(0,CONFIG!$D$4-S77)</f>
        <v/>
      </c>
      <c r="T80" s="109">
        <f>MAX(0,CONFIG!$D$4-T77)</f>
        <v/>
      </c>
      <c r="U80" s="109">
        <f>MAX(0,CONFIG!$D$5-U77)</f>
        <v/>
      </c>
      <c r="V80" s="109">
        <f>MAX(0,CONFIG!$D$6-V77)</f>
        <v/>
      </c>
      <c r="W80" s="109">
        <f>MAX(0,CONFIG!$D$4-W77)</f>
        <v/>
      </c>
      <c r="X80" s="109">
        <f>MAX(0,CONFIG!$D$4-X77)</f>
        <v/>
      </c>
      <c r="Y80" s="109">
        <f>MAX(0,CONFIG!$D$4-Y77)</f>
        <v/>
      </c>
      <c r="Z80" s="109">
        <f>MAX(0,CONFIG!$D$4-Z77)</f>
        <v/>
      </c>
      <c r="AA80" s="109">
        <f>MAX(0,CONFIG!$D$4-AA77)</f>
        <v/>
      </c>
      <c r="AB80" s="109">
        <f>MAX(0,CONFIG!$D$5-AB77)</f>
        <v/>
      </c>
      <c r="AC80" s="109">
        <f>MAX(0,CONFIG!$D$6-AC77)</f>
        <v/>
      </c>
      <c r="AD80" s="109">
        <f>MAX(0,CONFIG!$D$4-AD77)</f>
        <v/>
      </c>
      <c r="AE80" s="109">
        <f>MAX(0,CONFIG!$D$4-AE77)</f>
        <v/>
      </c>
      <c r="AF80" s="109">
        <f>MAX(0,CONFIG!$D$4-AF77)</f>
        <v/>
      </c>
      <c r="AG80" s="109">
        <f>MAX(0,CONFIG!$D$4-AG77)</f>
        <v/>
      </c>
    </row>
  </sheetData>
  <conditionalFormatting sqref="C78:AG78">
    <cfRule type="cellIs" priority="1" operator="greaterThan" dxfId="0">
      <formula>0</formula>
    </cfRule>
  </conditionalFormatting>
  <conditionalFormatting sqref="C79:AG79">
    <cfRule type="cellIs" priority="2" operator="greaterThan" dxfId="0">
      <formula>0</formula>
    </cfRule>
  </conditionalFormatting>
  <conditionalFormatting sqref="C80:AG80">
    <cfRule type="cellIs" priority="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5A4E8C"/>
    <outlinePr summaryBelow="1" summaryRight="1"/>
    <pageSetUpPr/>
  </sheetPr>
  <dimension ref="A1:BJ7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6.5" customWidth="1" min="15" max="15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  <col width="5.4" customWidth="1" min="27" max="27"/>
    <col width="5.4" customWidth="1" min="28" max="28"/>
    <col width="6.5" customWidth="1" min="29" max="29"/>
    <col width="5.4" customWidth="1" min="31" max="31"/>
    <col width="5.4" customWidth="1" min="32" max="32"/>
    <col width="5.4" customWidth="1" min="33" max="33"/>
    <col width="5.4" customWidth="1" min="34" max="34"/>
    <col width="5.4" customWidth="1" min="35" max="35"/>
    <col width="5.4" customWidth="1" min="36" max="36"/>
    <col width="5.4" customWidth="1" min="37" max="37"/>
    <col width="5.4" customWidth="1" min="38" max="38"/>
    <col width="5.4" customWidth="1" min="39" max="39"/>
    <col width="5.4" customWidth="1" min="40" max="40"/>
    <col width="5.4" customWidth="1" min="41" max="41"/>
    <col width="5.4" customWidth="1" min="42" max="42"/>
    <col width="6.5" customWidth="1" min="43" max="43"/>
    <col width="5.4" customWidth="1" min="45" max="45"/>
    <col width="5.4" customWidth="1" min="46" max="46"/>
    <col width="5.4" customWidth="1" min="47" max="47"/>
    <col width="5.4" customWidth="1" min="48" max="48"/>
    <col width="5.4" customWidth="1" min="49" max="49"/>
    <col width="5.4" customWidth="1" min="50" max="50"/>
    <col width="5.4" customWidth="1" min="51" max="51"/>
    <col width="5.4" customWidth="1" min="52" max="52"/>
    <col width="5.4" customWidth="1" min="53" max="53"/>
    <col width="5.4" customWidth="1" min="54" max="54"/>
    <col width="5.4" customWidth="1" min="55" max="55"/>
    <col width="5.4" customWidth="1" min="56" max="56"/>
    <col width="6.5" customWidth="1" min="57" max="57"/>
    <col width="9" customWidth="1" min="59" max="59"/>
    <col width="9" customWidth="1" min="60" max="60"/>
    <col width="9" customWidth="1" min="61" max="61"/>
  </cols>
  <sheetData>
    <row r="1">
      <c r="A1" s="36" t="inlineStr">
        <is>
          <t>painel do ano · o comparativo</t>
        </is>
      </c>
      <c r="D1" s="60" t="inlineStr">
        <is>
          <t>cada número vem da aba do mês — não se digita nada aqui</t>
        </is>
      </c>
    </row>
    <row r="3">
      <c r="C3" s="119" t="inlineStr">
        <is>
          <t>saldo do mês (h)</t>
        </is>
      </c>
      <c r="Q3" s="119" t="inlineStr">
        <is>
          <t>fds (h)</t>
        </is>
      </c>
      <c r="AE3" s="119" t="inlineStr">
        <is>
          <t>sexta-noite</t>
        </is>
      </c>
      <c r="AS3" s="119" t="inlineStr">
        <is>
          <t>feriado (h)</t>
        </is>
      </c>
      <c r="BG3" s="70" t="inlineStr">
        <is>
          <t>conferência · contagem manual antiga</t>
        </is>
      </c>
    </row>
    <row r="7">
      <c r="A7" s="40" t="inlineStr">
        <is>
          <t>médico</t>
        </is>
      </c>
      <c r="B7" s="40" t="inlineStr">
        <is>
          <t>CH</t>
        </is>
      </c>
      <c r="C7" s="120" t="inlineStr">
        <is>
          <t>JAN</t>
        </is>
      </c>
      <c r="D7" s="120" t="inlineStr">
        <is>
          <t>FEV</t>
        </is>
      </c>
      <c r="E7" s="120" t="inlineStr">
        <is>
          <t>MAR</t>
        </is>
      </c>
      <c r="F7" s="120" t="inlineStr">
        <is>
          <t>ABR</t>
        </is>
      </c>
      <c r="G7" s="120" t="inlineStr">
        <is>
          <t>MAI</t>
        </is>
      </c>
      <c r="H7" s="120" t="inlineStr">
        <is>
          <t>JUN</t>
        </is>
      </c>
      <c r="I7" s="120" t="inlineStr">
        <is>
          <t>JUL</t>
        </is>
      </c>
      <c r="J7" s="120" t="inlineStr">
        <is>
          <t>AGO</t>
        </is>
      </c>
      <c r="K7" s="120" t="inlineStr">
        <is>
          <t>SET</t>
        </is>
      </c>
      <c r="L7" s="120" t="inlineStr">
        <is>
          <t>OUT</t>
        </is>
      </c>
      <c r="M7" s="120" t="inlineStr">
        <is>
          <t>NOV</t>
        </is>
      </c>
      <c r="N7" s="120" t="inlineStr">
        <is>
          <t>DEZ</t>
        </is>
      </c>
      <c r="O7" s="121" t="inlineStr">
        <is>
          <t>ano</t>
        </is>
      </c>
      <c r="Q7" s="122" t="inlineStr">
        <is>
          <t>JAN</t>
        </is>
      </c>
      <c r="R7" s="122" t="inlineStr">
        <is>
          <t>FEV</t>
        </is>
      </c>
      <c r="S7" s="122" t="inlineStr">
        <is>
          <t>MAR</t>
        </is>
      </c>
      <c r="T7" s="122" t="inlineStr">
        <is>
          <t>ABR</t>
        </is>
      </c>
      <c r="U7" s="122" t="inlineStr">
        <is>
          <t>MAI</t>
        </is>
      </c>
      <c r="V7" s="122" t="inlineStr">
        <is>
          <t>JUN</t>
        </is>
      </c>
      <c r="W7" s="122" t="inlineStr">
        <is>
          <t>JUL</t>
        </is>
      </c>
      <c r="X7" s="122" t="inlineStr">
        <is>
          <t>AGO</t>
        </is>
      </c>
      <c r="Y7" s="122" t="inlineStr">
        <is>
          <t>SET</t>
        </is>
      </c>
      <c r="Z7" s="122" t="inlineStr">
        <is>
          <t>OUT</t>
        </is>
      </c>
      <c r="AA7" s="122" t="inlineStr">
        <is>
          <t>NOV</t>
        </is>
      </c>
      <c r="AB7" s="122" t="inlineStr">
        <is>
          <t>DEZ</t>
        </is>
      </c>
      <c r="AC7" s="121" t="inlineStr">
        <is>
          <t>ano</t>
        </is>
      </c>
      <c r="AE7" s="123" t="inlineStr">
        <is>
          <t>JAN</t>
        </is>
      </c>
      <c r="AF7" s="123" t="inlineStr">
        <is>
          <t>FEV</t>
        </is>
      </c>
      <c r="AG7" s="123" t="inlineStr">
        <is>
          <t>MAR</t>
        </is>
      </c>
      <c r="AH7" s="123" t="inlineStr">
        <is>
          <t>ABR</t>
        </is>
      </c>
      <c r="AI7" s="123" t="inlineStr">
        <is>
          <t>MAI</t>
        </is>
      </c>
      <c r="AJ7" s="123" t="inlineStr">
        <is>
          <t>JUN</t>
        </is>
      </c>
      <c r="AK7" s="123" t="inlineStr">
        <is>
          <t>JUL</t>
        </is>
      </c>
      <c r="AL7" s="123" t="inlineStr">
        <is>
          <t>AGO</t>
        </is>
      </c>
      <c r="AM7" s="123" t="inlineStr">
        <is>
          <t>SET</t>
        </is>
      </c>
      <c r="AN7" s="123" t="inlineStr">
        <is>
          <t>OUT</t>
        </is>
      </c>
      <c r="AO7" s="123" t="inlineStr">
        <is>
          <t>NOV</t>
        </is>
      </c>
      <c r="AP7" s="123" t="inlineStr">
        <is>
          <t>DEZ</t>
        </is>
      </c>
      <c r="AQ7" s="121" t="inlineStr">
        <is>
          <t>ano</t>
        </is>
      </c>
      <c r="AS7" s="124" t="inlineStr">
        <is>
          <t>JAN</t>
        </is>
      </c>
      <c r="AT7" s="124" t="inlineStr">
        <is>
          <t>FEV</t>
        </is>
      </c>
      <c r="AU7" s="124" t="inlineStr">
        <is>
          <t>MAR</t>
        </is>
      </c>
      <c r="AV7" s="124" t="inlineStr">
        <is>
          <t>ABR</t>
        </is>
      </c>
      <c r="AW7" s="124" t="inlineStr">
        <is>
          <t>MAI</t>
        </is>
      </c>
      <c r="AX7" s="124" t="inlineStr">
        <is>
          <t>JUN</t>
        </is>
      </c>
      <c r="AY7" s="124" t="inlineStr">
        <is>
          <t>JUL</t>
        </is>
      </c>
      <c r="AZ7" s="124" t="inlineStr">
        <is>
          <t>AGO</t>
        </is>
      </c>
      <c r="BA7" s="124" t="inlineStr">
        <is>
          <t>SET</t>
        </is>
      </c>
      <c r="BB7" s="124" t="inlineStr">
        <is>
          <t>OUT</t>
        </is>
      </c>
      <c r="BC7" s="124" t="inlineStr">
        <is>
          <t>NOV</t>
        </is>
      </c>
      <c r="BD7" s="124" t="inlineStr">
        <is>
          <t>DEZ</t>
        </is>
      </c>
      <c r="BE7" s="121" t="inlineStr">
        <is>
          <t>ano</t>
        </is>
      </c>
      <c r="BG7" s="96" t="inlineStr">
        <is>
          <t>SxN oficial</t>
        </is>
      </c>
      <c r="BH7" s="96" t="inlineStr">
        <is>
          <t>SxN calc</t>
        </is>
      </c>
      <c r="BI7" s="96" t="inlineStr">
        <is>
          <t>difere?</t>
        </is>
      </c>
    </row>
    <row r="8">
      <c r="A8" s="81" t="inlineStr">
        <is>
          <t>Fred</t>
        </is>
      </c>
      <c r="B8" s="125">
        <f>CADASTRO!$C4</f>
        <v/>
      </c>
      <c r="C8" s="126">
        <f>JAN!$AM8</f>
        <v/>
      </c>
      <c r="D8" s="126">
        <f>FEV!$AM8</f>
        <v/>
      </c>
      <c r="E8" s="126">
        <f>MAR!$AM8</f>
        <v/>
      </c>
      <c r="F8" s="126">
        <f>ABR!$AM8</f>
        <v/>
      </c>
      <c r="G8" s="126">
        <f>MAI!$AM8</f>
        <v/>
      </c>
      <c r="H8" s="126">
        <f>JUN!$AM8</f>
        <v/>
      </c>
      <c r="I8" s="126">
        <f>JUL!$AM8</f>
        <v/>
      </c>
      <c r="J8" s="126">
        <f>AGO!$AM8</f>
        <v/>
      </c>
      <c r="K8" s="126">
        <f>SET!$AM8</f>
        <v/>
      </c>
      <c r="L8" s="126">
        <f>OUT!$AM8</f>
        <v/>
      </c>
      <c r="M8" s="126">
        <f>NOV!$AM8</f>
        <v/>
      </c>
      <c r="N8" s="126">
        <f>DEZ!$AM8</f>
        <v/>
      </c>
      <c r="O8" s="127">
        <f>SUM(C8:N8)</f>
        <v/>
      </c>
      <c r="Q8" s="126">
        <f>JAN!$AI8</f>
        <v/>
      </c>
      <c r="R8" s="126">
        <f>FEV!$AI8</f>
        <v/>
      </c>
      <c r="S8" s="126">
        <f>MAR!$AI8</f>
        <v/>
      </c>
      <c r="T8" s="126">
        <f>ABR!$AI8</f>
        <v/>
      </c>
      <c r="U8" s="126">
        <f>MAI!$AI8</f>
        <v/>
      </c>
      <c r="V8" s="126">
        <f>JUN!$AI8</f>
        <v/>
      </c>
      <c r="W8" s="126">
        <f>JUL!$AI8</f>
        <v/>
      </c>
      <c r="X8" s="126">
        <f>AGO!$AI8</f>
        <v/>
      </c>
      <c r="Y8" s="126">
        <f>SET!$AI8</f>
        <v/>
      </c>
      <c r="Z8" s="126">
        <f>OUT!$AI8</f>
        <v/>
      </c>
      <c r="AA8" s="126">
        <f>NOV!$AI8</f>
        <v/>
      </c>
      <c r="AB8" s="126">
        <f>DEZ!$AI8</f>
        <v/>
      </c>
      <c r="AC8" s="127">
        <f>SUM(Q8:AB8)</f>
        <v/>
      </c>
      <c r="AE8" s="126">
        <f>JAN!$AJ8</f>
        <v/>
      </c>
      <c r="AF8" s="126">
        <f>FEV!$AJ8</f>
        <v/>
      </c>
      <c r="AG8" s="126">
        <f>MAR!$AJ8</f>
        <v/>
      </c>
      <c r="AH8" s="126">
        <f>ABR!$AJ8</f>
        <v/>
      </c>
      <c r="AI8" s="126">
        <f>MAI!$AJ8</f>
        <v/>
      </c>
      <c r="AJ8" s="126">
        <f>JUN!$AJ8</f>
        <v/>
      </c>
      <c r="AK8" s="126">
        <f>JUL!$AJ8</f>
        <v/>
      </c>
      <c r="AL8" s="126">
        <f>AGO!$AJ8</f>
        <v/>
      </c>
      <c r="AM8" s="126">
        <f>SET!$AJ8</f>
        <v/>
      </c>
      <c r="AN8" s="126">
        <f>OUT!$AJ8</f>
        <v/>
      </c>
      <c r="AO8" s="126">
        <f>NOV!$AJ8</f>
        <v/>
      </c>
      <c r="AP8" s="126">
        <f>DEZ!$AJ8</f>
        <v/>
      </c>
      <c r="AQ8" s="127">
        <f>SUM(AE8:AP8)</f>
        <v/>
      </c>
      <c r="AS8" s="126">
        <f>JAN!$AK8</f>
        <v/>
      </c>
      <c r="AT8" s="126">
        <f>FEV!$AK8</f>
        <v/>
      </c>
      <c r="AU8" s="126">
        <f>MAR!$AK8</f>
        <v/>
      </c>
      <c r="AV8" s="126">
        <f>ABR!$AK8</f>
        <v/>
      </c>
      <c r="AW8" s="126">
        <f>MAI!$AK8</f>
        <v/>
      </c>
      <c r="AX8" s="126">
        <f>JUN!$AK8</f>
        <v/>
      </c>
      <c r="AY8" s="126">
        <f>JUL!$AK8</f>
        <v/>
      </c>
      <c r="AZ8" s="126">
        <f>AGO!$AK8</f>
        <v/>
      </c>
      <c r="BA8" s="126">
        <f>SET!$AK8</f>
        <v/>
      </c>
      <c r="BB8" s="126">
        <f>OUT!$AK8</f>
        <v/>
      </c>
      <c r="BC8" s="126">
        <f>NOV!$AK8</f>
        <v/>
      </c>
      <c r="BD8" s="126">
        <f>DEZ!$AK8</f>
        <v/>
      </c>
      <c r="BE8" s="127">
        <f>SUM(AS8:BD8)</f>
        <v/>
      </c>
      <c r="BG8" s="93" t="n">
        <v>0</v>
      </c>
      <c r="BH8" s="107">
        <f>SUM(AE8:AP8)</f>
        <v/>
      </c>
      <c r="BI8" s="128">
        <f>IF(BG8="","",IF(BG8=BH8,"","⚠"))</f>
        <v/>
      </c>
    </row>
    <row r="9">
      <c r="A9" s="81" t="inlineStr">
        <is>
          <t>Milena</t>
        </is>
      </c>
      <c r="B9" s="125">
        <f>CADASTRO!$C5</f>
        <v/>
      </c>
      <c r="C9" s="126">
        <f>JAN!$AM9</f>
        <v/>
      </c>
      <c r="D9" s="126">
        <f>FEV!$AM9</f>
        <v/>
      </c>
      <c r="E9" s="126">
        <f>MAR!$AM9</f>
        <v/>
      </c>
      <c r="F9" s="126">
        <f>ABR!$AM9</f>
        <v/>
      </c>
      <c r="G9" s="126">
        <f>MAI!$AM9</f>
        <v/>
      </c>
      <c r="H9" s="126">
        <f>JUN!$AM9</f>
        <v/>
      </c>
      <c r="I9" s="126">
        <f>JUL!$AM9</f>
        <v/>
      </c>
      <c r="J9" s="126">
        <f>AGO!$AM9</f>
        <v/>
      </c>
      <c r="K9" s="126">
        <f>SET!$AM9</f>
        <v/>
      </c>
      <c r="L9" s="126">
        <f>OUT!$AM9</f>
        <v/>
      </c>
      <c r="M9" s="126">
        <f>NOV!$AM9</f>
        <v/>
      </c>
      <c r="N9" s="126">
        <f>DEZ!$AM9</f>
        <v/>
      </c>
      <c r="O9" s="127">
        <f>SUM(C9:N9)</f>
        <v/>
      </c>
      <c r="Q9" s="126">
        <f>JAN!$AI9</f>
        <v/>
      </c>
      <c r="R9" s="126">
        <f>FEV!$AI9</f>
        <v/>
      </c>
      <c r="S9" s="126">
        <f>MAR!$AI9</f>
        <v/>
      </c>
      <c r="T9" s="126">
        <f>ABR!$AI9</f>
        <v/>
      </c>
      <c r="U9" s="126">
        <f>MAI!$AI9</f>
        <v/>
      </c>
      <c r="V9" s="126">
        <f>JUN!$AI9</f>
        <v/>
      </c>
      <c r="W9" s="126">
        <f>JUL!$AI9</f>
        <v/>
      </c>
      <c r="X9" s="126">
        <f>AGO!$AI9</f>
        <v/>
      </c>
      <c r="Y9" s="126">
        <f>SET!$AI9</f>
        <v/>
      </c>
      <c r="Z9" s="126">
        <f>OUT!$AI9</f>
        <v/>
      </c>
      <c r="AA9" s="126">
        <f>NOV!$AI9</f>
        <v/>
      </c>
      <c r="AB9" s="126">
        <f>DEZ!$AI9</f>
        <v/>
      </c>
      <c r="AC9" s="127">
        <f>SUM(Q9:AB9)</f>
        <v/>
      </c>
      <c r="AE9" s="126">
        <f>JAN!$AJ9</f>
        <v/>
      </c>
      <c r="AF9" s="126">
        <f>FEV!$AJ9</f>
        <v/>
      </c>
      <c r="AG9" s="126">
        <f>MAR!$AJ9</f>
        <v/>
      </c>
      <c r="AH9" s="126">
        <f>ABR!$AJ9</f>
        <v/>
      </c>
      <c r="AI9" s="126">
        <f>MAI!$AJ9</f>
        <v/>
      </c>
      <c r="AJ9" s="126">
        <f>JUN!$AJ9</f>
        <v/>
      </c>
      <c r="AK9" s="126">
        <f>JUL!$AJ9</f>
        <v/>
      </c>
      <c r="AL9" s="126">
        <f>AGO!$AJ9</f>
        <v/>
      </c>
      <c r="AM9" s="126">
        <f>SET!$AJ9</f>
        <v/>
      </c>
      <c r="AN9" s="126">
        <f>OUT!$AJ9</f>
        <v/>
      </c>
      <c r="AO9" s="126">
        <f>NOV!$AJ9</f>
        <v/>
      </c>
      <c r="AP9" s="126">
        <f>DEZ!$AJ9</f>
        <v/>
      </c>
      <c r="AQ9" s="127">
        <f>SUM(AE9:AP9)</f>
        <v/>
      </c>
      <c r="AS9" s="126">
        <f>JAN!$AK9</f>
        <v/>
      </c>
      <c r="AT9" s="126">
        <f>FEV!$AK9</f>
        <v/>
      </c>
      <c r="AU9" s="126">
        <f>MAR!$AK9</f>
        <v/>
      </c>
      <c r="AV9" s="126">
        <f>ABR!$AK9</f>
        <v/>
      </c>
      <c r="AW9" s="126">
        <f>MAI!$AK9</f>
        <v/>
      </c>
      <c r="AX9" s="126">
        <f>JUN!$AK9</f>
        <v/>
      </c>
      <c r="AY9" s="126">
        <f>JUL!$AK9</f>
        <v/>
      </c>
      <c r="AZ9" s="126">
        <f>AGO!$AK9</f>
        <v/>
      </c>
      <c r="BA9" s="126">
        <f>SET!$AK9</f>
        <v/>
      </c>
      <c r="BB9" s="126">
        <f>OUT!$AK9</f>
        <v/>
      </c>
      <c r="BC9" s="126">
        <f>NOV!$AK9</f>
        <v/>
      </c>
      <c r="BD9" s="126">
        <f>DEZ!$AK9</f>
        <v/>
      </c>
      <c r="BE9" s="127">
        <f>SUM(AS9:BD9)</f>
        <v/>
      </c>
      <c r="BG9" s="93" t="n">
        <v>0</v>
      </c>
      <c r="BH9" s="107">
        <f>SUM(AE9:AP9)</f>
        <v/>
      </c>
      <c r="BI9" s="128">
        <f>IF(BG9="","",IF(BG9=BH9,"","⚠"))</f>
        <v/>
      </c>
    </row>
    <row r="10">
      <c r="A10" s="81" t="inlineStr">
        <is>
          <t>Pabdo</t>
        </is>
      </c>
      <c r="B10" s="125">
        <f>CADASTRO!$C6</f>
        <v/>
      </c>
      <c r="C10" s="126">
        <f>JAN!$AM10</f>
        <v/>
      </c>
      <c r="D10" s="126">
        <f>FEV!$AM10</f>
        <v/>
      </c>
      <c r="E10" s="126">
        <f>MAR!$AM10</f>
        <v/>
      </c>
      <c r="F10" s="126">
        <f>ABR!$AM10</f>
        <v/>
      </c>
      <c r="G10" s="126">
        <f>MAI!$AM10</f>
        <v/>
      </c>
      <c r="H10" s="126">
        <f>JUN!$AM10</f>
        <v/>
      </c>
      <c r="I10" s="126">
        <f>JUL!$AM10</f>
        <v/>
      </c>
      <c r="J10" s="126">
        <f>AGO!$AM10</f>
        <v/>
      </c>
      <c r="K10" s="126">
        <f>SET!$AM10</f>
        <v/>
      </c>
      <c r="L10" s="126">
        <f>OUT!$AM10</f>
        <v/>
      </c>
      <c r="M10" s="126">
        <f>NOV!$AM10</f>
        <v/>
      </c>
      <c r="N10" s="126">
        <f>DEZ!$AM10</f>
        <v/>
      </c>
      <c r="O10" s="127">
        <f>SUM(C10:N10)</f>
        <v/>
      </c>
      <c r="Q10" s="126">
        <f>JAN!$AI10</f>
        <v/>
      </c>
      <c r="R10" s="126">
        <f>FEV!$AI10</f>
        <v/>
      </c>
      <c r="S10" s="126">
        <f>MAR!$AI10</f>
        <v/>
      </c>
      <c r="T10" s="126">
        <f>ABR!$AI10</f>
        <v/>
      </c>
      <c r="U10" s="126">
        <f>MAI!$AI10</f>
        <v/>
      </c>
      <c r="V10" s="126">
        <f>JUN!$AI10</f>
        <v/>
      </c>
      <c r="W10" s="126">
        <f>JUL!$AI10</f>
        <v/>
      </c>
      <c r="X10" s="126">
        <f>AGO!$AI10</f>
        <v/>
      </c>
      <c r="Y10" s="126">
        <f>SET!$AI10</f>
        <v/>
      </c>
      <c r="Z10" s="126">
        <f>OUT!$AI10</f>
        <v/>
      </c>
      <c r="AA10" s="126">
        <f>NOV!$AI10</f>
        <v/>
      </c>
      <c r="AB10" s="126">
        <f>DEZ!$AI10</f>
        <v/>
      </c>
      <c r="AC10" s="127">
        <f>SUM(Q10:AB10)</f>
        <v/>
      </c>
      <c r="AE10" s="126">
        <f>JAN!$AJ10</f>
        <v/>
      </c>
      <c r="AF10" s="126">
        <f>FEV!$AJ10</f>
        <v/>
      </c>
      <c r="AG10" s="126">
        <f>MAR!$AJ10</f>
        <v/>
      </c>
      <c r="AH10" s="126">
        <f>ABR!$AJ10</f>
        <v/>
      </c>
      <c r="AI10" s="126">
        <f>MAI!$AJ10</f>
        <v/>
      </c>
      <c r="AJ10" s="126">
        <f>JUN!$AJ10</f>
        <v/>
      </c>
      <c r="AK10" s="126">
        <f>JUL!$AJ10</f>
        <v/>
      </c>
      <c r="AL10" s="126">
        <f>AGO!$AJ10</f>
        <v/>
      </c>
      <c r="AM10" s="126">
        <f>SET!$AJ10</f>
        <v/>
      </c>
      <c r="AN10" s="126">
        <f>OUT!$AJ10</f>
        <v/>
      </c>
      <c r="AO10" s="126">
        <f>NOV!$AJ10</f>
        <v/>
      </c>
      <c r="AP10" s="126">
        <f>DEZ!$AJ10</f>
        <v/>
      </c>
      <c r="AQ10" s="127">
        <f>SUM(AE10:AP10)</f>
        <v/>
      </c>
      <c r="AS10" s="126">
        <f>JAN!$AK10</f>
        <v/>
      </c>
      <c r="AT10" s="126">
        <f>FEV!$AK10</f>
        <v/>
      </c>
      <c r="AU10" s="126">
        <f>MAR!$AK10</f>
        <v/>
      </c>
      <c r="AV10" s="126">
        <f>ABR!$AK10</f>
        <v/>
      </c>
      <c r="AW10" s="126">
        <f>MAI!$AK10</f>
        <v/>
      </c>
      <c r="AX10" s="126">
        <f>JUN!$AK10</f>
        <v/>
      </c>
      <c r="AY10" s="126">
        <f>JUL!$AK10</f>
        <v/>
      </c>
      <c r="AZ10" s="126">
        <f>AGO!$AK10</f>
        <v/>
      </c>
      <c r="BA10" s="126">
        <f>SET!$AK10</f>
        <v/>
      </c>
      <c r="BB10" s="126">
        <f>OUT!$AK10</f>
        <v/>
      </c>
      <c r="BC10" s="126">
        <f>NOV!$AK10</f>
        <v/>
      </c>
      <c r="BD10" s="126">
        <f>DEZ!$AK10</f>
        <v/>
      </c>
      <c r="BE10" s="127">
        <f>SUM(AS10:BD10)</f>
        <v/>
      </c>
      <c r="BG10" s="93" t="n">
        <v>0</v>
      </c>
      <c r="BH10" s="107">
        <f>SUM(AE10:AP10)</f>
        <v/>
      </c>
      <c r="BI10" s="128">
        <f>IF(BG10="","",IF(BG10=BH10,"","⚠"))</f>
        <v/>
      </c>
    </row>
    <row r="11">
      <c r="A11" s="81" t="inlineStr">
        <is>
          <t>MSalomão</t>
        </is>
      </c>
      <c r="B11" s="125">
        <f>CADASTRO!$C7</f>
        <v/>
      </c>
      <c r="C11" s="126">
        <f>JAN!$AM11</f>
        <v/>
      </c>
      <c r="D11" s="126">
        <f>FEV!$AM11</f>
        <v/>
      </c>
      <c r="E11" s="126">
        <f>MAR!$AM11</f>
        <v/>
      </c>
      <c r="F11" s="126">
        <f>ABR!$AM11</f>
        <v/>
      </c>
      <c r="G11" s="126">
        <f>MAI!$AM11</f>
        <v/>
      </c>
      <c r="H11" s="126">
        <f>JUN!$AM11</f>
        <v/>
      </c>
      <c r="I11" s="126">
        <f>JUL!$AM11</f>
        <v/>
      </c>
      <c r="J11" s="126">
        <f>AGO!$AM11</f>
        <v/>
      </c>
      <c r="K11" s="126">
        <f>SET!$AM11</f>
        <v/>
      </c>
      <c r="L11" s="126">
        <f>OUT!$AM11</f>
        <v/>
      </c>
      <c r="M11" s="126">
        <f>NOV!$AM11</f>
        <v/>
      </c>
      <c r="N11" s="126">
        <f>DEZ!$AM11</f>
        <v/>
      </c>
      <c r="O11" s="127">
        <f>SUM(C11:N11)</f>
        <v/>
      </c>
      <c r="Q11" s="126">
        <f>JAN!$AI11</f>
        <v/>
      </c>
      <c r="R11" s="126">
        <f>FEV!$AI11</f>
        <v/>
      </c>
      <c r="S11" s="126">
        <f>MAR!$AI11</f>
        <v/>
      </c>
      <c r="T11" s="126">
        <f>ABR!$AI11</f>
        <v/>
      </c>
      <c r="U11" s="126">
        <f>MAI!$AI11</f>
        <v/>
      </c>
      <c r="V11" s="126">
        <f>JUN!$AI11</f>
        <v/>
      </c>
      <c r="W11" s="126">
        <f>JUL!$AI11</f>
        <v/>
      </c>
      <c r="X11" s="126">
        <f>AGO!$AI11</f>
        <v/>
      </c>
      <c r="Y11" s="126">
        <f>SET!$AI11</f>
        <v/>
      </c>
      <c r="Z11" s="126">
        <f>OUT!$AI11</f>
        <v/>
      </c>
      <c r="AA11" s="126">
        <f>NOV!$AI11</f>
        <v/>
      </c>
      <c r="AB11" s="126">
        <f>DEZ!$AI11</f>
        <v/>
      </c>
      <c r="AC11" s="127">
        <f>SUM(Q11:AB11)</f>
        <v/>
      </c>
      <c r="AE11" s="126">
        <f>JAN!$AJ11</f>
        <v/>
      </c>
      <c r="AF11" s="126">
        <f>FEV!$AJ11</f>
        <v/>
      </c>
      <c r="AG11" s="126">
        <f>MAR!$AJ11</f>
        <v/>
      </c>
      <c r="AH11" s="126">
        <f>ABR!$AJ11</f>
        <v/>
      </c>
      <c r="AI11" s="126">
        <f>MAI!$AJ11</f>
        <v/>
      </c>
      <c r="AJ11" s="126">
        <f>JUN!$AJ11</f>
        <v/>
      </c>
      <c r="AK11" s="126">
        <f>JUL!$AJ11</f>
        <v/>
      </c>
      <c r="AL11" s="126">
        <f>AGO!$AJ11</f>
        <v/>
      </c>
      <c r="AM11" s="126">
        <f>SET!$AJ11</f>
        <v/>
      </c>
      <c r="AN11" s="126">
        <f>OUT!$AJ11</f>
        <v/>
      </c>
      <c r="AO11" s="126">
        <f>NOV!$AJ11</f>
        <v/>
      </c>
      <c r="AP11" s="126">
        <f>DEZ!$AJ11</f>
        <v/>
      </c>
      <c r="AQ11" s="127">
        <f>SUM(AE11:AP11)</f>
        <v/>
      </c>
      <c r="AS11" s="126">
        <f>JAN!$AK11</f>
        <v/>
      </c>
      <c r="AT11" s="126">
        <f>FEV!$AK11</f>
        <v/>
      </c>
      <c r="AU11" s="126">
        <f>MAR!$AK11</f>
        <v/>
      </c>
      <c r="AV11" s="126">
        <f>ABR!$AK11</f>
        <v/>
      </c>
      <c r="AW11" s="126">
        <f>MAI!$AK11</f>
        <v/>
      </c>
      <c r="AX11" s="126">
        <f>JUN!$AK11</f>
        <v/>
      </c>
      <c r="AY11" s="126">
        <f>JUL!$AK11</f>
        <v/>
      </c>
      <c r="AZ11" s="126">
        <f>AGO!$AK11</f>
        <v/>
      </c>
      <c r="BA11" s="126">
        <f>SET!$AK11</f>
        <v/>
      </c>
      <c r="BB11" s="126">
        <f>OUT!$AK11</f>
        <v/>
      </c>
      <c r="BC11" s="126">
        <f>NOV!$AK11</f>
        <v/>
      </c>
      <c r="BD11" s="126">
        <f>DEZ!$AK11</f>
        <v/>
      </c>
      <c r="BE11" s="127">
        <f>SUM(AS11:BD11)</f>
        <v/>
      </c>
      <c r="BG11" s="93" t="n">
        <v>0</v>
      </c>
      <c r="BH11" s="107">
        <f>SUM(AE11:AP11)</f>
        <v/>
      </c>
      <c r="BI11" s="128">
        <f>IF(BG11="","",IF(BG11=BH11,"","⚠"))</f>
        <v/>
      </c>
    </row>
    <row r="12">
      <c r="A12" s="81" t="inlineStr">
        <is>
          <t>DebAlves</t>
        </is>
      </c>
      <c r="B12" s="125">
        <f>CADASTRO!$C8</f>
        <v/>
      </c>
      <c r="C12" s="126">
        <f>JAN!$AM12</f>
        <v/>
      </c>
      <c r="D12" s="126">
        <f>FEV!$AM12</f>
        <v/>
      </c>
      <c r="E12" s="126">
        <f>MAR!$AM12</f>
        <v/>
      </c>
      <c r="F12" s="126">
        <f>ABR!$AM12</f>
        <v/>
      </c>
      <c r="G12" s="126">
        <f>MAI!$AM12</f>
        <v/>
      </c>
      <c r="H12" s="126">
        <f>JUN!$AM12</f>
        <v/>
      </c>
      <c r="I12" s="126">
        <f>JUL!$AM12</f>
        <v/>
      </c>
      <c r="J12" s="126">
        <f>AGO!$AM12</f>
        <v/>
      </c>
      <c r="K12" s="126">
        <f>SET!$AM12</f>
        <v/>
      </c>
      <c r="L12" s="126">
        <f>OUT!$AM12</f>
        <v/>
      </c>
      <c r="M12" s="126">
        <f>NOV!$AM12</f>
        <v/>
      </c>
      <c r="N12" s="126">
        <f>DEZ!$AM12</f>
        <v/>
      </c>
      <c r="O12" s="127">
        <f>SUM(C12:N12)</f>
        <v/>
      </c>
      <c r="Q12" s="126">
        <f>JAN!$AI12</f>
        <v/>
      </c>
      <c r="R12" s="126">
        <f>FEV!$AI12</f>
        <v/>
      </c>
      <c r="S12" s="126">
        <f>MAR!$AI12</f>
        <v/>
      </c>
      <c r="T12" s="126">
        <f>ABR!$AI12</f>
        <v/>
      </c>
      <c r="U12" s="126">
        <f>MAI!$AI12</f>
        <v/>
      </c>
      <c r="V12" s="126">
        <f>JUN!$AI12</f>
        <v/>
      </c>
      <c r="W12" s="126">
        <f>JUL!$AI12</f>
        <v/>
      </c>
      <c r="X12" s="126">
        <f>AGO!$AI12</f>
        <v/>
      </c>
      <c r="Y12" s="126">
        <f>SET!$AI12</f>
        <v/>
      </c>
      <c r="Z12" s="126">
        <f>OUT!$AI12</f>
        <v/>
      </c>
      <c r="AA12" s="126">
        <f>NOV!$AI12</f>
        <v/>
      </c>
      <c r="AB12" s="126">
        <f>DEZ!$AI12</f>
        <v/>
      </c>
      <c r="AC12" s="127">
        <f>SUM(Q12:AB12)</f>
        <v/>
      </c>
      <c r="AE12" s="126">
        <f>JAN!$AJ12</f>
        <v/>
      </c>
      <c r="AF12" s="126">
        <f>FEV!$AJ12</f>
        <v/>
      </c>
      <c r="AG12" s="126">
        <f>MAR!$AJ12</f>
        <v/>
      </c>
      <c r="AH12" s="126">
        <f>ABR!$AJ12</f>
        <v/>
      </c>
      <c r="AI12" s="126">
        <f>MAI!$AJ12</f>
        <v/>
      </c>
      <c r="AJ12" s="126">
        <f>JUN!$AJ12</f>
        <v/>
      </c>
      <c r="AK12" s="126">
        <f>JUL!$AJ12</f>
        <v/>
      </c>
      <c r="AL12" s="126">
        <f>AGO!$AJ12</f>
        <v/>
      </c>
      <c r="AM12" s="126">
        <f>SET!$AJ12</f>
        <v/>
      </c>
      <c r="AN12" s="126">
        <f>OUT!$AJ12</f>
        <v/>
      </c>
      <c r="AO12" s="126">
        <f>NOV!$AJ12</f>
        <v/>
      </c>
      <c r="AP12" s="126">
        <f>DEZ!$AJ12</f>
        <v/>
      </c>
      <c r="AQ12" s="127">
        <f>SUM(AE12:AP12)</f>
        <v/>
      </c>
      <c r="AS12" s="126">
        <f>JAN!$AK12</f>
        <v/>
      </c>
      <c r="AT12" s="126">
        <f>FEV!$AK12</f>
        <v/>
      </c>
      <c r="AU12" s="126">
        <f>MAR!$AK12</f>
        <v/>
      </c>
      <c r="AV12" s="126">
        <f>ABR!$AK12</f>
        <v/>
      </c>
      <c r="AW12" s="126">
        <f>MAI!$AK12</f>
        <v/>
      </c>
      <c r="AX12" s="126">
        <f>JUN!$AK12</f>
        <v/>
      </c>
      <c r="AY12" s="126">
        <f>JUL!$AK12</f>
        <v/>
      </c>
      <c r="AZ12" s="126">
        <f>AGO!$AK12</f>
        <v/>
      </c>
      <c r="BA12" s="126">
        <f>SET!$AK12</f>
        <v/>
      </c>
      <c r="BB12" s="126">
        <f>OUT!$AK12</f>
        <v/>
      </c>
      <c r="BC12" s="126">
        <f>NOV!$AK12</f>
        <v/>
      </c>
      <c r="BD12" s="126">
        <f>DEZ!$AK12</f>
        <v/>
      </c>
      <c r="BE12" s="127">
        <f>SUM(AS12:BD12)</f>
        <v/>
      </c>
      <c r="BG12" s="93" t="n">
        <v>0</v>
      </c>
      <c r="BH12" s="107">
        <f>SUM(AE12:AP12)</f>
        <v/>
      </c>
      <c r="BI12" s="128">
        <f>IF(BG12="","",IF(BG12=BH12,"","⚠"))</f>
        <v/>
      </c>
    </row>
    <row r="13">
      <c r="A13" s="81" t="inlineStr">
        <is>
          <t>Vinicius</t>
        </is>
      </c>
      <c r="B13" s="125">
        <f>CADASTRO!$C9</f>
        <v/>
      </c>
      <c r="C13" s="126">
        <f>JAN!$AM13</f>
        <v/>
      </c>
      <c r="D13" s="126">
        <f>FEV!$AM13</f>
        <v/>
      </c>
      <c r="E13" s="126">
        <f>MAR!$AM13</f>
        <v/>
      </c>
      <c r="F13" s="126">
        <f>ABR!$AM13</f>
        <v/>
      </c>
      <c r="G13" s="126">
        <f>MAI!$AM13</f>
        <v/>
      </c>
      <c r="H13" s="126">
        <f>JUN!$AM13</f>
        <v/>
      </c>
      <c r="I13" s="126">
        <f>JUL!$AM13</f>
        <v/>
      </c>
      <c r="J13" s="126">
        <f>AGO!$AM13</f>
        <v/>
      </c>
      <c r="K13" s="126">
        <f>SET!$AM13</f>
        <v/>
      </c>
      <c r="L13" s="126">
        <f>OUT!$AM13</f>
        <v/>
      </c>
      <c r="M13" s="126">
        <f>NOV!$AM13</f>
        <v/>
      </c>
      <c r="N13" s="126">
        <f>DEZ!$AM13</f>
        <v/>
      </c>
      <c r="O13" s="127">
        <f>SUM(C13:N13)</f>
        <v/>
      </c>
      <c r="Q13" s="126">
        <f>JAN!$AI13</f>
        <v/>
      </c>
      <c r="R13" s="126">
        <f>FEV!$AI13</f>
        <v/>
      </c>
      <c r="S13" s="126">
        <f>MAR!$AI13</f>
        <v/>
      </c>
      <c r="T13" s="126">
        <f>ABR!$AI13</f>
        <v/>
      </c>
      <c r="U13" s="126">
        <f>MAI!$AI13</f>
        <v/>
      </c>
      <c r="V13" s="126">
        <f>JUN!$AI13</f>
        <v/>
      </c>
      <c r="W13" s="126">
        <f>JUL!$AI13</f>
        <v/>
      </c>
      <c r="X13" s="126">
        <f>AGO!$AI13</f>
        <v/>
      </c>
      <c r="Y13" s="126">
        <f>SET!$AI13</f>
        <v/>
      </c>
      <c r="Z13" s="126">
        <f>OUT!$AI13</f>
        <v/>
      </c>
      <c r="AA13" s="126">
        <f>NOV!$AI13</f>
        <v/>
      </c>
      <c r="AB13" s="126">
        <f>DEZ!$AI13</f>
        <v/>
      </c>
      <c r="AC13" s="127">
        <f>SUM(Q13:AB13)</f>
        <v/>
      </c>
      <c r="AE13" s="126">
        <f>JAN!$AJ13</f>
        <v/>
      </c>
      <c r="AF13" s="126">
        <f>FEV!$AJ13</f>
        <v/>
      </c>
      <c r="AG13" s="126">
        <f>MAR!$AJ13</f>
        <v/>
      </c>
      <c r="AH13" s="126">
        <f>ABR!$AJ13</f>
        <v/>
      </c>
      <c r="AI13" s="126">
        <f>MAI!$AJ13</f>
        <v/>
      </c>
      <c r="AJ13" s="126">
        <f>JUN!$AJ13</f>
        <v/>
      </c>
      <c r="AK13" s="126">
        <f>JUL!$AJ13</f>
        <v/>
      </c>
      <c r="AL13" s="126">
        <f>AGO!$AJ13</f>
        <v/>
      </c>
      <c r="AM13" s="126">
        <f>SET!$AJ13</f>
        <v/>
      </c>
      <c r="AN13" s="126">
        <f>OUT!$AJ13</f>
        <v/>
      </c>
      <c r="AO13" s="126">
        <f>NOV!$AJ13</f>
        <v/>
      </c>
      <c r="AP13" s="126">
        <f>DEZ!$AJ13</f>
        <v/>
      </c>
      <c r="AQ13" s="127">
        <f>SUM(AE13:AP13)</f>
        <v/>
      </c>
      <c r="AS13" s="126">
        <f>JAN!$AK13</f>
        <v/>
      </c>
      <c r="AT13" s="126">
        <f>FEV!$AK13</f>
        <v/>
      </c>
      <c r="AU13" s="126">
        <f>MAR!$AK13</f>
        <v/>
      </c>
      <c r="AV13" s="126">
        <f>ABR!$AK13</f>
        <v/>
      </c>
      <c r="AW13" s="126">
        <f>MAI!$AK13</f>
        <v/>
      </c>
      <c r="AX13" s="126">
        <f>JUN!$AK13</f>
        <v/>
      </c>
      <c r="AY13" s="126">
        <f>JUL!$AK13</f>
        <v/>
      </c>
      <c r="AZ13" s="126">
        <f>AGO!$AK13</f>
        <v/>
      </c>
      <c r="BA13" s="126">
        <f>SET!$AK13</f>
        <v/>
      </c>
      <c r="BB13" s="126">
        <f>OUT!$AK13</f>
        <v/>
      </c>
      <c r="BC13" s="126">
        <f>NOV!$AK13</f>
        <v/>
      </c>
      <c r="BD13" s="126">
        <f>DEZ!$AK13</f>
        <v/>
      </c>
      <c r="BE13" s="127">
        <f>SUM(AS13:BD13)</f>
        <v/>
      </c>
      <c r="BG13" s="93" t="n">
        <v>0</v>
      </c>
      <c r="BH13" s="107">
        <f>SUM(AE13:AP13)</f>
        <v/>
      </c>
      <c r="BI13" s="128">
        <f>IF(BG13="","",IF(BG13=BH13,"","⚠"))</f>
        <v/>
      </c>
    </row>
    <row r="14">
      <c r="A14" s="81" t="inlineStr">
        <is>
          <t>Amelio</t>
        </is>
      </c>
      <c r="B14" s="125">
        <f>CADASTRO!$C10</f>
        <v/>
      </c>
      <c r="C14" s="126">
        <f>JAN!$AM14</f>
        <v/>
      </c>
      <c r="D14" s="126">
        <f>FEV!$AM14</f>
        <v/>
      </c>
      <c r="E14" s="126">
        <f>MAR!$AM14</f>
        <v/>
      </c>
      <c r="F14" s="126">
        <f>ABR!$AM14</f>
        <v/>
      </c>
      <c r="G14" s="126">
        <f>MAI!$AM14</f>
        <v/>
      </c>
      <c r="H14" s="126">
        <f>JUN!$AM14</f>
        <v/>
      </c>
      <c r="I14" s="126">
        <f>JUL!$AM14</f>
        <v/>
      </c>
      <c r="J14" s="126">
        <f>AGO!$AM14</f>
        <v/>
      </c>
      <c r="K14" s="126">
        <f>SET!$AM14</f>
        <v/>
      </c>
      <c r="L14" s="126">
        <f>OUT!$AM14</f>
        <v/>
      </c>
      <c r="M14" s="126">
        <f>NOV!$AM14</f>
        <v/>
      </c>
      <c r="N14" s="126">
        <f>DEZ!$AM14</f>
        <v/>
      </c>
      <c r="O14" s="127">
        <f>SUM(C14:N14)</f>
        <v/>
      </c>
      <c r="Q14" s="126">
        <f>JAN!$AI14</f>
        <v/>
      </c>
      <c r="R14" s="126">
        <f>FEV!$AI14</f>
        <v/>
      </c>
      <c r="S14" s="126">
        <f>MAR!$AI14</f>
        <v/>
      </c>
      <c r="T14" s="126">
        <f>ABR!$AI14</f>
        <v/>
      </c>
      <c r="U14" s="126">
        <f>MAI!$AI14</f>
        <v/>
      </c>
      <c r="V14" s="126">
        <f>JUN!$AI14</f>
        <v/>
      </c>
      <c r="W14" s="126">
        <f>JUL!$AI14</f>
        <v/>
      </c>
      <c r="X14" s="126">
        <f>AGO!$AI14</f>
        <v/>
      </c>
      <c r="Y14" s="126">
        <f>SET!$AI14</f>
        <v/>
      </c>
      <c r="Z14" s="126">
        <f>OUT!$AI14</f>
        <v/>
      </c>
      <c r="AA14" s="126">
        <f>NOV!$AI14</f>
        <v/>
      </c>
      <c r="AB14" s="126">
        <f>DEZ!$AI14</f>
        <v/>
      </c>
      <c r="AC14" s="127">
        <f>SUM(Q14:AB14)</f>
        <v/>
      </c>
      <c r="AE14" s="126">
        <f>JAN!$AJ14</f>
        <v/>
      </c>
      <c r="AF14" s="126">
        <f>FEV!$AJ14</f>
        <v/>
      </c>
      <c r="AG14" s="126">
        <f>MAR!$AJ14</f>
        <v/>
      </c>
      <c r="AH14" s="126">
        <f>ABR!$AJ14</f>
        <v/>
      </c>
      <c r="AI14" s="126">
        <f>MAI!$AJ14</f>
        <v/>
      </c>
      <c r="AJ14" s="126">
        <f>JUN!$AJ14</f>
        <v/>
      </c>
      <c r="AK14" s="126">
        <f>JUL!$AJ14</f>
        <v/>
      </c>
      <c r="AL14" s="126">
        <f>AGO!$AJ14</f>
        <v/>
      </c>
      <c r="AM14" s="126">
        <f>SET!$AJ14</f>
        <v/>
      </c>
      <c r="AN14" s="126">
        <f>OUT!$AJ14</f>
        <v/>
      </c>
      <c r="AO14" s="126">
        <f>NOV!$AJ14</f>
        <v/>
      </c>
      <c r="AP14" s="126">
        <f>DEZ!$AJ14</f>
        <v/>
      </c>
      <c r="AQ14" s="127">
        <f>SUM(AE14:AP14)</f>
        <v/>
      </c>
      <c r="AS14" s="126">
        <f>JAN!$AK14</f>
        <v/>
      </c>
      <c r="AT14" s="126">
        <f>FEV!$AK14</f>
        <v/>
      </c>
      <c r="AU14" s="126">
        <f>MAR!$AK14</f>
        <v/>
      </c>
      <c r="AV14" s="126">
        <f>ABR!$AK14</f>
        <v/>
      </c>
      <c r="AW14" s="126">
        <f>MAI!$AK14</f>
        <v/>
      </c>
      <c r="AX14" s="126">
        <f>JUN!$AK14</f>
        <v/>
      </c>
      <c r="AY14" s="126">
        <f>JUL!$AK14</f>
        <v/>
      </c>
      <c r="AZ14" s="126">
        <f>AGO!$AK14</f>
        <v/>
      </c>
      <c r="BA14" s="126">
        <f>SET!$AK14</f>
        <v/>
      </c>
      <c r="BB14" s="126">
        <f>OUT!$AK14</f>
        <v/>
      </c>
      <c r="BC14" s="126">
        <f>NOV!$AK14</f>
        <v/>
      </c>
      <c r="BD14" s="126">
        <f>DEZ!$AK14</f>
        <v/>
      </c>
      <c r="BE14" s="127">
        <f>SUM(AS14:BD14)</f>
        <v/>
      </c>
      <c r="BG14" s="93" t="n">
        <v>3</v>
      </c>
      <c r="BH14" s="107">
        <f>SUM(AE14:AP14)</f>
        <v/>
      </c>
      <c r="BI14" s="128">
        <f>IF(BG14="","",IF(BG14=BH14,"","⚠"))</f>
        <v/>
      </c>
    </row>
    <row r="15">
      <c r="A15" s="81" t="inlineStr">
        <is>
          <t>Murilo</t>
        </is>
      </c>
      <c r="B15" s="125">
        <f>CADASTRO!$C11</f>
        <v/>
      </c>
      <c r="C15" s="126">
        <f>JAN!$AM15</f>
        <v/>
      </c>
      <c r="D15" s="126">
        <f>FEV!$AM15</f>
        <v/>
      </c>
      <c r="E15" s="126">
        <f>MAR!$AM15</f>
        <v/>
      </c>
      <c r="F15" s="126">
        <f>ABR!$AM15</f>
        <v/>
      </c>
      <c r="G15" s="126">
        <f>MAI!$AM15</f>
        <v/>
      </c>
      <c r="H15" s="126">
        <f>JUN!$AM15</f>
        <v/>
      </c>
      <c r="I15" s="126">
        <f>JUL!$AM15</f>
        <v/>
      </c>
      <c r="J15" s="126">
        <f>AGO!$AM15</f>
        <v/>
      </c>
      <c r="K15" s="126">
        <f>SET!$AM15</f>
        <v/>
      </c>
      <c r="L15" s="126">
        <f>OUT!$AM15</f>
        <v/>
      </c>
      <c r="M15" s="126">
        <f>NOV!$AM15</f>
        <v/>
      </c>
      <c r="N15" s="126">
        <f>DEZ!$AM15</f>
        <v/>
      </c>
      <c r="O15" s="127">
        <f>SUM(C15:N15)</f>
        <v/>
      </c>
      <c r="Q15" s="126">
        <f>JAN!$AI15</f>
        <v/>
      </c>
      <c r="R15" s="126">
        <f>FEV!$AI15</f>
        <v/>
      </c>
      <c r="S15" s="126">
        <f>MAR!$AI15</f>
        <v/>
      </c>
      <c r="T15" s="126">
        <f>ABR!$AI15</f>
        <v/>
      </c>
      <c r="U15" s="126">
        <f>MAI!$AI15</f>
        <v/>
      </c>
      <c r="V15" s="126">
        <f>JUN!$AI15</f>
        <v/>
      </c>
      <c r="W15" s="126">
        <f>JUL!$AI15</f>
        <v/>
      </c>
      <c r="X15" s="126">
        <f>AGO!$AI15</f>
        <v/>
      </c>
      <c r="Y15" s="126">
        <f>SET!$AI15</f>
        <v/>
      </c>
      <c r="Z15" s="126">
        <f>OUT!$AI15</f>
        <v/>
      </c>
      <c r="AA15" s="126">
        <f>NOV!$AI15</f>
        <v/>
      </c>
      <c r="AB15" s="126">
        <f>DEZ!$AI15</f>
        <v/>
      </c>
      <c r="AC15" s="127">
        <f>SUM(Q15:AB15)</f>
        <v/>
      </c>
      <c r="AE15" s="126">
        <f>JAN!$AJ15</f>
        <v/>
      </c>
      <c r="AF15" s="126">
        <f>FEV!$AJ15</f>
        <v/>
      </c>
      <c r="AG15" s="126">
        <f>MAR!$AJ15</f>
        <v/>
      </c>
      <c r="AH15" s="126">
        <f>ABR!$AJ15</f>
        <v/>
      </c>
      <c r="AI15" s="126">
        <f>MAI!$AJ15</f>
        <v/>
      </c>
      <c r="AJ15" s="126">
        <f>JUN!$AJ15</f>
        <v/>
      </c>
      <c r="AK15" s="126">
        <f>JUL!$AJ15</f>
        <v/>
      </c>
      <c r="AL15" s="126">
        <f>AGO!$AJ15</f>
        <v/>
      </c>
      <c r="AM15" s="126">
        <f>SET!$AJ15</f>
        <v/>
      </c>
      <c r="AN15" s="126">
        <f>OUT!$AJ15</f>
        <v/>
      </c>
      <c r="AO15" s="126">
        <f>NOV!$AJ15</f>
        <v/>
      </c>
      <c r="AP15" s="126">
        <f>DEZ!$AJ15</f>
        <v/>
      </c>
      <c r="AQ15" s="127">
        <f>SUM(AE15:AP15)</f>
        <v/>
      </c>
      <c r="AS15" s="126">
        <f>JAN!$AK15</f>
        <v/>
      </c>
      <c r="AT15" s="126">
        <f>FEV!$AK15</f>
        <v/>
      </c>
      <c r="AU15" s="126">
        <f>MAR!$AK15</f>
        <v/>
      </c>
      <c r="AV15" s="126">
        <f>ABR!$AK15</f>
        <v/>
      </c>
      <c r="AW15" s="126">
        <f>MAI!$AK15</f>
        <v/>
      </c>
      <c r="AX15" s="126">
        <f>JUN!$AK15</f>
        <v/>
      </c>
      <c r="AY15" s="126">
        <f>JUL!$AK15</f>
        <v/>
      </c>
      <c r="AZ15" s="126">
        <f>AGO!$AK15</f>
        <v/>
      </c>
      <c r="BA15" s="126">
        <f>SET!$AK15</f>
        <v/>
      </c>
      <c r="BB15" s="126">
        <f>OUT!$AK15</f>
        <v/>
      </c>
      <c r="BC15" s="126">
        <f>NOV!$AK15</f>
        <v/>
      </c>
      <c r="BD15" s="126">
        <f>DEZ!$AK15</f>
        <v/>
      </c>
      <c r="BE15" s="127">
        <f>SUM(AS15:BD15)</f>
        <v/>
      </c>
      <c r="BG15" s="93" t="n">
        <v>0</v>
      </c>
      <c r="BH15" s="107">
        <f>SUM(AE15:AP15)</f>
        <v/>
      </c>
      <c r="BI15" s="128">
        <f>IF(BG15="","",IF(BG15=BH15,"","⚠"))</f>
        <v/>
      </c>
    </row>
    <row r="16">
      <c r="A16" s="81" t="inlineStr">
        <is>
          <t>Janaina</t>
        </is>
      </c>
      <c r="B16" s="125">
        <f>CADASTRO!$C12</f>
        <v/>
      </c>
      <c r="C16" s="126">
        <f>JAN!$AM16</f>
        <v/>
      </c>
      <c r="D16" s="126">
        <f>FEV!$AM16</f>
        <v/>
      </c>
      <c r="E16" s="126">
        <f>MAR!$AM16</f>
        <v/>
      </c>
      <c r="F16" s="126">
        <f>ABR!$AM16</f>
        <v/>
      </c>
      <c r="G16" s="126">
        <f>MAI!$AM16</f>
        <v/>
      </c>
      <c r="H16" s="126">
        <f>JUN!$AM16</f>
        <v/>
      </c>
      <c r="I16" s="126">
        <f>JUL!$AM16</f>
        <v/>
      </c>
      <c r="J16" s="126">
        <f>AGO!$AM16</f>
        <v/>
      </c>
      <c r="K16" s="126">
        <f>SET!$AM16</f>
        <v/>
      </c>
      <c r="L16" s="126">
        <f>OUT!$AM16</f>
        <v/>
      </c>
      <c r="M16" s="126">
        <f>NOV!$AM16</f>
        <v/>
      </c>
      <c r="N16" s="126">
        <f>DEZ!$AM16</f>
        <v/>
      </c>
      <c r="O16" s="127">
        <f>SUM(C16:N16)</f>
        <v/>
      </c>
      <c r="Q16" s="126">
        <f>JAN!$AI16</f>
        <v/>
      </c>
      <c r="R16" s="126">
        <f>FEV!$AI16</f>
        <v/>
      </c>
      <c r="S16" s="126">
        <f>MAR!$AI16</f>
        <v/>
      </c>
      <c r="T16" s="126">
        <f>ABR!$AI16</f>
        <v/>
      </c>
      <c r="U16" s="126">
        <f>MAI!$AI16</f>
        <v/>
      </c>
      <c r="V16" s="126">
        <f>JUN!$AI16</f>
        <v/>
      </c>
      <c r="W16" s="126">
        <f>JUL!$AI16</f>
        <v/>
      </c>
      <c r="X16" s="126">
        <f>AGO!$AI16</f>
        <v/>
      </c>
      <c r="Y16" s="126">
        <f>SET!$AI16</f>
        <v/>
      </c>
      <c r="Z16" s="126">
        <f>OUT!$AI16</f>
        <v/>
      </c>
      <c r="AA16" s="126">
        <f>NOV!$AI16</f>
        <v/>
      </c>
      <c r="AB16" s="126">
        <f>DEZ!$AI16</f>
        <v/>
      </c>
      <c r="AC16" s="127">
        <f>SUM(Q16:AB16)</f>
        <v/>
      </c>
      <c r="AE16" s="126">
        <f>JAN!$AJ16</f>
        <v/>
      </c>
      <c r="AF16" s="126">
        <f>FEV!$AJ16</f>
        <v/>
      </c>
      <c r="AG16" s="126">
        <f>MAR!$AJ16</f>
        <v/>
      </c>
      <c r="AH16" s="126">
        <f>ABR!$AJ16</f>
        <v/>
      </c>
      <c r="AI16" s="126">
        <f>MAI!$AJ16</f>
        <v/>
      </c>
      <c r="AJ16" s="126">
        <f>JUN!$AJ16</f>
        <v/>
      </c>
      <c r="AK16" s="126">
        <f>JUL!$AJ16</f>
        <v/>
      </c>
      <c r="AL16" s="126">
        <f>AGO!$AJ16</f>
        <v/>
      </c>
      <c r="AM16" s="126">
        <f>SET!$AJ16</f>
        <v/>
      </c>
      <c r="AN16" s="126">
        <f>OUT!$AJ16</f>
        <v/>
      </c>
      <c r="AO16" s="126">
        <f>NOV!$AJ16</f>
        <v/>
      </c>
      <c r="AP16" s="126">
        <f>DEZ!$AJ16</f>
        <v/>
      </c>
      <c r="AQ16" s="127">
        <f>SUM(AE16:AP16)</f>
        <v/>
      </c>
      <c r="AS16" s="126">
        <f>JAN!$AK16</f>
        <v/>
      </c>
      <c r="AT16" s="126">
        <f>FEV!$AK16</f>
        <v/>
      </c>
      <c r="AU16" s="126">
        <f>MAR!$AK16</f>
        <v/>
      </c>
      <c r="AV16" s="126">
        <f>ABR!$AK16</f>
        <v/>
      </c>
      <c r="AW16" s="126">
        <f>MAI!$AK16</f>
        <v/>
      </c>
      <c r="AX16" s="126">
        <f>JUN!$AK16</f>
        <v/>
      </c>
      <c r="AY16" s="126">
        <f>JUL!$AK16</f>
        <v/>
      </c>
      <c r="AZ16" s="126">
        <f>AGO!$AK16</f>
        <v/>
      </c>
      <c r="BA16" s="126">
        <f>SET!$AK16</f>
        <v/>
      </c>
      <c r="BB16" s="126">
        <f>OUT!$AK16</f>
        <v/>
      </c>
      <c r="BC16" s="126">
        <f>NOV!$AK16</f>
        <v/>
      </c>
      <c r="BD16" s="126">
        <f>DEZ!$AK16</f>
        <v/>
      </c>
      <c r="BE16" s="127">
        <f>SUM(AS16:BD16)</f>
        <v/>
      </c>
      <c r="BG16" s="93" t="n">
        <v>0</v>
      </c>
      <c r="BH16" s="107">
        <f>SUM(AE16:AP16)</f>
        <v/>
      </c>
      <c r="BI16" s="128">
        <f>IF(BG16="","",IF(BG16=BH16,"","⚠"))</f>
        <v/>
      </c>
    </row>
    <row r="17">
      <c r="A17" s="81" t="inlineStr">
        <is>
          <t>Aline</t>
        </is>
      </c>
      <c r="B17" s="125">
        <f>CADASTRO!$C13</f>
        <v/>
      </c>
      <c r="C17" s="126">
        <f>JAN!$AM17</f>
        <v/>
      </c>
      <c r="D17" s="126">
        <f>FEV!$AM17</f>
        <v/>
      </c>
      <c r="E17" s="126">
        <f>MAR!$AM17</f>
        <v/>
      </c>
      <c r="F17" s="126">
        <f>ABR!$AM17</f>
        <v/>
      </c>
      <c r="G17" s="126">
        <f>MAI!$AM17</f>
        <v/>
      </c>
      <c r="H17" s="126">
        <f>JUN!$AM17</f>
        <v/>
      </c>
      <c r="I17" s="126">
        <f>JUL!$AM17</f>
        <v/>
      </c>
      <c r="J17" s="126">
        <f>AGO!$AM17</f>
        <v/>
      </c>
      <c r="K17" s="126">
        <f>SET!$AM17</f>
        <v/>
      </c>
      <c r="L17" s="126">
        <f>OUT!$AM17</f>
        <v/>
      </c>
      <c r="M17" s="126">
        <f>NOV!$AM17</f>
        <v/>
      </c>
      <c r="N17" s="126">
        <f>DEZ!$AM17</f>
        <v/>
      </c>
      <c r="O17" s="127">
        <f>SUM(C17:N17)</f>
        <v/>
      </c>
      <c r="Q17" s="126">
        <f>JAN!$AI17</f>
        <v/>
      </c>
      <c r="R17" s="126">
        <f>FEV!$AI17</f>
        <v/>
      </c>
      <c r="S17" s="126">
        <f>MAR!$AI17</f>
        <v/>
      </c>
      <c r="T17" s="126">
        <f>ABR!$AI17</f>
        <v/>
      </c>
      <c r="U17" s="126">
        <f>MAI!$AI17</f>
        <v/>
      </c>
      <c r="V17" s="126">
        <f>JUN!$AI17</f>
        <v/>
      </c>
      <c r="W17" s="126">
        <f>JUL!$AI17</f>
        <v/>
      </c>
      <c r="X17" s="126">
        <f>AGO!$AI17</f>
        <v/>
      </c>
      <c r="Y17" s="126">
        <f>SET!$AI17</f>
        <v/>
      </c>
      <c r="Z17" s="126">
        <f>OUT!$AI17</f>
        <v/>
      </c>
      <c r="AA17" s="126">
        <f>NOV!$AI17</f>
        <v/>
      </c>
      <c r="AB17" s="126">
        <f>DEZ!$AI17</f>
        <v/>
      </c>
      <c r="AC17" s="127">
        <f>SUM(Q17:AB17)</f>
        <v/>
      </c>
      <c r="AE17" s="126">
        <f>JAN!$AJ17</f>
        <v/>
      </c>
      <c r="AF17" s="126">
        <f>FEV!$AJ17</f>
        <v/>
      </c>
      <c r="AG17" s="126">
        <f>MAR!$AJ17</f>
        <v/>
      </c>
      <c r="AH17" s="126">
        <f>ABR!$AJ17</f>
        <v/>
      </c>
      <c r="AI17" s="126">
        <f>MAI!$AJ17</f>
        <v/>
      </c>
      <c r="AJ17" s="126">
        <f>JUN!$AJ17</f>
        <v/>
      </c>
      <c r="AK17" s="126">
        <f>JUL!$AJ17</f>
        <v/>
      </c>
      <c r="AL17" s="126">
        <f>AGO!$AJ17</f>
        <v/>
      </c>
      <c r="AM17" s="126">
        <f>SET!$AJ17</f>
        <v/>
      </c>
      <c r="AN17" s="126">
        <f>OUT!$AJ17</f>
        <v/>
      </c>
      <c r="AO17" s="126">
        <f>NOV!$AJ17</f>
        <v/>
      </c>
      <c r="AP17" s="126">
        <f>DEZ!$AJ17</f>
        <v/>
      </c>
      <c r="AQ17" s="127">
        <f>SUM(AE17:AP17)</f>
        <v/>
      </c>
      <c r="AS17" s="126">
        <f>JAN!$AK17</f>
        <v/>
      </c>
      <c r="AT17" s="126">
        <f>FEV!$AK17</f>
        <v/>
      </c>
      <c r="AU17" s="126">
        <f>MAR!$AK17</f>
        <v/>
      </c>
      <c r="AV17" s="126">
        <f>ABR!$AK17</f>
        <v/>
      </c>
      <c r="AW17" s="126">
        <f>MAI!$AK17</f>
        <v/>
      </c>
      <c r="AX17" s="126">
        <f>JUN!$AK17</f>
        <v/>
      </c>
      <c r="AY17" s="126">
        <f>JUL!$AK17</f>
        <v/>
      </c>
      <c r="AZ17" s="126">
        <f>AGO!$AK17</f>
        <v/>
      </c>
      <c r="BA17" s="126">
        <f>SET!$AK17</f>
        <v/>
      </c>
      <c r="BB17" s="126">
        <f>OUT!$AK17</f>
        <v/>
      </c>
      <c r="BC17" s="126">
        <f>NOV!$AK17</f>
        <v/>
      </c>
      <c r="BD17" s="126">
        <f>DEZ!$AK17</f>
        <v/>
      </c>
      <c r="BE17" s="127">
        <f>SUM(AS17:BD17)</f>
        <v/>
      </c>
      <c r="BG17" s="93" t="n">
        <v>5</v>
      </c>
      <c r="BH17" s="107">
        <f>SUM(AE17:AP17)</f>
        <v/>
      </c>
      <c r="BI17" s="128">
        <f>IF(BG17="","",IF(BG17=BH17,"","⚠"))</f>
        <v/>
      </c>
    </row>
    <row r="18">
      <c r="A18" s="81" t="inlineStr">
        <is>
          <t>CaAbreu</t>
        </is>
      </c>
      <c r="B18" s="125">
        <f>CADASTRO!$C14</f>
        <v/>
      </c>
      <c r="C18" s="126">
        <f>JAN!$AM18</f>
        <v/>
      </c>
      <c r="D18" s="126">
        <f>FEV!$AM18</f>
        <v/>
      </c>
      <c r="E18" s="126">
        <f>MAR!$AM18</f>
        <v/>
      </c>
      <c r="F18" s="126">
        <f>ABR!$AM18</f>
        <v/>
      </c>
      <c r="G18" s="126">
        <f>MAI!$AM18</f>
        <v/>
      </c>
      <c r="H18" s="126">
        <f>JUN!$AM18</f>
        <v/>
      </c>
      <c r="I18" s="126">
        <f>JUL!$AM18</f>
        <v/>
      </c>
      <c r="J18" s="126">
        <f>AGO!$AM18</f>
        <v/>
      </c>
      <c r="K18" s="126">
        <f>SET!$AM18</f>
        <v/>
      </c>
      <c r="L18" s="126">
        <f>OUT!$AM18</f>
        <v/>
      </c>
      <c r="M18" s="126">
        <f>NOV!$AM18</f>
        <v/>
      </c>
      <c r="N18" s="126">
        <f>DEZ!$AM18</f>
        <v/>
      </c>
      <c r="O18" s="127">
        <f>SUM(C18:N18)</f>
        <v/>
      </c>
      <c r="Q18" s="126">
        <f>JAN!$AI18</f>
        <v/>
      </c>
      <c r="R18" s="126">
        <f>FEV!$AI18</f>
        <v/>
      </c>
      <c r="S18" s="126">
        <f>MAR!$AI18</f>
        <v/>
      </c>
      <c r="T18" s="126">
        <f>ABR!$AI18</f>
        <v/>
      </c>
      <c r="U18" s="126">
        <f>MAI!$AI18</f>
        <v/>
      </c>
      <c r="V18" s="126">
        <f>JUN!$AI18</f>
        <v/>
      </c>
      <c r="W18" s="126">
        <f>JUL!$AI18</f>
        <v/>
      </c>
      <c r="X18" s="126">
        <f>AGO!$AI18</f>
        <v/>
      </c>
      <c r="Y18" s="126">
        <f>SET!$AI18</f>
        <v/>
      </c>
      <c r="Z18" s="126">
        <f>OUT!$AI18</f>
        <v/>
      </c>
      <c r="AA18" s="126">
        <f>NOV!$AI18</f>
        <v/>
      </c>
      <c r="AB18" s="126">
        <f>DEZ!$AI18</f>
        <v/>
      </c>
      <c r="AC18" s="127">
        <f>SUM(Q18:AB18)</f>
        <v/>
      </c>
      <c r="AE18" s="126">
        <f>JAN!$AJ18</f>
        <v/>
      </c>
      <c r="AF18" s="126">
        <f>FEV!$AJ18</f>
        <v/>
      </c>
      <c r="AG18" s="126">
        <f>MAR!$AJ18</f>
        <v/>
      </c>
      <c r="AH18" s="126">
        <f>ABR!$AJ18</f>
        <v/>
      </c>
      <c r="AI18" s="126">
        <f>MAI!$AJ18</f>
        <v/>
      </c>
      <c r="AJ18" s="126">
        <f>JUN!$AJ18</f>
        <v/>
      </c>
      <c r="AK18" s="126">
        <f>JUL!$AJ18</f>
        <v/>
      </c>
      <c r="AL18" s="126">
        <f>AGO!$AJ18</f>
        <v/>
      </c>
      <c r="AM18" s="126">
        <f>SET!$AJ18</f>
        <v/>
      </c>
      <c r="AN18" s="126">
        <f>OUT!$AJ18</f>
        <v/>
      </c>
      <c r="AO18" s="126">
        <f>NOV!$AJ18</f>
        <v/>
      </c>
      <c r="AP18" s="126">
        <f>DEZ!$AJ18</f>
        <v/>
      </c>
      <c r="AQ18" s="127">
        <f>SUM(AE18:AP18)</f>
        <v/>
      </c>
      <c r="AS18" s="126">
        <f>JAN!$AK18</f>
        <v/>
      </c>
      <c r="AT18" s="126">
        <f>FEV!$AK18</f>
        <v/>
      </c>
      <c r="AU18" s="126">
        <f>MAR!$AK18</f>
        <v/>
      </c>
      <c r="AV18" s="126">
        <f>ABR!$AK18</f>
        <v/>
      </c>
      <c r="AW18" s="126">
        <f>MAI!$AK18</f>
        <v/>
      </c>
      <c r="AX18" s="126">
        <f>JUN!$AK18</f>
        <v/>
      </c>
      <c r="AY18" s="126">
        <f>JUL!$AK18</f>
        <v/>
      </c>
      <c r="AZ18" s="126">
        <f>AGO!$AK18</f>
        <v/>
      </c>
      <c r="BA18" s="126">
        <f>SET!$AK18</f>
        <v/>
      </c>
      <c r="BB18" s="126">
        <f>OUT!$AK18</f>
        <v/>
      </c>
      <c r="BC18" s="126">
        <f>NOV!$AK18</f>
        <v/>
      </c>
      <c r="BD18" s="126">
        <f>DEZ!$AK18</f>
        <v/>
      </c>
      <c r="BE18" s="127">
        <f>SUM(AS18:BD18)</f>
        <v/>
      </c>
      <c r="BG18" s="93" t="n">
        <v>5</v>
      </c>
      <c r="BH18" s="107">
        <f>SUM(AE18:AP18)</f>
        <v/>
      </c>
      <c r="BI18" s="128">
        <f>IF(BG18="","",IF(BG18=BH18,"","⚠"))</f>
        <v/>
      </c>
    </row>
    <row r="19">
      <c r="A19" s="81" t="inlineStr">
        <is>
          <t>Danielle</t>
        </is>
      </c>
      <c r="B19" s="125">
        <f>CADASTRO!$C15</f>
        <v/>
      </c>
      <c r="C19" s="126">
        <f>JAN!$AM19</f>
        <v/>
      </c>
      <c r="D19" s="126">
        <f>FEV!$AM19</f>
        <v/>
      </c>
      <c r="E19" s="126">
        <f>MAR!$AM19</f>
        <v/>
      </c>
      <c r="F19" s="126">
        <f>ABR!$AM19</f>
        <v/>
      </c>
      <c r="G19" s="126">
        <f>MAI!$AM19</f>
        <v/>
      </c>
      <c r="H19" s="126">
        <f>JUN!$AM19</f>
        <v/>
      </c>
      <c r="I19" s="126">
        <f>JUL!$AM19</f>
        <v/>
      </c>
      <c r="J19" s="126">
        <f>AGO!$AM19</f>
        <v/>
      </c>
      <c r="K19" s="126">
        <f>SET!$AM19</f>
        <v/>
      </c>
      <c r="L19" s="126">
        <f>OUT!$AM19</f>
        <v/>
      </c>
      <c r="M19" s="126">
        <f>NOV!$AM19</f>
        <v/>
      </c>
      <c r="N19" s="126">
        <f>DEZ!$AM19</f>
        <v/>
      </c>
      <c r="O19" s="127">
        <f>SUM(C19:N19)</f>
        <v/>
      </c>
      <c r="Q19" s="126">
        <f>JAN!$AI19</f>
        <v/>
      </c>
      <c r="R19" s="126">
        <f>FEV!$AI19</f>
        <v/>
      </c>
      <c r="S19" s="126">
        <f>MAR!$AI19</f>
        <v/>
      </c>
      <c r="T19" s="126">
        <f>ABR!$AI19</f>
        <v/>
      </c>
      <c r="U19" s="126">
        <f>MAI!$AI19</f>
        <v/>
      </c>
      <c r="V19" s="126">
        <f>JUN!$AI19</f>
        <v/>
      </c>
      <c r="W19" s="126">
        <f>JUL!$AI19</f>
        <v/>
      </c>
      <c r="X19" s="126">
        <f>AGO!$AI19</f>
        <v/>
      </c>
      <c r="Y19" s="126">
        <f>SET!$AI19</f>
        <v/>
      </c>
      <c r="Z19" s="126">
        <f>OUT!$AI19</f>
        <v/>
      </c>
      <c r="AA19" s="126">
        <f>NOV!$AI19</f>
        <v/>
      </c>
      <c r="AB19" s="126">
        <f>DEZ!$AI19</f>
        <v/>
      </c>
      <c r="AC19" s="127">
        <f>SUM(Q19:AB19)</f>
        <v/>
      </c>
      <c r="AE19" s="126">
        <f>JAN!$AJ19</f>
        <v/>
      </c>
      <c r="AF19" s="126">
        <f>FEV!$AJ19</f>
        <v/>
      </c>
      <c r="AG19" s="126">
        <f>MAR!$AJ19</f>
        <v/>
      </c>
      <c r="AH19" s="126">
        <f>ABR!$AJ19</f>
        <v/>
      </c>
      <c r="AI19" s="126">
        <f>MAI!$AJ19</f>
        <v/>
      </c>
      <c r="AJ19" s="126">
        <f>JUN!$AJ19</f>
        <v/>
      </c>
      <c r="AK19" s="126">
        <f>JUL!$AJ19</f>
        <v/>
      </c>
      <c r="AL19" s="126">
        <f>AGO!$AJ19</f>
        <v/>
      </c>
      <c r="AM19" s="126">
        <f>SET!$AJ19</f>
        <v/>
      </c>
      <c r="AN19" s="126">
        <f>OUT!$AJ19</f>
        <v/>
      </c>
      <c r="AO19" s="126">
        <f>NOV!$AJ19</f>
        <v/>
      </c>
      <c r="AP19" s="126">
        <f>DEZ!$AJ19</f>
        <v/>
      </c>
      <c r="AQ19" s="127">
        <f>SUM(AE19:AP19)</f>
        <v/>
      </c>
      <c r="AS19" s="126">
        <f>JAN!$AK19</f>
        <v/>
      </c>
      <c r="AT19" s="126">
        <f>FEV!$AK19</f>
        <v/>
      </c>
      <c r="AU19" s="126">
        <f>MAR!$AK19</f>
        <v/>
      </c>
      <c r="AV19" s="126">
        <f>ABR!$AK19</f>
        <v/>
      </c>
      <c r="AW19" s="126">
        <f>MAI!$AK19</f>
        <v/>
      </c>
      <c r="AX19" s="126">
        <f>JUN!$AK19</f>
        <v/>
      </c>
      <c r="AY19" s="126">
        <f>JUL!$AK19</f>
        <v/>
      </c>
      <c r="AZ19" s="126">
        <f>AGO!$AK19</f>
        <v/>
      </c>
      <c r="BA19" s="126">
        <f>SET!$AK19</f>
        <v/>
      </c>
      <c r="BB19" s="126">
        <f>OUT!$AK19</f>
        <v/>
      </c>
      <c r="BC19" s="126">
        <f>NOV!$AK19</f>
        <v/>
      </c>
      <c r="BD19" s="126">
        <f>DEZ!$AK19</f>
        <v/>
      </c>
      <c r="BE19" s="127">
        <f>SUM(AS19:BD19)</f>
        <v/>
      </c>
      <c r="BG19" s="93" t="n">
        <v>5</v>
      </c>
      <c r="BH19" s="107">
        <f>SUM(AE19:AP19)</f>
        <v/>
      </c>
      <c r="BI19" s="128">
        <f>IF(BG19="","",IF(BG19=BH19,"","⚠"))</f>
        <v/>
      </c>
    </row>
    <row r="20">
      <c r="A20" s="81" t="inlineStr">
        <is>
          <t>Fabiula</t>
        </is>
      </c>
      <c r="B20" s="125">
        <f>CADASTRO!$C16</f>
        <v/>
      </c>
      <c r="C20" s="126">
        <f>JAN!$AM20</f>
        <v/>
      </c>
      <c r="D20" s="126">
        <f>FEV!$AM20</f>
        <v/>
      </c>
      <c r="E20" s="126">
        <f>MAR!$AM20</f>
        <v/>
      </c>
      <c r="F20" s="126">
        <f>ABR!$AM20</f>
        <v/>
      </c>
      <c r="G20" s="126">
        <f>MAI!$AM20</f>
        <v/>
      </c>
      <c r="H20" s="126">
        <f>JUN!$AM20</f>
        <v/>
      </c>
      <c r="I20" s="126">
        <f>JUL!$AM20</f>
        <v/>
      </c>
      <c r="J20" s="126">
        <f>AGO!$AM20</f>
        <v/>
      </c>
      <c r="K20" s="126">
        <f>SET!$AM20</f>
        <v/>
      </c>
      <c r="L20" s="126">
        <f>OUT!$AM20</f>
        <v/>
      </c>
      <c r="M20" s="126">
        <f>NOV!$AM20</f>
        <v/>
      </c>
      <c r="N20" s="126">
        <f>DEZ!$AM20</f>
        <v/>
      </c>
      <c r="O20" s="127">
        <f>SUM(C20:N20)</f>
        <v/>
      </c>
      <c r="Q20" s="126">
        <f>JAN!$AI20</f>
        <v/>
      </c>
      <c r="R20" s="126">
        <f>FEV!$AI20</f>
        <v/>
      </c>
      <c r="S20" s="126">
        <f>MAR!$AI20</f>
        <v/>
      </c>
      <c r="T20" s="126">
        <f>ABR!$AI20</f>
        <v/>
      </c>
      <c r="U20" s="126">
        <f>MAI!$AI20</f>
        <v/>
      </c>
      <c r="V20" s="126">
        <f>JUN!$AI20</f>
        <v/>
      </c>
      <c r="W20" s="126">
        <f>JUL!$AI20</f>
        <v/>
      </c>
      <c r="X20" s="126">
        <f>AGO!$AI20</f>
        <v/>
      </c>
      <c r="Y20" s="126">
        <f>SET!$AI20</f>
        <v/>
      </c>
      <c r="Z20" s="126">
        <f>OUT!$AI20</f>
        <v/>
      </c>
      <c r="AA20" s="126">
        <f>NOV!$AI20</f>
        <v/>
      </c>
      <c r="AB20" s="126">
        <f>DEZ!$AI20</f>
        <v/>
      </c>
      <c r="AC20" s="127">
        <f>SUM(Q20:AB20)</f>
        <v/>
      </c>
      <c r="AE20" s="126">
        <f>JAN!$AJ20</f>
        <v/>
      </c>
      <c r="AF20" s="126">
        <f>FEV!$AJ20</f>
        <v/>
      </c>
      <c r="AG20" s="126">
        <f>MAR!$AJ20</f>
        <v/>
      </c>
      <c r="AH20" s="126">
        <f>ABR!$AJ20</f>
        <v/>
      </c>
      <c r="AI20" s="126">
        <f>MAI!$AJ20</f>
        <v/>
      </c>
      <c r="AJ20" s="126">
        <f>JUN!$AJ20</f>
        <v/>
      </c>
      <c r="AK20" s="126">
        <f>JUL!$AJ20</f>
        <v/>
      </c>
      <c r="AL20" s="126">
        <f>AGO!$AJ20</f>
        <v/>
      </c>
      <c r="AM20" s="126">
        <f>SET!$AJ20</f>
        <v/>
      </c>
      <c r="AN20" s="126">
        <f>OUT!$AJ20</f>
        <v/>
      </c>
      <c r="AO20" s="126">
        <f>NOV!$AJ20</f>
        <v/>
      </c>
      <c r="AP20" s="126">
        <f>DEZ!$AJ20</f>
        <v/>
      </c>
      <c r="AQ20" s="127">
        <f>SUM(AE20:AP20)</f>
        <v/>
      </c>
      <c r="AS20" s="126">
        <f>JAN!$AK20</f>
        <v/>
      </c>
      <c r="AT20" s="126">
        <f>FEV!$AK20</f>
        <v/>
      </c>
      <c r="AU20" s="126">
        <f>MAR!$AK20</f>
        <v/>
      </c>
      <c r="AV20" s="126">
        <f>ABR!$AK20</f>
        <v/>
      </c>
      <c r="AW20" s="126">
        <f>MAI!$AK20</f>
        <v/>
      </c>
      <c r="AX20" s="126">
        <f>JUN!$AK20</f>
        <v/>
      </c>
      <c r="AY20" s="126">
        <f>JUL!$AK20</f>
        <v/>
      </c>
      <c r="AZ20" s="126">
        <f>AGO!$AK20</f>
        <v/>
      </c>
      <c r="BA20" s="126">
        <f>SET!$AK20</f>
        <v/>
      </c>
      <c r="BB20" s="126">
        <f>OUT!$AK20</f>
        <v/>
      </c>
      <c r="BC20" s="126">
        <f>NOV!$AK20</f>
        <v/>
      </c>
      <c r="BD20" s="126">
        <f>DEZ!$AK20</f>
        <v/>
      </c>
      <c r="BE20" s="127">
        <f>SUM(AS20:BD20)</f>
        <v/>
      </c>
      <c r="BG20" s="93" t="n">
        <v>4</v>
      </c>
      <c r="BH20" s="107">
        <f>SUM(AE20:AP20)</f>
        <v/>
      </c>
      <c r="BI20" s="128">
        <f>IF(BG20="","",IF(BG20=BH20,"","⚠"))</f>
        <v/>
      </c>
    </row>
    <row r="21">
      <c r="A21" s="81" t="inlineStr">
        <is>
          <t>Isabella</t>
        </is>
      </c>
      <c r="B21" s="125">
        <f>CADASTRO!$C17</f>
        <v/>
      </c>
      <c r="C21" s="126">
        <f>JAN!$AM21</f>
        <v/>
      </c>
      <c r="D21" s="126">
        <f>FEV!$AM21</f>
        <v/>
      </c>
      <c r="E21" s="126">
        <f>MAR!$AM21</f>
        <v/>
      </c>
      <c r="F21" s="126">
        <f>ABR!$AM21</f>
        <v/>
      </c>
      <c r="G21" s="126">
        <f>MAI!$AM21</f>
        <v/>
      </c>
      <c r="H21" s="126">
        <f>JUN!$AM21</f>
        <v/>
      </c>
      <c r="I21" s="126">
        <f>JUL!$AM21</f>
        <v/>
      </c>
      <c r="J21" s="126">
        <f>AGO!$AM21</f>
        <v/>
      </c>
      <c r="K21" s="126">
        <f>SET!$AM21</f>
        <v/>
      </c>
      <c r="L21" s="126">
        <f>OUT!$AM21</f>
        <v/>
      </c>
      <c r="M21" s="126">
        <f>NOV!$AM21</f>
        <v/>
      </c>
      <c r="N21" s="126">
        <f>DEZ!$AM21</f>
        <v/>
      </c>
      <c r="O21" s="127">
        <f>SUM(C21:N21)</f>
        <v/>
      </c>
      <c r="Q21" s="126">
        <f>JAN!$AI21</f>
        <v/>
      </c>
      <c r="R21" s="126">
        <f>FEV!$AI21</f>
        <v/>
      </c>
      <c r="S21" s="126">
        <f>MAR!$AI21</f>
        <v/>
      </c>
      <c r="T21" s="126">
        <f>ABR!$AI21</f>
        <v/>
      </c>
      <c r="U21" s="126">
        <f>MAI!$AI21</f>
        <v/>
      </c>
      <c r="V21" s="126">
        <f>JUN!$AI21</f>
        <v/>
      </c>
      <c r="W21" s="126">
        <f>JUL!$AI21</f>
        <v/>
      </c>
      <c r="X21" s="126">
        <f>AGO!$AI21</f>
        <v/>
      </c>
      <c r="Y21" s="126">
        <f>SET!$AI21</f>
        <v/>
      </c>
      <c r="Z21" s="126">
        <f>OUT!$AI21</f>
        <v/>
      </c>
      <c r="AA21" s="126">
        <f>NOV!$AI21</f>
        <v/>
      </c>
      <c r="AB21" s="126">
        <f>DEZ!$AI21</f>
        <v/>
      </c>
      <c r="AC21" s="127">
        <f>SUM(Q21:AB21)</f>
        <v/>
      </c>
      <c r="AE21" s="126">
        <f>JAN!$AJ21</f>
        <v/>
      </c>
      <c r="AF21" s="126">
        <f>FEV!$AJ21</f>
        <v/>
      </c>
      <c r="AG21" s="126">
        <f>MAR!$AJ21</f>
        <v/>
      </c>
      <c r="AH21" s="126">
        <f>ABR!$AJ21</f>
        <v/>
      </c>
      <c r="AI21" s="126">
        <f>MAI!$AJ21</f>
        <v/>
      </c>
      <c r="AJ21" s="126">
        <f>JUN!$AJ21</f>
        <v/>
      </c>
      <c r="AK21" s="126">
        <f>JUL!$AJ21</f>
        <v/>
      </c>
      <c r="AL21" s="126">
        <f>AGO!$AJ21</f>
        <v/>
      </c>
      <c r="AM21" s="126">
        <f>SET!$AJ21</f>
        <v/>
      </c>
      <c r="AN21" s="126">
        <f>OUT!$AJ21</f>
        <v/>
      </c>
      <c r="AO21" s="126">
        <f>NOV!$AJ21</f>
        <v/>
      </c>
      <c r="AP21" s="126">
        <f>DEZ!$AJ21</f>
        <v/>
      </c>
      <c r="AQ21" s="127">
        <f>SUM(AE21:AP21)</f>
        <v/>
      </c>
      <c r="AS21" s="126">
        <f>JAN!$AK21</f>
        <v/>
      </c>
      <c r="AT21" s="126">
        <f>FEV!$AK21</f>
        <v/>
      </c>
      <c r="AU21" s="126">
        <f>MAR!$AK21</f>
        <v/>
      </c>
      <c r="AV21" s="126">
        <f>ABR!$AK21</f>
        <v/>
      </c>
      <c r="AW21" s="126">
        <f>MAI!$AK21</f>
        <v/>
      </c>
      <c r="AX21" s="126">
        <f>JUN!$AK21</f>
        <v/>
      </c>
      <c r="AY21" s="126">
        <f>JUL!$AK21</f>
        <v/>
      </c>
      <c r="AZ21" s="126">
        <f>AGO!$AK21</f>
        <v/>
      </c>
      <c r="BA21" s="126">
        <f>SET!$AK21</f>
        <v/>
      </c>
      <c r="BB21" s="126">
        <f>OUT!$AK21</f>
        <v/>
      </c>
      <c r="BC21" s="126">
        <f>NOV!$AK21</f>
        <v/>
      </c>
      <c r="BD21" s="126">
        <f>DEZ!$AK21</f>
        <v/>
      </c>
      <c r="BE21" s="127">
        <f>SUM(AS21:BD21)</f>
        <v/>
      </c>
      <c r="BG21" s="93" t="n">
        <v>5</v>
      </c>
      <c r="BH21" s="107">
        <f>SUM(AE21:AP21)</f>
        <v/>
      </c>
      <c r="BI21" s="128">
        <f>IF(BG21="","",IF(BG21=BH21,"","⚠"))</f>
        <v/>
      </c>
    </row>
    <row r="22">
      <c r="A22" s="81" t="inlineStr">
        <is>
          <t>JuBrito</t>
        </is>
      </c>
      <c r="B22" s="125">
        <f>CADASTRO!$C18</f>
        <v/>
      </c>
      <c r="C22" s="126">
        <f>JAN!$AM22</f>
        <v/>
      </c>
      <c r="D22" s="126">
        <f>FEV!$AM22</f>
        <v/>
      </c>
      <c r="E22" s="126">
        <f>MAR!$AM22</f>
        <v/>
      </c>
      <c r="F22" s="126">
        <f>ABR!$AM22</f>
        <v/>
      </c>
      <c r="G22" s="126">
        <f>MAI!$AM22</f>
        <v/>
      </c>
      <c r="H22" s="126">
        <f>JUN!$AM22</f>
        <v/>
      </c>
      <c r="I22" s="126">
        <f>JUL!$AM22</f>
        <v/>
      </c>
      <c r="J22" s="126">
        <f>AGO!$AM22</f>
        <v/>
      </c>
      <c r="K22" s="126">
        <f>SET!$AM22</f>
        <v/>
      </c>
      <c r="L22" s="126">
        <f>OUT!$AM22</f>
        <v/>
      </c>
      <c r="M22" s="126">
        <f>NOV!$AM22</f>
        <v/>
      </c>
      <c r="N22" s="126">
        <f>DEZ!$AM22</f>
        <v/>
      </c>
      <c r="O22" s="127">
        <f>SUM(C22:N22)</f>
        <v/>
      </c>
      <c r="Q22" s="126">
        <f>JAN!$AI22</f>
        <v/>
      </c>
      <c r="R22" s="126">
        <f>FEV!$AI22</f>
        <v/>
      </c>
      <c r="S22" s="126">
        <f>MAR!$AI22</f>
        <v/>
      </c>
      <c r="T22" s="126">
        <f>ABR!$AI22</f>
        <v/>
      </c>
      <c r="U22" s="126">
        <f>MAI!$AI22</f>
        <v/>
      </c>
      <c r="V22" s="126">
        <f>JUN!$AI22</f>
        <v/>
      </c>
      <c r="W22" s="126">
        <f>JUL!$AI22</f>
        <v/>
      </c>
      <c r="X22" s="126">
        <f>AGO!$AI22</f>
        <v/>
      </c>
      <c r="Y22" s="126">
        <f>SET!$AI22</f>
        <v/>
      </c>
      <c r="Z22" s="126">
        <f>OUT!$AI22</f>
        <v/>
      </c>
      <c r="AA22" s="126">
        <f>NOV!$AI22</f>
        <v/>
      </c>
      <c r="AB22" s="126">
        <f>DEZ!$AI22</f>
        <v/>
      </c>
      <c r="AC22" s="127">
        <f>SUM(Q22:AB22)</f>
        <v/>
      </c>
      <c r="AE22" s="126">
        <f>JAN!$AJ22</f>
        <v/>
      </c>
      <c r="AF22" s="126">
        <f>FEV!$AJ22</f>
        <v/>
      </c>
      <c r="AG22" s="126">
        <f>MAR!$AJ22</f>
        <v/>
      </c>
      <c r="AH22" s="126">
        <f>ABR!$AJ22</f>
        <v/>
      </c>
      <c r="AI22" s="126">
        <f>MAI!$AJ22</f>
        <v/>
      </c>
      <c r="AJ22" s="126">
        <f>JUN!$AJ22</f>
        <v/>
      </c>
      <c r="AK22" s="126">
        <f>JUL!$AJ22</f>
        <v/>
      </c>
      <c r="AL22" s="126">
        <f>AGO!$AJ22</f>
        <v/>
      </c>
      <c r="AM22" s="126">
        <f>SET!$AJ22</f>
        <v/>
      </c>
      <c r="AN22" s="126">
        <f>OUT!$AJ22</f>
        <v/>
      </c>
      <c r="AO22" s="126">
        <f>NOV!$AJ22</f>
        <v/>
      </c>
      <c r="AP22" s="126">
        <f>DEZ!$AJ22</f>
        <v/>
      </c>
      <c r="AQ22" s="127">
        <f>SUM(AE22:AP22)</f>
        <v/>
      </c>
      <c r="AS22" s="126">
        <f>JAN!$AK22</f>
        <v/>
      </c>
      <c r="AT22" s="126">
        <f>FEV!$AK22</f>
        <v/>
      </c>
      <c r="AU22" s="126">
        <f>MAR!$AK22</f>
        <v/>
      </c>
      <c r="AV22" s="126">
        <f>ABR!$AK22</f>
        <v/>
      </c>
      <c r="AW22" s="126">
        <f>MAI!$AK22</f>
        <v/>
      </c>
      <c r="AX22" s="126">
        <f>JUN!$AK22</f>
        <v/>
      </c>
      <c r="AY22" s="126">
        <f>JUL!$AK22</f>
        <v/>
      </c>
      <c r="AZ22" s="126">
        <f>AGO!$AK22</f>
        <v/>
      </c>
      <c r="BA22" s="126">
        <f>SET!$AK22</f>
        <v/>
      </c>
      <c r="BB22" s="126">
        <f>OUT!$AK22</f>
        <v/>
      </c>
      <c r="BC22" s="126">
        <f>NOV!$AK22</f>
        <v/>
      </c>
      <c r="BD22" s="126">
        <f>DEZ!$AK22</f>
        <v/>
      </c>
      <c r="BE22" s="127">
        <f>SUM(AS22:BD22)</f>
        <v/>
      </c>
      <c r="BG22" s="93" t="n">
        <v>5</v>
      </c>
      <c r="BH22" s="107">
        <f>SUM(AE22:AP22)</f>
        <v/>
      </c>
      <c r="BI22" s="128">
        <f>IF(BG22="","",IF(BG22=BH22,"","⚠"))</f>
        <v/>
      </c>
    </row>
    <row r="23">
      <c r="A23" s="81" t="inlineStr">
        <is>
          <t>Kariny</t>
        </is>
      </c>
      <c r="B23" s="125">
        <f>CADASTRO!$C19</f>
        <v/>
      </c>
      <c r="C23" s="126">
        <f>JAN!$AM23</f>
        <v/>
      </c>
      <c r="D23" s="126">
        <f>FEV!$AM23</f>
        <v/>
      </c>
      <c r="E23" s="126">
        <f>MAR!$AM23</f>
        <v/>
      </c>
      <c r="F23" s="126">
        <f>ABR!$AM23</f>
        <v/>
      </c>
      <c r="G23" s="126">
        <f>MAI!$AM23</f>
        <v/>
      </c>
      <c r="H23" s="126">
        <f>JUN!$AM23</f>
        <v/>
      </c>
      <c r="I23" s="126">
        <f>JUL!$AM23</f>
        <v/>
      </c>
      <c r="J23" s="126">
        <f>AGO!$AM23</f>
        <v/>
      </c>
      <c r="K23" s="126">
        <f>SET!$AM23</f>
        <v/>
      </c>
      <c r="L23" s="126">
        <f>OUT!$AM23</f>
        <v/>
      </c>
      <c r="M23" s="126">
        <f>NOV!$AM23</f>
        <v/>
      </c>
      <c r="N23" s="126">
        <f>DEZ!$AM23</f>
        <v/>
      </c>
      <c r="O23" s="127">
        <f>SUM(C23:N23)</f>
        <v/>
      </c>
      <c r="Q23" s="126">
        <f>JAN!$AI23</f>
        <v/>
      </c>
      <c r="R23" s="126">
        <f>FEV!$AI23</f>
        <v/>
      </c>
      <c r="S23" s="126">
        <f>MAR!$AI23</f>
        <v/>
      </c>
      <c r="T23" s="126">
        <f>ABR!$AI23</f>
        <v/>
      </c>
      <c r="U23" s="126">
        <f>MAI!$AI23</f>
        <v/>
      </c>
      <c r="V23" s="126">
        <f>JUN!$AI23</f>
        <v/>
      </c>
      <c r="W23" s="126">
        <f>JUL!$AI23</f>
        <v/>
      </c>
      <c r="X23" s="126">
        <f>AGO!$AI23</f>
        <v/>
      </c>
      <c r="Y23" s="126">
        <f>SET!$AI23</f>
        <v/>
      </c>
      <c r="Z23" s="126">
        <f>OUT!$AI23</f>
        <v/>
      </c>
      <c r="AA23" s="126">
        <f>NOV!$AI23</f>
        <v/>
      </c>
      <c r="AB23" s="126">
        <f>DEZ!$AI23</f>
        <v/>
      </c>
      <c r="AC23" s="127">
        <f>SUM(Q23:AB23)</f>
        <v/>
      </c>
      <c r="AE23" s="126">
        <f>JAN!$AJ23</f>
        <v/>
      </c>
      <c r="AF23" s="126">
        <f>FEV!$AJ23</f>
        <v/>
      </c>
      <c r="AG23" s="126">
        <f>MAR!$AJ23</f>
        <v/>
      </c>
      <c r="AH23" s="126">
        <f>ABR!$AJ23</f>
        <v/>
      </c>
      <c r="AI23" s="126">
        <f>MAI!$AJ23</f>
        <v/>
      </c>
      <c r="AJ23" s="126">
        <f>JUN!$AJ23</f>
        <v/>
      </c>
      <c r="AK23" s="126">
        <f>JUL!$AJ23</f>
        <v/>
      </c>
      <c r="AL23" s="126">
        <f>AGO!$AJ23</f>
        <v/>
      </c>
      <c r="AM23" s="126">
        <f>SET!$AJ23</f>
        <v/>
      </c>
      <c r="AN23" s="126">
        <f>OUT!$AJ23</f>
        <v/>
      </c>
      <c r="AO23" s="126">
        <f>NOV!$AJ23</f>
        <v/>
      </c>
      <c r="AP23" s="126">
        <f>DEZ!$AJ23</f>
        <v/>
      </c>
      <c r="AQ23" s="127">
        <f>SUM(AE23:AP23)</f>
        <v/>
      </c>
      <c r="AS23" s="126">
        <f>JAN!$AK23</f>
        <v/>
      </c>
      <c r="AT23" s="126">
        <f>FEV!$AK23</f>
        <v/>
      </c>
      <c r="AU23" s="126">
        <f>MAR!$AK23</f>
        <v/>
      </c>
      <c r="AV23" s="126">
        <f>ABR!$AK23</f>
        <v/>
      </c>
      <c r="AW23" s="126">
        <f>MAI!$AK23</f>
        <v/>
      </c>
      <c r="AX23" s="126">
        <f>JUN!$AK23</f>
        <v/>
      </c>
      <c r="AY23" s="126">
        <f>JUL!$AK23</f>
        <v/>
      </c>
      <c r="AZ23" s="126">
        <f>AGO!$AK23</f>
        <v/>
      </c>
      <c r="BA23" s="126">
        <f>SET!$AK23</f>
        <v/>
      </c>
      <c r="BB23" s="126">
        <f>OUT!$AK23</f>
        <v/>
      </c>
      <c r="BC23" s="126">
        <f>NOV!$AK23</f>
        <v/>
      </c>
      <c r="BD23" s="126">
        <f>DEZ!$AK23</f>
        <v/>
      </c>
      <c r="BE23" s="127">
        <f>SUM(AS23:BD23)</f>
        <v/>
      </c>
      <c r="BG23" s="93" t="n">
        <v>0</v>
      </c>
      <c r="BH23" s="107">
        <f>SUM(AE23:AP23)</f>
        <v/>
      </c>
      <c r="BI23" s="128">
        <f>IF(BG23="","",IF(BG23=BH23,"","⚠"))</f>
        <v/>
      </c>
    </row>
    <row r="24">
      <c r="A24" s="81" t="inlineStr">
        <is>
          <t>Mayana</t>
        </is>
      </c>
      <c r="B24" s="125">
        <f>CADASTRO!$C20</f>
        <v/>
      </c>
      <c r="C24" s="126">
        <f>JAN!$AM24</f>
        <v/>
      </c>
      <c r="D24" s="126">
        <f>FEV!$AM24</f>
        <v/>
      </c>
      <c r="E24" s="126">
        <f>MAR!$AM24</f>
        <v/>
      </c>
      <c r="F24" s="126">
        <f>ABR!$AM24</f>
        <v/>
      </c>
      <c r="G24" s="126">
        <f>MAI!$AM24</f>
        <v/>
      </c>
      <c r="H24" s="126">
        <f>JUN!$AM24</f>
        <v/>
      </c>
      <c r="I24" s="126">
        <f>JUL!$AM24</f>
        <v/>
      </c>
      <c r="J24" s="126">
        <f>AGO!$AM24</f>
        <v/>
      </c>
      <c r="K24" s="126">
        <f>SET!$AM24</f>
        <v/>
      </c>
      <c r="L24" s="126">
        <f>OUT!$AM24</f>
        <v/>
      </c>
      <c r="M24" s="126">
        <f>NOV!$AM24</f>
        <v/>
      </c>
      <c r="N24" s="126">
        <f>DEZ!$AM24</f>
        <v/>
      </c>
      <c r="O24" s="127">
        <f>SUM(C24:N24)</f>
        <v/>
      </c>
      <c r="Q24" s="126">
        <f>JAN!$AI24</f>
        <v/>
      </c>
      <c r="R24" s="126">
        <f>FEV!$AI24</f>
        <v/>
      </c>
      <c r="S24" s="126">
        <f>MAR!$AI24</f>
        <v/>
      </c>
      <c r="T24" s="126">
        <f>ABR!$AI24</f>
        <v/>
      </c>
      <c r="U24" s="126">
        <f>MAI!$AI24</f>
        <v/>
      </c>
      <c r="V24" s="126">
        <f>JUN!$AI24</f>
        <v/>
      </c>
      <c r="W24" s="126">
        <f>JUL!$AI24</f>
        <v/>
      </c>
      <c r="X24" s="126">
        <f>AGO!$AI24</f>
        <v/>
      </c>
      <c r="Y24" s="126">
        <f>SET!$AI24</f>
        <v/>
      </c>
      <c r="Z24" s="126">
        <f>OUT!$AI24</f>
        <v/>
      </c>
      <c r="AA24" s="126">
        <f>NOV!$AI24</f>
        <v/>
      </c>
      <c r="AB24" s="126">
        <f>DEZ!$AI24</f>
        <v/>
      </c>
      <c r="AC24" s="127">
        <f>SUM(Q24:AB24)</f>
        <v/>
      </c>
      <c r="AE24" s="126">
        <f>JAN!$AJ24</f>
        <v/>
      </c>
      <c r="AF24" s="126">
        <f>FEV!$AJ24</f>
        <v/>
      </c>
      <c r="AG24" s="126">
        <f>MAR!$AJ24</f>
        <v/>
      </c>
      <c r="AH24" s="126">
        <f>ABR!$AJ24</f>
        <v/>
      </c>
      <c r="AI24" s="126">
        <f>MAI!$AJ24</f>
        <v/>
      </c>
      <c r="AJ24" s="126">
        <f>JUN!$AJ24</f>
        <v/>
      </c>
      <c r="AK24" s="126">
        <f>JUL!$AJ24</f>
        <v/>
      </c>
      <c r="AL24" s="126">
        <f>AGO!$AJ24</f>
        <v/>
      </c>
      <c r="AM24" s="126">
        <f>SET!$AJ24</f>
        <v/>
      </c>
      <c r="AN24" s="126">
        <f>OUT!$AJ24</f>
        <v/>
      </c>
      <c r="AO24" s="126">
        <f>NOV!$AJ24</f>
        <v/>
      </c>
      <c r="AP24" s="126">
        <f>DEZ!$AJ24</f>
        <v/>
      </c>
      <c r="AQ24" s="127">
        <f>SUM(AE24:AP24)</f>
        <v/>
      </c>
      <c r="AS24" s="126">
        <f>JAN!$AK24</f>
        <v/>
      </c>
      <c r="AT24" s="126">
        <f>FEV!$AK24</f>
        <v/>
      </c>
      <c r="AU24" s="126">
        <f>MAR!$AK24</f>
        <v/>
      </c>
      <c r="AV24" s="126">
        <f>ABR!$AK24</f>
        <v/>
      </c>
      <c r="AW24" s="126">
        <f>MAI!$AK24</f>
        <v/>
      </c>
      <c r="AX24" s="126">
        <f>JUN!$AK24</f>
        <v/>
      </c>
      <c r="AY24" s="126">
        <f>JUL!$AK24</f>
        <v/>
      </c>
      <c r="AZ24" s="126">
        <f>AGO!$AK24</f>
        <v/>
      </c>
      <c r="BA24" s="126">
        <f>SET!$AK24</f>
        <v/>
      </c>
      <c r="BB24" s="126">
        <f>OUT!$AK24</f>
        <v/>
      </c>
      <c r="BC24" s="126">
        <f>NOV!$AK24</f>
        <v/>
      </c>
      <c r="BD24" s="126">
        <f>DEZ!$AK24</f>
        <v/>
      </c>
      <c r="BE24" s="127">
        <f>SUM(AS24:BD24)</f>
        <v/>
      </c>
      <c r="BG24" s="93" t="n">
        <v>4</v>
      </c>
      <c r="BH24" s="107">
        <f>SUM(AE24:AP24)</f>
        <v/>
      </c>
      <c r="BI24" s="128">
        <f>IF(BG24="","",IF(BG24=BH24,"","⚠"))</f>
        <v/>
      </c>
    </row>
    <row r="25">
      <c r="A25" s="81" t="inlineStr">
        <is>
          <t>Neyde</t>
        </is>
      </c>
      <c r="B25" s="125">
        <f>CADASTRO!$C21</f>
        <v/>
      </c>
      <c r="C25" s="126">
        <f>JAN!$AM25</f>
        <v/>
      </c>
      <c r="D25" s="126">
        <f>FEV!$AM25</f>
        <v/>
      </c>
      <c r="E25" s="126">
        <f>MAR!$AM25</f>
        <v/>
      </c>
      <c r="F25" s="126">
        <f>ABR!$AM25</f>
        <v/>
      </c>
      <c r="G25" s="126">
        <f>MAI!$AM25</f>
        <v/>
      </c>
      <c r="H25" s="126">
        <f>JUN!$AM25</f>
        <v/>
      </c>
      <c r="I25" s="126">
        <f>JUL!$AM25</f>
        <v/>
      </c>
      <c r="J25" s="126">
        <f>AGO!$AM25</f>
        <v/>
      </c>
      <c r="K25" s="126">
        <f>SET!$AM25</f>
        <v/>
      </c>
      <c r="L25" s="126">
        <f>OUT!$AM25</f>
        <v/>
      </c>
      <c r="M25" s="126">
        <f>NOV!$AM25</f>
        <v/>
      </c>
      <c r="N25" s="126">
        <f>DEZ!$AM25</f>
        <v/>
      </c>
      <c r="O25" s="127">
        <f>SUM(C25:N25)</f>
        <v/>
      </c>
      <c r="Q25" s="126">
        <f>JAN!$AI25</f>
        <v/>
      </c>
      <c r="R25" s="126">
        <f>FEV!$AI25</f>
        <v/>
      </c>
      <c r="S25" s="126">
        <f>MAR!$AI25</f>
        <v/>
      </c>
      <c r="T25" s="126">
        <f>ABR!$AI25</f>
        <v/>
      </c>
      <c r="U25" s="126">
        <f>MAI!$AI25</f>
        <v/>
      </c>
      <c r="V25" s="126">
        <f>JUN!$AI25</f>
        <v/>
      </c>
      <c r="W25" s="126">
        <f>JUL!$AI25</f>
        <v/>
      </c>
      <c r="X25" s="126">
        <f>AGO!$AI25</f>
        <v/>
      </c>
      <c r="Y25" s="126">
        <f>SET!$AI25</f>
        <v/>
      </c>
      <c r="Z25" s="126">
        <f>OUT!$AI25</f>
        <v/>
      </c>
      <c r="AA25" s="126">
        <f>NOV!$AI25</f>
        <v/>
      </c>
      <c r="AB25" s="126">
        <f>DEZ!$AI25</f>
        <v/>
      </c>
      <c r="AC25" s="127">
        <f>SUM(Q25:AB25)</f>
        <v/>
      </c>
      <c r="AE25" s="126">
        <f>JAN!$AJ25</f>
        <v/>
      </c>
      <c r="AF25" s="126">
        <f>FEV!$AJ25</f>
        <v/>
      </c>
      <c r="AG25" s="126">
        <f>MAR!$AJ25</f>
        <v/>
      </c>
      <c r="AH25" s="126">
        <f>ABR!$AJ25</f>
        <v/>
      </c>
      <c r="AI25" s="126">
        <f>MAI!$AJ25</f>
        <v/>
      </c>
      <c r="AJ25" s="126">
        <f>JUN!$AJ25</f>
        <v/>
      </c>
      <c r="AK25" s="126">
        <f>JUL!$AJ25</f>
        <v/>
      </c>
      <c r="AL25" s="126">
        <f>AGO!$AJ25</f>
        <v/>
      </c>
      <c r="AM25" s="126">
        <f>SET!$AJ25</f>
        <v/>
      </c>
      <c r="AN25" s="126">
        <f>OUT!$AJ25</f>
        <v/>
      </c>
      <c r="AO25" s="126">
        <f>NOV!$AJ25</f>
        <v/>
      </c>
      <c r="AP25" s="126">
        <f>DEZ!$AJ25</f>
        <v/>
      </c>
      <c r="AQ25" s="127">
        <f>SUM(AE25:AP25)</f>
        <v/>
      </c>
      <c r="AS25" s="126">
        <f>JAN!$AK25</f>
        <v/>
      </c>
      <c r="AT25" s="126">
        <f>FEV!$AK25</f>
        <v/>
      </c>
      <c r="AU25" s="126">
        <f>MAR!$AK25</f>
        <v/>
      </c>
      <c r="AV25" s="126">
        <f>ABR!$AK25</f>
        <v/>
      </c>
      <c r="AW25" s="126">
        <f>MAI!$AK25</f>
        <v/>
      </c>
      <c r="AX25" s="126">
        <f>JUN!$AK25</f>
        <v/>
      </c>
      <c r="AY25" s="126">
        <f>JUL!$AK25</f>
        <v/>
      </c>
      <c r="AZ25" s="126">
        <f>AGO!$AK25</f>
        <v/>
      </c>
      <c r="BA25" s="126">
        <f>SET!$AK25</f>
        <v/>
      </c>
      <c r="BB25" s="126">
        <f>OUT!$AK25</f>
        <v/>
      </c>
      <c r="BC25" s="126">
        <f>NOV!$AK25</f>
        <v/>
      </c>
      <c r="BD25" s="126">
        <f>DEZ!$AK25</f>
        <v/>
      </c>
      <c r="BE25" s="127">
        <f>SUM(AS25:BD25)</f>
        <v/>
      </c>
      <c r="BG25" s="93" t="n">
        <v>0</v>
      </c>
      <c r="BH25" s="107">
        <f>SUM(AE25:AP25)</f>
        <v/>
      </c>
      <c r="BI25" s="128">
        <f>IF(BG25="","",IF(BG25=BH25,"","⚠"))</f>
        <v/>
      </c>
    </row>
    <row r="26">
      <c r="A26" s="81" t="inlineStr">
        <is>
          <t>Roberta</t>
        </is>
      </c>
      <c r="B26" s="125">
        <f>CADASTRO!$C22</f>
        <v/>
      </c>
      <c r="C26" s="126">
        <f>JAN!$AM26</f>
        <v/>
      </c>
      <c r="D26" s="126">
        <f>FEV!$AM26</f>
        <v/>
      </c>
      <c r="E26" s="126">
        <f>MAR!$AM26</f>
        <v/>
      </c>
      <c r="F26" s="126">
        <f>ABR!$AM26</f>
        <v/>
      </c>
      <c r="G26" s="126">
        <f>MAI!$AM26</f>
        <v/>
      </c>
      <c r="H26" s="126">
        <f>JUN!$AM26</f>
        <v/>
      </c>
      <c r="I26" s="126">
        <f>JUL!$AM26</f>
        <v/>
      </c>
      <c r="J26" s="126">
        <f>AGO!$AM26</f>
        <v/>
      </c>
      <c r="K26" s="126">
        <f>SET!$AM26</f>
        <v/>
      </c>
      <c r="L26" s="126">
        <f>OUT!$AM26</f>
        <v/>
      </c>
      <c r="M26" s="126">
        <f>NOV!$AM26</f>
        <v/>
      </c>
      <c r="N26" s="126">
        <f>DEZ!$AM26</f>
        <v/>
      </c>
      <c r="O26" s="127">
        <f>SUM(C26:N26)</f>
        <v/>
      </c>
      <c r="Q26" s="126">
        <f>JAN!$AI26</f>
        <v/>
      </c>
      <c r="R26" s="126">
        <f>FEV!$AI26</f>
        <v/>
      </c>
      <c r="S26" s="126">
        <f>MAR!$AI26</f>
        <v/>
      </c>
      <c r="T26" s="126">
        <f>ABR!$AI26</f>
        <v/>
      </c>
      <c r="U26" s="126">
        <f>MAI!$AI26</f>
        <v/>
      </c>
      <c r="V26" s="126">
        <f>JUN!$AI26</f>
        <v/>
      </c>
      <c r="W26" s="126">
        <f>JUL!$AI26</f>
        <v/>
      </c>
      <c r="X26" s="126">
        <f>AGO!$AI26</f>
        <v/>
      </c>
      <c r="Y26" s="126">
        <f>SET!$AI26</f>
        <v/>
      </c>
      <c r="Z26" s="126">
        <f>OUT!$AI26</f>
        <v/>
      </c>
      <c r="AA26" s="126">
        <f>NOV!$AI26</f>
        <v/>
      </c>
      <c r="AB26" s="126">
        <f>DEZ!$AI26</f>
        <v/>
      </c>
      <c r="AC26" s="127">
        <f>SUM(Q26:AB26)</f>
        <v/>
      </c>
      <c r="AE26" s="126">
        <f>JAN!$AJ26</f>
        <v/>
      </c>
      <c r="AF26" s="126">
        <f>FEV!$AJ26</f>
        <v/>
      </c>
      <c r="AG26" s="126">
        <f>MAR!$AJ26</f>
        <v/>
      </c>
      <c r="AH26" s="126">
        <f>ABR!$AJ26</f>
        <v/>
      </c>
      <c r="AI26" s="126">
        <f>MAI!$AJ26</f>
        <v/>
      </c>
      <c r="AJ26" s="126">
        <f>JUN!$AJ26</f>
        <v/>
      </c>
      <c r="AK26" s="126">
        <f>JUL!$AJ26</f>
        <v/>
      </c>
      <c r="AL26" s="126">
        <f>AGO!$AJ26</f>
        <v/>
      </c>
      <c r="AM26" s="126">
        <f>SET!$AJ26</f>
        <v/>
      </c>
      <c r="AN26" s="126">
        <f>OUT!$AJ26</f>
        <v/>
      </c>
      <c r="AO26" s="126">
        <f>NOV!$AJ26</f>
        <v/>
      </c>
      <c r="AP26" s="126">
        <f>DEZ!$AJ26</f>
        <v/>
      </c>
      <c r="AQ26" s="127">
        <f>SUM(AE26:AP26)</f>
        <v/>
      </c>
      <c r="AS26" s="126">
        <f>JAN!$AK26</f>
        <v/>
      </c>
      <c r="AT26" s="126">
        <f>FEV!$AK26</f>
        <v/>
      </c>
      <c r="AU26" s="126">
        <f>MAR!$AK26</f>
        <v/>
      </c>
      <c r="AV26" s="126">
        <f>ABR!$AK26</f>
        <v/>
      </c>
      <c r="AW26" s="126">
        <f>MAI!$AK26</f>
        <v/>
      </c>
      <c r="AX26" s="126">
        <f>JUN!$AK26</f>
        <v/>
      </c>
      <c r="AY26" s="126">
        <f>JUL!$AK26</f>
        <v/>
      </c>
      <c r="AZ26" s="126">
        <f>AGO!$AK26</f>
        <v/>
      </c>
      <c r="BA26" s="126">
        <f>SET!$AK26</f>
        <v/>
      </c>
      <c r="BB26" s="126">
        <f>OUT!$AK26</f>
        <v/>
      </c>
      <c r="BC26" s="126">
        <f>NOV!$AK26</f>
        <v/>
      </c>
      <c r="BD26" s="126">
        <f>DEZ!$AK26</f>
        <v/>
      </c>
      <c r="BE26" s="127">
        <f>SUM(AS26:BD26)</f>
        <v/>
      </c>
      <c r="BG26" s="93" t="n">
        <v>3</v>
      </c>
      <c r="BH26" s="107">
        <f>SUM(AE26:AP26)</f>
        <v/>
      </c>
      <c r="BI26" s="128">
        <f>IF(BG26="","",IF(BG26=BH26,"","⚠"))</f>
        <v/>
      </c>
    </row>
    <row r="27">
      <c r="A27" s="81" t="inlineStr">
        <is>
          <t>LuAlice</t>
        </is>
      </c>
      <c r="B27" s="125">
        <f>CADASTRO!$C23</f>
        <v/>
      </c>
      <c r="C27" s="126">
        <f>JAN!$AM27</f>
        <v/>
      </c>
      <c r="D27" s="126">
        <f>FEV!$AM27</f>
        <v/>
      </c>
      <c r="E27" s="126">
        <f>MAR!$AM27</f>
        <v/>
      </c>
      <c r="F27" s="126">
        <f>ABR!$AM27</f>
        <v/>
      </c>
      <c r="G27" s="126">
        <f>MAI!$AM27</f>
        <v/>
      </c>
      <c r="H27" s="126">
        <f>JUN!$AM27</f>
        <v/>
      </c>
      <c r="I27" s="126">
        <f>JUL!$AM27</f>
        <v/>
      </c>
      <c r="J27" s="126">
        <f>AGO!$AM27</f>
        <v/>
      </c>
      <c r="K27" s="126">
        <f>SET!$AM27</f>
        <v/>
      </c>
      <c r="L27" s="126">
        <f>OUT!$AM27</f>
        <v/>
      </c>
      <c r="M27" s="126">
        <f>NOV!$AM27</f>
        <v/>
      </c>
      <c r="N27" s="126">
        <f>DEZ!$AM27</f>
        <v/>
      </c>
      <c r="O27" s="127">
        <f>SUM(C27:N27)</f>
        <v/>
      </c>
      <c r="Q27" s="126">
        <f>JAN!$AI27</f>
        <v/>
      </c>
      <c r="R27" s="126">
        <f>FEV!$AI27</f>
        <v/>
      </c>
      <c r="S27" s="126">
        <f>MAR!$AI27</f>
        <v/>
      </c>
      <c r="T27" s="126">
        <f>ABR!$AI27</f>
        <v/>
      </c>
      <c r="U27" s="126">
        <f>MAI!$AI27</f>
        <v/>
      </c>
      <c r="V27" s="126">
        <f>JUN!$AI27</f>
        <v/>
      </c>
      <c r="W27" s="126">
        <f>JUL!$AI27</f>
        <v/>
      </c>
      <c r="X27" s="126">
        <f>AGO!$AI27</f>
        <v/>
      </c>
      <c r="Y27" s="126">
        <f>SET!$AI27</f>
        <v/>
      </c>
      <c r="Z27" s="126">
        <f>OUT!$AI27</f>
        <v/>
      </c>
      <c r="AA27" s="126">
        <f>NOV!$AI27</f>
        <v/>
      </c>
      <c r="AB27" s="126">
        <f>DEZ!$AI27</f>
        <v/>
      </c>
      <c r="AC27" s="127">
        <f>SUM(Q27:AB27)</f>
        <v/>
      </c>
      <c r="AE27" s="126">
        <f>JAN!$AJ27</f>
        <v/>
      </c>
      <c r="AF27" s="126">
        <f>FEV!$AJ27</f>
        <v/>
      </c>
      <c r="AG27" s="126">
        <f>MAR!$AJ27</f>
        <v/>
      </c>
      <c r="AH27" s="126">
        <f>ABR!$AJ27</f>
        <v/>
      </c>
      <c r="AI27" s="126">
        <f>MAI!$AJ27</f>
        <v/>
      </c>
      <c r="AJ27" s="126">
        <f>JUN!$AJ27</f>
        <v/>
      </c>
      <c r="AK27" s="126">
        <f>JUL!$AJ27</f>
        <v/>
      </c>
      <c r="AL27" s="126">
        <f>AGO!$AJ27</f>
        <v/>
      </c>
      <c r="AM27" s="126">
        <f>SET!$AJ27</f>
        <v/>
      </c>
      <c r="AN27" s="126">
        <f>OUT!$AJ27</f>
        <v/>
      </c>
      <c r="AO27" s="126">
        <f>NOV!$AJ27</f>
        <v/>
      </c>
      <c r="AP27" s="126">
        <f>DEZ!$AJ27</f>
        <v/>
      </c>
      <c r="AQ27" s="127">
        <f>SUM(AE27:AP27)</f>
        <v/>
      </c>
      <c r="AS27" s="126">
        <f>JAN!$AK27</f>
        <v/>
      </c>
      <c r="AT27" s="126">
        <f>FEV!$AK27</f>
        <v/>
      </c>
      <c r="AU27" s="126">
        <f>MAR!$AK27</f>
        <v/>
      </c>
      <c r="AV27" s="126">
        <f>ABR!$AK27</f>
        <v/>
      </c>
      <c r="AW27" s="126">
        <f>MAI!$AK27</f>
        <v/>
      </c>
      <c r="AX27" s="126">
        <f>JUN!$AK27</f>
        <v/>
      </c>
      <c r="AY27" s="126">
        <f>JUL!$AK27</f>
        <v/>
      </c>
      <c r="AZ27" s="126">
        <f>AGO!$AK27</f>
        <v/>
      </c>
      <c r="BA27" s="126">
        <f>SET!$AK27</f>
        <v/>
      </c>
      <c r="BB27" s="126">
        <f>OUT!$AK27</f>
        <v/>
      </c>
      <c r="BC27" s="126">
        <f>NOV!$AK27</f>
        <v/>
      </c>
      <c r="BD27" s="126">
        <f>DEZ!$AK27</f>
        <v/>
      </c>
      <c r="BE27" s="127">
        <f>SUM(AS27:BD27)</f>
        <v/>
      </c>
      <c r="BG27" s="93" t="n">
        <v>2</v>
      </c>
      <c r="BH27" s="107">
        <f>SUM(AE27:AP27)</f>
        <v/>
      </c>
      <c r="BI27" s="128">
        <f>IF(BG27="","",IF(BG27=BH27,"","⚠"))</f>
        <v/>
      </c>
    </row>
    <row r="28">
      <c r="A28" s="81" t="inlineStr">
        <is>
          <t>Amanda</t>
        </is>
      </c>
      <c r="B28" s="125">
        <f>CADASTRO!$C24</f>
        <v/>
      </c>
      <c r="C28" s="126">
        <f>JAN!$AM28</f>
        <v/>
      </c>
      <c r="D28" s="126">
        <f>FEV!$AM28</f>
        <v/>
      </c>
      <c r="E28" s="126">
        <f>MAR!$AM28</f>
        <v/>
      </c>
      <c r="F28" s="126">
        <f>ABR!$AM28</f>
        <v/>
      </c>
      <c r="G28" s="126">
        <f>MAI!$AM28</f>
        <v/>
      </c>
      <c r="H28" s="126">
        <f>JUN!$AM28</f>
        <v/>
      </c>
      <c r="I28" s="126">
        <f>JUL!$AM28</f>
        <v/>
      </c>
      <c r="J28" s="126">
        <f>AGO!$AM28</f>
        <v/>
      </c>
      <c r="K28" s="126">
        <f>SET!$AM28</f>
        <v/>
      </c>
      <c r="L28" s="126">
        <f>OUT!$AM28</f>
        <v/>
      </c>
      <c r="M28" s="126">
        <f>NOV!$AM28</f>
        <v/>
      </c>
      <c r="N28" s="126">
        <f>DEZ!$AM28</f>
        <v/>
      </c>
      <c r="O28" s="127">
        <f>SUM(C28:N28)</f>
        <v/>
      </c>
      <c r="Q28" s="126">
        <f>JAN!$AI28</f>
        <v/>
      </c>
      <c r="R28" s="126">
        <f>FEV!$AI28</f>
        <v/>
      </c>
      <c r="S28" s="126">
        <f>MAR!$AI28</f>
        <v/>
      </c>
      <c r="T28" s="126">
        <f>ABR!$AI28</f>
        <v/>
      </c>
      <c r="U28" s="126">
        <f>MAI!$AI28</f>
        <v/>
      </c>
      <c r="V28" s="126">
        <f>JUN!$AI28</f>
        <v/>
      </c>
      <c r="W28" s="126">
        <f>JUL!$AI28</f>
        <v/>
      </c>
      <c r="X28" s="126">
        <f>AGO!$AI28</f>
        <v/>
      </c>
      <c r="Y28" s="126">
        <f>SET!$AI28</f>
        <v/>
      </c>
      <c r="Z28" s="126">
        <f>OUT!$AI28</f>
        <v/>
      </c>
      <c r="AA28" s="126">
        <f>NOV!$AI28</f>
        <v/>
      </c>
      <c r="AB28" s="126">
        <f>DEZ!$AI28</f>
        <v/>
      </c>
      <c r="AC28" s="127">
        <f>SUM(Q28:AB28)</f>
        <v/>
      </c>
      <c r="AE28" s="126">
        <f>JAN!$AJ28</f>
        <v/>
      </c>
      <c r="AF28" s="126">
        <f>FEV!$AJ28</f>
        <v/>
      </c>
      <c r="AG28" s="126">
        <f>MAR!$AJ28</f>
        <v/>
      </c>
      <c r="AH28" s="126">
        <f>ABR!$AJ28</f>
        <v/>
      </c>
      <c r="AI28" s="126">
        <f>MAI!$AJ28</f>
        <v/>
      </c>
      <c r="AJ28" s="126">
        <f>JUN!$AJ28</f>
        <v/>
      </c>
      <c r="AK28" s="126">
        <f>JUL!$AJ28</f>
        <v/>
      </c>
      <c r="AL28" s="126">
        <f>AGO!$AJ28</f>
        <v/>
      </c>
      <c r="AM28" s="126">
        <f>SET!$AJ28</f>
        <v/>
      </c>
      <c r="AN28" s="126">
        <f>OUT!$AJ28</f>
        <v/>
      </c>
      <c r="AO28" s="126">
        <f>NOV!$AJ28</f>
        <v/>
      </c>
      <c r="AP28" s="126">
        <f>DEZ!$AJ28</f>
        <v/>
      </c>
      <c r="AQ28" s="127">
        <f>SUM(AE28:AP28)</f>
        <v/>
      </c>
      <c r="AS28" s="126">
        <f>JAN!$AK28</f>
        <v/>
      </c>
      <c r="AT28" s="126">
        <f>FEV!$AK28</f>
        <v/>
      </c>
      <c r="AU28" s="126">
        <f>MAR!$AK28</f>
        <v/>
      </c>
      <c r="AV28" s="126">
        <f>ABR!$AK28</f>
        <v/>
      </c>
      <c r="AW28" s="126">
        <f>MAI!$AK28</f>
        <v/>
      </c>
      <c r="AX28" s="126">
        <f>JUN!$AK28</f>
        <v/>
      </c>
      <c r="AY28" s="126">
        <f>JUL!$AK28</f>
        <v/>
      </c>
      <c r="AZ28" s="126">
        <f>AGO!$AK28</f>
        <v/>
      </c>
      <c r="BA28" s="126">
        <f>SET!$AK28</f>
        <v/>
      </c>
      <c r="BB28" s="126">
        <f>OUT!$AK28</f>
        <v/>
      </c>
      <c r="BC28" s="126">
        <f>NOV!$AK28</f>
        <v/>
      </c>
      <c r="BD28" s="126">
        <f>DEZ!$AK28</f>
        <v/>
      </c>
      <c r="BE28" s="127">
        <f>SUM(AS28:BD28)</f>
        <v/>
      </c>
      <c r="BG28" s="93" t="n">
        <v>4</v>
      </c>
      <c r="BH28" s="107">
        <f>SUM(AE28:AP28)</f>
        <v/>
      </c>
      <c r="BI28" s="128">
        <f>IF(BG28="","",IF(BG28=BH28,"","⚠"))</f>
        <v/>
      </c>
    </row>
    <row r="29">
      <c r="A29" s="81" t="inlineStr">
        <is>
          <t>Fernando</t>
        </is>
      </c>
      <c r="B29" s="125">
        <f>CADASTRO!$C25</f>
        <v/>
      </c>
      <c r="C29" s="126">
        <f>JAN!$AM29</f>
        <v/>
      </c>
      <c r="D29" s="126">
        <f>FEV!$AM29</f>
        <v/>
      </c>
      <c r="E29" s="126">
        <f>MAR!$AM29</f>
        <v/>
      </c>
      <c r="F29" s="126">
        <f>ABR!$AM29</f>
        <v/>
      </c>
      <c r="G29" s="126">
        <f>MAI!$AM29</f>
        <v/>
      </c>
      <c r="H29" s="126">
        <f>JUN!$AM29</f>
        <v/>
      </c>
      <c r="I29" s="126">
        <f>JUL!$AM29</f>
        <v/>
      </c>
      <c r="J29" s="126">
        <f>AGO!$AM29</f>
        <v/>
      </c>
      <c r="K29" s="126">
        <f>SET!$AM29</f>
        <v/>
      </c>
      <c r="L29" s="126">
        <f>OUT!$AM29</f>
        <v/>
      </c>
      <c r="M29" s="126">
        <f>NOV!$AM29</f>
        <v/>
      </c>
      <c r="N29" s="126">
        <f>DEZ!$AM29</f>
        <v/>
      </c>
      <c r="O29" s="127">
        <f>SUM(C29:N29)</f>
        <v/>
      </c>
      <c r="Q29" s="126">
        <f>JAN!$AI29</f>
        <v/>
      </c>
      <c r="R29" s="126">
        <f>FEV!$AI29</f>
        <v/>
      </c>
      <c r="S29" s="126">
        <f>MAR!$AI29</f>
        <v/>
      </c>
      <c r="T29" s="126">
        <f>ABR!$AI29</f>
        <v/>
      </c>
      <c r="U29" s="126">
        <f>MAI!$AI29</f>
        <v/>
      </c>
      <c r="V29" s="126">
        <f>JUN!$AI29</f>
        <v/>
      </c>
      <c r="W29" s="126">
        <f>JUL!$AI29</f>
        <v/>
      </c>
      <c r="X29" s="126">
        <f>AGO!$AI29</f>
        <v/>
      </c>
      <c r="Y29" s="126">
        <f>SET!$AI29</f>
        <v/>
      </c>
      <c r="Z29" s="126">
        <f>OUT!$AI29</f>
        <v/>
      </c>
      <c r="AA29" s="126">
        <f>NOV!$AI29</f>
        <v/>
      </c>
      <c r="AB29" s="126">
        <f>DEZ!$AI29</f>
        <v/>
      </c>
      <c r="AC29" s="127">
        <f>SUM(Q29:AB29)</f>
        <v/>
      </c>
      <c r="AE29" s="126">
        <f>JAN!$AJ29</f>
        <v/>
      </c>
      <c r="AF29" s="126">
        <f>FEV!$AJ29</f>
        <v/>
      </c>
      <c r="AG29" s="126">
        <f>MAR!$AJ29</f>
        <v/>
      </c>
      <c r="AH29" s="126">
        <f>ABR!$AJ29</f>
        <v/>
      </c>
      <c r="AI29" s="126">
        <f>MAI!$AJ29</f>
        <v/>
      </c>
      <c r="AJ29" s="126">
        <f>JUN!$AJ29</f>
        <v/>
      </c>
      <c r="AK29" s="126">
        <f>JUL!$AJ29</f>
        <v/>
      </c>
      <c r="AL29" s="126">
        <f>AGO!$AJ29</f>
        <v/>
      </c>
      <c r="AM29" s="126">
        <f>SET!$AJ29</f>
        <v/>
      </c>
      <c r="AN29" s="126">
        <f>OUT!$AJ29</f>
        <v/>
      </c>
      <c r="AO29" s="126">
        <f>NOV!$AJ29</f>
        <v/>
      </c>
      <c r="AP29" s="126">
        <f>DEZ!$AJ29</f>
        <v/>
      </c>
      <c r="AQ29" s="127">
        <f>SUM(AE29:AP29)</f>
        <v/>
      </c>
      <c r="AS29" s="126">
        <f>JAN!$AK29</f>
        <v/>
      </c>
      <c r="AT29" s="126">
        <f>FEV!$AK29</f>
        <v/>
      </c>
      <c r="AU29" s="126">
        <f>MAR!$AK29</f>
        <v/>
      </c>
      <c r="AV29" s="126">
        <f>ABR!$AK29</f>
        <v/>
      </c>
      <c r="AW29" s="126">
        <f>MAI!$AK29</f>
        <v/>
      </c>
      <c r="AX29" s="126">
        <f>JUN!$AK29</f>
        <v/>
      </c>
      <c r="AY29" s="126">
        <f>JUL!$AK29</f>
        <v/>
      </c>
      <c r="AZ29" s="126">
        <f>AGO!$AK29</f>
        <v/>
      </c>
      <c r="BA29" s="126">
        <f>SET!$AK29</f>
        <v/>
      </c>
      <c r="BB29" s="126">
        <f>OUT!$AK29</f>
        <v/>
      </c>
      <c r="BC29" s="126">
        <f>NOV!$AK29</f>
        <v/>
      </c>
      <c r="BD29" s="126">
        <f>DEZ!$AK29</f>
        <v/>
      </c>
      <c r="BE29" s="127">
        <f>SUM(AS29:BD29)</f>
        <v/>
      </c>
      <c r="BG29" s="93" t="n">
        <v>3</v>
      </c>
      <c r="BH29" s="107">
        <f>SUM(AE29:AP29)</f>
        <v/>
      </c>
      <c r="BI29" s="128">
        <f>IF(BG29="","",IF(BG29=BH29,"","⚠"))</f>
        <v/>
      </c>
    </row>
    <row r="30">
      <c r="A30" s="81" t="inlineStr">
        <is>
          <t>João</t>
        </is>
      </c>
      <c r="B30" s="125">
        <f>CADASTRO!$C26</f>
        <v/>
      </c>
      <c r="C30" s="126">
        <f>JAN!$AM30</f>
        <v/>
      </c>
      <c r="D30" s="126">
        <f>FEV!$AM30</f>
        <v/>
      </c>
      <c r="E30" s="126">
        <f>MAR!$AM30</f>
        <v/>
      </c>
      <c r="F30" s="126">
        <f>ABR!$AM30</f>
        <v/>
      </c>
      <c r="G30" s="126">
        <f>MAI!$AM30</f>
        <v/>
      </c>
      <c r="H30" s="126">
        <f>JUN!$AM30</f>
        <v/>
      </c>
      <c r="I30" s="126">
        <f>JUL!$AM30</f>
        <v/>
      </c>
      <c r="J30" s="126">
        <f>AGO!$AM30</f>
        <v/>
      </c>
      <c r="K30" s="126">
        <f>SET!$AM30</f>
        <v/>
      </c>
      <c r="L30" s="126">
        <f>OUT!$AM30</f>
        <v/>
      </c>
      <c r="M30" s="126">
        <f>NOV!$AM30</f>
        <v/>
      </c>
      <c r="N30" s="126">
        <f>DEZ!$AM30</f>
        <v/>
      </c>
      <c r="O30" s="127">
        <f>SUM(C30:N30)</f>
        <v/>
      </c>
      <c r="Q30" s="126">
        <f>JAN!$AI30</f>
        <v/>
      </c>
      <c r="R30" s="126">
        <f>FEV!$AI30</f>
        <v/>
      </c>
      <c r="S30" s="126">
        <f>MAR!$AI30</f>
        <v/>
      </c>
      <c r="T30" s="126">
        <f>ABR!$AI30</f>
        <v/>
      </c>
      <c r="U30" s="126">
        <f>MAI!$AI30</f>
        <v/>
      </c>
      <c r="V30" s="126">
        <f>JUN!$AI30</f>
        <v/>
      </c>
      <c r="W30" s="126">
        <f>JUL!$AI30</f>
        <v/>
      </c>
      <c r="X30" s="126">
        <f>AGO!$AI30</f>
        <v/>
      </c>
      <c r="Y30" s="126">
        <f>SET!$AI30</f>
        <v/>
      </c>
      <c r="Z30" s="126">
        <f>OUT!$AI30</f>
        <v/>
      </c>
      <c r="AA30" s="126">
        <f>NOV!$AI30</f>
        <v/>
      </c>
      <c r="AB30" s="126">
        <f>DEZ!$AI30</f>
        <v/>
      </c>
      <c r="AC30" s="127">
        <f>SUM(Q30:AB30)</f>
        <v/>
      </c>
      <c r="AE30" s="126">
        <f>JAN!$AJ30</f>
        <v/>
      </c>
      <c r="AF30" s="126">
        <f>FEV!$AJ30</f>
        <v/>
      </c>
      <c r="AG30" s="126">
        <f>MAR!$AJ30</f>
        <v/>
      </c>
      <c r="AH30" s="126">
        <f>ABR!$AJ30</f>
        <v/>
      </c>
      <c r="AI30" s="126">
        <f>MAI!$AJ30</f>
        <v/>
      </c>
      <c r="AJ30" s="126">
        <f>JUN!$AJ30</f>
        <v/>
      </c>
      <c r="AK30" s="126">
        <f>JUL!$AJ30</f>
        <v/>
      </c>
      <c r="AL30" s="126">
        <f>AGO!$AJ30</f>
        <v/>
      </c>
      <c r="AM30" s="126">
        <f>SET!$AJ30</f>
        <v/>
      </c>
      <c r="AN30" s="126">
        <f>OUT!$AJ30</f>
        <v/>
      </c>
      <c r="AO30" s="126">
        <f>NOV!$AJ30</f>
        <v/>
      </c>
      <c r="AP30" s="126">
        <f>DEZ!$AJ30</f>
        <v/>
      </c>
      <c r="AQ30" s="127">
        <f>SUM(AE30:AP30)</f>
        <v/>
      </c>
      <c r="AS30" s="126">
        <f>JAN!$AK30</f>
        <v/>
      </c>
      <c r="AT30" s="126">
        <f>FEV!$AK30</f>
        <v/>
      </c>
      <c r="AU30" s="126">
        <f>MAR!$AK30</f>
        <v/>
      </c>
      <c r="AV30" s="126">
        <f>ABR!$AK30</f>
        <v/>
      </c>
      <c r="AW30" s="126">
        <f>MAI!$AK30</f>
        <v/>
      </c>
      <c r="AX30" s="126">
        <f>JUN!$AK30</f>
        <v/>
      </c>
      <c r="AY30" s="126">
        <f>JUL!$AK30</f>
        <v/>
      </c>
      <c r="AZ30" s="126">
        <f>AGO!$AK30</f>
        <v/>
      </c>
      <c r="BA30" s="126">
        <f>SET!$AK30</f>
        <v/>
      </c>
      <c r="BB30" s="126">
        <f>OUT!$AK30</f>
        <v/>
      </c>
      <c r="BC30" s="126">
        <f>NOV!$AK30</f>
        <v/>
      </c>
      <c r="BD30" s="126">
        <f>DEZ!$AK30</f>
        <v/>
      </c>
      <c r="BE30" s="127">
        <f>SUM(AS30:BD30)</f>
        <v/>
      </c>
      <c r="BG30" s="93" t="n">
        <v>4</v>
      </c>
      <c r="BH30" s="107">
        <f>SUM(AE30:AP30)</f>
        <v/>
      </c>
      <c r="BI30" s="128">
        <f>IF(BG30="","",IF(BG30=BH30,"","⚠"))</f>
        <v/>
      </c>
    </row>
    <row r="31">
      <c r="A31" s="81" t="inlineStr">
        <is>
          <t>JuCoutinho</t>
        </is>
      </c>
      <c r="B31" s="125">
        <f>CADASTRO!$C27</f>
        <v/>
      </c>
      <c r="C31" s="126">
        <f>JAN!$AM31</f>
        <v/>
      </c>
      <c r="D31" s="126">
        <f>FEV!$AM31</f>
        <v/>
      </c>
      <c r="E31" s="126">
        <f>MAR!$AM31</f>
        <v/>
      </c>
      <c r="F31" s="126">
        <f>ABR!$AM31</f>
        <v/>
      </c>
      <c r="G31" s="126">
        <f>MAI!$AM31</f>
        <v/>
      </c>
      <c r="H31" s="126">
        <f>JUN!$AM31</f>
        <v/>
      </c>
      <c r="I31" s="126">
        <f>JUL!$AM31</f>
        <v/>
      </c>
      <c r="J31" s="126">
        <f>AGO!$AM31</f>
        <v/>
      </c>
      <c r="K31" s="126">
        <f>SET!$AM31</f>
        <v/>
      </c>
      <c r="L31" s="126">
        <f>OUT!$AM31</f>
        <v/>
      </c>
      <c r="M31" s="126">
        <f>NOV!$AM31</f>
        <v/>
      </c>
      <c r="N31" s="126">
        <f>DEZ!$AM31</f>
        <v/>
      </c>
      <c r="O31" s="127">
        <f>SUM(C31:N31)</f>
        <v/>
      </c>
      <c r="Q31" s="126">
        <f>JAN!$AI31</f>
        <v/>
      </c>
      <c r="R31" s="126">
        <f>FEV!$AI31</f>
        <v/>
      </c>
      <c r="S31" s="126">
        <f>MAR!$AI31</f>
        <v/>
      </c>
      <c r="T31" s="126">
        <f>ABR!$AI31</f>
        <v/>
      </c>
      <c r="U31" s="126">
        <f>MAI!$AI31</f>
        <v/>
      </c>
      <c r="V31" s="126">
        <f>JUN!$AI31</f>
        <v/>
      </c>
      <c r="W31" s="126">
        <f>JUL!$AI31</f>
        <v/>
      </c>
      <c r="X31" s="126">
        <f>AGO!$AI31</f>
        <v/>
      </c>
      <c r="Y31" s="126">
        <f>SET!$AI31</f>
        <v/>
      </c>
      <c r="Z31" s="126">
        <f>OUT!$AI31</f>
        <v/>
      </c>
      <c r="AA31" s="126">
        <f>NOV!$AI31</f>
        <v/>
      </c>
      <c r="AB31" s="126">
        <f>DEZ!$AI31</f>
        <v/>
      </c>
      <c r="AC31" s="127">
        <f>SUM(Q31:AB31)</f>
        <v/>
      </c>
      <c r="AE31" s="126">
        <f>JAN!$AJ31</f>
        <v/>
      </c>
      <c r="AF31" s="126">
        <f>FEV!$AJ31</f>
        <v/>
      </c>
      <c r="AG31" s="126">
        <f>MAR!$AJ31</f>
        <v/>
      </c>
      <c r="AH31" s="126">
        <f>ABR!$AJ31</f>
        <v/>
      </c>
      <c r="AI31" s="126">
        <f>MAI!$AJ31</f>
        <v/>
      </c>
      <c r="AJ31" s="126">
        <f>JUN!$AJ31</f>
        <v/>
      </c>
      <c r="AK31" s="126">
        <f>JUL!$AJ31</f>
        <v/>
      </c>
      <c r="AL31" s="126">
        <f>AGO!$AJ31</f>
        <v/>
      </c>
      <c r="AM31" s="126">
        <f>SET!$AJ31</f>
        <v/>
      </c>
      <c r="AN31" s="126">
        <f>OUT!$AJ31</f>
        <v/>
      </c>
      <c r="AO31" s="126">
        <f>NOV!$AJ31</f>
        <v/>
      </c>
      <c r="AP31" s="126">
        <f>DEZ!$AJ31</f>
        <v/>
      </c>
      <c r="AQ31" s="127">
        <f>SUM(AE31:AP31)</f>
        <v/>
      </c>
      <c r="AS31" s="126">
        <f>JAN!$AK31</f>
        <v/>
      </c>
      <c r="AT31" s="126">
        <f>FEV!$AK31</f>
        <v/>
      </c>
      <c r="AU31" s="126">
        <f>MAR!$AK31</f>
        <v/>
      </c>
      <c r="AV31" s="126">
        <f>ABR!$AK31</f>
        <v/>
      </c>
      <c r="AW31" s="126">
        <f>MAI!$AK31</f>
        <v/>
      </c>
      <c r="AX31" s="126">
        <f>JUN!$AK31</f>
        <v/>
      </c>
      <c r="AY31" s="126">
        <f>JUL!$AK31</f>
        <v/>
      </c>
      <c r="AZ31" s="126">
        <f>AGO!$AK31</f>
        <v/>
      </c>
      <c r="BA31" s="126">
        <f>SET!$AK31</f>
        <v/>
      </c>
      <c r="BB31" s="126">
        <f>OUT!$AK31</f>
        <v/>
      </c>
      <c r="BC31" s="126">
        <f>NOV!$AK31</f>
        <v/>
      </c>
      <c r="BD31" s="126">
        <f>DEZ!$AK31</f>
        <v/>
      </c>
      <c r="BE31" s="127">
        <f>SUM(AS31:BD31)</f>
        <v/>
      </c>
      <c r="BG31" s="93" t="n">
        <v>3</v>
      </c>
      <c r="BH31" s="107">
        <f>SUM(AE31:AP31)</f>
        <v/>
      </c>
      <c r="BI31" s="128">
        <f>IF(BG31="","",IF(BG31=BH31,"","⚠"))</f>
        <v/>
      </c>
    </row>
    <row r="32">
      <c r="A32" s="81" t="inlineStr">
        <is>
          <t>LeLemos</t>
        </is>
      </c>
      <c r="B32" s="125">
        <f>CADASTRO!$C28</f>
        <v/>
      </c>
      <c r="C32" s="126">
        <f>JAN!$AM32</f>
        <v/>
      </c>
      <c r="D32" s="126">
        <f>FEV!$AM32</f>
        <v/>
      </c>
      <c r="E32" s="126">
        <f>MAR!$AM32</f>
        <v/>
      </c>
      <c r="F32" s="126">
        <f>ABR!$AM32</f>
        <v/>
      </c>
      <c r="G32" s="126">
        <f>MAI!$AM32</f>
        <v/>
      </c>
      <c r="H32" s="126">
        <f>JUN!$AM32</f>
        <v/>
      </c>
      <c r="I32" s="126">
        <f>JUL!$AM32</f>
        <v/>
      </c>
      <c r="J32" s="126">
        <f>AGO!$AM32</f>
        <v/>
      </c>
      <c r="K32" s="126">
        <f>SET!$AM32</f>
        <v/>
      </c>
      <c r="L32" s="126">
        <f>OUT!$AM32</f>
        <v/>
      </c>
      <c r="M32" s="126">
        <f>NOV!$AM32</f>
        <v/>
      </c>
      <c r="N32" s="126">
        <f>DEZ!$AM32</f>
        <v/>
      </c>
      <c r="O32" s="127">
        <f>SUM(C32:N32)</f>
        <v/>
      </c>
      <c r="Q32" s="126">
        <f>JAN!$AI32</f>
        <v/>
      </c>
      <c r="R32" s="126">
        <f>FEV!$AI32</f>
        <v/>
      </c>
      <c r="S32" s="126">
        <f>MAR!$AI32</f>
        <v/>
      </c>
      <c r="T32" s="126">
        <f>ABR!$AI32</f>
        <v/>
      </c>
      <c r="U32" s="126">
        <f>MAI!$AI32</f>
        <v/>
      </c>
      <c r="V32" s="126">
        <f>JUN!$AI32</f>
        <v/>
      </c>
      <c r="W32" s="126">
        <f>JUL!$AI32</f>
        <v/>
      </c>
      <c r="X32" s="126">
        <f>AGO!$AI32</f>
        <v/>
      </c>
      <c r="Y32" s="126">
        <f>SET!$AI32</f>
        <v/>
      </c>
      <c r="Z32" s="126">
        <f>OUT!$AI32</f>
        <v/>
      </c>
      <c r="AA32" s="126">
        <f>NOV!$AI32</f>
        <v/>
      </c>
      <c r="AB32" s="126">
        <f>DEZ!$AI32</f>
        <v/>
      </c>
      <c r="AC32" s="127">
        <f>SUM(Q32:AB32)</f>
        <v/>
      </c>
      <c r="AE32" s="126">
        <f>JAN!$AJ32</f>
        <v/>
      </c>
      <c r="AF32" s="126">
        <f>FEV!$AJ32</f>
        <v/>
      </c>
      <c r="AG32" s="126">
        <f>MAR!$AJ32</f>
        <v/>
      </c>
      <c r="AH32" s="126">
        <f>ABR!$AJ32</f>
        <v/>
      </c>
      <c r="AI32" s="126">
        <f>MAI!$AJ32</f>
        <v/>
      </c>
      <c r="AJ32" s="126">
        <f>JUN!$AJ32</f>
        <v/>
      </c>
      <c r="AK32" s="126">
        <f>JUL!$AJ32</f>
        <v/>
      </c>
      <c r="AL32" s="126">
        <f>AGO!$AJ32</f>
        <v/>
      </c>
      <c r="AM32" s="126">
        <f>SET!$AJ32</f>
        <v/>
      </c>
      <c r="AN32" s="126">
        <f>OUT!$AJ32</f>
        <v/>
      </c>
      <c r="AO32" s="126">
        <f>NOV!$AJ32</f>
        <v/>
      </c>
      <c r="AP32" s="126">
        <f>DEZ!$AJ32</f>
        <v/>
      </c>
      <c r="AQ32" s="127">
        <f>SUM(AE32:AP32)</f>
        <v/>
      </c>
      <c r="AS32" s="126">
        <f>JAN!$AK32</f>
        <v/>
      </c>
      <c r="AT32" s="126">
        <f>FEV!$AK32</f>
        <v/>
      </c>
      <c r="AU32" s="126">
        <f>MAR!$AK32</f>
        <v/>
      </c>
      <c r="AV32" s="126">
        <f>ABR!$AK32</f>
        <v/>
      </c>
      <c r="AW32" s="126">
        <f>MAI!$AK32</f>
        <v/>
      </c>
      <c r="AX32" s="126">
        <f>JUN!$AK32</f>
        <v/>
      </c>
      <c r="AY32" s="126">
        <f>JUL!$AK32</f>
        <v/>
      </c>
      <c r="AZ32" s="126">
        <f>AGO!$AK32</f>
        <v/>
      </c>
      <c r="BA32" s="126">
        <f>SET!$AK32</f>
        <v/>
      </c>
      <c r="BB32" s="126">
        <f>OUT!$AK32</f>
        <v/>
      </c>
      <c r="BC32" s="126">
        <f>NOV!$AK32</f>
        <v/>
      </c>
      <c r="BD32" s="126">
        <f>DEZ!$AK32</f>
        <v/>
      </c>
      <c r="BE32" s="127">
        <f>SUM(AS32:BD32)</f>
        <v/>
      </c>
      <c r="BG32" s="93" t="n">
        <v>4</v>
      </c>
      <c r="BH32" s="107">
        <f>SUM(AE32:AP32)</f>
        <v/>
      </c>
      <c r="BI32" s="128">
        <f>IF(BG32="","",IF(BG32=BH32,"","⚠"))</f>
        <v/>
      </c>
    </row>
    <row r="33">
      <c r="A33" s="81" t="inlineStr">
        <is>
          <t>Leomara</t>
        </is>
      </c>
      <c r="B33" s="125">
        <f>CADASTRO!$C29</f>
        <v/>
      </c>
      <c r="C33" s="126">
        <f>JAN!$AM33</f>
        <v/>
      </c>
      <c r="D33" s="126">
        <f>FEV!$AM33</f>
        <v/>
      </c>
      <c r="E33" s="126">
        <f>MAR!$AM33</f>
        <v/>
      </c>
      <c r="F33" s="126">
        <f>ABR!$AM33</f>
        <v/>
      </c>
      <c r="G33" s="126">
        <f>MAI!$AM33</f>
        <v/>
      </c>
      <c r="H33" s="126">
        <f>JUN!$AM33</f>
        <v/>
      </c>
      <c r="I33" s="126">
        <f>JUL!$AM33</f>
        <v/>
      </c>
      <c r="J33" s="126">
        <f>AGO!$AM33</f>
        <v/>
      </c>
      <c r="K33" s="126">
        <f>SET!$AM33</f>
        <v/>
      </c>
      <c r="L33" s="126">
        <f>OUT!$AM33</f>
        <v/>
      </c>
      <c r="M33" s="126">
        <f>NOV!$AM33</f>
        <v/>
      </c>
      <c r="N33" s="126">
        <f>DEZ!$AM33</f>
        <v/>
      </c>
      <c r="O33" s="127">
        <f>SUM(C33:N33)</f>
        <v/>
      </c>
      <c r="Q33" s="126">
        <f>JAN!$AI33</f>
        <v/>
      </c>
      <c r="R33" s="126">
        <f>FEV!$AI33</f>
        <v/>
      </c>
      <c r="S33" s="126">
        <f>MAR!$AI33</f>
        <v/>
      </c>
      <c r="T33" s="126">
        <f>ABR!$AI33</f>
        <v/>
      </c>
      <c r="U33" s="126">
        <f>MAI!$AI33</f>
        <v/>
      </c>
      <c r="V33" s="126">
        <f>JUN!$AI33</f>
        <v/>
      </c>
      <c r="W33" s="126">
        <f>JUL!$AI33</f>
        <v/>
      </c>
      <c r="X33" s="126">
        <f>AGO!$AI33</f>
        <v/>
      </c>
      <c r="Y33" s="126">
        <f>SET!$AI33</f>
        <v/>
      </c>
      <c r="Z33" s="126">
        <f>OUT!$AI33</f>
        <v/>
      </c>
      <c r="AA33" s="126">
        <f>NOV!$AI33</f>
        <v/>
      </c>
      <c r="AB33" s="126">
        <f>DEZ!$AI33</f>
        <v/>
      </c>
      <c r="AC33" s="127">
        <f>SUM(Q33:AB33)</f>
        <v/>
      </c>
      <c r="AE33" s="126">
        <f>JAN!$AJ33</f>
        <v/>
      </c>
      <c r="AF33" s="126">
        <f>FEV!$AJ33</f>
        <v/>
      </c>
      <c r="AG33" s="126">
        <f>MAR!$AJ33</f>
        <v/>
      </c>
      <c r="AH33" s="126">
        <f>ABR!$AJ33</f>
        <v/>
      </c>
      <c r="AI33" s="126">
        <f>MAI!$AJ33</f>
        <v/>
      </c>
      <c r="AJ33" s="126">
        <f>JUN!$AJ33</f>
        <v/>
      </c>
      <c r="AK33" s="126">
        <f>JUL!$AJ33</f>
        <v/>
      </c>
      <c r="AL33" s="126">
        <f>AGO!$AJ33</f>
        <v/>
      </c>
      <c r="AM33" s="126">
        <f>SET!$AJ33</f>
        <v/>
      </c>
      <c r="AN33" s="126">
        <f>OUT!$AJ33</f>
        <v/>
      </c>
      <c r="AO33" s="126">
        <f>NOV!$AJ33</f>
        <v/>
      </c>
      <c r="AP33" s="126">
        <f>DEZ!$AJ33</f>
        <v/>
      </c>
      <c r="AQ33" s="127">
        <f>SUM(AE33:AP33)</f>
        <v/>
      </c>
      <c r="AS33" s="126">
        <f>JAN!$AK33</f>
        <v/>
      </c>
      <c r="AT33" s="126">
        <f>FEV!$AK33</f>
        <v/>
      </c>
      <c r="AU33" s="126">
        <f>MAR!$AK33</f>
        <v/>
      </c>
      <c r="AV33" s="126">
        <f>ABR!$AK33</f>
        <v/>
      </c>
      <c r="AW33" s="126">
        <f>MAI!$AK33</f>
        <v/>
      </c>
      <c r="AX33" s="126">
        <f>JUN!$AK33</f>
        <v/>
      </c>
      <c r="AY33" s="126">
        <f>JUL!$AK33</f>
        <v/>
      </c>
      <c r="AZ33" s="126">
        <f>AGO!$AK33</f>
        <v/>
      </c>
      <c r="BA33" s="126">
        <f>SET!$AK33</f>
        <v/>
      </c>
      <c r="BB33" s="126">
        <f>OUT!$AK33</f>
        <v/>
      </c>
      <c r="BC33" s="126">
        <f>NOV!$AK33</f>
        <v/>
      </c>
      <c r="BD33" s="126">
        <f>DEZ!$AK33</f>
        <v/>
      </c>
      <c r="BE33" s="127">
        <f>SUM(AS33:BD33)</f>
        <v/>
      </c>
      <c r="BG33" s="93" t="n">
        <v>3</v>
      </c>
      <c r="BH33" s="107">
        <f>SUM(AE33:AP33)</f>
        <v/>
      </c>
      <c r="BI33" s="128">
        <f>IF(BG33="","",IF(BG33=BH33,"","⚠"))</f>
        <v/>
      </c>
    </row>
    <row r="34">
      <c r="A34" s="81" t="inlineStr">
        <is>
          <t>Marilia</t>
        </is>
      </c>
      <c r="B34" s="125">
        <f>CADASTRO!$C30</f>
        <v/>
      </c>
      <c r="C34" s="126">
        <f>JAN!$AM34</f>
        <v/>
      </c>
      <c r="D34" s="126">
        <f>FEV!$AM34</f>
        <v/>
      </c>
      <c r="E34" s="126">
        <f>MAR!$AM34</f>
        <v/>
      </c>
      <c r="F34" s="126">
        <f>ABR!$AM34</f>
        <v/>
      </c>
      <c r="G34" s="126">
        <f>MAI!$AM34</f>
        <v/>
      </c>
      <c r="H34" s="126">
        <f>JUN!$AM34</f>
        <v/>
      </c>
      <c r="I34" s="126">
        <f>JUL!$AM34</f>
        <v/>
      </c>
      <c r="J34" s="126">
        <f>AGO!$AM34</f>
        <v/>
      </c>
      <c r="K34" s="126">
        <f>SET!$AM34</f>
        <v/>
      </c>
      <c r="L34" s="126">
        <f>OUT!$AM34</f>
        <v/>
      </c>
      <c r="M34" s="126">
        <f>NOV!$AM34</f>
        <v/>
      </c>
      <c r="N34" s="126">
        <f>DEZ!$AM34</f>
        <v/>
      </c>
      <c r="O34" s="127">
        <f>SUM(C34:N34)</f>
        <v/>
      </c>
      <c r="Q34" s="126">
        <f>JAN!$AI34</f>
        <v/>
      </c>
      <c r="R34" s="126">
        <f>FEV!$AI34</f>
        <v/>
      </c>
      <c r="S34" s="126">
        <f>MAR!$AI34</f>
        <v/>
      </c>
      <c r="T34" s="126">
        <f>ABR!$AI34</f>
        <v/>
      </c>
      <c r="U34" s="126">
        <f>MAI!$AI34</f>
        <v/>
      </c>
      <c r="V34" s="126">
        <f>JUN!$AI34</f>
        <v/>
      </c>
      <c r="W34" s="126">
        <f>JUL!$AI34</f>
        <v/>
      </c>
      <c r="X34" s="126">
        <f>AGO!$AI34</f>
        <v/>
      </c>
      <c r="Y34" s="126">
        <f>SET!$AI34</f>
        <v/>
      </c>
      <c r="Z34" s="126">
        <f>OUT!$AI34</f>
        <v/>
      </c>
      <c r="AA34" s="126">
        <f>NOV!$AI34</f>
        <v/>
      </c>
      <c r="AB34" s="126">
        <f>DEZ!$AI34</f>
        <v/>
      </c>
      <c r="AC34" s="127">
        <f>SUM(Q34:AB34)</f>
        <v/>
      </c>
      <c r="AE34" s="126">
        <f>JAN!$AJ34</f>
        <v/>
      </c>
      <c r="AF34" s="126">
        <f>FEV!$AJ34</f>
        <v/>
      </c>
      <c r="AG34" s="126">
        <f>MAR!$AJ34</f>
        <v/>
      </c>
      <c r="AH34" s="126">
        <f>ABR!$AJ34</f>
        <v/>
      </c>
      <c r="AI34" s="126">
        <f>MAI!$AJ34</f>
        <v/>
      </c>
      <c r="AJ34" s="126">
        <f>JUN!$AJ34</f>
        <v/>
      </c>
      <c r="AK34" s="126">
        <f>JUL!$AJ34</f>
        <v/>
      </c>
      <c r="AL34" s="126">
        <f>AGO!$AJ34</f>
        <v/>
      </c>
      <c r="AM34" s="126">
        <f>SET!$AJ34</f>
        <v/>
      </c>
      <c r="AN34" s="126">
        <f>OUT!$AJ34</f>
        <v/>
      </c>
      <c r="AO34" s="126">
        <f>NOV!$AJ34</f>
        <v/>
      </c>
      <c r="AP34" s="126">
        <f>DEZ!$AJ34</f>
        <v/>
      </c>
      <c r="AQ34" s="127">
        <f>SUM(AE34:AP34)</f>
        <v/>
      </c>
      <c r="AS34" s="126">
        <f>JAN!$AK34</f>
        <v/>
      </c>
      <c r="AT34" s="126">
        <f>FEV!$AK34</f>
        <v/>
      </c>
      <c r="AU34" s="126">
        <f>MAR!$AK34</f>
        <v/>
      </c>
      <c r="AV34" s="126">
        <f>ABR!$AK34</f>
        <v/>
      </c>
      <c r="AW34" s="126">
        <f>MAI!$AK34</f>
        <v/>
      </c>
      <c r="AX34" s="126">
        <f>JUN!$AK34</f>
        <v/>
      </c>
      <c r="AY34" s="126">
        <f>JUL!$AK34</f>
        <v/>
      </c>
      <c r="AZ34" s="126">
        <f>AGO!$AK34</f>
        <v/>
      </c>
      <c r="BA34" s="126">
        <f>SET!$AK34</f>
        <v/>
      </c>
      <c r="BB34" s="126">
        <f>OUT!$AK34</f>
        <v/>
      </c>
      <c r="BC34" s="126">
        <f>NOV!$AK34</f>
        <v/>
      </c>
      <c r="BD34" s="126">
        <f>DEZ!$AK34</f>
        <v/>
      </c>
      <c r="BE34" s="127">
        <f>SUM(AS34:BD34)</f>
        <v/>
      </c>
      <c r="BG34" s="93" t="n">
        <v>3</v>
      </c>
      <c r="BH34" s="107">
        <f>SUM(AE34:AP34)</f>
        <v/>
      </c>
      <c r="BI34" s="128">
        <f>IF(BG34="","",IF(BG34=BH34,"","⚠"))</f>
        <v/>
      </c>
    </row>
    <row r="35">
      <c r="A35" s="81" t="inlineStr">
        <is>
          <t>Raylander</t>
        </is>
      </c>
      <c r="B35" s="125">
        <f>CADASTRO!$C31</f>
        <v/>
      </c>
      <c r="C35" s="126">
        <f>JAN!$AM35</f>
        <v/>
      </c>
      <c r="D35" s="126">
        <f>FEV!$AM35</f>
        <v/>
      </c>
      <c r="E35" s="126">
        <f>MAR!$AM35</f>
        <v/>
      </c>
      <c r="F35" s="126">
        <f>ABR!$AM35</f>
        <v/>
      </c>
      <c r="G35" s="126">
        <f>MAI!$AM35</f>
        <v/>
      </c>
      <c r="H35" s="126">
        <f>JUN!$AM35</f>
        <v/>
      </c>
      <c r="I35" s="126">
        <f>JUL!$AM35</f>
        <v/>
      </c>
      <c r="J35" s="126">
        <f>AGO!$AM35</f>
        <v/>
      </c>
      <c r="K35" s="126">
        <f>SET!$AM35</f>
        <v/>
      </c>
      <c r="L35" s="126">
        <f>OUT!$AM35</f>
        <v/>
      </c>
      <c r="M35" s="126">
        <f>NOV!$AM35</f>
        <v/>
      </c>
      <c r="N35" s="126">
        <f>DEZ!$AM35</f>
        <v/>
      </c>
      <c r="O35" s="127">
        <f>SUM(C35:N35)</f>
        <v/>
      </c>
      <c r="Q35" s="126">
        <f>JAN!$AI35</f>
        <v/>
      </c>
      <c r="R35" s="126">
        <f>FEV!$AI35</f>
        <v/>
      </c>
      <c r="S35" s="126">
        <f>MAR!$AI35</f>
        <v/>
      </c>
      <c r="T35" s="126">
        <f>ABR!$AI35</f>
        <v/>
      </c>
      <c r="U35" s="126">
        <f>MAI!$AI35</f>
        <v/>
      </c>
      <c r="V35" s="126">
        <f>JUN!$AI35</f>
        <v/>
      </c>
      <c r="W35" s="126">
        <f>JUL!$AI35</f>
        <v/>
      </c>
      <c r="X35" s="126">
        <f>AGO!$AI35</f>
        <v/>
      </c>
      <c r="Y35" s="126">
        <f>SET!$AI35</f>
        <v/>
      </c>
      <c r="Z35" s="126">
        <f>OUT!$AI35</f>
        <v/>
      </c>
      <c r="AA35" s="126">
        <f>NOV!$AI35</f>
        <v/>
      </c>
      <c r="AB35" s="126">
        <f>DEZ!$AI35</f>
        <v/>
      </c>
      <c r="AC35" s="127">
        <f>SUM(Q35:AB35)</f>
        <v/>
      </c>
      <c r="AE35" s="126">
        <f>JAN!$AJ35</f>
        <v/>
      </c>
      <c r="AF35" s="126">
        <f>FEV!$AJ35</f>
        <v/>
      </c>
      <c r="AG35" s="126">
        <f>MAR!$AJ35</f>
        <v/>
      </c>
      <c r="AH35" s="126">
        <f>ABR!$AJ35</f>
        <v/>
      </c>
      <c r="AI35" s="126">
        <f>MAI!$AJ35</f>
        <v/>
      </c>
      <c r="AJ35" s="126">
        <f>JUN!$AJ35</f>
        <v/>
      </c>
      <c r="AK35" s="126">
        <f>JUL!$AJ35</f>
        <v/>
      </c>
      <c r="AL35" s="126">
        <f>AGO!$AJ35</f>
        <v/>
      </c>
      <c r="AM35" s="126">
        <f>SET!$AJ35</f>
        <v/>
      </c>
      <c r="AN35" s="126">
        <f>OUT!$AJ35</f>
        <v/>
      </c>
      <c r="AO35" s="126">
        <f>NOV!$AJ35</f>
        <v/>
      </c>
      <c r="AP35" s="126">
        <f>DEZ!$AJ35</f>
        <v/>
      </c>
      <c r="AQ35" s="127">
        <f>SUM(AE35:AP35)</f>
        <v/>
      </c>
      <c r="AS35" s="126">
        <f>JAN!$AK35</f>
        <v/>
      </c>
      <c r="AT35" s="126">
        <f>FEV!$AK35</f>
        <v/>
      </c>
      <c r="AU35" s="126">
        <f>MAR!$AK35</f>
        <v/>
      </c>
      <c r="AV35" s="126">
        <f>ABR!$AK35</f>
        <v/>
      </c>
      <c r="AW35" s="126">
        <f>MAI!$AK35</f>
        <v/>
      </c>
      <c r="AX35" s="126">
        <f>JUN!$AK35</f>
        <v/>
      </c>
      <c r="AY35" s="126">
        <f>JUL!$AK35</f>
        <v/>
      </c>
      <c r="AZ35" s="126">
        <f>AGO!$AK35</f>
        <v/>
      </c>
      <c r="BA35" s="126">
        <f>SET!$AK35</f>
        <v/>
      </c>
      <c r="BB35" s="126">
        <f>OUT!$AK35</f>
        <v/>
      </c>
      <c r="BC35" s="126">
        <f>NOV!$AK35</f>
        <v/>
      </c>
      <c r="BD35" s="126">
        <f>DEZ!$AK35</f>
        <v/>
      </c>
      <c r="BE35" s="127">
        <f>SUM(AS35:BD35)</f>
        <v/>
      </c>
      <c r="BG35" s="93" t="n">
        <v>6</v>
      </c>
      <c r="BH35" s="107">
        <f>SUM(AE35:AP35)</f>
        <v/>
      </c>
      <c r="BI35" s="128">
        <f>IF(BG35="","",IF(BG35=BH35,"","⚠"))</f>
        <v/>
      </c>
    </row>
    <row r="36">
      <c r="A36" s="81" t="inlineStr">
        <is>
          <t>Ricardo</t>
        </is>
      </c>
      <c r="B36" s="125">
        <f>CADASTRO!$C32</f>
        <v/>
      </c>
      <c r="C36" s="126">
        <f>JAN!$AM36</f>
        <v/>
      </c>
      <c r="D36" s="126">
        <f>FEV!$AM36</f>
        <v/>
      </c>
      <c r="E36" s="126">
        <f>MAR!$AM36</f>
        <v/>
      </c>
      <c r="F36" s="126">
        <f>ABR!$AM36</f>
        <v/>
      </c>
      <c r="G36" s="126">
        <f>MAI!$AM36</f>
        <v/>
      </c>
      <c r="H36" s="126">
        <f>JUN!$AM36</f>
        <v/>
      </c>
      <c r="I36" s="126">
        <f>JUL!$AM36</f>
        <v/>
      </c>
      <c r="J36" s="126">
        <f>AGO!$AM36</f>
        <v/>
      </c>
      <c r="K36" s="126">
        <f>SET!$AM36</f>
        <v/>
      </c>
      <c r="L36" s="126">
        <f>OUT!$AM36</f>
        <v/>
      </c>
      <c r="M36" s="126">
        <f>NOV!$AM36</f>
        <v/>
      </c>
      <c r="N36" s="126">
        <f>DEZ!$AM36</f>
        <v/>
      </c>
      <c r="O36" s="127">
        <f>SUM(C36:N36)</f>
        <v/>
      </c>
      <c r="Q36" s="126">
        <f>JAN!$AI36</f>
        <v/>
      </c>
      <c r="R36" s="126">
        <f>FEV!$AI36</f>
        <v/>
      </c>
      <c r="S36" s="126">
        <f>MAR!$AI36</f>
        <v/>
      </c>
      <c r="T36" s="126">
        <f>ABR!$AI36</f>
        <v/>
      </c>
      <c r="U36" s="126">
        <f>MAI!$AI36</f>
        <v/>
      </c>
      <c r="V36" s="126">
        <f>JUN!$AI36</f>
        <v/>
      </c>
      <c r="W36" s="126">
        <f>JUL!$AI36</f>
        <v/>
      </c>
      <c r="X36" s="126">
        <f>AGO!$AI36</f>
        <v/>
      </c>
      <c r="Y36" s="126">
        <f>SET!$AI36</f>
        <v/>
      </c>
      <c r="Z36" s="126">
        <f>OUT!$AI36</f>
        <v/>
      </c>
      <c r="AA36" s="126">
        <f>NOV!$AI36</f>
        <v/>
      </c>
      <c r="AB36" s="126">
        <f>DEZ!$AI36</f>
        <v/>
      </c>
      <c r="AC36" s="127">
        <f>SUM(Q36:AB36)</f>
        <v/>
      </c>
      <c r="AE36" s="126">
        <f>JAN!$AJ36</f>
        <v/>
      </c>
      <c r="AF36" s="126">
        <f>FEV!$AJ36</f>
        <v/>
      </c>
      <c r="AG36" s="126">
        <f>MAR!$AJ36</f>
        <v/>
      </c>
      <c r="AH36" s="126">
        <f>ABR!$AJ36</f>
        <v/>
      </c>
      <c r="AI36" s="126">
        <f>MAI!$AJ36</f>
        <v/>
      </c>
      <c r="AJ36" s="126">
        <f>JUN!$AJ36</f>
        <v/>
      </c>
      <c r="AK36" s="126">
        <f>JUL!$AJ36</f>
        <v/>
      </c>
      <c r="AL36" s="126">
        <f>AGO!$AJ36</f>
        <v/>
      </c>
      <c r="AM36" s="126">
        <f>SET!$AJ36</f>
        <v/>
      </c>
      <c r="AN36" s="126">
        <f>OUT!$AJ36</f>
        <v/>
      </c>
      <c r="AO36" s="126">
        <f>NOV!$AJ36</f>
        <v/>
      </c>
      <c r="AP36" s="126">
        <f>DEZ!$AJ36</f>
        <v/>
      </c>
      <c r="AQ36" s="127">
        <f>SUM(AE36:AP36)</f>
        <v/>
      </c>
      <c r="AS36" s="126">
        <f>JAN!$AK36</f>
        <v/>
      </c>
      <c r="AT36" s="126">
        <f>FEV!$AK36</f>
        <v/>
      </c>
      <c r="AU36" s="126">
        <f>MAR!$AK36</f>
        <v/>
      </c>
      <c r="AV36" s="126">
        <f>ABR!$AK36</f>
        <v/>
      </c>
      <c r="AW36" s="126">
        <f>MAI!$AK36</f>
        <v/>
      </c>
      <c r="AX36" s="126">
        <f>JUN!$AK36</f>
        <v/>
      </c>
      <c r="AY36" s="126">
        <f>JUL!$AK36</f>
        <v/>
      </c>
      <c r="AZ36" s="126">
        <f>AGO!$AK36</f>
        <v/>
      </c>
      <c r="BA36" s="126">
        <f>SET!$AK36</f>
        <v/>
      </c>
      <c r="BB36" s="126">
        <f>OUT!$AK36</f>
        <v/>
      </c>
      <c r="BC36" s="126">
        <f>NOV!$AK36</f>
        <v/>
      </c>
      <c r="BD36" s="126">
        <f>DEZ!$AK36</f>
        <v/>
      </c>
      <c r="BE36" s="127">
        <f>SUM(AS36:BD36)</f>
        <v/>
      </c>
      <c r="BG36" s="93" t="n">
        <v>5</v>
      </c>
      <c r="BH36" s="107">
        <f>SUM(AE36:AP36)</f>
        <v/>
      </c>
      <c r="BI36" s="128">
        <f>IF(BG36="","",IF(BG36=BH36,"","⚠"))</f>
        <v/>
      </c>
    </row>
    <row r="37">
      <c r="A37" s="81" t="inlineStr">
        <is>
          <t>Rosana</t>
        </is>
      </c>
      <c r="B37" s="125">
        <f>CADASTRO!$C33</f>
        <v/>
      </c>
      <c r="C37" s="126">
        <f>JAN!$AM37</f>
        <v/>
      </c>
      <c r="D37" s="126">
        <f>FEV!$AM37</f>
        <v/>
      </c>
      <c r="E37" s="126">
        <f>MAR!$AM37</f>
        <v/>
      </c>
      <c r="F37" s="126">
        <f>ABR!$AM37</f>
        <v/>
      </c>
      <c r="G37" s="126">
        <f>MAI!$AM37</f>
        <v/>
      </c>
      <c r="H37" s="126">
        <f>JUN!$AM37</f>
        <v/>
      </c>
      <c r="I37" s="126">
        <f>JUL!$AM37</f>
        <v/>
      </c>
      <c r="J37" s="126">
        <f>AGO!$AM37</f>
        <v/>
      </c>
      <c r="K37" s="126">
        <f>SET!$AM37</f>
        <v/>
      </c>
      <c r="L37" s="126">
        <f>OUT!$AM37</f>
        <v/>
      </c>
      <c r="M37" s="126">
        <f>NOV!$AM37</f>
        <v/>
      </c>
      <c r="N37" s="126">
        <f>DEZ!$AM37</f>
        <v/>
      </c>
      <c r="O37" s="127">
        <f>SUM(C37:N37)</f>
        <v/>
      </c>
      <c r="Q37" s="126">
        <f>JAN!$AI37</f>
        <v/>
      </c>
      <c r="R37" s="126">
        <f>FEV!$AI37</f>
        <v/>
      </c>
      <c r="S37" s="126">
        <f>MAR!$AI37</f>
        <v/>
      </c>
      <c r="T37" s="126">
        <f>ABR!$AI37</f>
        <v/>
      </c>
      <c r="U37" s="126">
        <f>MAI!$AI37</f>
        <v/>
      </c>
      <c r="V37" s="126">
        <f>JUN!$AI37</f>
        <v/>
      </c>
      <c r="W37" s="126">
        <f>JUL!$AI37</f>
        <v/>
      </c>
      <c r="X37" s="126">
        <f>AGO!$AI37</f>
        <v/>
      </c>
      <c r="Y37" s="126">
        <f>SET!$AI37</f>
        <v/>
      </c>
      <c r="Z37" s="126">
        <f>OUT!$AI37</f>
        <v/>
      </c>
      <c r="AA37" s="126">
        <f>NOV!$AI37</f>
        <v/>
      </c>
      <c r="AB37" s="126">
        <f>DEZ!$AI37</f>
        <v/>
      </c>
      <c r="AC37" s="127">
        <f>SUM(Q37:AB37)</f>
        <v/>
      </c>
      <c r="AE37" s="126">
        <f>JAN!$AJ37</f>
        <v/>
      </c>
      <c r="AF37" s="126">
        <f>FEV!$AJ37</f>
        <v/>
      </c>
      <c r="AG37" s="126">
        <f>MAR!$AJ37</f>
        <v/>
      </c>
      <c r="AH37" s="126">
        <f>ABR!$AJ37</f>
        <v/>
      </c>
      <c r="AI37" s="126">
        <f>MAI!$AJ37</f>
        <v/>
      </c>
      <c r="AJ37" s="126">
        <f>JUN!$AJ37</f>
        <v/>
      </c>
      <c r="AK37" s="126">
        <f>JUL!$AJ37</f>
        <v/>
      </c>
      <c r="AL37" s="126">
        <f>AGO!$AJ37</f>
        <v/>
      </c>
      <c r="AM37" s="126">
        <f>SET!$AJ37</f>
        <v/>
      </c>
      <c r="AN37" s="126">
        <f>OUT!$AJ37</f>
        <v/>
      </c>
      <c r="AO37" s="126">
        <f>NOV!$AJ37</f>
        <v/>
      </c>
      <c r="AP37" s="126">
        <f>DEZ!$AJ37</f>
        <v/>
      </c>
      <c r="AQ37" s="127">
        <f>SUM(AE37:AP37)</f>
        <v/>
      </c>
      <c r="AS37" s="126">
        <f>JAN!$AK37</f>
        <v/>
      </c>
      <c r="AT37" s="126">
        <f>FEV!$AK37</f>
        <v/>
      </c>
      <c r="AU37" s="126">
        <f>MAR!$AK37</f>
        <v/>
      </c>
      <c r="AV37" s="126">
        <f>ABR!$AK37</f>
        <v/>
      </c>
      <c r="AW37" s="126">
        <f>MAI!$AK37</f>
        <v/>
      </c>
      <c r="AX37" s="126">
        <f>JUN!$AK37</f>
        <v/>
      </c>
      <c r="AY37" s="126">
        <f>JUL!$AK37</f>
        <v/>
      </c>
      <c r="AZ37" s="126">
        <f>AGO!$AK37</f>
        <v/>
      </c>
      <c r="BA37" s="126">
        <f>SET!$AK37</f>
        <v/>
      </c>
      <c r="BB37" s="126">
        <f>OUT!$AK37</f>
        <v/>
      </c>
      <c r="BC37" s="126">
        <f>NOV!$AK37</f>
        <v/>
      </c>
      <c r="BD37" s="126">
        <f>DEZ!$AK37</f>
        <v/>
      </c>
      <c r="BE37" s="127">
        <f>SUM(AS37:BD37)</f>
        <v/>
      </c>
      <c r="BG37" s="93" t="n">
        <v>3</v>
      </c>
      <c r="BH37" s="107">
        <f>SUM(AE37:AP37)</f>
        <v/>
      </c>
      <c r="BI37" s="128">
        <f>IF(BG37="","",IF(BG37=BH37,"","⚠"))</f>
        <v/>
      </c>
    </row>
    <row r="38">
      <c r="A38" s="81" t="inlineStr">
        <is>
          <t>AnaSeverino</t>
        </is>
      </c>
      <c r="B38" s="125">
        <f>CADASTRO!$C34</f>
        <v/>
      </c>
      <c r="C38" s="126">
        <f>JAN!$AM38</f>
        <v/>
      </c>
      <c r="D38" s="126">
        <f>FEV!$AM38</f>
        <v/>
      </c>
      <c r="E38" s="126">
        <f>MAR!$AM38</f>
        <v/>
      </c>
      <c r="F38" s="126">
        <f>ABR!$AM38</f>
        <v/>
      </c>
      <c r="G38" s="126">
        <f>MAI!$AM38</f>
        <v/>
      </c>
      <c r="H38" s="126">
        <f>JUN!$AM38</f>
        <v/>
      </c>
      <c r="I38" s="126">
        <f>JUL!$AM38</f>
        <v/>
      </c>
      <c r="J38" s="126">
        <f>AGO!$AM38</f>
        <v/>
      </c>
      <c r="K38" s="126">
        <f>SET!$AM38</f>
        <v/>
      </c>
      <c r="L38" s="126">
        <f>OUT!$AM38</f>
        <v/>
      </c>
      <c r="M38" s="126">
        <f>NOV!$AM38</f>
        <v/>
      </c>
      <c r="N38" s="126">
        <f>DEZ!$AM38</f>
        <v/>
      </c>
      <c r="O38" s="127">
        <f>SUM(C38:N38)</f>
        <v/>
      </c>
      <c r="Q38" s="126">
        <f>JAN!$AI38</f>
        <v/>
      </c>
      <c r="R38" s="126">
        <f>FEV!$AI38</f>
        <v/>
      </c>
      <c r="S38" s="126">
        <f>MAR!$AI38</f>
        <v/>
      </c>
      <c r="T38" s="126">
        <f>ABR!$AI38</f>
        <v/>
      </c>
      <c r="U38" s="126">
        <f>MAI!$AI38</f>
        <v/>
      </c>
      <c r="V38" s="126">
        <f>JUN!$AI38</f>
        <v/>
      </c>
      <c r="W38" s="126">
        <f>JUL!$AI38</f>
        <v/>
      </c>
      <c r="X38" s="126">
        <f>AGO!$AI38</f>
        <v/>
      </c>
      <c r="Y38" s="126">
        <f>SET!$AI38</f>
        <v/>
      </c>
      <c r="Z38" s="126">
        <f>OUT!$AI38</f>
        <v/>
      </c>
      <c r="AA38" s="126">
        <f>NOV!$AI38</f>
        <v/>
      </c>
      <c r="AB38" s="126">
        <f>DEZ!$AI38</f>
        <v/>
      </c>
      <c r="AC38" s="127">
        <f>SUM(Q38:AB38)</f>
        <v/>
      </c>
      <c r="AE38" s="126">
        <f>JAN!$AJ38</f>
        <v/>
      </c>
      <c r="AF38" s="126">
        <f>FEV!$AJ38</f>
        <v/>
      </c>
      <c r="AG38" s="126">
        <f>MAR!$AJ38</f>
        <v/>
      </c>
      <c r="AH38" s="126">
        <f>ABR!$AJ38</f>
        <v/>
      </c>
      <c r="AI38" s="126">
        <f>MAI!$AJ38</f>
        <v/>
      </c>
      <c r="AJ38" s="126">
        <f>JUN!$AJ38</f>
        <v/>
      </c>
      <c r="AK38" s="126">
        <f>JUL!$AJ38</f>
        <v/>
      </c>
      <c r="AL38" s="126">
        <f>AGO!$AJ38</f>
        <v/>
      </c>
      <c r="AM38" s="126">
        <f>SET!$AJ38</f>
        <v/>
      </c>
      <c r="AN38" s="126">
        <f>OUT!$AJ38</f>
        <v/>
      </c>
      <c r="AO38" s="126">
        <f>NOV!$AJ38</f>
        <v/>
      </c>
      <c r="AP38" s="126">
        <f>DEZ!$AJ38</f>
        <v/>
      </c>
      <c r="AQ38" s="127">
        <f>SUM(AE38:AP38)</f>
        <v/>
      </c>
      <c r="AS38" s="126">
        <f>JAN!$AK38</f>
        <v/>
      </c>
      <c r="AT38" s="126">
        <f>FEV!$AK38</f>
        <v/>
      </c>
      <c r="AU38" s="126">
        <f>MAR!$AK38</f>
        <v/>
      </c>
      <c r="AV38" s="126">
        <f>ABR!$AK38</f>
        <v/>
      </c>
      <c r="AW38" s="126">
        <f>MAI!$AK38</f>
        <v/>
      </c>
      <c r="AX38" s="126">
        <f>JUN!$AK38</f>
        <v/>
      </c>
      <c r="AY38" s="126">
        <f>JUL!$AK38</f>
        <v/>
      </c>
      <c r="AZ38" s="126">
        <f>AGO!$AK38</f>
        <v/>
      </c>
      <c r="BA38" s="126">
        <f>SET!$AK38</f>
        <v/>
      </c>
      <c r="BB38" s="126">
        <f>OUT!$AK38</f>
        <v/>
      </c>
      <c r="BC38" s="126">
        <f>NOV!$AK38</f>
        <v/>
      </c>
      <c r="BD38" s="126">
        <f>DEZ!$AK38</f>
        <v/>
      </c>
      <c r="BE38" s="127">
        <f>SUM(AS38:BD38)</f>
        <v/>
      </c>
      <c r="BG38" s="93" t="n">
        <v>3</v>
      </c>
      <c r="BH38" s="107">
        <f>SUM(AE38:AP38)</f>
        <v/>
      </c>
      <c r="BI38" s="128">
        <f>IF(BG38="","",IF(BG38=BH38,"","⚠"))</f>
        <v/>
      </c>
    </row>
    <row r="39">
      <c r="A39" s="81" t="inlineStr">
        <is>
          <t>Anna</t>
        </is>
      </c>
      <c r="B39" s="125">
        <f>CADASTRO!$C35</f>
        <v/>
      </c>
      <c r="C39" s="126">
        <f>JAN!$AM39</f>
        <v/>
      </c>
      <c r="D39" s="126">
        <f>FEV!$AM39</f>
        <v/>
      </c>
      <c r="E39" s="126">
        <f>MAR!$AM39</f>
        <v/>
      </c>
      <c r="F39" s="126">
        <f>ABR!$AM39</f>
        <v/>
      </c>
      <c r="G39" s="126">
        <f>MAI!$AM39</f>
        <v/>
      </c>
      <c r="H39" s="126">
        <f>JUN!$AM39</f>
        <v/>
      </c>
      <c r="I39" s="126">
        <f>JUL!$AM39</f>
        <v/>
      </c>
      <c r="J39" s="126">
        <f>AGO!$AM39</f>
        <v/>
      </c>
      <c r="K39" s="126">
        <f>SET!$AM39</f>
        <v/>
      </c>
      <c r="L39" s="126">
        <f>OUT!$AM39</f>
        <v/>
      </c>
      <c r="M39" s="126">
        <f>NOV!$AM39</f>
        <v/>
      </c>
      <c r="N39" s="126">
        <f>DEZ!$AM39</f>
        <v/>
      </c>
      <c r="O39" s="127">
        <f>SUM(C39:N39)</f>
        <v/>
      </c>
      <c r="Q39" s="126">
        <f>JAN!$AI39</f>
        <v/>
      </c>
      <c r="R39" s="126">
        <f>FEV!$AI39</f>
        <v/>
      </c>
      <c r="S39" s="126">
        <f>MAR!$AI39</f>
        <v/>
      </c>
      <c r="T39" s="126">
        <f>ABR!$AI39</f>
        <v/>
      </c>
      <c r="U39" s="126">
        <f>MAI!$AI39</f>
        <v/>
      </c>
      <c r="V39" s="126">
        <f>JUN!$AI39</f>
        <v/>
      </c>
      <c r="W39" s="126">
        <f>JUL!$AI39</f>
        <v/>
      </c>
      <c r="X39" s="126">
        <f>AGO!$AI39</f>
        <v/>
      </c>
      <c r="Y39" s="126">
        <f>SET!$AI39</f>
        <v/>
      </c>
      <c r="Z39" s="126">
        <f>OUT!$AI39</f>
        <v/>
      </c>
      <c r="AA39" s="126">
        <f>NOV!$AI39</f>
        <v/>
      </c>
      <c r="AB39" s="126">
        <f>DEZ!$AI39</f>
        <v/>
      </c>
      <c r="AC39" s="127">
        <f>SUM(Q39:AB39)</f>
        <v/>
      </c>
      <c r="AE39" s="126">
        <f>JAN!$AJ39</f>
        <v/>
      </c>
      <c r="AF39" s="126">
        <f>FEV!$AJ39</f>
        <v/>
      </c>
      <c r="AG39" s="126">
        <f>MAR!$AJ39</f>
        <v/>
      </c>
      <c r="AH39" s="126">
        <f>ABR!$AJ39</f>
        <v/>
      </c>
      <c r="AI39" s="126">
        <f>MAI!$AJ39</f>
        <v/>
      </c>
      <c r="AJ39" s="126">
        <f>JUN!$AJ39</f>
        <v/>
      </c>
      <c r="AK39" s="126">
        <f>JUL!$AJ39</f>
        <v/>
      </c>
      <c r="AL39" s="126">
        <f>AGO!$AJ39</f>
        <v/>
      </c>
      <c r="AM39" s="126">
        <f>SET!$AJ39</f>
        <v/>
      </c>
      <c r="AN39" s="126">
        <f>OUT!$AJ39</f>
        <v/>
      </c>
      <c r="AO39" s="126">
        <f>NOV!$AJ39</f>
        <v/>
      </c>
      <c r="AP39" s="126">
        <f>DEZ!$AJ39</f>
        <v/>
      </c>
      <c r="AQ39" s="127">
        <f>SUM(AE39:AP39)</f>
        <v/>
      </c>
      <c r="AS39" s="126">
        <f>JAN!$AK39</f>
        <v/>
      </c>
      <c r="AT39" s="126">
        <f>FEV!$AK39</f>
        <v/>
      </c>
      <c r="AU39" s="126">
        <f>MAR!$AK39</f>
        <v/>
      </c>
      <c r="AV39" s="126">
        <f>ABR!$AK39</f>
        <v/>
      </c>
      <c r="AW39" s="126">
        <f>MAI!$AK39</f>
        <v/>
      </c>
      <c r="AX39" s="126">
        <f>JUN!$AK39</f>
        <v/>
      </c>
      <c r="AY39" s="126">
        <f>JUL!$AK39</f>
        <v/>
      </c>
      <c r="AZ39" s="126">
        <f>AGO!$AK39</f>
        <v/>
      </c>
      <c r="BA39" s="126">
        <f>SET!$AK39</f>
        <v/>
      </c>
      <c r="BB39" s="126">
        <f>OUT!$AK39</f>
        <v/>
      </c>
      <c r="BC39" s="126">
        <f>NOV!$AK39</f>
        <v/>
      </c>
      <c r="BD39" s="126">
        <f>DEZ!$AK39</f>
        <v/>
      </c>
      <c r="BE39" s="127">
        <f>SUM(AS39:BD39)</f>
        <v/>
      </c>
      <c r="BG39" s="93" t="n">
        <v>4</v>
      </c>
      <c r="BH39" s="107">
        <f>SUM(AE39:AP39)</f>
        <v/>
      </c>
      <c r="BI39" s="128">
        <f>IF(BG39="","",IF(BG39=BH39,"","⚠"))</f>
        <v/>
      </c>
    </row>
    <row r="40">
      <c r="A40" s="81" t="inlineStr">
        <is>
          <t>Ariadne</t>
        </is>
      </c>
      <c r="B40" s="125">
        <f>CADASTRO!$C36</f>
        <v/>
      </c>
      <c r="C40" s="126">
        <f>JAN!$AM40</f>
        <v/>
      </c>
      <c r="D40" s="126">
        <f>FEV!$AM40</f>
        <v/>
      </c>
      <c r="E40" s="126">
        <f>MAR!$AM40</f>
        <v/>
      </c>
      <c r="F40" s="126">
        <f>ABR!$AM40</f>
        <v/>
      </c>
      <c r="G40" s="126">
        <f>MAI!$AM40</f>
        <v/>
      </c>
      <c r="H40" s="126">
        <f>JUN!$AM40</f>
        <v/>
      </c>
      <c r="I40" s="126">
        <f>JUL!$AM40</f>
        <v/>
      </c>
      <c r="J40" s="126">
        <f>AGO!$AM40</f>
        <v/>
      </c>
      <c r="K40" s="126">
        <f>SET!$AM40</f>
        <v/>
      </c>
      <c r="L40" s="126">
        <f>OUT!$AM40</f>
        <v/>
      </c>
      <c r="M40" s="126">
        <f>NOV!$AM40</f>
        <v/>
      </c>
      <c r="N40" s="126">
        <f>DEZ!$AM40</f>
        <v/>
      </c>
      <c r="O40" s="127">
        <f>SUM(C40:N40)</f>
        <v/>
      </c>
      <c r="Q40" s="126">
        <f>JAN!$AI40</f>
        <v/>
      </c>
      <c r="R40" s="126">
        <f>FEV!$AI40</f>
        <v/>
      </c>
      <c r="S40" s="126">
        <f>MAR!$AI40</f>
        <v/>
      </c>
      <c r="T40" s="126">
        <f>ABR!$AI40</f>
        <v/>
      </c>
      <c r="U40" s="126">
        <f>MAI!$AI40</f>
        <v/>
      </c>
      <c r="V40" s="126">
        <f>JUN!$AI40</f>
        <v/>
      </c>
      <c r="W40" s="126">
        <f>JUL!$AI40</f>
        <v/>
      </c>
      <c r="X40" s="126">
        <f>AGO!$AI40</f>
        <v/>
      </c>
      <c r="Y40" s="126">
        <f>SET!$AI40</f>
        <v/>
      </c>
      <c r="Z40" s="126">
        <f>OUT!$AI40</f>
        <v/>
      </c>
      <c r="AA40" s="126">
        <f>NOV!$AI40</f>
        <v/>
      </c>
      <c r="AB40" s="126">
        <f>DEZ!$AI40</f>
        <v/>
      </c>
      <c r="AC40" s="127">
        <f>SUM(Q40:AB40)</f>
        <v/>
      </c>
      <c r="AE40" s="126">
        <f>JAN!$AJ40</f>
        <v/>
      </c>
      <c r="AF40" s="126">
        <f>FEV!$AJ40</f>
        <v/>
      </c>
      <c r="AG40" s="126">
        <f>MAR!$AJ40</f>
        <v/>
      </c>
      <c r="AH40" s="126">
        <f>ABR!$AJ40</f>
        <v/>
      </c>
      <c r="AI40" s="126">
        <f>MAI!$AJ40</f>
        <v/>
      </c>
      <c r="AJ40" s="126">
        <f>JUN!$AJ40</f>
        <v/>
      </c>
      <c r="AK40" s="126">
        <f>JUL!$AJ40</f>
        <v/>
      </c>
      <c r="AL40" s="126">
        <f>AGO!$AJ40</f>
        <v/>
      </c>
      <c r="AM40" s="126">
        <f>SET!$AJ40</f>
        <v/>
      </c>
      <c r="AN40" s="126">
        <f>OUT!$AJ40</f>
        <v/>
      </c>
      <c r="AO40" s="126">
        <f>NOV!$AJ40</f>
        <v/>
      </c>
      <c r="AP40" s="126">
        <f>DEZ!$AJ40</f>
        <v/>
      </c>
      <c r="AQ40" s="127">
        <f>SUM(AE40:AP40)</f>
        <v/>
      </c>
      <c r="AS40" s="126">
        <f>JAN!$AK40</f>
        <v/>
      </c>
      <c r="AT40" s="126">
        <f>FEV!$AK40</f>
        <v/>
      </c>
      <c r="AU40" s="126">
        <f>MAR!$AK40</f>
        <v/>
      </c>
      <c r="AV40" s="126">
        <f>ABR!$AK40</f>
        <v/>
      </c>
      <c r="AW40" s="126">
        <f>MAI!$AK40</f>
        <v/>
      </c>
      <c r="AX40" s="126">
        <f>JUN!$AK40</f>
        <v/>
      </c>
      <c r="AY40" s="126">
        <f>JUL!$AK40</f>
        <v/>
      </c>
      <c r="AZ40" s="126">
        <f>AGO!$AK40</f>
        <v/>
      </c>
      <c r="BA40" s="126">
        <f>SET!$AK40</f>
        <v/>
      </c>
      <c r="BB40" s="126">
        <f>OUT!$AK40</f>
        <v/>
      </c>
      <c r="BC40" s="126">
        <f>NOV!$AK40</f>
        <v/>
      </c>
      <c r="BD40" s="126">
        <f>DEZ!$AK40</f>
        <v/>
      </c>
      <c r="BE40" s="127">
        <f>SUM(AS40:BD40)</f>
        <v/>
      </c>
      <c r="BG40" s="93" t="n">
        <v>0</v>
      </c>
      <c r="BH40" s="107">
        <f>SUM(AE40:AP40)</f>
        <v/>
      </c>
      <c r="BI40" s="128">
        <f>IF(BG40="","",IF(BG40=BH40,"","⚠"))</f>
        <v/>
      </c>
    </row>
    <row r="41">
      <c r="A41" s="81" t="inlineStr">
        <is>
          <t>Beatriz</t>
        </is>
      </c>
      <c r="B41" s="125">
        <f>CADASTRO!$C37</f>
        <v/>
      </c>
      <c r="C41" s="126">
        <f>JAN!$AM41</f>
        <v/>
      </c>
      <c r="D41" s="126">
        <f>FEV!$AM41</f>
        <v/>
      </c>
      <c r="E41" s="126">
        <f>MAR!$AM41</f>
        <v/>
      </c>
      <c r="F41" s="126">
        <f>ABR!$AM41</f>
        <v/>
      </c>
      <c r="G41" s="126">
        <f>MAI!$AM41</f>
        <v/>
      </c>
      <c r="H41" s="126">
        <f>JUN!$AM41</f>
        <v/>
      </c>
      <c r="I41" s="126">
        <f>JUL!$AM41</f>
        <v/>
      </c>
      <c r="J41" s="126">
        <f>AGO!$AM41</f>
        <v/>
      </c>
      <c r="K41" s="126">
        <f>SET!$AM41</f>
        <v/>
      </c>
      <c r="L41" s="126">
        <f>OUT!$AM41</f>
        <v/>
      </c>
      <c r="M41" s="126">
        <f>NOV!$AM41</f>
        <v/>
      </c>
      <c r="N41" s="126">
        <f>DEZ!$AM41</f>
        <v/>
      </c>
      <c r="O41" s="127">
        <f>SUM(C41:N41)</f>
        <v/>
      </c>
      <c r="Q41" s="126">
        <f>JAN!$AI41</f>
        <v/>
      </c>
      <c r="R41" s="126">
        <f>FEV!$AI41</f>
        <v/>
      </c>
      <c r="S41" s="126">
        <f>MAR!$AI41</f>
        <v/>
      </c>
      <c r="T41" s="126">
        <f>ABR!$AI41</f>
        <v/>
      </c>
      <c r="U41" s="126">
        <f>MAI!$AI41</f>
        <v/>
      </c>
      <c r="V41" s="126">
        <f>JUN!$AI41</f>
        <v/>
      </c>
      <c r="W41" s="126">
        <f>JUL!$AI41</f>
        <v/>
      </c>
      <c r="X41" s="126">
        <f>AGO!$AI41</f>
        <v/>
      </c>
      <c r="Y41" s="126">
        <f>SET!$AI41</f>
        <v/>
      </c>
      <c r="Z41" s="126">
        <f>OUT!$AI41</f>
        <v/>
      </c>
      <c r="AA41" s="126">
        <f>NOV!$AI41</f>
        <v/>
      </c>
      <c r="AB41" s="126">
        <f>DEZ!$AI41</f>
        <v/>
      </c>
      <c r="AC41" s="127">
        <f>SUM(Q41:AB41)</f>
        <v/>
      </c>
      <c r="AE41" s="126">
        <f>JAN!$AJ41</f>
        <v/>
      </c>
      <c r="AF41" s="126">
        <f>FEV!$AJ41</f>
        <v/>
      </c>
      <c r="AG41" s="126">
        <f>MAR!$AJ41</f>
        <v/>
      </c>
      <c r="AH41" s="126">
        <f>ABR!$AJ41</f>
        <v/>
      </c>
      <c r="AI41" s="126">
        <f>MAI!$AJ41</f>
        <v/>
      </c>
      <c r="AJ41" s="126">
        <f>JUN!$AJ41</f>
        <v/>
      </c>
      <c r="AK41" s="126">
        <f>JUL!$AJ41</f>
        <v/>
      </c>
      <c r="AL41" s="126">
        <f>AGO!$AJ41</f>
        <v/>
      </c>
      <c r="AM41" s="126">
        <f>SET!$AJ41</f>
        <v/>
      </c>
      <c r="AN41" s="126">
        <f>OUT!$AJ41</f>
        <v/>
      </c>
      <c r="AO41" s="126">
        <f>NOV!$AJ41</f>
        <v/>
      </c>
      <c r="AP41" s="126">
        <f>DEZ!$AJ41</f>
        <v/>
      </c>
      <c r="AQ41" s="127">
        <f>SUM(AE41:AP41)</f>
        <v/>
      </c>
      <c r="AS41" s="126">
        <f>JAN!$AK41</f>
        <v/>
      </c>
      <c r="AT41" s="126">
        <f>FEV!$AK41</f>
        <v/>
      </c>
      <c r="AU41" s="126">
        <f>MAR!$AK41</f>
        <v/>
      </c>
      <c r="AV41" s="126">
        <f>ABR!$AK41</f>
        <v/>
      </c>
      <c r="AW41" s="126">
        <f>MAI!$AK41</f>
        <v/>
      </c>
      <c r="AX41" s="126">
        <f>JUN!$AK41</f>
        <v/>
      </c>
      <c r="AY41" s="126">
        <f>JUL!$AK41</f>
        <v/>
      </c>
      <c r="AZ41" s="126">
        <f>AGO!$AK41</f>
        <v/>
      </c>
      <c r="BA41" s="126">
        <f>SET!$AK41</f>
        <v/>
      </c>
      <c r="BB41" s="126">
        <f>OUT!$AK41</f>
        <v/>
      </c>
      <c r="BC41" s="126">
        <f>NOV!$AK41</f>
        <v/>
      </c>
      <c r="BD41" s="126">
        <f>DEZ!$AK41</f>
        <v/>
      </c>
      <c r="BE41" s="127">
        <f>SUM(AS41:BD41)</f>
        <v/>
      </c>
      <c r="BG41" s="93" t="n">
        <v>4</v>
      </c>
      <c r="BH41" s="107">
        <f>SUM(AE41:AP41)</f>
        <v/>
      </c>
      <c r="BI41" s="128">
        <f>IF(BG41="","",IF(BG41=BH41,"","⚠"))</f>
        <v/>
      </c>
    </row>
    <row r="42">
      <c r="A42" s="81" t="inlineStr">
        <is>
          <t>Bruna</t>
        </is>
      </c>
      <c r="B42" s="125">
        <f>CADASTRO!$C38</f>
        <v/>
      </c>
      <c r="C42" s="126">
        <f>JAN!$AM42</f>
        <v/>
      </c>
      <c r="D42" s="126">
        <f>FEV!$AM42</f>
        <v/>
      </c>
      <c r="E42" s="126">
        <f>MAR!$AM42</f>
        <v/>
      </c>
      <c r="F42" s="126">
        <f>ABR!$AM42</f>
        <v/>
      </c>
      <c r="G42" s="126">
        <f>MAI!$AM42</f>
        <v/>
      </c>
      <c r="H42" s="126">
        <f>JUN!$AM42</f>
        <v/>
      </c>
      <c r="I42" s="126">
        <f>JUL!$AM42</f>
        <v/>
      </c>
      <c r="J42" s="126">
        <f>AGO!$AM42</f>
        <v/>
      </c>
      <c r="K42" s="126">
        <f>SET!$AM42</f>
        <v/>
      </c>
      <c r="L42" s="126">
        <f>OUT!$AM42</f>
        <v/>
      </c>
      <c r="M42" s="126">
        <f>NOV!$AM42</f>
        <v/>
      </c>
      <c r="N42" s="126">
        <f>DEZ!$AM42</f>
        <v/>
      </c>
      <c r="O42" s="127">
        <f>SUM(C42:N42)</f>
        <v/>
      </c>
      <c r="Q42" s="126">
        <f>JAN!$AI42</f>
        <v/>
      </c>
      <c r="R42" s="126">
        <f>FEV!$AI42</f>
        <v/>
      </c>
      <c r="S42" s="126">
        <f>MAR!$AI42</f>
        <v/>
      </c>
      <c r="T42" s="126">
        <f>ABR!$AI42</f>
        <v/>
      </c>
      <c r="U42" s="126">
        <f>MAI!$AI42</f>
        <v/>
      </c>
      <c r="V42" s="126">
        <f>JUN!$AI42</f>
        <v/>
      </c>
      <c r="W42" s="126">
        <f>JUL!$AI42</f>
        <v/>
      </c>
      <c r="X42" s="126">
        <f>AGO!$AI42</f>
        <v/>
      </c>
      <c r="Y42" s="126">
        <f>SET!$AI42</f>
        <v/>
      </c>
      <c r="Z42" s="126">
        <f>OUT!$AI42</f>
        <v/>
      </c>
      <c r="AA42" s="126">
        <f>NOV!$AI42</f>
        <v/>
      </c>
      <c r="AB42" s="126">
        <f>DEZ!$AI42</f>
        <v/>
      </c>
      <c r="AC42" s="127">
        <f>SUM(Q42:AB42)</f>
        <v/>
      </c>
      <c r="AE42" s="126">
        <f>JAN!$AJ42</f>
        <v/>
      </c>
      <c r="AF42" s="126">
        <f>FEV!$AJ42</f>
        <v/>
      </c>
      <c r="AG42" s="126">
        <f>MAR!$AJ42</f>
        <v/>
      </c>
      <c r="AH42" s="126">
        <f>ABR!$AJ42</f>
        <v/>
      </c>
      <c r="AI42" s="126">
        <f>MAI!$AJ42</f>
        <v/>
      </c>
      <c r="AJ42" s="126">
        <f>JUN!$AJ42</f>
        <v/>
      </c>
      <c r="AK42" s="126">
        <f>JUL!$AJ42</f>
        <v/>
      </c>
      <c r="AL42" s="126">
        <f>AGO!$AJ42</f>
        <v/>
      </c>
      <c r="AM42" s="126">
        <f>SET!$AJ42</f>
        <v/>
      </c>
      <c r="AN42" s="126">
        <f>OUT!$AJ42</f>
        <v/>
      </c>
      <c r="AO42" s="126">
        <f>NOV!$AJ42</f>
        <v/>
      </c>
      <c r="AP42" s="126">
        <f>DEZ!$AJ42</f>
        <v/>
      </c>
      <c r="AQ42" s="127">
        <f>SUM(AE42:AP42)</f>
        <v/>
      </c>
      <c r="AS42" s="126">
        <f>JAN!$AK42</f>
        <v/>
      </c>
      <c r="AT42" s="126">
        <f>FEV!$AK42</f>
        <v/>
      </c>
      <c r="AU42" s="126">
        <f>MAR!$AK42</f>
        <v/>
      </c>
      <c r="AV42" s="126">
        <f>ABR!$AK42</f>
        <v/>
      </c>
      <c r="AW42" s="126">
        <f>MAI!$AK42</f>
        <v/>
      </c>
      <c r="AX42" s="126">
        <f>JUN!$AK42</f>
        <v/>
      </c>
      <c r="AY42" s="126">
        <f>JUL!$AK42</f>
        <v/>
      </c>
      <c r="AZ42" s="126">
        <f>AGO!$AK42</f>
        <v/>
      </c>
      <c r="BA42" s="126">
        <f>SET!$AK42</f>
        <v/>
      </c>
      <c r="BB42" s="126">
        <f>OUT!$AK42</f>
        <v/>
      </c>
      <c r="BC42" s="126">
        <f>NOV!$AK42</f>
        <v/>
      </c>
      <c r="BD42" s="126">
        <f>DEZ!$AK42</f>
        <v/>
      </c>
      <c r="BE42" s="127">
        <f>SUM(AS42:BD42)</f>
        <v/>
      </c>
      <c r="BG42" s="93" t="n">
        <v>3</v>
      </c>
      <c r="BH42" s="107">
        <f>SUM(AE42:AP42)</f>
        <v/>
      </c>
      <c r="BI42" s="128">
        <f>IF(BG42="","",IF(BG42=BH42,"","⚠"))</f>
        <v/>
      </c>
    </row>
    <row r="43">
      <c r="A43" s="81" t="inlineStr">
        <is>
          <t>Constantino</t>
        </is>
      </c>
      <c r="B43" s="125">
        <f>CADASTRO!$C39</f>
        <v/>
      </c>
      <c r="C43" s="126">
        <f>JAN!$AM43</f>
        <v/>
      </c>
      <c r="D43" s="126">
        <f>FEV!$AM43</f>
        <v/>
      </c>
      <c r="E43" s="126">
        <f>MAR!$AM43</f>
        <v/>
      </c>
      <c r="F43" s="126">
        <f>ABR!$AM43</f>
        <v/>
      </c>
      <c r="G43" s="126">
        <f>MAI!$AM43</f>
        <v/>
      </c>
      <c r="H43" s="126">
        <f>JUN!$AM43</f>
        <v/>
      </c>
      <c r="I43" s="126">
        <f>JUL!$AM43</f>
        <v/>
      </c>
      <c r="J43" s="126">
        <f>AGO!$AM43</f>
        <v/>
      </c>
      <c r="K43" s="126">
        <f>SET!$AM43</f>
        <v/>
      </c>
      <c r="L43" s="126">
        <f>OUT!$AM43</f>
        <v/>
      </c>
      <c r="M43" s="126">
        <f>NOV!$AM43</f>
        <v/>
      </c>
      <c r="N43" s="126">
        <f>DEZ!$AM43</f>
        <v/>
      </c>
      <c r="O43" s="127">
        <f>SUM(C43:N43)</f>
        <v/>
      </c>
      <c r="Q43" s="126">
        <f>JAN!$AI43</f>
        <v/>
      </c>
      <c r="R43" s="126">
        <f>FEV!$AI43</f>
        <v/>
      </c>
      <c r="S43" s="126">
        <f>MAR!$AI43</f>
        <v/>
      </c>
      <c r="T43" s="126">
        <f>ABR!$AI43</f>
        <v/>
      </c>
      <c r="U43" s="126">
        <f>MAI!$AI43</f>
        <v/>
      </c>
      <c r="V43" s="126">
        <f>JUN!$AI43</f>
        <v/>
      </c>
      <c r="W43" s="126">
        <f>JUL!$AI43</f>
        <v/>
      </c>
      <c r="X43" s="126">
        <f>AGO!$AI43</f>
        <v/>
      </c>
      <c r="Y43" s="126">
        <f>SET!$AI43</f>
        <v/>
      </c>
      <c r="Z43" s="126">
        <f>OUT!$AI43</f>
        <v/>
      </c>
      <c r="AA43" s="126">
        <f>NOV!$AI43</f>
        <v/>
      </c>
      <c r="AB43" s="126">
        <f>DEZ!$AI43</f>
        <v/>
      </c>
      <c r="AC43" s="127">
        <f>SUM(Q43:AB43)</f>
        <v/>
      </c>
      <c r="AE43" s="126">
        <f>JAN!$AJ43</f>
        <v/>
      </c>
      <c r="AF43" s="126">
        <f>FEV!$AJ43</f>
        <v/>
      </c>
      <c r="AG43" s="126">
        <f>MAR!$AJ43</f>
        <v/>
      </c>
      <c r="AH43" s="126">
        <f>ABR!$AJ43</f>
        <v/>
      </c>
      <c r="AI43" s="126">
        <f>MAI!$AJ43</f>
        <v/>
      </c>
      <c r="AJ43" s="126">
        <f>JUN!$AJ43</f>
        <v/>
      </c>
      <c r="AK43" s="126">
        <f>JUL!$AJ43</f>
        <v/>
      </c>
      <c r="AL43" s="126">
        <f>AGO!$AJ43</f>
        <v/>
      </c>
      <c r="AM43" s="126">
        <f>SET!$AJ43</f>
        <v/>
      </c>
      <c r="AN43" s="126">
        <f>OUT!$AJ43</f>
        <v/>
      </c>
      <c r="AO43" s="126">
        <f>NOV!$AJ43</f>
        <v/>
      </c>
      <c r="AP43" s="126">
        <f>DEZ!$AJ43</f>
        <v/>
      </c>
      <c r="AQ43" s="127">
        <f>SUM(AE43:AP43)</f>
        <v/>
      </c>
      <c r="AS43" s="126">
        <f>JAN!$AK43</f>
        <v/>
      </c>
      <c r="AT43" s="126">
        <f>FEV!$AK43</f>
        <v/>
      </c>
      <c r="AU43" s="126">
        <f>MAR!$AK43</f>
        <v/>
      </c>
      <c r="AV43" s="126">
        <f>ABR!$AK43</f>
        <v/>
      </c>
      <c r="AW43" s="126">
        <f>MAI!$AK43</f>
        <v/>
      </c>
      <c r="AX43" s="126">
        <f>JUN!$AK43</f>
        <v/>
      </c>
      <c r="AY43" s="126">
        <f>JUL!$AK43</f>
        <v/>
      </c>
      <c r="AZ43" s="126">
        <f>AGO!$AK43</f>
        <v/>
      </c>
      <c r="BA43" s="126">
        <f>SET!$AK43</f>
        <v/>
      </c>
      <c r="BB43" s="126">
        <f>OUT!$AK43</f>
        <v/>
      </c>
      <c r="BC43" s="126">
        <f>NOV!$AK43</f>
        <v/>
      </c>
      <c r="BD43" s="126">
        <f>DEZ!$AK43</f>
        <v/>
      </c>
      <c r="BE43" s="127">
        <f>SUM(AS43:BD43)</f>
        <v/>
      </c>
      <c r="BG43" s="93" t="n">
        <v>3</v>
      </c>
      <c r="BH43" s="107">
        <f>SUM(AE43:AP43)</f>
        <v/>
      </c>
      <c r="BI43" s="128">
        <f>IF(BG43="","",IF(BG43=BH43,"","⚠"))</f>
        <v/>
      </c>
    </row>
    <row r="44">
      <c r="A44" s="81" t="inlineStr">
        <is>
          <t>DebMatias</t>
        </is>
      </c>
      <c r="B44" s="125">
        <f>CADASTRO!$C40</f>
        <v/>
      </c>
      <c r="C44" s="126">
        <f>JAN!$AM44</f>
        <v/>
      </c>
      <c r="D44" s="126">
        <f>FEV!$AM44</f>
        <v/>
      </c>
      <c r="E44" s="126">
        <f>MAR!$AM44</f>
        <v/>
      </c>
      <c r="F44" s="126">
        <f>ABR!$AM44</f>
        <v/>
      </c>
      <c r="G44" s="126">
        <f>MAI!$AM44</f>
        <v/>
      </c>
      <c r="H44" s="126">
        <f>JUN!$AM44</f>
        <v/>
      </c>
      <c r="I44" s="126">
        <f>JUL!$AM44</f>
        <v/>
      </c>
      <c r="J44" s="126">
        <f>AGO!$AM44</f>
        <v/>
      </c>
      <c r="K44" s="126">
        <f>SET!$AM44</f>
        <v/>
      </c>
      <c r="L44" s="126">
        <f>OUT!$AM44</f>
        <v/>
      </c>
      <c r="M44" s="126">
        <f>NOV!$AM44</f>
        <v/>
      </c>
      <c r="N44" s="126">
        <f>DEZ!$AM44</f>
        <v/>
      </c>
      <c r="O44" s="127">
        <f>SUM(C44:N44)</f>
        <v/>
      </c>
      <c r="Q44" s="126">
        <f>JAN!$AI44</f>
        <v/>
      </c>
      <c r="R44" s="126">
        <f>FEV!$AI44</f>
        <v/>
      </c>
      <c r="S44" s="126">
        <f>MAR!$AI44</f>
        <v/>
      </c>
      <c r="T44" s="126">
        <f>ABR!$AI44</f>
        <v/>
      </c>
      <c r="U44" s="126">
        <f>MAI!$AI44</f>
        <v/>
      </c>
      <c r="V44" s="126">
        <f>JUN!$AI44</f>
        <v/>
      </c>
      <c r="W44" s="126">
        <f>JUL!$AI44</f>
        <v/>
      </c>
      <c r="X44" s="126">
        <f>AGO!$AI44</f>
        <v/>
      </c>
      <c r="Y44" s="126">
        <f>SET!$AI44</f>
        <v/>
      </c>
      <c r="Z44" s="126">
        <f>OUT!$AI44</f>
        <v/>
      </c>
      <c r="AA44" s="126">
        <f>NOV!$AI44</f>
        <v/>
      </c>
      <c r="AB44" s="126">
        <f>DEZ!$AI44</f>
        <v/>
      </c>
      <c r="AC44" s="127">
        <f>SUM(Q44:AB44)</f>
        <v/>
      </c>
      <c r="AE44" s="126">
        <f>JAN!$AJ44</f>
        <v/>
      </c>
      <c r="AF44" s="126">
        <f>FEV!$AJ44</f>
        <v/>
      </c>
      <c r="AG44" s="126">
        <f>MAR!$AJ44</f>
        <v/>
      </c>
      <c r="AH44" s="126">
        <f>ABR!$AJ44</f>
        <v/>
      </c>
      <c r="AI44" s="126">
        <f>MAI!$AJ44</f>
        <v/>
      </c>
      <c r="AJ44" s="126">
        <f>JUN!$AJ44</f>
        <v/>
      </c>
      <c r="AK44" s="126">
        <f>JUL!$AJ44</f>
        <v/>
      </c>
      <c r="AL44" s="126">
        <f>AGO!$AJ44</f>
        <v/>
      </c>
      <c r="AM44" s="126">
        <f>SET!$AJ44</f>
        <v/>
      </c>
      <c r="AN44" s="126">
        <f>OUT!$AJ44</f>
        <v/>
      </c>
      <c r="AO44" s="126">
        <f>NOV!$AJ44</f>
        <v/>
      </c>
      <c r="AP44" s="126">
        <f>DEZ!$AJ44</f>
        <v/>
      </c>
      <c r="AQ44" s="127">
        <f>SUM(AE44:AP44)</f>
        <v/>
      </c>
      <c r="AS44" s="126">
        <f>JAN!$AK44</f>
        <v/>
      </c>
      <c r="AT44" s="126">
        <f>FEV!$AK44</f>
        <v/>
      </c>
      <c r="AU44" s="126">
        <f>MAR!$AK44</f>
        <v/>
      </c>
      <c r="AV44" s="126">
        <f>ABR!$AK44</f>
        <v/>
      </c>
      <c r="AW44" s="126">
        <f>MAI!$AK44</f>
        <v/>
      </c>
      <c r="AX44" s="126">
        <f>JUN!$AK44</f>
        <v/>
      </c>
      <c r="AY44" s="126">
        <f>JUL!$AK44</f>
        <v/>
      </c>
      <c r="AZ44" s="126">
        <f>AGO!$AK44</f>
        <v/>
      </c>
      <c r="BA44" s="126">
        <f>SET!$AK44</f>
        <v/>
      </c>
      <c r="BB44" s="126">
        <f>OUT!$AK44</f>
        <v/>
      </c>
      <c r="BC44" s="126">
        <f>NOV!$AK44</f>
        <v/>
      </c>
      <c r="BD44" s="126">
        <f>DEZ!$AK44</f>
        <v/>
      </c>
      <c r="BE44" s="127">
        <f>SUM(AS44:BD44)</f>
        <v/>
      </c>
      <c r="BG44" s="93" t="n">
        <v>3</v>
      </c>
      <c r="BH44" s="107">
        <f>SUM(AE44:AP44)</f>
        <v/>
      </c>
      <c r="BI44" s="128">
        <f>IF(BG44="","",IF(BG44=BH44,"","⚠"))</f>
        <v/>
      </c>
    </row>
    <row r="45">
      <c r="A45" s="81" t="inlineStr">
        <is>
          <t>Denise</t>
        </is>
      </c>
      <c r="B45" s="125">
        <f>CADASTRO!$C41</f>
        <v/>
      </c>
      <c r="C45" s="126">
        <f>JAN!$AM45</f>
        <v/>
      </c>
      <c r="D45" s="126">
        <f>FEV!$AM45</f>
        <v/>
      </c>
      <c r="E45" s="126">
        <f>MAR!$AM45</f>
        <v/>
      </c>
      <c r="F45" s="126">
        <f>ABR!$AM45</f>
        <v/>
      </c>
      <c r="G45" s="126">
        <f>MAI!$AM45</f>
        <v/>
      </c>
      <c r="H45" s="126">
        <f>JUN!$AM45</f>
        <v/>
      </c>
      <c r="I45" s="126">
        <f>JUL!$AM45</f>
        <v/>
      </c>
      <c r="J45" s="126">
        <f>AGO!$AM45</f>
        <v/>
      </c>
      <c r="K45" s="126">
        <f>SET!$AM45</f>
        <v/>
      </c>
      <c r="L45" s="126">
        <f>OUT!$AM45</f>
        <v/>
      </c>
      <c r="M45" s="126">
        <f>NOV!$AM45</f>
        <v/>
      </c>
      <c r="N45" s="126">
        <f>DEZ!$AM45</f>
        <v/>
      </c>
      <c r="O45" s="127">
        <f>SUM(C45:N45)</f>
        <v/>
      </c>
      <c r="Q45" s="126">
        <f>JAN!$AI45</f>
        <v/>
      </c>
      <c r="R45" s="126">
        <f>FEV!$AI45</f>
        <v/>
      </c>
      <c r="S45" s="126">
        <f>MAR!$AI45</f>
        <v/>
      </c>
      <c r="T45" s="126">
        <f>ABR!$AI45</f>
        <v/>
      </c>
      <c r="U45" s="126">
        <f>MAI!$AI45</f>
        <v/>
      </c>
      <c r="V45" s="126">
        <f>JUN!$AI45</f>
        <v/>
      </c>
      <c r="W45" s="126">
        <f>JUL!$AI45</f>
        <v/>
      </c>
      <c r="X45" s="126">
        <f>AGO!$AI45</f>
        <v/>
      </c>
      <c r="Y45" s="126">
        <f>SET!$AI45</f>
        <v/>
      </c>
      <c r="Z45" s="126">
        <f>OUT!$AI45</f>
        <v/>
      </c>
      <c r="AA45" s="126">
        <f>NOV!$AI45</f>
        <v/>
      </c>
      <c r="AB45" s="126">
        <f>DEZ!$AI45</f>
        <v/>
      </c>
      <c r="AC45" s="127">
        <f>SUM(Q45:AB45)</f>
        <v/>
      </c>
      <c r="AE45" s="126">
        <f>JAN!$AJ45</f>
        <v/>
      </c>
      <c r="AF45" s="126">
        <f>FEV!$AJ45</f>
        <v/>
      </c>
      <c r="AG45" s="126">
        <f>MAR!$AJ45</f>
        <v/>
      </c>
      <c r="AH45" s="126">
        <f>ABR!$AJ45</f>
        <v/>
      </c>
      <c r="AI45" s="126">
        <f>MAI!$AJ45</f>
        <v/>
      </c>
      <c r="AJ45" s="126">
        <f>JUN!$AJ45</f>
        <v/>
      </c>
      <c r="AK45" s="126">
        <f>JUL!$AJ45</f>
        <v/>
      </c>
      <c r="AL45" s="126">
        <f>AGO!$AJ45</f>
        <v/>
      </c>
      <c r="AM45" s="126">
        <f>SET!$AJ45</f>
        <v/>
      </c>
      <c r="AN45" s="126">
        <f>OUT!$AJ45</f>
        <v/>
      </c>
      <c r="AO45" s="126">
        <f>NOV!$AJ45</f>
        <v/>
      </c>
      <c r="AP45" s="126">
        <f>DEZ!$AJ45</f>
        <v/>
      </c>
      <c r="AQ45" s="127">
        <f>SUM(AE45:AP45)</f>
        <v/>
      </c>
      <c r="AS45" s="126">
        <f>JAN!$AK45</f>
        <v/>
      </c>
      <c r="AT45" s="126">
        <f>FEV!$AK45</f>
        <v/>
      </c>
      <c r="AU45" s="126">
        <f>MAR!$AK45</f>
        <v/>
      </c>
      <c r="AV45" s="126">
        <f>ABR!$AK45</f>
        <v/>
      </c>
      <c r="AW45" s="126">
        <f>MAI!$AK45</f>
        <v/>
      </c>
      <c r="AX45" s="126">
        <f>JUN!$AK45</f>
        <v/>
      </c>
      <c r="AY45" s="126">
        <f>JUL!$AK45</f>
        <v/>
      </c>
      <c r="AZ45" s="126">
        <f>AGO!$AK45</f>
        <v/>
      </c>
      <c r="BA45" s="126">
        <f>SET!$AK45</f>
        <v/>
      </c>
      <c r="BB45" s="126">
        <f>OUT!$AK45</f>
        <v/>
      </c>
      <c r="BC45" s="126">
        <f>NOV!$AK45</f>
        <v/>
      </c>
      <c r="BD45" s="126">
        <f>DEZ!$AK45</f>
        <v/>
      </c>
      <c r="BE45" s="127">
        <f>SUM(AS45:BD45)</f>
        <v/>
      </c>
      <c r="BG45" s="93" t="n">
        <v>3</v>
      </c>
      <c r="BH45" s="107">
        <f>SUM(AE45:AP45)</f>
        <v/>
      </c>
      <c r="BI45" s="128">
        <f>IF(BG45="","",IF(BG45=BH45,"","⚠"))</f>
        <v/>
      </c>
    </row>
    <row r="46">
      <c r="A46" s="81" t="inlineStr">
        <is>
          <t>Ernesto</t>
        </is>
      </c>
      <c r="B46" s="125">
        <f>CADASTRO!$C42</f>
        <v/>
      </c>
      <c r="C46" s="126">
        <f>JAN!$AM46</f>
        <v/>
      </c>
      <c r="D46" s="126">
        <f>FEV!$AM46</f>
        <v/>
      </c>
      <c r="E46" s="126">
        <f>MAR!$AM46</f>
        <v/>
      </c>
      <c r="F46" s="126">
        <f>ABR!$AM46</f>
        <v/>
      </c>
      <c r="G46" s="126">
        <f>MAI!$AM46</f>
        <v/>
      </c>
      <c r="H46" s="126">
        <f>JUN!$AM46</f>
        <v/>
      </c>
      <c r="I46" s="126">
        <f>JUL!$AM46</f>
        <v/>
      </c>
      <c r="J46" s="126">
        <f>AGO!$AM46</f>
        <v/>
      </c>
      <c r="K46" s="126">
        <f>SET!$AM46</f>
        <v/>
      </c>
      <c r="L46" s="126">
        <f>OUT!$AM46</f>
        <v/>
      </c>
      <c r="M46" s="126">
        <f>NOV!$AM46</f>
        <v/>
      </c>
      <c r="N46" s="126">
        <f>DEZ!$AM46</f>
        <v/>
      </c>
      <c r="O46" s="127">
        <f>SUM(C46:N46)</f>
        <v/>
      </c>
      <c r="Q46" s="126">
        <f>JAN!$AI46</f>
        <v/>
      </c>
      <c r="R46" s="126">
        <f>FEV!$AI46</f>
        <v/>
      </c>
      <c r="S46" s="126">
        <f>MAR!$AI46</f>
        <v/>
      </c>
      <c r="T46" s="126">
        <f>ABR!$AI46</f>
        <v/>
      </c>
      <c r="U46" s="126">
        <f>MAI!$AI46</f>
        <v/>
      </c>
      <c r="V46" s="126">
        <f>JUN!$AI46</f>
        <v/>
      </c>
      <c r="W46" s="126">
        <f>JUL!$AI46</f>
        <v/>
      </c>
      <c r="X46" s="126">
        <f>AGO!$AI46</f>
        <v/>
      </c>
      <c r="Y46" s="126">
        <f>SET!$AI46</f>
        <v/>
      </c>
      <c r="Z46" s="126">
        <f>OUT!$AI46</f>
        <v/>
      </c>
      <c r="AA46" s="126">
        <f>NOV!$AI46</f>
        <v/>
      </c>
      <c r="AB46" s="126">
        <f>DEZ!$AI46</f>
        <v/>
      </c>
      <c r="AC46" s="127">
        <f>SUM(Q46:AB46)</f>
        <v/>
      </c>
      <c r="AE46" s="126">
        <f>JAN!$AJ46</f>
        <v/>
      </c>
      <c r="AF46" s="126">
        <f>FEV!$AJ46</f>
        <v/>
      </c>
      <c r="AG46" s="126">
        <f>MAR!$AJ46</f>
        <v/>
      </c>
      <c r="AH46" s="126">
        <f>ABR!$AJ46</f>
        <v/>
      </c>
      <c r="AI46" s="126">
        <f>MAI!$AJ46</f>
        <v/>
      </c>
      <c r="AJ46" s="126">
        <f>JUN!$AJ46</f>
        <v/>
      </c>
      <c r="AK46" s="126">
        <f>JUL!$AJ46</f>
        <v/>
      </c>
      <c r="AL46" s="126">
        <f>AGO!$AJ46</f>
        <v/>
      </c>
      <c r="AM46" s="126">
        <f>SET!$AJ46</f>
        <v/>
      </c>
      <c r="AN46" s="126">
        <f>OUT!$AJ46</f>
        <v/>
      </c>
      <c r="AO46" s="126">
        <f>NOV!$AJ46</f>
        <v/>
      </c>
      <c r="AP46" s="126">
        <f>DEZ!$AJ46</f>
        <v/>
      </c>
      <c r="AQ46" s="127">
        <f>SUM(AE46:AP46)</f>
        <v/>
      </c>
      <c r="AS46" s="126">
        <f>JAN!$AK46</f>
        <v/>
      </c>
      <c r="AT46" s="126">
        <f>FEV!$AK46</f>
        <v/>
      </c>
      <c r="AU46" s="126">
        <f>MAR!$AK46</f>
        <v/>
      </c>
      <c r="AV46" s="126">
        <f>ABR!$AK46</f>
        <v/>
      </c>
      <c r="AW46" s="126">
        <f>MAI!$AK46</f>
        <v/>
      </c>
      <c r="AX46" s="126">
        <f>JUN!$AK46</f>
        <v/>
      </c>
      <c r="AY46" s="126">
        <f>JUL!$AK46</f>
        <v/>
      </c>
      <c r="AZ46" s="126">
        <f>AGO!$AK46</f>
        <v/>
      </c>
      <c r="BA46" s="126">
        <f>SET!$AK46</f>
        <v/>
      </c>
      <c r="BB46" s="126">
        <f>OUT!$AK46</f>
        <v/>
      </c>
      <c r="BC46" s="126">
        <f>NOV!$AK46</f>
        <v/>
      </c>
      <c r="BD46" s="126">
        <f>DEZ!$AK46</f>
        <v/>
      </c>
      <c r="BE46" s="127">
        <f>SUM(AS46:BD46)</f>
        <v/>
      </c>
      <c r="BG46" s="93" t="n">
        <v>11</v>
      </c>
      <c r="BH46" s="107">
        <f>SUM(AE46:AP46)</f>
        <v/>
      </c>
      <c r="BI46" s="128">
        <f>IF(BG46="","",IF(BG46=BH46,"","⚠"))</f>
        <v/>
      </c>
    </row>
    <row r="47">
      <c r="A47" s="81" t="inlineStr">
        <is>
          <t>Grayce</t>
        </is>
      </c>
      <c r="B47" s="125">
        <f>CADASTRO!$C43</f>
        <v/>
      </c>
      <c r="C47" s="126">
        <f>JAN!$AM47</f>
        <v/>
      </c>
      <c r="D47" s="126">
        <f>FEV!$AM47</f>
        <v/>
      </c>
      <c r="E47" s="126">
        <f>MAR!$AM47</f>
        <v/>
      </c>
      <c r="F47" s="126">
        <f>ABR!$AM47</f>
        <v/>
      </c>
      <c r="G47" s="126">
        <f>MAI!$AM47</f>
        <v/>
      </c>
      <c r="H47" s="126">
        <f>JUN!$AM47</f>
        <v/>
      </c>
      <c r="I47" s="126">
        <f>JUL!$AM47</f>
        <v/>
      </c>
      <c r="J47" s="126">
        <f>AGO!$AM47</f>
        <v/>
      </c>
      <c r="K47" s="126">
        <f>SET!$AM47</f>
        <v/>
      </c>
      <c r="L47" s="126">
        <f>OUT!$AM47</f>
        <v/>
      </c>
      <c r="M47" s="126">
        <f>NOV!$AM47</f>
        <v/>
      </c>
      <c r="N47" s="126">
        <f>DEZ!$AM47</f>
        <v/>
      </c>
      <c r="O47" s="127">
        <f>SUM(C47:N47)</f>
        <v/>
      </c>
      <c r="Q47" s="126">
        <f>JAN!$AI47</f>
        <v/>
      </c>
      <c r="R47" s="126">
        <f>FEV!$AI47</f>
        <v/>
      </c>
      <c r="S47" s="126">
        <f>MAR!$AI47</f>
        <v/>
      </c>
      <c r="T47" s="126">
        <f>ABR!$AI47</f>
        <v/>
      </c>
      <c r="U47" s="126">
        <f>MAI!$AI47</f>
        <v/>
      </c>
      <c r="V47" s="126">
        <f>JUN!$AI47</f>
        <v/>
      </c>
      <c r="W47" s="126">
        <f>JUL!$AI47</f>
        <v/>
      </c>
      <c r="X47" s="126">
        <f>AGO!$AI47</f>
        <v/>
      </c>
      <c r="Y47" s="126">
        <f>SET!$AI47</f>
        <v/>
      </c>
      <c r="Z47" s="126">
        <f>OUT!$AI47</f>
        <v/>
      </c>
      <c r="AA47" s="126">
        <f>NOV!$AI47</f>
        <v/>
      </c>
      <c r="AB47" s="126">
        <f>DEZ!$AI47</f>
        <v/>
      </c>
      <c r="AC47" s="127">
        <f>SUM(Q47:AB47)</f>
        <v/>
      </c>
      <c r="AE47" s="126">
        <f>JAN!$AJ47</f>
        <v/>
      </c>
      <c r="AF47" s="126">
        <f>FEV!$AJ47</f>
        <v/>
      </c>
      <c r="AG47" s="126">
        <f>MAR!$AJ47</f>
        <v/>
      </c>
      <c r="AH47" s="126">
        <f>ABR!$AJ47</f>
        <v/>
      </c>
      <c r="AI47" s="126">
        <f>MAI!$AJ47</f>
        <v/>
      </c>
      <c r="AJ47" s="126">
        <f>JUN!$AJ47</f>
        <v/>
      </c>
      <c r="AK47" s="126">
        <f>JUL!$AJ47</f>
        <v/>
      </c>
      <c r="AL47" s="126">
        <f>AGO!$AJ47</f>
        <v/>
      </c>
      <c r="AM47" s="126">
        <f>SET!$AJ47</f>
        <v/>
      </c>
      <c r="AN47" s="126">
        <f>OUT!$AJ47</f>
        <v/>
      </c>
      <c r="AO47" s="126">
        <f>NOV!$AJ47</f>
        <v/>
      </c>
      <c r="AP47" s="126">
        <f>DEZ!$AJ47</f>
        <v/>
      </c>
      <c r="AQ47" s="127">
        <f>SUM(AE47:AP47)</f>
        <v/>
      </c>
      <c r="AS47" s="126">
        <f>JAN!$AK47</f>
        <v/>
      </c>
      <c r="AT47" s="126">
        <f>FEV!$AK47</f>
        <v/>
      </c>
      <c r="AU47" s="126">
        <f>MAR!$AK47</f>
        <v/>
      </c>
      <c r="AV47" s="126">
        <f>ABR!$AK47</f>
        <v/>
      </c>
      <c r="AW47" s="126">
        <f>MAI!$AK47</f>
        <v/>
      </c>
      <c r="AX47" s="126">
        <f>JUN!$AK47</f>
        <v/>
      </c>
      <c r="AY47" s="126">
        <f>JUL!$AK47</f>
        <v/>
      </c>
      <c r="AZ47" s="126">
        <f>AGO!$AK47</f>
        <v/>
      </c>
      <c r="BA47" s="126">
        <f>SET!$AK47</f>
        <v/>
      </c>
      <c r="BB47" s="126">
        <f>OUT!$AK47</f>
        <v/>
      </c>
      <c r="BC47" s="126">
        <f>NOV!$AK47</f>
        <v/>
      </c>
      <c r="BD47" s="126">
        <f>DEZ!$AK47</f>
        <v/>
      </c>
      <c r="BE47" s="127">
        <f>SUM(AS47:BD47)</f>
        <v/>
      </c>
      <c r="BG47" s="93" t="n">
        <v>5</v>
      </c>
      <c r="BH47" s="107">
        <f>SUM(AE47:AP47)</f>
        <v/>
      </c>
      <c r="BI47" s="128">
        <f>IF(BG47="","",IF(BG47=BH47,"","⚠"))</f>
        <v/>
      </c>
    </row>
    <row r="48">
      <c r="A48" s="81" t="inlineStr">
        <is>
          <t>Heloa</t>
        </is>
      </c>
      <c r="B48" s="125">
        <f>CADASTRO!$C44</f>
        <v/>
      </c>
      <c r="C48" s="126">
        <f>JAN!$AM48</f>
        <v/>
      </c>
      <c r="D48" s="126">
        <f>FEV!$AM48</f>
        <v/>
      </c>
      <c r="E48" s="126">
        <f>MAR!$AM48</f>
        <v/>
      </c>
      <c r="F48" s="126">
        <f>ABR!$AM48</f>
        <v/>
      </c>
      <c r="G48" s="126">
        <f>MAI!$AM48</f>
        <v/>
      </c>
      <c r="H48" s="126">
        <f>JUN!$AM48</f>
        <v/>
      </c>
      <c r="I48" s="126">
        <f>JUL!$AM48</f>
        <v/>
      </c>
      <c r="J48" s="126">
        <f>AGO!$AM48</f>
        <v/>
      </c>
      <c r="K48" s="126">
        <f>SET!$AM48</f>
        <v/>
      </c>
      <c r="L48" s="126">
        <f>OUT!$AM48</f>
        <v/>
      </c>
      <c r="M48" s="126">
        <f>NOV!$AM48</f>
        <v/>
      </c>
      <c r="N48" s="126">
        <f>DEZ!$AM48</f>
        <v/>
      </c>
      <c r="O48" s="127">
        <f>SUM(C48:N48)</f>
        <v/>
      </c>
      <c r="Q48" s="126">
        <f>JAN!$AI48</f>
        <v/>
      </c>
      <c r="R48" s="126">
        <f>FEV!$AI48</f>
        <v/>
      </c>
      <c r="S48" s="126">
        <f>MAR!$AI48</f>
        <v/>
      </c>
      <c r="T48" s="126">
        <f>ABR!$AI48</f>
        <v/>
      </c>
      <c r="U48" s="126">
        <f>MAI!$AI48</f>
        <v/>
      </c>
      <c r="V48" s="126">
        <f>JUN!$AI48</f>
        <v/>
      </c>
      <c r="W48" s="126">
        <f>JUL!$AI48</f>
        <v/>
      </c>
      <c r="X48" s="126">
        <f>AGO!$AI48</f>
        <v/>
      </c>
      <c r="Y48" s="126">
        <f>SET!$AI48</f>
        <v/>
      </c>
      <c r="Z48" s="126">
        <f>OUT!$AI48</f>
        <v/>
      </c>
      <c r="AA48" s="126">
        <f>NOV!$AI48</f>
        <v/>
      </c>
      <c r="AB48" s="126">
        <f>DEZ!$AI48</f>
        <v/>
      </c>
      <c r="AC48" s="127">
        <f>SUM(Q48:AB48)</f>
        <v/>
      </c>
      <c r="AE48" s="126">
        <f>JAN!$AJ48</f>
        <v/>
      </c>
      <c r="AF48" s="126">
        <f>FEV!$AJ48</f>
        <v/>
      </c>
      <c r="AG48" s="126">
        <f>MAR!$AJ48</f>
        <v/>
      </c>
      <c r="AH48" s="126">
        <f>ABR!$AJ48</f>
        <v/>
      </c>
      <c r="AI48" s="126">
        <f>MAI!$AJ48</f>
        <v/>
      </c>
      <c r="AJ48" s="126">
        <f>JUN!$AJ48</f>
        <v/>
      </c>
      <c r="AK48" s="126">
        <f>JUL!$AJ48</f>
        <v/>
      </c>
      <c r="AL48" s="126">
        <f>AGO!$AJ48</f>
        <v/>
      </c>
      <c r="AM48" s="126">
        <f>SET!$AJ48</f>
        <v/>
      </c>
      <c r="AN48" s="126">
        <f>OUT!$AJ48</f>
        <v/>
      </c>
      <c r="AO48" s="126">
        <f>NOV!$AJ48</f>
        <v/>
      </c>
      <c r="AP48" s="126">
        <f>DEZ!$AJ48</f>
        <v/>
      </c>
      <c r="AQ48" s="127">
        <f>SUM(AE48:AP48)</f>
        <v/>
      </c>
      <c r="AS48" s="126">
        <f>JAN!$AK48</f>
        <v/>
      </c>
      <c r="AT48" s="126">
        <f>FEV!$AK48</f>
        <v/>
      </c>
      <c r="AU48" s="126">
        <f>MAR!$AK48</f>
        <v/>
      </c>
      <c r="AV48" s="126">
        <f>ABR!$AK48</f>
        <v/>
      </c>
      <c r="AW48" s="126">
        <f>MAI!$AK48</f>
        <v/>
      </c>
      <c r="AX48" s="126">
        <f>JUN!$AK48</f>
        <v/>
      </c>
      <c r="AY48" s="126">
        <f>JUL!$AK48</f>
        <v/>
      </c>
      <c r="AZ48" s="126">
        <f>AGO!$AK48</f>
        <v/>
      </c>
      <c r="BA48" s="126">
        <f>SET!$AK48</f>
        <v/>
      </c>
      <c r="BB48" s="126">
        <f>OUT!$AK48</f>
        <v/>
      </c>
      <c r="BC48" s="126">
        <f>NOV!$AK48</f>
        <v/>
      </c>
      <c r="BD48" s="126">
        <f>DEZ!$AK48</f>
        <v/>
      </c>
      <c r="BE48" s="127">
        <f>SUM(AS48:BD48)</f>
        <v/>
      </c>
      <c r="BG48" s="93" t="n">
        <v>1</v>
      </c>
      <c r="BH48" s="107">
        <f>SUM(AE48:AP48)</f>
        <v/>
      </c>
      <c r="BI48" s="128">
        <f>IF(BG48="","",IF(BG48=BH48,"","⚠"))</f>
        <v/>
      </c>
    </row>
    <row r="49">
      <c r="A49" s="81" t="inlineStr">
        <is>
          <t>Iggor</t>
        </is>
      </c>
      <c r="B49" s="125">
        <f>CADASTRO!$C45</f>
        <v/>
      </c>
      <c r="C49" s="126">
        <f>JAN!$AM49</f>
        <v/>
      </c>
      <c r="D49" s="126">
        <f>FEV!$AM49</f>
        <v/>
      </c>
      <c r="E49" s="126">
        <f>MAR!$AM49</f>
        <v/>
      </c>
      <c r="F49" s="126">
        <f>ABR!$AM49</f>
        <v/>
      </c>
      <c r="G49" s="126">
        <f>MAI!$AM49</f>
        <v/>
      </c>
      <c r="H49" s="126">
        <f>JUN!$AM49</f>
        <v/>
      </c>
      <c r="I49" s="126">
        <f>JUL!$AM49</f>
        <v/>
      </c>
      <c r="J49" s="126">
        <f>AGO!$AM49</f>
        <v/>
      </c>
      <c r="K49" s="126">
        <f>SET!$AM49</f>
        <v/>
      </c>
      <c r="L49" s="126">
        <f>OUT!$AM49</f>
        <v/>
      </c>
      <c r="M49" s="126">
        <f>NOV!$AM49</f>
        <v/>
      </c>
      <c r="N49" s="126">
        <f>DEZ!$AM49</f>
        <v/>
      </c>
      <c r="O49" s="127">
        <f>SUM(C49:N49)</f>
        <v/>
      </c>
      <c r="Q49" s="126">
        <f>JAN!$AI49</f>
        <v/>
      </c>
      <c r="R49" s="126">
        <f>FEV!$AI49</f>
        <v/>
      </c>
      <c r="S49" s="126">
        <f>MAR!$AI49</f>
        <v/>
      </c>
      <c r="T49" s="126">
        <f>ABR!$AI49</f>
        <v/>
      </c>
      <c r="U49" s="126">
        <f>MAI!$AI49</f>
        <v/>
      </c>
      <c r="V49" s="126">
        <f>JUN!$AI49</f>
        <v/>
      </c>
      <c r="W49" s="126">
        <f>JUL!$AI49</f>
        <v/>
      </c>
      <c r="X49" s="126">
        <f>AGO!$AI49</f>
        <v/>
      </c>
      <c r="Y49" s="126">
        <f>SET!$AI49</f>
        <v/>
      </c>
      <c r="Z49" s="126">
        <f>OUT!$AI49</f>
        <v/>
      </c>
      <c r="AA49" s="126">
        <f>NOV!$AI49</f>
        <v/>
      </c>
      <c r="AB49" s="126">
        <f>DEZ!$AI49</f>
        <v/>
      </c>
      <c r="AC49" s="127">
        <f>SUM(Q49:AB49)</f>
        <v/>
      </c>
      <c r="AE49" s="126">
        <f>JAN!$AJ49</f>
        <v/>
      </c>
      <c r="AF49" s="126">
        <f>FEV!$AJ49</f>
        <v/>
      </c>
      <c r="AG49" s="126">
        <f>MAR!$AJ49</f>
        <v/>
      </c>
      <c r="AH49" s="126">
        <f>ABR!$AJ49</f>
        <v/>
      </c>
      <c r="AI49" s="126">
        <f>MAI!$AJ49</f>
        <v/>
      </c>
      <c r="AJ49" s="126">
        <f>JUN!$AJ49</f>
        <v/>
      </c>
      <c r="AK49" s="126">
        <f>JUL!$AJ49</f>
        <v/>
      </c>
      <c r="AL49" s="126">
        <f>AGO!$AJ49</f>
        <v/>
      </c>
      <c r="AM49" s="126">
        <f>SET!$AJ49</f>
        <v/>
      </c>
      <c r="AN49" s="126">
        <f>OUT!$AJ49</f>
        <v/>
      </c>
      <c r="AO49" s="126">
        <f>NOV!$AJ49</f>
        <v/>
      </c>
      <c r="AP49" s="126">
        <f>DEZ!$AJ49</f>
        <v/>
      </c>
      <c r="AQ49" s="127">
        <f>SUM(AE49:AP49)</f>
        <v/>
      </c>
      <c r="AS49" s="126">
        <f>JAN!$AK49</f>
        <v/>
      </c>
      <c r="AT49" s="126">
        <f>FEV!$AK49</f>
        <v/>
      </c>
      <c r="AU49" s="126">
        <f>MAR!$AK49</f>
        <v/>
      </c>
      <c r="AV49" s="126">
        <f>ABR!$AK49</f>
        <v/>
      </c>
      <c r="AW49" s="126">
        <f>MAI!$AK49</f>
        <v/>
      </c>
      <c r="AX49" s="126">
        <f>JUN!$AK49</f>
        <v/>
      </c>
      <c r="AY49" s="126">
        <f>JUL!$AK49</f>
        <v/>
      </c>
      <c r="AZ49" s="126">
        <f>AGO!$AK49</f>
        <v/>
      </c>
      <c r="BA49" s="126">
        <f>SET!$AK49</f>
        <v/>
      </c>
      <c r="BB49" s="126">
        <f>OUT!$AK49</f>
        <v/>
      </c>
      <c r="BC49" s="126">
        <f>NOV!$AK49</f>
        <v/>
      </c>
      <c r="BD49" s="126">
        <f>DEZ!$AK49</f>
        <v/>
      </c>
      <c r="BE49" s="127">
        <f>SUM(AS49:BD49)</f>
        <v/>
      </c>
      <c r="BG49" s="93" t="n">
        <v>7</v>
      </c>
      <c r="BH49" s="107">
        <f>SUM(AE49:AP49)</f>
        <v/>
      </c>
      <c r="BI49" s="128">
        <f>IF(BG49="","",IF(BG49=BH49,"","⚠"))</f>
        <v/>
      </c>
    </row>
    <row r="50">
      <c r="A50" s="81" t="inlineStr">
        <is>
          <t>IsaRibeiro</t>
        </is>
      </c>
      <c r="B50" s="125">
        <f>CADASTRO!$C46</f>
        <v/>
      </c>
      <c r="C50" s="126">
        <f>JAN!$AM50</f>
        <v/>
      </c>
      <c r="D50" s="126">
        <f>FEV!$AM50</f>
        <v/>
      </c>
      <c r="E50" s="126">
        <f>MAR!$AM50</f>
        <v/>
      </c>
      <c r="F50" s="126">
        <f>ABR!$AM50</f>
        <v/>
      </c>
      <c r="G50" s="126">
        <f>MAI!$AM50</f>
        <v/>
      </c>
      <c r="H50" s="126">
        <f>JUN!$AM50</f>
        <v/>
      </c>
      <c r="I50" s="126">
        <f>JUL!$AM50</f>
        <v/>
      </c>
      <c r="J50" s="126">
        <f>AGO!$AM50</f>
        <v/>
      </c>
      <c r="K50" s="126">
        <f>SET!$AM50</f>
        <v/>
      </c>
      <c r="L50" s="126">
        <f>OUT!$AM50</f>
        <v/>
      </c>
      <c r="M50" s="126">
        <f>NOV!$AM50</f>
        <v/>
      </c>
      <c r="N50" s="126">
        <f>DEZ!$AM50</f>
        <v/>
      </c>
      <c r="O50" s="127">
        <f>SUM(C50:N50)</f>
        <v/>
      </c>
      <c r="Q50" s="126">
        <f>JAN!$AI50</f>
        <v/>
      </c>
      <c r="R50" s="126">
        <f>FEV!$AI50</f>
        <v/>
      </c>
      <c r="S50" s="126">
        <f>MAR!$AI50</f>
        <v/>
      </c>
      <c r="T50" s="126">
        <f>ABR!$AI50</f>
        <v/>
      </c>
      <c r="U50" s="126">
        <f>MAI!$AI50</f>
        <v/>
      </c>
      <c r="V50" s="126">
        <f>JUN!$AI50</f>
        <v/>
      </c>
      <c r="W50" s="126">
        <f>JUL!$AI50</f>
        <v/>
      </c>
      <c r="X50" s="126">
        <f>AGO!$AI50</f>
        <v/>
      </c>
      <c r="Y50" s="126">
        <f>SET!$AI50</f>
        <v/>
      </c>
      <c r="Z50" s="126">
        <f>OUT!$AI50</f>
        <v/>
      </c>
      <c r="AA50" s="126">
        <f>NOV!$AI50</f>
        <v/>
      </c>
      <c r="AB50" s="126">
        <f>DEZ!$AI50</f>
        <v/>
      </c>
      <c r="AC50" s="127">
        <f>SUM(Q50:AB50)</f>
        <v/>
      </c>
      <c r="AE50" s="126">
        <f>JAN!$AJ50</f>
        <v/>
      </c>
      <c r="AF50" s="126">
        <f>FEV!$AJ50</f>
        <v/>
      </c>
      <c r="AG50" s="126">
        <f>MAR!$AJ50</f>
        <v/>
      </c>
      <c r="AH50" s="126">
        <f>ABR!$AJ50</f>
        <v/>
      </c>
      <c r="AI50" s="126">
        <f>MAI!$AJ50</f>
        <v/>
      </c>
      <c r="AJ50" s="126">
        <f>JUN!$AJ50</f>
        <v/>
      </c>
      <c r="AK50" s="126">
        <f>JUL!$AJ50</f>
        <v/>
      </c>
      <c r="AL50" s="126">
        <f>AGO!$AJ50</f>
        <v/>
      </c>
      <c r="AM50" s="126">
        <f>SET!$AJ50</f>
        <v/>
      </c>
      <c r="AN50" s="126">
        <f>OUT!$AJ50</f>
        <v/>
      </c>
      <c r="AO50" s="126">
        <f>NOV!$AJ50</f>
        <v/>
      </c>
      <c r="AP50" s="126">
        <f>DEZ!$AJ50</f>
        <v/>
      </c>
      <c r="AQ50" s="127">
        <f>SUM(AE50:AP50)</f>
        <v/>
      </c>
      <c r="AS50" s="126">
        <f>JAN!$AK50</f>
        <v/>
      </c>
      <c r="AT50" s="126">
        <f>FEV!$AK50</f>
        <v/>
      </c>
      <c r="AU50" s="126">
        <f>MAR!$AK50</f>
        <v/>
      </c>
      <c r="AV50" s="126">
        <f>ABR!$AK50</f>
        <v/>
      </c>
      <c r="AW50" s="126">
        <f>MAI!$AK50</f>
        <v/>
      </c>
      <c r="AX50" s="126">
        <f>JUN!$AK50</f>
        <v/>
      </c>
      <c r="AY50" s="126">
        <f>JUL!$AK50</f>
        <v/>
      </c>
      <c r="AZ50" s="126">
        <f>AGO!$AK50</f>
        <v/>
      </c>
      <c r="BA50" s="126">
        <f>SET!$AK50</f>
        <v/>
      </c>
      <c r="BB50" s="126">
        <f>OUT!$AK50</f>
        <v/>
      </c>
      <c r="BC50" s="126">
        <f>NOV!$AK50</f>
        <v/>
      </c>
      <c r="BD50" s="126">
        <f>DEZ!$AK50</f>
        <v/>
      </c>
      <c r="BE50" s="127">
        <f>SUM(AS50:BD50)</f>
        <v/>
      </c>
      <c r="BG50" s="93" t="n">
        <v>7</v>
      </c>
      <c r="BH50" s="107">
        <f>SUM(AE50:AP50)</f>
        <v/>
      </c>
      <c r="BI50" s="128">
        <f>IF(BG50="","",IF(BG50=BH50,"","⚠"))</f>
        <v/>
      </c>
    </row>
    <row r="51">
      <c r="A51" s="81" t="inlineStr">
        <is>
          <t>Jaqueline</t>
        </is>
      </c>
      <c r="B51" s="125">
        <f>CADASTRO!$C47</f>
        <v/>
      </c>
      <c r="C51" s="126">
        <f>JAN!$AM51</f>
        <v/>
      </c>
      <c r="D51" s="126">
        <f>FEV!$AM51</f>
        <v/>
      </c>
      <c r="E51" s="126">
        <f>MAR!$AM51</f>
        <v/>
      </c>
      <c r="F51" s="126">
        <f>ABR!$AM51</f>
        <v/>
      </c>
      <c r="G51" s="126">
        <f>MAI!$AM51</f>
        <v/>
      </c>
      <c r="H51" s="126">
        <f>JUN!$AM51</f>
        <v/>
      </c>
      <c r="I51" s="126">
        <f>JUL!$AM51</f>
        <v/>
      </c>
      <c r="J51" s="126">
        <f>AGO!$AM51</f>
        <v/>
      </c>
      <c r="K51" s="126">
        <f>SET!$AM51</f>
        <v/>
      </c>
      <c r="L51" s="126">
        <f>OUT!$AM51</f>
        <v/>
      </c>
      <c r="M51" s="126">
        <f>NOV!$AM51</f>
        <v/>
      </c>
      <c r="N51" s="126">
        <f>DEZ!$AM51</f>
        <v/>
      </c>
      <c r="O51" s="127">
        <f>SUM(C51:N51)</f>
        <v/>
      </c>
      <c r="Q51" s="126">
        <f>JAN!$AI51</f>
        <v/>
      </c>
      <c r="R51" s="126">
        <f>FEV!$AI51</f>
        <v/>
      </c>
      <c r="S51" s="126">
        <f>MAR!$AI51</f>
        <v/>
      </c>
      <c r="T51" s="126">
        <f>ABR!$AI51</f>
        <v/>
      </c>
      <c r="U51" s="126">
        <f>MAI!$AI51</f>
        <v/>
      </c>
      <c r="V51" s="126">
        <f>JUN!$AI51</f>
        <v/>
      </c>
      <c r="W51" s="126">
        <f>JUL!$AI51</f>
        <v/>
      </c>
      <c r="X51" s="126">
        <f>AGO!$AI51</f>
        <v/>
      </c>
      <c r="Y51" s="126">
        <f>SET!$AI51</f>
        <v/>
      </c>
      <c r="Z51" s="126">
        <f>OUT!$AI51</f>
        <v/>
      </c>
      <c r="AA51" s="126">
        <f>NOV!$AI51</f>
        <v/>
      </c>
      <c r="AB51" s="126">
        <f>DEZ!$AI51</f>
        <v/>
      </c>
      <c r="AC51" s="127">
        <f>SUM(Q51:AB51)</f>
        <v/>
      </c>
      <c r="AE51" s="126">
        <f>JAN!$AJ51</f>
        <v/>
      </c>
      <c r="AF51" s="126">
        <f>FEV!$AJ51</f>
        <v/>
      </c>
      <c r="AG51" s="126">
        <f>MAR!$AJ51</f>
        <v/>
      </c>
      <c r="AH51" s="126">
        <f>ABR!$AJ51</f>
        <v/>
      </c>
      <c r="AI51" s="126">
        <f>MAI!$AJ51</f>
        <v/>
      </c>
      <c r="AJ51" s="126">
        <f>JUN!$AJ51</f>
        <v/>
      </c>
      <c r="AK51" s="126">
        <f>JUL!$AJ51</f>
        <v/>
      </c>
      <c r="AL51" s="126">
        <f>AGO!$AJ51</f>
        <v/>
      </c>
      <c r="AM51" s="126">
        <f>SET!$AJ51</f>
        <v/>
      </c>
      <c r="AN51" s="126">
        <f>OUT!$AJ51</f>
        <v/>
      </c>
      <c r="AO51" s="126">
        <f>NOV!$AJ51</f>
        <v/>
      </c>
      <c r="AP51" s="126">
        <f>DEZ!$AJ51</f>
        <v/>
      </c>
      <c r="AQ51" s="127">
        <f>SUM(AE51:AP51)</f>
        <v/>
      </c>
      <c r="AS51" s="126">
        <f>JAN!$AK51</f>
        <v/>
      </c>
      <c r="AT51" s="126">
        <f>FEV!$AK51</f>
        <v/>
      </c>
      <c r="AU51" s="126">
        <f>MAR!$AK51</f>
        <v/>
      </c>
      <c r="AV51" s="126">
        <f>ABR!$AK51</f>
        <v/>
      </c>
      <c r="AW51" s="126">
        <f>MAI!$AK51</f>
        <v/>
      </c>
      <c r="AX51" s="126">
        <f>JUN!$AK51</f>
        <v/>
      </c>
      <c r="AY51" s="126">
        <f>JUL!$AK51</f>
        <v/>
      </c>
      <c r="AZ51" s="126">
        <f>AGO!$AK51</f>
        <v/>
      </c>
      <c r="BA51" s="126">
        <f>SET!$AK51</f>
        <v/>
      </c>
      <c r="BB51" s="126">
        <f>OUT!$AK51</f>
        <v/>
      </c>
      <c r="BC51" s="126">
        <f>NOV!$AK51</f>
        <v/>
      </c>
      <c r="BD51" s="126">
        <f>DEZ!$AK51</f>
        <v/>
      </c>
      <c r="BE51" s="127">
        <f>SUM(AS51:BD51)</f>
        <v/>
      </c>
      <c r="BG51" s="93" t="n">
        <v>0</v>
      </c>
      <c r="BH51" s="107">
        <f>SUM(AE51:AP51)</f>
        <v/>
      </c>
      <c r="BI51" s="128">
        <f>IF(BG51="","",IF(BG51=BH51,"","⚠"))</f>
        <v/>
      </c>
    </row>
    <row r="52">
      <c r="A52" s="81" t="inlineStr">
        <is>
          <t>Joaquim</t>
        </is>
      </c>
      <c r="B52" s="125">
        <f>CADASTRO!$C48</f>
        <v/>
      </c>
      <c r="C52" s="126">
        <f>JAN!$AM52</f>
        <v/>
      </c>
      <c r="D52" s="126">
        <f>FEV!$AM52</f>
        <v/>
      </c>
      <c r="E52" s="126">
        <f>MAR!$AM52</f>
        <v/>
      </c>
      <c r="F52" s="126">
        <f>ABR!$AM52</f>
        <v/>
      </c>
      <c r="G52" s="126">
        <f>MAI!$AM52</f>
        <v/>
      </c>
      <c r="H52" s="126">
        <f>JUN!$AM52</f>
        <v/>
      </c>
      <c r="I52" s="126">
        <f>JUL!$AM52</f>
        <v/>
      </c>
      <c r="J52" s="126">
        <f>AGO!$AM52</f>
        <v/>
      </c>
      <c r="K52" s="126">
        <f>SET!$AM52</f>
        <v/>
      </c>
      <c r="L52" s="126">
        <f>OUT!$AM52</f>
        <v/>
      </c>
      <c r="M52" s="126">
        <f>NOV!$AM52</f>
        <v/>
      </c>
      <c r="N52" s="126">
        <f>DEZ!$AM52</f>
        <v/>
      </c>
      <c r="O52" s="127">
        <f>SUM(C52:N52)</f>
        <v/>
      </c>
      <c r="Q52" s="126">
        <f>JAN!$AI52</f>
        <v/>
      </c>
      <c r="R52" s="126">
        <f>FEV!$AI52</f>
        <v/>
      </c>
      <c r="S52" s="126">
        <f>MAR!$AI52</f>
        <v/>
      </c>
      <c r="T52" s="126">
        <f>ABR!$AI52</f>
        <v/>
      </c>
      <c r="U52" s="126">
        <f>MAI!$AI52</f>
        <v/>
      </c>
      <c r="V52" s="126">
        <f>JUN!$AI52</f>
        <v/>
      </c>
      <c r="W52" s="126">
        <f>JUL!$AI52</f>
        <v/>
      </c>
      <c r="X52" s="126">
        <f>AGO!$AI52</f>
        <v/>
      </c>
      <c r="Y52" s="126">
        <f>SET!$AI52</f>
        <v/>
      </c>
      <c r="Z52" s="126">
        <f>OUT!$AI52</f>
        <v/>
      </c>
      <c r="AA52" s="126">
        <f>NOV!$AI52</f>
        <v/>
      </c>
      <c r="AB52" s="126">
        <f>DEZ!$AI52</f>
        <v/>
      </c>
      <c r="AC52" s="127">
        <f>SUM(Q52:AB52)</f>
        <v/>
      </c>
      <c r="AE52" s="126">
        <f>JAN!$AJ52</f>
        <v/>
      </c>
      <c r="AF52" s="126">
        <f>FEV!$AJ52</f>
        <v/>
      </c>
      <c r="AG52" s="126">
        <f>MAR!$AJ52</f>
        <v/>
      </c>
      <c r="AH52" s="126">
        <f>ABR!$AJ52</f>
        <v/>
      </c>
      <c r="AI52" s="126">
        <f>MAI!$AJ52</f>
        <v/>
      </c>
      <c r="AJ52" s="126">
        <f>JUN!$AJ52</f>
        <v/>
      </c>
      <c r="AK52" s="126">
        <f>JUL!$AJ52</f>
        <v/>
      </c>
      <c r="AL52" s="126">
        <f>AGO!$AJ52</f>
        <v/>
      </c>
      <c r="AM52" s="126">
        <f>SET!$AJ52</f>
        <v/>
      </c>
      <c r="AN52" s="126">
        <f>OUT!$AJ52</f>
        <v/>
      </c>
      <c r="AO52" s="126">
        <f>NOV!$AJ52</f>
        <v/>
      </c>
      <c r="AP52" s="126">
        <f>DEZ!$AJ52</f>
        <v/>
      </c>
      <c r="AQ52" s="127">
        <f>SUM(AE52:AP52)</f>
        <v/>
      </c>
      <c r="AS52" s="126">
        <f>JAN!$AK52</f>
        <v/>
      </c>
      <c r="AT52" s="126">
        <f>FEV!$AK52</f>
        <v/>
      </c>
      <c r="AU52" s="126">
        <f>MAR!$AK52</f>
        <v/>
      </c>
      <c r="AV52" s="126">
        <f>ABR!$AK52</f>
        <v/>
      </c>
      <c r="AW52" s="126">
        <f>MAI!$AK52</f>
        <v/>
      </c>
      <c r="AX52" s="126">
        <f>JUN!$AK52</f>
        <v/>
      </c>
      <c r="AY52" s="126">
        <f>JUL!$AK52</f>
        <v/>
      </c>
      <c r="AZ52" s="126">
        <f>AGO!$AK52</f>
        <v/>
      </c>
      <c r="BA52" s="126">
        <f>SET!$AK52</f>
        <v/>
      </c>
      <c r="BB52" s="126">
        <f>OUT!$AK52</f>
        <v/>
      </c>
      <c r="BC52" s="126">
        <f>NOV!$AK52</f>
        <v/>
      </c>
      <c r="BD52" s="126">
        <f>DEZ!$AK52</f>
        <v/>
      </c>
      <c r="BE52" s="127">
        <f>SUM(AS52:BD52)</f>
        <v/>
      </c>
      <c r="BG52" s="93" t="n">
        <v>8</v>
      </c>
      <c r="BH52" s="107">
        <f>SUM(AE52:AP52)</f>
        <v/>
      </c>
      <c r="BI52" s="128">
        <f>IF(BG52="","",IF(BG52=BH52,"","⚠"))</f>
        <v/>
      </c>
    </row>
    <row r="53">
      <c r="A53" s="81" t="inlineStr">
        <is>
          <t>JuliaFig</t>
        </is>
      </c>
      <c r="B53" s="125">
        <f>CADASTRO!$C49</f>
        <v/>
      </c>
      <c r="C53" s="126">
        <f>JAN!$AM53</f>
        <v/>
      </c>
      <c r="D53" s="126">
        <f>FEV!$AM53</f>
        <v/>
      </c>
      <c r="E53" s="126">
        <f>MAR!$AM53</f>
        <v/>
      </c>
      <c r="F53" s="126">
        <f>ABR!$AM53</f>
        <v/>
      </c>
      <c r="G53" s="126">
        <f>MAI!$AM53</f>
        <v/>
      </c>
      <c r="H53" s="126">
        <f>JUN!$AM53</f>
        <v/>
      </c>
      <c r="I53" s="126">
        <f>JUL!$AM53</f>
        <v/>
      </c>
      <c r="J53" s="126">
        <f>AGO!$AM53</f>
        <v/>
      </c>
      <c r="K53" s="126">
        <f>SET!$AM53</f>
        <v/>
      </c>
      <c r="L53" s="126">
        <f>OUT!$AM53</f>
        <v/>
      </c>
      <c r="M53" s="126">
        <f>NOV!$AM53</f>
        <v/>
      </c>
      <c r="N53" s="126">
        <f>DEZ!$AM53</f>
        <v/>
      </c>
      <c r="O53" s="127">
        <f>SUM(C53:N53)</f>
        <v/>
      </c>
      <c r="Q53" s="126">
        <f>JAN!$AI53</f>
        <v/>
      </c>
      <c r="R53" s="126">
        <f>FEV!$AI53</f>
        <v/>
      </c>
      <c r="S53" s="126">
        <f>MAR!$AI53</f>
        <v/>
      </c>
      <c r="T53" s="126">
        <f>ABR!$AI53</f>
        <v/>
      </c>
      <c r="U53" s="126">
        <f>MAI!$AI53</f>
        <v/>
      </c>
      <c r="V53" s="126">
        <f>JUN!$AI53</f>
        <v/>
      </c>
      <c r="W53" s="126">
        <f>JUL!$AI53</f>
        <v/>
      </c>
      <c r="X53" s="126">
        <f>AGO!$AI53</f>
        <v/>
      </c>
      <c r="Y53" s="126">
        <f>SET!$AI53</f>
        <v/>
      </c>
      <c r="Z53" s="126">
        <f>OUT!$AI53</f>
        <v/>
      </c>
      <c r="AA53" s="126">
        <f>NOV!$AI53</f>
        <v/>
      </c>
      <c r="AB53" s="126">
        <f>DEZ!$AI53</f>
        <v/>
      </c>
      <c r="AC53" s="127">
        <f>SUM(Q53:AB53)</f>
        <v/>
      </c>
      <c r="AE53" s="126">
        <f>JAN!$AJ53</f>
        <v/>
      </c>
      <c r="AF53" s="126">
        <f>FEV!$AJ53</f>
        <v/>
      </c>
      <c r="AG53" s="126">
        <f>MAR!$AJ53</f>
        <v/>
      </c>
      <c r="AH53" s="126">
        <f>ABR!$AJ53</f>
        <v/>
      </c>
      <c r="AI53" s="126">
        <f>MAI!$AJ53</f>
        <v/>
      </c>
      <c r="AJ53" s="126">
        <f>JUN!$AJ53</f>
        <v/>
      </c>
      <c r="AK53" s="126">
        <f>JUL!$AJ53</f>
        <v/>
      </c>
      <c r="AL53" s="126">
        <f>AGO!$AJ53</f>
        <v/>
      </c>
      <c r="AM53" s="126">
        <f>SET!$AJ53</f>
        <v/>
      </c>
      <c r="AN53" s="126">
        <f>OUT!$AJ53</f>
        <v/>
      </c>
      <c r="AO53" s="126">
        <f>NOV!$AJ53</f>
        <v/>
      </c>
      <c r="AP53" s="126">
        <f>DEZ!$AJ53</f>
        <v/>
      </c>
      <c r="AQ53" s="127">
        <f>SUM(AE53:AP53)</f>
        <v/>
      </c>
      <c r="AS53" s="126">
        <f>JAN!$AK53</f>
        <v/>
      </c>
      <c r="AT53" s="126">
        <f>FEV!$AK53</f>
        <v/>
      </c>
      <c r="AU53" s="126">
        <f>MAR!$AK53</f>
        <v/>
      </c>
      <c r="AV53" s="126">
        <f>ABR!$AK53</f>
        <v/>
      </c>
      <c r="AW53" s="126">
        <f>MAI!$AK53</f>
        <v/>
      </c>
      <c r="AX53" s="126">
        <f>JUN!$AK53</f>
        <v/>
      </c>
      <c r="AY53" s="126">
        <f>JUL!$AK53</f>
        <v/>
      </c>
      <c r="AZ53" s="126">
        <f>AGO!$AK53</f>
        <v/>
      </c>
      <c r="BA53" s="126">
        <f>SET!$AK53</f>
        <v/>
      </c>
      <c r="BB53" s="126">
        <f>OUT!$AK53</f>
        <v/>
      </c>
      <c r="BC53" s="126">
        <f>NOV!$AK53</f>
        <v/>
      </c>
      <c r="BD53" s="126">
        <f>DEZ!$AK53</f>
        <v/>
      </c>
      <c r="BE53" s="127">
        <f>SUM(AS53:BD53)</f>
        <v/>
      </c>
      <c r="BG53" s="93" t="n">
        <v>4</v>
      </c>
      <c r="BH53" s="107">
        <f>SUM(AE53:AP53)</f>
        <v/>
      </c>
      <c r="BI53" s="128">
        <f>IF(BG53="","",IF(BG53=BH53,"","⚠"))</f>
        <v/>
      </c>
    </row>
    <row r="54">
      <c r="A54" s="81" t="inlineStr">
        <is>
          <t>Kozak</t>
        </is>
      </c>
      <c r="B54" s="125">
        <f>CADASTRO!$C50</f>
        <v/>
      </c>
      <c r="C54" s="126">
        <f>JAN!$AM54</f>
        <v/>
      </c>
      <c r="D54" s="126">
        <f>FEV!$AM54</f>
        <v/>
      </c>
      <c r="E54" s="126">
        <f>MAR!$AM54</f>
        <v/>
      </c>
      <c r="F54" s="126">
        <f>ABR!$AM54</f>
        <v/>
      </c>
      <c r="G54" s="126">
        <f>MAI!$AM54</f>
        <v/>
      </c>
      <c r="H54" s="126">
        <f>JUN!$AM54</f>
        <v/>
      </c>
      <c r="I54" s="126">
        <f>JUL!$AM54</f>
        <v/>
      </c>
      <c r="J54" s="126">
        <f>AGO!$AM54</f>
        <v/>
      </c>
      <c r="K54" s="126">
        <f>SET!$AM54</f>
        <v/>
      </c>
      <c r="L54" s="126">
        <f>OUT!$AM54</f>
        <v/>
      </c>
      <c r="M54" s="126">
        <f>NOV!$AM54</f>
        <v/>
      </c>
      <c r="N54" s="126">
        <f>DEZ!$AM54</f>
        <v/>
      </c>
      <c r="O54" s="127">
        <f>SUM(C54:N54)</f>
        <v/>
      </c>
      <c r="Q54" s="126">
        <f>JAN!$AI54</f>
        <v/>
      </c>
      <c r="R54" s="126">
        <f>FEV!$AI54</f>
        <v/>
      </c>
      <c r="S54" s="126">
        <f>MAR!$AI54</f>
        <v/>
      </c>
      <c r="T54" s="126">
        <f>ABR!$AI54</f>
        <v/>
      </c>
      <c r="U54" s="126">
        <f>MAI!$AI54</f>
        <v/>
      </c>
      <c r="V54" s="126">
        <f>JUN!$AI54</f>
        <v/>
      </c>
      <c r="W54" s="126">
        <f>JUL!$AI54</f>
        <v/>
      </c>
      <c r="X54" s="126">
        <f>AGO!$AI54</f>
        <v/>
      </c>
      <c r="Y54" s="126">
        <f>SET!$AI54</f>
        <v/>
      </c>
      <c r="Z54" s="126">
        <f>OUT!$AI54</f>
        <v/>
      </c>
      <c r="AA54" s="126">
        <f>NOV!$AI54</f>
        <v/>
      </c>
      <c r="AB54" s="126">
        <f>DEZ!$AI54</f>
        <v/>
      </c>
      <c r="AC54" s="127">
        <f>SUM(Q54:AB54)</f>
        <v/>
      </c>
      <c r="AE54" s="126">
        <f>JAN!$AJ54</f>
        <v/>
      </c>
      <c r="AF54" s="126">
        <f>FEV!$AJ54</f>
        <v/>
      </c>
      <c r="AG54" s="126">
        <f>MAR!$AJ54</f>
        <v/>
      </c>
      <c r="AH54" s="126">
        <f>ABR!$AJ54</f>
        <v/>
      </c>
      <c r="AI54" s="126">
        <f>MAI!$AJ54</f>
        <v/>
      </c>
      <c r="AJ54" s="126">
        <f>JUN!$AJ54</f>
        <v/>
      </c>
      <c r="AK54" s="126">
        <f>JUL!$AJ54</f>
        <v/>
      </c>
      <c r="AL54" s="126">
        <f>AGO!$AJ54</f>
        <v/>
      </c>
      <c r="AM54" s="126">
        <f>SET!$AJ54</f>
        <v/>
      </c>
      <c r="AN54" s="126">
        <f>OUT!$AJ54</f>
        <v/>
      </c>
      <c r="AO54" s="126">
        <f>NOV!$AJ54</f>
        <v/>
      </c>
      <c r="AP54" s="126">
        <f>DEZ!$AJ54</f>
        <v/>
      </c>
      <c r="AQ54" s="127">
        <f>SUM(AE54:AP54)</f>
        <v/>
      </c>
      <c r="AS54" s="126">
        <f>JAN!$AK54</f>
        <v/>
      </c>
      <c r="AT54" s="126">
        <f>FEV!$AK54</f>
        <v/>
      </c>
      <c r="AU54" s="126">
        <f>MAR!$AK54</f>
        <v/>
      </c>
      <c r="AV54" s="126">
        <f>ABR!$AK54</f>
        <v/>
      </c>
      <c r="AW54" s="126">
        <f>MAI!$AK54</f>
        <v/>
      </c>
      <c r="AX54" s="126">
        <f>JUN!$AK54</f>
        <v/>
      </c>
      <c r="AY54" s="126">
        <f>JUL!$AK54</f>
        <v/>
      </c>
      <c r="AZ54" s="126">
        <f>AGO!$AK54</f>
        <v/>
      </c>
      <c r="BA54" s="126">
        <f>SET!$AK54</f>
        <v/>
      </c>
      <c r="BB54" s="126">
        <f>OUT!$AK54</f>
        <v/>
      </c>
      <c r="BC54" s="126">
        <f>NOV!$AK54</f>
        <v/>
      </c>
      <c r="BD54" s="126">
        <f>DEZ!$AK54</f>
        <v/>
      </c>
      <c r="BE54" s="127">
        <f>SUM(AS54:BD54)</f>
        <v/>
      </c>
      <c r="BG54" s="93" t="n">
        <v>1</v>
      </c>
      <c r="BH54" s="107">
        <f>SUM(AE54:AP54)</f>
        <v/>
      </c>
      <c r="BI54" s="128">
        <f>IF(BG54="","",IF(BG54=BH54,"","⚠"))</f>
        <v/>
      </c>
    </row>
    <row r="55">
      <c r="A55" s="81" t="inlineStr">
        <is>
          <t>Laura</t>
        </is>
      </c>
      <c r="B55" s="125">
        <f>CADASTRO!$C51</f>
        <v/>
      </c>
      <c r="C55" s="126">
        <f>JAN!$AM55</f>
        <v/>
      </c>
      <c r="D55" s="126">
        <f>FEV!$AM55</f>
        <v/>
      </c>
      <c r="E55" s="126">
        <f>MAR!$AM55</f>
        <v/>
      </c>
      <c r="F55" s="126">
        <f>ABR!$AM55</f>
        <v/>
      </c>
      <c r="G55" s="126">
        <f>MAI!$AM55</f>
        <v/>
      </c>
      <c r="H55" s="126">
        <f>JUN!$AM55</f>
        <v/>
      </c>
      <c r="I55" s="126">
        <f>JUL!$AM55</f>
        <v/>
      </c>
      <c r="J55" s="126">
        <f>AGO!$AM55</f>
        <v/>
      </c>
      <c r="K55" s="126">
        <f>SET!$AM55</f>
        <v/>
      </c>
      <c r="L55" s="126">
        <f>OUT!$AM55</f>
        <v/>
      </c>
      <c r="M55" s="126">
        <f>NOV!$AM55</f>
        <v/>
      </c>
      <c r="N55" s="126">
        <f>DEZ!$AM55</f>
        <v/>
      </c>
      <c r="O55" s="127">
        <f>SUM(C55:N55)</f>
        <v/>
      </c>
      <c r="Q55" s="126">
        <f>JAN!$AI55</f>
        <v/>
      </c>
      <c r="R55" s="126">
        <f>FEV!$AI55</f>
        <v/>
      </c>
      <c r="S55" s="126">
        <f>MAR!$AI55</f>
        <v/>
      </c>
      <c r="T55" s="126">
        <f>ABR!$AI55</f>
        <v/>
      </c>
      <c r="U55" s="126">
        <f>MAI!$AI55</f>
        <v/>
      </c>
      <c r="V55" s="126">
        <f>JUN!$AI55</f>
        <v/>
      </c>
      <c r="W55" s="126">
        <f>JUL!$AI55</f>
        <v/>
      </c>
      <c r="X55" s="126">
        <f>AGO!$AI55</f>
        <v/>
      </c>
      <c r="Y55" s="126">
        <f>SET!$AI55</f>
        <v/>
      </c>
      <c r="Z55" s="126">
        <f>OUT!$AI55</f>
        <v/>
      </c>
      <c r="AA55" s="126">
        <f>NOV!$AI55</f>
        <v/>
      </c>
      <c r="AB55" s="126">
        <f>DEZ!$AI55</f>
        <v/>
      </c>
      <c r="AC55" s="127">
        <f>SUM(Q55:AB55)</f>
        <v/>
      </c>
      <c r="AE55" s="126">
        <f>JAN!$AJ55</f>
        <v/>
      </c>
      <c r="AF55" s="126">
        <f>FEV!$AJ55</f>
        <v/>
      </c>
      <c r="AG55" s="126">
        <f>MAR!$AJ55</f>
        <v/>
      </c>
      <c r="AH55" s="126">
        <f>ABR!$AJ55</f>
        <v/>
      </c>
      <c r="AI55" s="126">
        <f>MAI!$AJ55</f>
        <v/>
      </c>
      <c r="AJ55" s="126">
        <f>JUN!$AJ55</f>
        <v/>
      </c>
      <c r="AK55" s="126">
        <f>JUL!$AJ55</f>
        <v/>
      </c>
      <c r="AL55" s="126">
        <f>AGO!$AJ55</f>
        <v/>
      </c>
      <c r="AM55" s="126">
        <f>SET!$AJ55</f>
        <v/>
      </c>
      <c r="AN55" s="126">
        <f>OUT!$AJ55</f>
        <v/>
      </c>
      <c r="AO55" s="126">
        <f>NOV!$AJ55</f>
        <v/>
      </c>
      <c r="AP55" s="126">
        <f>DEZ!$AJ55</f>
        <v/>
      </c>
      <c r="AQ55" s="127">
        <f>SUM(AE55:AP55)</f>
        <v/>
      </c>
      <c r="AS55" s="126">
        <f>JAN!$AK55</f>
        <v/>
      </c>
      <c r="AT55" s="126">
        <f>FEV!$AK55</f>
        <v/>
      </c>
      <c r="AU55" s="126">
        <f>MAR!$AK55</f>
        <v/>
      </c>
      <c r="AV55" s="126">
        <f>ABR!$AK55</f>
        <v/>
      </c>
      <c r="AW55" s="126">
        <f>MAI!$AK55</f>
        <v/>
      </c>
      <c r="AX55" s="126">
        <f>JUN!$AK55</f>
        <v/>
      </c>
      <c r="AY55" s="126">
        <f>JUL!$AK55</f>
        <v/>
      </c>
      <c r="AZ55" s="126">
        <f>AGO!$AK55</f>
        <v/>
      </c>
      <c r="BA55" s="126">
        <f>SET!$AK55</f>
        <v/>
      </c>
      <c r="BB55" s="126">
        <f>OUT!$AK55</f>
        <v/>
      </c>
      <c r="BC55" s="126">
        <f>NOV!$AK55</f>
        <v/>
      </c>
      <c r="BD55" s="126">
        <f>DEZ!$AK55</f>
        <v/>
      </c>
      <c r="BE55" s="127">
        <f>SUM(AS55:BD55)</f>
        <v/>
      </c>
      <c r="BG55" s="93" t="n">
        <v>1</v>
      </c>
      <c r="BH55" s="107">
        <f>SUM(AE55:AP55)</f>
        <v/>
      </c>
      <c r="BI55" s="128">
        <f>IF(BG55="","",IF(BG55=BH55,"","⚠"))</f>
        <v/>
      </c>
    </row>
    <row r="56">
      <c r="A56" s="81" t="inlineStr">
        <is>
          <t>Leticia</t>
        </is>
      </c>
      <c r="B56" s="125">
        <f>CADASTRO!$C52</f>
        <v/>
      </c>
      <c r="C56" s="126">
        <f>JAN!$AM56</f>
        <v/>
      </c>
      <c r="D56" s="126">
        <f>FEV!$AM56</f>
        <v/>
      </c>
      <c r="E56" s="126">
        <f>MAR!$AM56</f>
        <v/>
      </c>
      <c r="F56" s="126">
        <f>ABR!$AM56</f>
        <v/>
      </c>
      <c r="G56" s="126">
        <f>MAI!$AM56</f>
        <v/>
      </c>
      <c r="H56" s="126">
        <f>JUN!$AM56</f>
        <v/>
      </c>
      <c r="I56" s="126">
        <f>JUL!$AM56</f>
        <v/>
      </c>
      <c r="J56" s="126">
        <f>AGO!$AM56</f>
        <v/>
      </c>
      <c r="K56" s="126">
        <f>SET!$AM56</f>
        <v/>
      </c>
      <c r="L56" s="126">
        <f>OUT!$AM56</f>
        <v/>
      </c>
      <c r="M56" s="126">
        <f>NOV!$AM56</f>
        <v/>
      </c>
      <c r="N56" s="126">
        <f>DEZ!$AM56</f>
        <v/>
      </c>
      <c r="O56" s="127">
        <f>SUM(C56:N56)</f>
        <v/>
      </c>
      <c r="Q56" s="126">
        <f>JAN!$AI56</f>
        <v/>
      </c>
      <c r="R56" s="126">
        <f>FEV!$AI56</f>
        <v/>
      </c>
      <c r="S56" s="126">
        <f>MAR!$AI56</f>
        <v/>
      </c>
      <c r="T56" s="126">
        <f>ABR!$AI56</f>
        <v/>
      </c>
      <c r="U56" s="126">
        <f>MAI!$AI56</f>
        <v/>
      </c>
      <c r="V56" s="126">
        <f>JUN!$AI56</f>
        <v/>
      </c>
      <c r="W56" s="126">
        <f>JUL!$AI56</f>
        <v/>
      </c>
      <c r="X56" s="126">
        <f>AGO!$AI56</f>
        <v/>
      </c>
      <c r="Y56" s="126">
        <f>SET!$AI56</f>
        <v/>
      </c>
      <c r="Z56" s="126">
        <f>OUT!$AI56</f>
        <v/>
      </c>
      <c r="AA56" s="126">
        <f>NOV!$AI56</f>
        <v/>
      </c>
      <c r="AB56" s="126">
        <f>DEZ!$AI56</f>
        <v/>
      </c>
      <c r="AC56" s="127">
        <f>SUM(Q56:AB56)</f>
        <v/>
      </c>
      <c r="AE56" s="126">
        <f>JAN!$AJ56</f>
        <v/>
      </c>
      <c r="AF56" s="126">
        <f>FEV!$AJ56</f>
        <v/>
      </c>
      <c r="AG56" s="126">
        <f>MAR!$AJ56</f>
        <v/>
      </c>
      <c r="AH56" s="126">
        <f>ABR!$AJ56</f>
        <v/>
      </c>
      <c r="AI56" s="126">
        <f>MAI!$AJ56</f>
        <v/>
      </c>
      <c r="AJ56" s="126">
        <f>JUN!$AJ56</f>
        <v/>
      </c>
      <c r="AK56" s="126">
        <f>JUL!$AJ56</f>
        <v/>
      </c>
      <c r="AL56" s="126">
        <f>AGO!$AJ56</f>
        <v/>
      </c>
      <c r="AM56" s="126">
        <f>SET!$AJ56</f>
        <v/>
      </c>
      <c r="AN56" s="126">
        <f>OUT!$AJ56</f>
        <v/>
      </c>
      <c r="AO56" s="126">
        <f>NOV!$AJ56</f>
        <v/>
      </c>
      <c r="AP56" s="126">
        <f>DEZ!$AJ56</f>
        <v/>
      </c>
      <c r="AQ56" s="127">
        <f>SUM(AE56:AP56)</f>
        <v/>
      </c>
      <c r="AS56" s="126">
        <f>JAN!$AK56</f>
        <v/>
      </c>
      <c r="AT56" s="126">
        <f>FEV!$AK56</f>
        <v/>
      </c>
      <c r="AU56" s="126">
        <f>MAR!$AK56</f>
        <v/>
      </c>
      <c r="AV56" s="126">
        <f>ABR!$AK56</f>
        <v/>
      </c>
      <c r="AW56" s="126">
        <f>MAI!$AK56</f>
        <v/>
      </c>
      <c r="AX56" s="126">
        <f>JUN!$AK56</f>
        <v/>
      </c>
      <c r="AY56" s="126">
        <f>JUL!$AK56</f>
        <v/>
      </c>
      <c r="AZ56" s="126">
        <f>AGO!$AK56</f>
        <v/>
      </c>
      <c r="BA56" s="126">
        <f>SET!$AK56</f>
        <v/>
      </c>
      <c r="BB56" s="126">
        <f>OUT!$AK56</f>
        <v/>
      </c>
      <c r="BC56" s="126">
        <f>NOV!$AK56</f>
        <v/>
      </c>
      <c r="BD56" s="126">
        <f>DEZ!$AK56</f>
        <v/>
      </c>
      <c r="BE56" s="127">
        <f>SUM(AS56:BD56)</f>
        <v/>
      </c>
      <c r="BG56" s="93" t="n">
        <v>4</v>
      </c>
      <c r="BH56" s="107">
        <f>SUM(AE56:AP56)</f>
        <v/>
      </c>
      <c r="BI56" s="128">
        <f>IF(BG56="","",IF(BG56=BH56,"","⚠"))</f>
        <v/>
      </c>
    </row>
    <row r="57">
      <c r="A57" s="81" t="inlineStr">
        <is>
          <t>LuCosta</t>
        </is>
      </c>
      <c r="B57" s="125">
        <f>CADASTRO!$C53</f>
        <v/>
      </c>
      <c r="C57" s="126">
        <f>JAN!$AM57</f>
        <v/>
      </c>
      <c r="D57" s="126">
        <f>FEV!$AM57</f>
        <v/>
      </c>
      <c r="E57" s="126">
        <f>MAR!$AM57</f>
        <v/>
      </c>
      <c r="F57" s="126">
        <f>ABR!$AM57</f>
        <v/>
      </c>
      <c r="G57" s="126">
        <f>MAI!$AM57</f>
        <v/>
      </c>
      <c r="H57" s="126">
        <f>JUN!$AM57</f>
        <v/>
      </c>
      <c r="I57" s="126">
        <f>JUL!$AM57</f>
        <v/>
      </c>
      <c r="J57" s="126">
        <f>AGO!$AM57</f>
        <v/>
      </c>
      <c r="K57" s="126">
        <f>SET!$AM57</f>
        <v/>
      </c>
      <c r="L57" s="126">
        <f>OUT!$AM57</f>
        <v/>
      </c>
      <c r="M57" s="126">
        <f>NOV!$AM57</f>
        <v/>
      </c>
      <c r="N57" s="126">
        <f>DEZ!$AM57</f>
        <v/>
      </c>
      <c r="O57" s="127">
        <f>SUM(C57:N57)</f>
        <v/>
      </c>
      <c r="Q57" s="126">
        <f>JAN!$AI57</f>
        <v/>
      </c>
      <c r="R57" s="126">
        <f>FEV!$AI57</f>
        <v/>
      </c>
      <c r="S57" s="126">
        <f>MAR!$AI57</f>
        <v/>
      </c>
      <c r="T57" s="126">
        <f>ABR!$AI57</f>
        <v/>
      </c>
      <c r="U57" s="126">
        <f>MAI!$AI57</f>
        <v/>
      </c>
      <c r="V57" s="126">
        <f>JUN!$AI57</f>
        <v/>
      </c>
      <c r="W57" s="126">
        <f>JUL!$AI57</f>
        <v/>
      </c>
      <c r="X57" s="126">
        <f>AGO!$AI57</f>
        <v/>
      </c>
      <c r="Y57" s="126">
        <f>SET!$AI57</f>
        <v/>
      </c>
      <c r="Z57" s="126">
        <f>OUT!$AI57</f>
        <v/>
      </c>
      <c r="AA57" s="126">
        <f>NOV!$AI57</f>
        <v/>
      </c>
      <c r="AB57" s="126">
        <f>DEZ!$AI57</f>
        <v/>
      </c>
      <c r="AC57" s="127">
        <f>SUM(Q57:AB57)</f>
        <v/>
      </c>
      <c r="AE57" s="126">
        <f>JAN!$AJ57</f>
        <v/>
      </c>
      <c r="AF57" s="126">
        <f>FEV!$AJ57</f>
        <v/>
      </c>
      <c r="AG57" s="126">
        <f>MAR!$AJ57</f>
        <v/>
      </c>
      <c r="AH57" s="126">
        <f>ABR!$AJ57</f>
        <v/>
      </c>
      <c r="AI57" s="126">
        <f>MAI!$AJ57</f>
        <v/>
      </c>
      <c r="AJ57" s="126">
        <f>JUN!$AJ57</f>
        <v/>
      </c>
      <c r="AK57" s="126">
        <f>JUL!$AJ57</f>
        <v/>
      </c>
      <c r="AL57" s="126">
        <f>AGO!$AJ57</f>
        <v/>
      </c>
      <c r="AM57" s="126">
        <f>SET!$AJ57</f>
        <v/>
      </c>
      <c r="AN57" s="126">
        <f>OUT!$AJ57</f>
        <v/>
      </c>
      <c r="AO57" s="126">
        <f>NOV!$AJ57</f>
        <v/>
      </c>
      <c r="AP57" s="126">
        <f>DEZ!$AJ57</f>
        <v/>
      </c>
      <c r="AQ57" s="127">
        <f>SUM(AE57:AP57)</f>
        <v/>
      </c>
      <c r="AS57" s="126">
        <f>JAN!$AK57</f>
        <v/>
      </c>
      <c r="AT57" s="126">
        <f>FEV!$AK57</f>
        <v/>
      </c>
      <c r="AU57" s="126">
        <f>MAR!$AK57</f>
        <v/>
      </c>
      <c r="AV57" s="126">
        <f>ABR!$AK57</f>
        <v/>
      </c>
      <c r="AW57" s="126">
        <f>MAI!$AK57</f>
        <v/>
      </c>
      <c r="AX57" s="126">
        <f>JUN!$AK57</f>
        <v/>
      </c>
      <c r="AY57" s="126">
        <f>JUL!$AK57</f>
        <v/>
      </c>
      <c r="AZ57" s="126">
        <f>AGO!$AK57</f>
        <v/>
      </c>
      <c r="BA57" s="126">
        <f>SET!$AK57</f>
        <v/>
      </c>
      <c r="BB57" s="126">
        <f>OUT!$AK57</f>
        <v/>
      </c>
      <c r="BC57" s="126">
        <f>NOV!$AK57</f>
        <v/>
      </c>
      <c r="BD57" s="126">
        <f>DEZ!$AK57</f>
        <v/>
      </c>
      <c r="BE57" s="127">
        <f>SUM(AS57:BD57)</f>
        <v/>
      </c>
      <c r="BG57" s="93" t="n">
        <v>4</v>
      </c>
      <c r="BH57" s="107">
        <f>SUM(AE57:AP57)</f>
        <v/>
      </c>
      <c r="BI57" s="128">
        <f>IF(BG57="","",IF(BG57=BH57,"","⚠"))</f>
        <v/>
      </c>
    </row>
    <row r="58">
      <c r="A58" s="81" t="inlineStr">
        <is>
          <t>Marcia</t>
        </is>
      </c>
      <c r="B58" s="125">
        <f>CADASTRO!$C54</f>
        <v/>
      </c>
      <c r="C58" s="126">
        <f>JAN!$AM58</f>
        <v/>
      </c>
      <c r="D58" s="126">
        <f>FEV!$AM58</f>
        <v/>
      </c>
      <c r="E58" s="126">
        <f>MAR!$AM58</f>
        <v/>
      </c>
      <c r="F58" s="126">
        <f>ABR!$AM58</f>
        <v/>
      </c>
      <c r="G58" s="126">
        <f>MAI!$AM58</f>
        <v/>
      </c>
      <c r="H58" s="126">
        <f>JUN!$AM58</f>
        <v/>
      </c>
      <c r="I58" s="126">
        <f>JUL!$AM58</f>
        <v/>
      </c>
      <c r="J58" s="126">
        <f>AGO!$AM58</f>
        <v/>
      </c>
      <c r="K58" s="126">
        <f>SET!$AM58</f>
        <v/>
      </c>
      <c r="L58" s="126">
        <f>OUT!$AM58</f>
        <v/>
      </c>
      <c r="M58" s="126">
        <f>NOV!$AM58</f>
        <v/>
      </c>
      <c r="N58" s="126">
        <f>DEZ!$AM58</f>
        <v/>
      </c>
      <c r="O58" s="127">
        <f>SUM(C58:N58)</f>
        <v/>
      </c>
      <c r="Q58" s="126">
        <f>JAN!$AI58</f>
        <v/>
      </c>
      <c r="R58" s="126">
        <f>FEV!$AI58</f>
        <v/>
      </c>
      <c r="S58" s="126">
        <f>MAR!$AI58</f>
        <v/>
      </c>
      <c r="T58" s="126">
        <f>ABR!$AI58</f>
        <v/>
      </c>
      <c r="U58" s="126">
        <f>MAI!$AI58</f>
        <v/>
      </c>
      <c r="V58" s="126">
        <f>JUN!$AI58</f>
        <v/>
      </c>
      <c r="W58" s="126">
        <f>JUL!$AI58</f>
        <v/>
      </c>
      <c r="X58" s="126">
        <f>AGO!$AI58</f>
        <v/>
      </c>
      <c r="Y58" s="126">
        <f>SET!$AI58</f>
        <v/>
      </c>
      <c r="Z58" s="126">
        <f>OUT!$AI58</f>
        <v/>
      </c>
      <c r="AA58" s="126">
        <f>NOV!$AI58</f>
        <v/>
      </c>
      <c r="AB58" s="126">
        <f>DEZ!$AI58</f>
        <v/>
      </c>
      <c r="AC58" s="127">
        <f>SUM(Q58:AB58)</f>
        <v/>
      </c>
      <c r="AE58" s="126">
        <f>JAN!$AJ58</f>
        <v/>
      </c>
      <c r="AF58" s="126">
        <f>FEV!$AJ58</f>
        <v/>
      </c>
      <c r="AG58" s="126">
        <f>MAR!$AJ58</f>
        <v/>
      </c>
      <c r="AH58" s="126">
        <f>ABR!$AJ58</f>
        <v/>
      </c>
      <c r="AI58" s="126">
        <f>MAI!$AJ58</f>
        <v/>
      </c>
      <c r="AJ58" s="126">
        <f>JUN!$AJ58</f>
        <v/>
      </c>
      <c r="AK58" s="126">
        <f>JUL!$AJ58</f>
        <v/>
      </c>
      <c r="AL58" s="126">
        <f>AGO!$AJ58</f>
        <v/>
      </c>
      <c r="AM58" s="126">
        <f>SET!$AJ58</f>
        <v/>
      </c>
      <c r="AN58" s="126">
        <f>OUT!$AJ58</f>
        <v/>
      </c>
      <c r="AO58" s="126">
        <f>NOV!$AJ58</f>
        <v/>
      </c>
      <c r="AP58" s="126">
        <f>DEZ!$AJ58</f>
        <v/>
      </c>
      <c r="AQ58" s="127">
        <f>SUM(AE58:AP58)</f>
        <v/>
      </c>
      <c r="AS58" s="126">
        <f>JAN!$AK58</f>
        <v/>
      </c>
      <c r="AT58" s="126">
        <f>FEV!$AK58</f>
        <v/>
      </c>
      <c r="AU58" s="126">
        <f>MAR!$AK58</f>
        <v/>
      </c>
      <c r="AV58" s="126">
        <f>ABR!$AK58</f>
        <v/>
      </c>
      <c r="AW58" s="126">
        <f>MAI!$AK58</f>
        <v/>
      </c>
      <c r="AX58" s="126">
        <f>JUN!$AK58</f>
        <v/>
      </c>
      <c r="AY58" s="126">
        <f>JUL!$AK58</f>
        <v/>
      </c>
      <c r="AZ58" s="126">
        <f>AGO!$AK58</f>
        <v/>
      </c>
      <c r="BA58" s="126">
        <f>SET!$AK58</f>
        <v/>
      </c>
      <c r="BB58" s="126">
        <f>OUT!$AK58</f>
        <v/>
      </c>
      <c r="BC58" s="126">
        <f>NOV!$AK58</f>
        <v/>
      </c>
      <c r="BD58" s="126">
        <f>DEZ!$AK58</f>
        <v/>
      </c>
      <c r="BE58" s="127">
        <f>SUM(AS58:BD58)</f>
        <v/>
      </c>
      <c r="BG58" s="93" t="n">
        <v>1</v>
      </c>
      <c r="BH58" s="107">
        <f>SUM(AE58:AP58)</f>
        <v/>
      </c>
      <c r="BI58" s="128">
        <f>IF(BG58="","",IF(BG58=BH58,"","⚠"))</f>
        <v/>
      </c>
    </row>
    <row r="59">
      <c r="A59" s="81" t="inlineStr">
        <is>
          <t>MayWobido</t>
        </is>
      </c>
      <c r="B59" s="125">
        <f>CADASTRO!$C55</f>
        <v/>
      </c>
      <c r="C59" s="126">
        <f>JAN!$AM59</f>
        <v/>
      </c>
      <c r="D59" s="126">
        <f>FEV!$AM59</f>
        <v/>
      </c>
      <c r="E59" s="126">
        <f>MAR!$AM59</f>
        <v/>
      </c>
      <c r="F59" s="126">
        <f>ABR!$AM59</f>
        <v/>
      </c>
      <c r="G59" s="126">
        <f>MAI!$AM59</f>
        <v/>
      </c>
      <c r="H59" s="126">
        <f>JUN!$AM59</f>
        <v/>
      </c>
      <c r="I59" s="126">
        <f>JUL!$AM59</f>
        <v/>
      </c>
      <c r="J59" s="126">
        <f>AGO!$AM59</f>
        <v/>
      </c>
      <c r="K59" s="126">
        <f>SET!$AM59</f>
        <v/>
      </c>
      <c r="L59" s="126">
        <f>OUT!$AM59</f>
        <v/>
      </c>
      <c r="M59" s="126">
        <f>NOV!$AM59</f>
        <v/>
      </c>
      <c r="N59" s="126">
        <f>DEZ!$AM59</f>
        <v/>
      </c>
      <c r="O59" s="127">
        <f>SUM(C59:N59)</f>
        <v/>
      </c>
      <c r="Q59" s="126">
        <f>JAN!$AI59</f>
        <v/>
      </c>
      <c r="R59" s="126">
        <f>FEV!$AI59</f>
        <v/>
      </c>
      <c r="S59" s="126">
        <f>MAR!$AI59</f>
        <v/>
      </c>
      <c r="T59" s="126">
        <f>ABR!$AI59</f>
        <v/>
      </c>
      <c r="U59" s="126">
        <f>MAI!$AI59</f>
        <v/>
      </c>
      <c r="V59" s="126">
        <f>JUN!$AI59</f>
        <v/>
      </c>
      <c r="W59" s="126">
        <f>JUL!$AI59</f>
        <v/>
      </c>
      <c r="X59" s="126">
        <f>AGO!$AI59</f>
        <v/>
      </c>
      <c r="Y59" s="126">
        <f>SET!$AI59</f>
        <v/>
      </c>
      <c r="Z59" s="126">
        <f>OUT!$AI59</f>
        <v/>
      </c>
      <c r="AA59" s="126">
        <f>NOV!$AI59</f>
        <v/>
      </c>
      <c r="AB59" s="126">
        <f>DEZ!$AI59</f>
        <v/>
      </c>
      <c r="AC59" s="127">
        <f>SUM(Q59:AB59)</f>
        <v/>
      </c>
      <c r="AE59" s="126">
        <f>JAN!$AJ59</f>
        <v/>
      </c>
      <c r="AF59" s="126">
        <f>FEV!$AJ59</f>
        <v/>
      </c>
      <c r="AG59" s="126">
        <f>MAR!$AJ59</f>
        <v/>
      </c>
      <c r="AH59" s="126">
        <f>ABR!$AJ59</f>
        <v/>
      </c>
      <c r="AI59" s="126">
        <f>MAI!$AJ59</f>
        <v/>
      </c>
      <c r="AJ59" s="126">
        <f>JUN!$AJ59</f>
        <v/>
      </c>
      <c r="AK59" s="126">
        <f>JUL!$AJ59</f>
        <v/>
      </c>
      <c r="AL59" s="126">
        <f>AGO!$AJ59</f>
        <v/>
      </c>
      <c r="AM59" s="126">
        <f>SET!$AJ59</f>
        <v/>
      </c>
      <c r="AN59" s="126">
        <f>OUT!$AJ59</f>
        <v/>
      </c>
      <c r="AO59" s="126">
        <f>NOV!$AJ59</f>
        <v/>
      </c>
      <c r="AP59" s="126">
        <f>DEZ!$AJ59</f>
        <v/>
      </c>
      <c r="AQ59" s="127">
        <f>SUM(AE59:AP59)</f>
        <v/>
      </c>
      <c r="AS59" s="126">
        <f>JAN!$AK59</f>
        <v/>
      </c>
      <c r="AT59" s="126">
        <f>FEV!$AK59</f>
        <v/>
      </c>
      <c r="AU59" s="126">
        <f>MAR!$AK59</f>
        <v/>
      </c>
      <c r="AV59" s="126">
        <f>ABR!$AK59</f>
        <v/>
      </c>
      <c r="AW59" s="126">
        <f>MAI!$AK59</f>
        <v/>
      </c>
      <c r="AX59" s="126">
        <f>JUN!$AK59</f>
        <v/>
      </c>
      <c r="AY59" s="126">
        <f>JUL!$AK59</f>
        <v/>
      </c>
      <c r="AZ59" s="126">
        <f>AGO!$AK59</f>
        <v/>
      </c>
      <c r="BA59" s="126">
        <f>SET!$AK59</f>
        <v/>
      </c>
      <c r="BB59" s="126">
        <f>OUT!$AK59</f>
        <v/>
      </c>
      <c r="BC59" s="126">
        <f>NOV!$AK59</f>
        <v/>
      </c>
      <c r="BD59" s="126">
        <f>DEZ!$AK59</f>
        <v/>
      </c>
      <c r="BE59" s="127">
        <f>SUM(AS59:BD59)</f>
        <v/>
      </c>
      <c r="BG59" s="93" t="n">
        <v>5</v>
      </c>
      <c r="BH59" s="107">
        <f>SUM(AE59:AP59)</f>
        <v/>
      </c>
      <c r="BI59" s="128">
        <f>IF(BG59="","",IF(BG59=BH59,"","⚠"))</f>
        <v/>
      </c>
    </row>
    <row r="60">
      <c r="A60" s="81" t="inlineStr">
        <is>
          <t>Melara</t>
        </is>
      </c>
      <c r="B60" s="125">
        <f>CADASTRO!$C56</f>
        <v/>
      </c>
      <c r="C60" s="126">
        <f>JAN!$AM60</f>
        <v/>
      </c>
      <c r="D60" s="126">
        <f>FEV!$AM60</f>
        <v/>
      </c>
      <c r="E60" s="126">
        <f>MAR!$AM60</f>
        <v/>
      </c>
      <c r="F60" s="126">
        <f>ABR!$AM60</f>
        <v/>
      </c>
      <c r="G60" s="126">
        <f>MAI!$AM60</f>
        <v/>
      </c>
      <c r="H60" s="126">
        <f>JUN!$AM60</f>
        <v/>
      </c>
      <c r="I60" s="126">
        <f>JUL!$AM60</f>
        <v/>
      </c>
      <c r="J60" s="126">
        <f>AGO!$AM60</f>
        <v/>
      </c>
      <c r="K60" s="126">
        <f>SET!$AM60</f>
        <v/>
      </c>
      <c r="L60" s="126">
        <f>OUT!$AM60</f>
        <v/>
      </c>
      <c r="M60" s="126">
        <f>NOV!$AM60</f>
        <v/>
      </c>
      <c r="N60" s="126">
        <f>DEZ!$AM60</f>
        <v/>
      </c>
      <c r="O60" s="127">
        <f>SUM(C60:N60)</f>
        <v/>
      </c>
      <c r="Q60" s="126">
        <f>JAN!$AI60</f>
        <v/>
      </c>
      <c r="R60" s="126">
        <f>FEV!$AI60</f>
        <v/>
      </c>
      <c r="S60" s="126">
        <f>MAR!$AI60</f>
        <v/>
      </c>
      <c r="T60" s="126">
        <f>ABR!$AI60</f>
        <v/>
      </c>
      <c r="U60" s="126">
        <f>MAI!$AI60</f>
        <v/>
      </c>
      <c r="V60" s="126">
        <f>JUN!$AI60</f>
        <v/>
      </c>
      <c r="W60" s="126">
        <f>JUL!$AI60</f>
        <v/>
      </c>
      <c r="X60" s="126">
        <f>AGO!$AI60</f>
        <v/>
      </c>
      <c r="Y60" s="126">
        <f>SET!$AI60</f>
        <v/>
      </c>
      <c r="Z60" s="126">
        <f>OUT!$AI60</f>
        <v/>
      </c>
      <c r="AA60" s="126">
        <f>NOV!$AI60</f>
        <v/>
      </c>
      <c r="AB60" s="126">
        <f>DEZ!$AI60</f>
        <v/>
      </c>
      <c r="AC60" s="127">
        <f>SUM(Q60:AB60)</f>
        <v/>
      </c>
      <c r="AE60" s="126">
        <f>JAN!$AJ60</f>
        <v/>
      </c>
      <c r="AF60" s="126">
        <f>FEV!$AJ60</f>
        <v/>
      </c>
      <c r="AG60" s="126">
        <f>MAR!$AJ60</f>
        <v/>
      </c>
      <c r="AH60" s="126">
        <f>ABR!$AJ60</f>
        <v/>
      </c>
      <c r="AI60" s="126">
        <f>MAI!$AJ60</f>
        <v/>
      </c>
      <c r="AJ60" s="126">
        <f>JUN!$AJ60</f>
        <v/>
      </c>
      <c r="AK60" s="126">
        <f>JUL!$AJ60</f>
        <v/>
      </c>
      <c r="AL60" s="126">
        <f>AGO!$AJ60</f>
        <v/>
      </c>
      <c r="AM60" s="126">
        <f>SET!$AJ60</f>
        <v/>
      </c>
      <c r="AN60" s="126">
        <f>OUT!$AJ60</f>
        <v/>
      </c>
      <c r="AO60" s="126">
        <f>NOV!$AJ60</f>
        <v/>
      </c>
      <c r="AP60" s="126">
        <f>DEZ!$AJ60</f>
        <v/>
      </c>
      <c r="AQ60" s="127">
        <f>SUM(AE60:AP60)</f>
        <v/>
      </c>
      <c r="AS60" s="126">
        <f>JAN!$AK60</f>
        <v/>
      </c>
      <c r="AT60" s="126">
        <f>FEV!$AK60</f>
        <v/>
      </c>
      <c r="AU60" s="126">
        <f>MAR!$AK60</f>
        <v/>
      </c>
      <c r="AV60" s="126">
        <f>ABR!$AK60</f>
        <v/>
      </c>
      <c r="AW60" s="126">
        <f>MAI!$AK60</f>
        <v/>
      </c>
      <c r="AX60" s="126">
        <f>JUN!$AK60</f>
        <v/>
      </c>
      <c r="AY60" s="126">
        <f>JUL!$AK60</f>
        <v/>
      </c>
      <c r="AZ60" s="126">
        <f>AGO!$AK60</f>
        <v/>
      </c>
      <c r="BA60" s="126">
        <f>SET!$AK60</f>
        <v/>
      </c>
      <c r="BB60" s="126">
        <f>OUT!$AK60</f>
        <v/>
      </c>
      <c r="BC60" s="126">
        <f>NOV!$AK60</f>
        <v/>
      </c>
      <c r="BD60" s="126">
        <f>DEZ!$AK60</f>
        <v/>
      </c>
      <c r="BE60" s="127">
        <f>SUM(AS60:BD60)</f>
        <v/>
      </c>
      <c r="BG60" s="93" t="n">
        <v>10</v>
      </c>
      <c r="BH60" s="107">
        <f>SUM(AE60:AP60)</f>
        <v/>
      </c>
      <c r="BI60" s="128">
        <f>IF(BG60="","",IF(BG60=BH60,"","⚠"))</f>
        <v/>
      </c>
    </row>
    <row r="61">
      <c r="A61" s="81" t="inlineStr">
        <is>
          <t>Moabe</t>
        </is>
      </c>
      <c r="B61" s="125">
        <f>CADASTRO!$C57</f>
        <v/>
      </c>
      <c r="C61" s="126">
        <f>JAN!$AM61</f>
        <v/>
      </c>
      <c r="D61" s="126">
        <f>FEV!$AM61</f>
        <v/>
      </c>
      <c r="E61" s="126">
        <f>MAR!$AM61</f>
        <v/>
      </c>
      <c r="F61" s="126">
        <f>ABR!$AM61</f>
        <v/>
      </c>
      <c r="G61" s="126">
        <f>MAI!$AM61</f>
        <v/>
      </c>
      <c r="H61" s="126">
        <f>JUN!$AM61</f>
        <v/>
      </c>
      <c r="I61" s="126">
        <f>JUL!$AM61</f>
        <v/>
      </c>
      <c r="J61" s="126">
        <f>AGO!$AM61</f>
        <v/>
      </c>
      <c r="K61" s="126">
        <f>SET!$AM61</f>
        <v/>
      </c>
      <c r="L61" s="126">
        <f>OUT!$AM61</f>
        <v/>
      </c>
      <c r="M61" s="126">
        <f>NOV!$AM61</f>
        <v/>
      </c>
      <c r="N61" s="126">
        <f>DEZ!$AM61</f>
        <v/>
      </c>
      <c r="O61" s="127">
        <f>SUM(C61:N61)</f>
        <v/>
      </c>
      <c r="Q61" s="126">
        <f>JAN!$AI61</f>
        <v/>
      </c>
      <c r="R61" s="126">
        <f>FEV!$AI61</f>
        <v/>
      </c>
      <c r="S61" s="126">
        <f>MAR!$AI61</f>
        <v/>
      </c>
      <c r="T61" s="126">
        <f>ABR!$AI61</f>
        <v/>
      </c>
      <c r="U61" s="126">
        <f>MAI!$AI61</f>
        <v/>
      </c>
      <c r="V61" s="126">
        <f>JUN!$AI61</f>
        <v/>
      </c>
      <c r="W61" s="126">
        <f>JUL!$AI61</f>
        <v/>
      </c>
      <c r="X61" s="126">
        <f>AGO!$AI61</f>
        <v/>
      </c>
      <c r="Y61" s="126">
        <f>SET!$AI61</f>
        <v/>
      </c>
      <c r="Z61" s="126">
        <f>OUT!$AI61</f>
        <v/>
      </c>
      <c r="AA61" s="126">
        <f>NOV!$AI61</f>
        <v/>
      </c>
      <c r="AB61" s="126">
        <f>DEZ!$AI61</f>
        <v/>
      </c>
      <c r="AC61" s="127">
        <f>SUM(Q61:AB61)</f>
        <v/>
      </c>
      <c r="AE61" s="126">
        <f>JAN!$AJ61</f>
        <v/>
      </c>
      <c r="AF61" s="126">
        <f>FEV!$AJ61</f>
        <v/>
      </c>
      <c r="AG61" s="126">
        <f>MAR!$AJ61</f>
        <v/>
      </c>
      <c r="AH61" s="126">
        <f>ABR!$AJ61</f>
        <v/>
      </c>
      <c r="AI61" s="126">
        <f>MAI!$AJ61</f>
        <v/>
      </c>
      <c r="AJ61" s="126">
        <f>JUN!$AJ61</f>
        <v/>
      </c>
      <c r="AK61" s="126">
        <f>JUL!$AJ61</f>
        <v/>
      </c>
      <c r="AL61" s="126">
        <f>AGO!$AJ61</f>
        <v/>
      </c>
      <c r="AM61" s="126">
        <f>SET!$AJ61</f>
        <v/>
      </c>
      <c r="AN61" s="126">
        <f>OUT!$AJ61</f>
        <v/>
      </c>
      <c r="AO61" s="126">
        <f>NOV!$AJ61</f>
        <v/>
      </c>
      <c r="AP61" s="126">
        <f>DEZ!$AJ61</f>
        <v/>
      </c>
      <c r="AQ61" s="127">
        <f>SUM(AE61:AP61)</f>
        <v/>
      </c>
      <c r="AS61" s="126">
        <f>JAN!$AK61</f>
        <v/>
      </c>
      <c r="AT61" s="126">
        <f>FEV!$AK61</f>
        <v/>
      </c>
      <c r="AU61" s="126">
        <f>MAR!$AK61</f>
        <v/>
      </c>
      <c r="AV61" s="126">
        <f>ABR!$AK61</f>
        <v/>
      </c>
      <c r="AW61" s="126">
        <f>MAI!$AK61</f>
        <v/>
      </c>
      <c r="AX61" s="126">
        <f>JUN!$AK61</f>
        <v/>
      </c>
      <c r="AY61" s="126">
        <f>JUL!$AK61</f>
        <v/>
      </c>
      <c r="AZ61" s="126">
        <f>AGO!$AK61</f>
        <v/>
      </c>
      <c r="BA61" s="126">
        <f>SET!$AK61</f>
        <v/>
      </c>
      <c r="BB61" s="126">
        <f>OUT!$AK61</f>
        <v/>
      </c>
      <c r="BC61" s="126">
        <f>NOV!$AK61</f>
        <v/>
      </c>
      <c r="BD61" s="126">
        <f>DEZ!$AK61</f>
        <v/>
      </c>
      <c r="BE61" s="127">
        <f>SUM(AS61:BD61)</f>
        <v/>
      </c>
      <c r="BG61" s="93" t="n">
        <v>4</v>
      </c>
      <c r="BH61" s="107">
        <f>SUM(AE61:AP61)</f>
        <v/>
      </c>
      <c r="BI61" s="128">
        <f>IF(BG61="","",IF(BG61=BH61,"","⚠"))</f>
        <v/>
      </c>
    </row>
    <row r="62">
      <c r="A62" s="81" t="inlineStr">
        <is>
          <t>Nishioka</t>
        </is>
      </c>
      <c r="B62" s="125">
        <f>CADASTRO!$C58</f>
        <v/>
      </c>
      <c r="C62" s="126">
        <f>JAN!$AM62</f>
        <v/>
      </c>
      <c r="D62" s="126">
        <f>FEV!$AM62</f>
        <v/>
      </c>
      <c r="E62" s="126">
        <f>MAR!$AM62</f>
        <v/>
      </c>
      <c r="F62" s="126">
        <f>ABR!$AM62</f>
        <v/>
      </c>
      <c r="G62" s="126">
        <f>MAI!$AM62</f>
        <v/>
      </c>
      <c r="H62" s="126">
        <f>JUN!$AM62</f>
        <v/>
      </c>
      <c r="I62" s="126">
        <f>JUL!$AM62</f>
        <v/>
      </c>
      <c r="J62" s="126">
        <f>AGO!$AM62</f>
        <v/>
      </c>
      <c r="K62" s="126">
        <f>SET!$AM62</f>
        <v/>
      </c>
      <c r="L62" s="126">
        <f>OUT!$AM62</f>
        <v/>
      </c>
      <c r="M62" s="126">
        <f>NOV!$AM62</f>
        <v/>
      </c>
      <c r="N62" s="126">
        <f>DEZ!$AM62</f>
        <v/>
      </c>
      <c r="O62" s="127">
        <f>SUM(C62:N62)</f>
        <v/>
      </c>
      <c r="Q62" s="126">
        <f>JAN!$AI62</f>
        <v/>
      </c>
      <c r="R62" s="126">
        <f>FEV!$AI62</f>
        <v/>
      </c>
      <c r="S62" s="126">
        <f>MAR!$AI62</f>
        <v/>
      </c>
      <c r="T62" s="126">
        <f>ABR!$AI62</f>
        <v/>
      </c>
      <c r="U62" s="126">
        <f>MAI!$AI62</f>
        <v/>
      </c>
      <c r="V62" s="126">
        <f>JUN!$AI62</f>
        <v/>
      </c>
      <c r="W62" s="126">
        <f>JUL!$AI62</f>
        <v/>
      </c>
      <c r="X62" s="126">
        <f>AGO!$AI62</f>
        <v/>
      </c>
      <c r="Y62" s="126">
        <f>SET!$AI62</f>
        <v/>
      </c>
      <c r="Z62" s="126">
        <f>OUT!$AI62</f>
        <v/>
      </c>
      <c r="AA62" s="126">
        <f>NOV!$AI62</f>
        <v/>
      </c>
      <c r="AB62" s="126">
        <f>DEZ!$AI62</f>
        <v/>
      </c>
      <c r="AC62" s="127">
        <f>SUM(Q62:AB62)</f>
        <v/>
      </c>
      <c r="AE62" s="126">
        <f>JAN!$AJ62</f>
        <v/>
      </c>
      <c r="AF62" s="126">
        <f>FEV!$AJ62</f>
        <v/>
      </c>
      <c r="AG62" s="126">
        <f>MAR!$AJ62</f>
        <v/>
      </c>
      <c r="AH62" s="126">
        <f>ABR!$AJ62</f>
        <v/>
      </c>
      <c r="AI62" s="126">
        <f>MAI!$AJ62</f>
        <v/>
      </c>
      <c r="AJ62" s="126">
        <f>JUN!$AJ62</f>
        <v/>
      </c>
      <c r="AK62" s="126">
        <f>JUL!$AJ62</f>
        <v/>
      </c>
      <c r="AL62" s="126">
        <f>AGO!$AJ62</f>
        <v/>
      </c>
      <c r="AM62" s="126">
        <f>SET!$AJ62</f>
        <v/>
      </c>
      <c r="AN62" s="126">
        <f>OUT!$AJ62</f>
        <v/>
      </c>
      <c r="AO62" s="126">
        <f>NOV!$AJ62</f>
        <v/>
      </c>
      <c r="AP62" s="126">
        <f>DEZ!$AJ62</f>
        <v/>
      </c>
      <c r="AQ62" s="127">
        <f>SUM(AE62:AP62)</f>
        <v/>
      </c>
      <c r="AS62" s="126">
        <f>JAN!$AK62</f>
        <v/>
      </c>
      <c r="AT62" s="126">
        <f>FEV!$AK62</f>
        <v/>
      </c>
      <c r="AU62" s="126">
        <f>MAR!$AK62</f>
        <v/>
      </c>
      <c r="AV62" s="126">
        <f>ABR!$AK62</f>
        <v/>
      </c>
      <c r="AW62" s="126">
        <f>MAI!$AK62</f>
        <v/>
      </c>
      <c r="AX62" s="126">
        <f>JUN!$AK62</f>
        <v/>
      </c>
      <c r="AY62" s="126">
        <f>JUL!$AK62</f>
        <v/>
      </c>
      <c r="AZ62" s="126">
        <f>AGO!$AK62</f>
        <v/>
      </c>
      <c r="BA62" s="126">
        <f>SET!$AK62</f>
        <v/>
      </c>
      <c r="BB62" s="126">
        <f>OUT!$AK62</f>
        <v/>
      </c>
      <c r="BC62" s="126">
        <f>NOV!$AK62</f>
        <v/>
      </c>
      <c r="BD62" s="126">
        <f>DEZ!$AK62</f>
        <v/>
      </c>
      <c r="BE62" s="127">
        <f>SUM(AS62:BD62)</f>
        <v/>
      </c>
      <c r="BG62" s="93" t="n">
        <v>5</v>
      </c>
      <c r="BH62" s="107">
        <f>SUM(AE62:AP62)</f>
        <v/>
      </c>
      <c r="BI62" s="128">
        <f>IF(BG62="","",IF(BG62=BH62,"","⚠"))</f>
        <v/>
      </c>
    </row>
    <row r="63">
      <c r="A63" s="81" t="inlineStr">
        <is>
          <t>Patricia</t>
        </is>
      </c>
      <c r="B63" s="125">
        <f>CADASTRO!$C59</f>
        <v/>
      </c>
      <c r="C63" s="126">
        <f>JAN!$AM63</f>
        <v/>
      </c>
      <c r="D63" s="126">
        <f>FEV!$AM63</f>
        <v/>
      </c>
      <c r="E63" s="126">
        <f>MAR!$AM63</f>
        <v/>
      </c>
      <c r="F63" s="126">
        <f>ABR!$AM63</f>
        <v/>
      </c>
      <c r="G63" s="126">
        <f>MAI!$AM63</f>
        <v/>
      </c>
      <c r="H63" s="126">
        <f>JUN!$AM63</f>
        <v/>
      </c>
      <c r="I63" s="126">
        <f>JUL!$AM63</f>
        <v/>
      </c>
      <c r="J63" s="126">
        <f>AGO!$AM63</f>
        <v/>
      </c>
      <c r="K63" s="126">
        <f>SET!$AM63</f>
        <v/>
      </c>
      <c r="L63" s="126">
        <f>OUT!$AM63</f>
        <v/>
      </c>
      <c r="M63" s="126">
        <f>NOV!$AM63</f>
        <v/>
      </c>
      <c r="N63" s="126">
        <f>DEZ!$AM63</f>
        <v/>
      </c>
      <c r="O63" s="127">
        <f>SUM(C63:N63)</f>
        <v/>
      </c>
      <c r="Q63" s="126">
        <f>JAN!$AI63</f>
        <v/>
      </c>
      <c r="R63" s="126">
        <f>FEV!$AI63</f>
        <v/>
      </c>
      <c r="S63" s="126">
        <f>MAR!$AI63</f>
        <v/>
      </c>
      <c r="T63" s="126">
        <f>ABR!$AI63</f>
        <v/>
      </c>
      <c r="U63" s="126">
        <f>MAI!$AI63</f>
        <v/>
      </c>
      <c r="V63" s="126">
        <f>JUN!$AI63</f>
        <v/>
      </c>
      <c r="W63" s="126">
        <f>JUL!$AI63</f>
        <v/>
      </c>
      <c r="X63" s="126">
        <f>AGO!$AI63</f>
        <v/>
      </c>
      <c r="Y63" s="126">
        <f>SET!$AI63</f>
        <v/>
      </c>
      <c r="Z63" s="126">
        <f>OUT!$AI63</f>
        <v/>
      </c>
      <c r="AA63" s="126">
        <f>NOV!$AI63</f>
        <v/>
      </c>
      <c r="AB63" s="126">
        <f>DEZ!$AI63</f>
        <v/>
      </c>
      <c r="AC63" s="127">
        <f>SUM(Q63:AB63)</f>
        <v/>
      </c>
      <c r="AE63" s="126">
        <f>JAN!$AJ63</f>
        <v/>
      </c>
      <c r="AF63" s="126">
        <f>FEV!$AJ63</f>
        <v/>
      </c>
      <c r="AG63" s="126">
        <f>MAR!$AJ63</f>
        <v/>
      </c>
      <c r="AH63" s="126">
        <f>ABR!$AJ63</f>
        <v/>
      </c>
      <c r="AI63" s="126">
        <f>MAI!$AJ63</f>
        <v/>
      </c>
      <c r="AJ63" s="126">
        <f>JUN!$AJ63</f>
        <v/>
      </c>
      <c r="AK63" s="126">
        <f>JUL!$AJ63</f>
        <v/>
      </c>
      <c r="AL63" s="126">
        <f>AGO!$AJ63</f>
        <v/>
      </c>
      <c r="AM63" s="126">
        <f>SET!$AJ63</f>
        <v/>
      </c>
      <c r="AN63" s="126">
        <f>OUT!$AJ63</f>
        <v/>
      </c>
      <c r="AO63" s="126">
        <f>NOV!$AJ63</f>
        <v/>
      </c>
      <c r="AP63" s="126">
        <f>DEZ!$AJ63</f>
        <v/>
      </c>
      <c r="AQ63" s="127">
        <f>SUM(AE63:AP63)</f>
        <v/>
      </c>
      <c r="AS63" s="126">
        <f>JAN!$AK63</f>
        <v/>
      </c>
      <c r="AT63" s="126">
        <f>FEV!$AK63</f>
        <v/>
      </c>
      <c r="AU63" s="126">
        <f>MAR!$AK63</f>
        <v/>
      </c>
      <c r="AV63" s="126">
        <f>ABR!$AK63</f>
        <v/>
      </c>
      <c r="AW63" s="126">
        <f>MAI!$AK63</f>
        <v/>
      </c>
      <c r="AX63" s="126">
        <f>JUN!$AK63</f>
        <v/>
      </c>
      <c r="AY63" s="126">
        <f>JUL!$AK63</f>
        <v/>
      </c>
      <c r="AZ63" s="126">
        <f>AGO!$AK63</f>
        <v/>
      </c>
      <c r="BA63" s="126">
        <f>SET!$AK63</f>
        <v/>
      </c>
      <c r="BB63" s="126">
        <f>OUT!$AK63</f>
        <v/>
      </c>
      <c r="BC63" s="126">
        <f>NOV!$AK63</f>
        <v/>
      </c>
      <c r="BD63" s="126">
        <f>DEZ!$AK63</f>
        <v/>
      </c>
      <c r="BE63" s="127">
        <f>SUM(AS63:BD63)</f>
        <v/>
      </c>
      <c r="BG63" s="93" t="n">
        <v>3</v>
      </c>
      <c r="BH63" s="107">
        <f>SUM(AE63:AP63)</f>
        <v/>
      </c>
      <c r="BI63" s="128">
        <f>IF(BG63="","",IF(BG63=BH63,"","⚠"))</f>
        <v/>
      </c>
    </row>
    <row r="64">
      <c r="A64" s="81" t="inlineStr">
        <is>
          <t>Pedro</t>
        </is>
      </c>
      <c r="B64" s="125">
        <f>CADASTRO!$C60</f>
        <v/>
      </c>
      <c r="C64" s="126">
        <f>JAN!$AM64</f>
        <v/>
      </c>
      <c r="D64" s="126">
        <f>FEV!$AM64</f>
        <v/>
      </c>
      <c r="E64" s="126">
        <f>MAR!$AM64</f>
        <v/>
      </c>
      <c r="F64" s="126">
        <f>ABR!$AM64</f>
        <v/>
      </c>
      <c r="G64" s="126">
        <f>MAI!$AM64</f>
        <v/>
      </c>
      <c r="H64" s="126">
        <f>JUN!$AM64</f>
        <v/>
      </c>
      <c r="I64" s="126">
        <f>JUL!$AM64</f>
        <v/>
      </c>
      <c r="J64" s="126">
        <f>AGO!$AM64</f>
        <v/>
      </c>
      <c r="K64" s="126">
        <f>SET!$AM64</f>
        <v/>
      </c>
      <c r="L64" s="126">
        <f>OUT!$AM64</f>
        <v/>
      </c>
      <c r="M64" s="126">
        <f>NOV!$AM64</f>
        <v/>
      </c>
      <c r="N64" s="126">
        <f>DEZ!$AM64</f>
        <v/>
      </c>
      <c r="O64" s="127">
        <f>SUM(C64:N64)</f>
        <v/>
      </c>
      <c r="Q64" s="126">
        <f>JAN!$AI64</f>
        <v/>
      </c>
      <c r="R64" s="126">
        <f>FEV!$AI64</f>
        <v/>
      </c>
      <c r="S64" s="126">
        <f>MAR!$AI64</f>
        <v/>
      </c>
      <c r="T64" s="126">
        <f>ABR!$AI64</f>
        <v/>
      </c>
      <c r="U64" s="126">
        <f>MAI!$AI64</f>
        <v/>
      </c>
      <c r="V64" s="126">
        <f>JUN!$AI64</f>
        <v/>
      </c>
      <c r="W64" s="126">
        <f>JUL!$AI64</f>
        <v/>
      </c>
      <c r="X64" s="126">
        <f>AGO!$AI64</f>
        <v/>
      </c>
      <c r="Y64" s="126">
        <f>SET!$AI64</f>
        <v/>
      </c>
      <c r="Z64" s="126">
        <f>OUT!$AI64</f>
        <v/>
      </c>
      <c r="AA64" s="126">
        <f>NOV!$AI64</f>
        <v/>
      </c>
      <c r="AB64" s="126">
        <f>DEZ!$AI64</f>
        <v/>
      </c>
      <c r="AC64" s="127">
        <f>SUM(Q64:AB64)</f>
        <v/>
      </c>
      <c r="AE64" s="126">
        <f>JAN!$AJ64</f>
        <v/>
      </c>
      <c r="AF64" s="126">
        <f>FEV!$AJ64</f>
        <v/>
      </c>
      <c r="AG64" s="126">
        <f>MAR!$AJ64</f>
        <v/>
      </c>
      <c r="AH64" s="126">
        <f>ABR!$AJ64</f>
        <v/>
      </c>
      <c r="AI64" s="126">
        <f>MAI!$AJ64</f>
        <v/>
      </c>
      <c r="AJ64" s="126">
        <f>JUN!$AJ64</f>
        <v/>
      </c>
      <c r="AK64" s="126">
        <f>JUL!$AJ64</f>
        <v/>
      </c>
      <c r="AL64" s="126">
        <f>AGO!$AJ64</f>
        <v/>
      </c>
      <c r="AM64" s="126">
        <f>SET!$AJ64</f>
        <v/>
      </c>
      <c r="AN64" s="126">
        <f>OUT!$AJ64</f>
        <v/>
      </c>
      <c r="AO64" s="126">
        <f>NOV!$AJ64</f>
        <v/>
      </c>
      <c r="AP64" s="126">
        <f>DEZ!$AJ64</f>
        <v/>
      </c>
      <c r="AQ64" s="127">
        <f>SUM(AE64:AP64)</f>
        <v/>
      </c>
      <c r="AS64" s="126">
        <f>JAN!$AK64</f>
        <v/>
      </c>
      <c r="AT64" s="126">
        <f>FEV!$AK64</f>
        <v/>
      </c>
      <c r="AU64" s="126">
        <f>MAR!$AK64</f>
        <v/>
      </c>
      <c r="AV64" s="126">
        <f>ABR!$AK64</f>
        <v/>
      </c>
      <c r="AW64" s="126">
        <f>MAI!$AK64</f>
        <v/>
      </c>
      <c r="AX64" s="126">
        <f>JUN!$AK64</f>
        <v/>
      </c>
      <c r="AY64" s="126">
        <f>JUL!$AK64</f>
        <v/>
      </c>
      <c r="AZ64" s="126">
        <f>AGO!$AK64</f>
        <v/>
      </c>
      <c r="BA64" s="126">
        <f>SET!$AK64</f>
        <v/>
      </c>
      <c r="BB64" s="126">
        <f>OUT!$AK64</f>
        <v/>
      </c>
      <c r="BC64" s="126">
        <f>NOV!$AK64</f>
        <v/>
      </c>
      <c r="BD64" s="126">
        <f>DEZ!$AK64</f>
        <v/>
      </c>
      <c r="BE64" s="127">
        <f>SUM(AS64:BD64)</f>
        <v/>
      </c>
      <c r="BG64" s="93" t="n">
        <v>5</v>
      </c>
      <c r="BH64" s="107">
        <f>SUM(AE64:AP64)</f>
        <v/>
      </c>
      <c r="BI64" s="128">
        <f>IF(BG64="","",IF(BG64=BH64,"","⚠"))</f>
        <v/>
      </c>
    </row>
    <row r="65">
      <c r="A65" s="81" t="inlineStr">
        <is>
          <t>Pjamile</t>
        </is>
      </c>
      <c r="B65" s="125">
        <f>CADASTRO!$C61</f>
        <v/>
      </c>
      <c r="C65" s="126">
        <f>JAN!$AM65</f>
        <v/>
      </c>
      <c r="D65" s="126">
        <f>FEV!$AM65</f>
        <v/>
      </c>
      <c r="E65" s="126">
        <f>MAR!$AM65</f>
        <v/>
      </c>
      <c r="F65" s="126">
        <f>ABR!$AM65</f>
        <v/>
      </c>
      <c r="G65" s="126">
        <f>MAI!$AM65</f>
        <v/>
      </c>
      <c r="H65" s="126">
        <f>JUN!$AM65</f>
        <v/>
      </c>
      <c r="I65" s="126">
        <f>JUL!$AM65</f>
        <v/>
      </c>
      <c r="J65" s="126">
        <f>AGO!$AM65</f>
        <v/>
      </c>
      <c r="K65" s="126">
        <f>SET!$AM65</f>
        <v/>
      </c>
      <c r="L65" s="126">
        <f>OUT!$AM65</f>
        <v/>
      </c>
      <c r="M65" s="126">
        <f>NOV!$AM65</f>
        <v/>
      </c>
      <c r="N65" s="126">
        <f>DEZ!$AM65</f>
        <v/>
      </c>
      <c r="O65" s="127">
        <f>SUM(C65:N65)</f>
        <v/>
      </c>
      <c r="Q65" s="126">
        <f>JAN!$AI65</f>
        <v/>
      </c>
      <c r="R65" s="126">
        <f>FEV!$AI65</f>
        <v/>
      </c>
      <c r="S65" s="126">
        <f>MAR!$AI65</f>
        <v/>
      </c>
      <c r="T65" s="126">
        <f>ABR!$AI65</f>
        <v/>
      </c>
      <c r="U65" s="126">
        <f>MAI!$AI65</f>
        <v/>
      </c>
      <c r="V65" s="126">
        <f>JUN!$AI65</f>
        <v/>
      </c>
      <c r="W65" s="126">
        <f>JUL!$AI65</f>
        <v/>
      </c>
      <c r="X65" s="126">
        <f>AGO!$AI65</f>
        <v/>
      </c>
      <c r="Y65" s="126">
        <f>SET!$AI65</f>
        <v/>
      </c>
      <c r="Z65" s="126">
        <f>OUT!$AI65</f>
        <v/>
      </c>
      <c r="AA65" s="126">
        <f>NOV!$AI65</f>
        <v/>
      </c>
      <c r="AB65" s="126">
        <f>DEZ!$AI65</f>
        <v/>
      </c>
      <c r="AC65" s="127">
        <f>SUM(Q65:AB65)</f>
        <v/>
      </c>
      <c r="AE65" s="126">
        <f>JAN!$AJ65</f>
        <v/>
      </c>
      <c r="AF65" s="126">
        <f>FEV!$AJ65</f>
        <v/>
      </c>
      <c r="AG65" s="126">
        <f>MAR!$AJ65</f>
        <v/>
      </c>
      <c r="AH65" s="126">
        <f>ABR!$AJ65</f>
        <v/>
      </c>
      <c r="AI65" s="126">
        <f>MAI!$AJ65</f>
        <v/>
      </c>
      <c r="AJ65" s="126">
        <f>JUN!$AJ65</f>
        <v/>
      </c>
      <c r="AK65" s="126">
        <f>JUL!$AJ65</f>
        <v/>
      </c>
      <c r="AL65" s="126">
        <f>AGO!$AJ65</f>
        <v/>
      </c>
      <c r="AM65" s="126">
        <f>SET!$AJ65</f>
        <v/>
      </c>
      <c r="AN65" s="126">
        <f>OUT!$AJ65</f>
        <v/>
      </c>
      <c r="AO65" s="126">
        <f>NOV!$AJ65</f>
        <v/>
      </c>
      <c r="AP65" s="126">
        <f>DEZ!$AJ65</f>
        <v/>
      </c>
      <c r="AQ65" s="127">
        <f>SUM(AE65:AP65)</f>
        <v/>
      </c>
      <c r="AS65" s="126">
        <f>JAN!$AK65</f>
        <v/>
      </c>
      <c r="AT65" s="126">
        <f>FEV!$AK65</f>
        <v/>
      </c>
      <c r="AU65" s="126">
        <f>MAR!$AK65</f>
        <v/>
      </c>
      <c r="AV65" s="126">
        <f>ABR!$AK65</f>
        <v/>
      </c>
      <c r="AW65" s="126">
        <f>MAI!$AK65</f>
        <v/>
      </c>
      <c r="AX65" s="126">
        <f>JUN!$AK65</f>
        <v/>
      </c>
      <c r="AY65" s="126">
        <f>JUL!$AK65</f>
        <v/>
      </c>
      <c r="AZ65" s="126">
        <f>AGO!$AK65</f>
        <v/>
      </c>
      <c r="BA65" s="126">
        <f>SET!$AK65</f>
        <v/>
      </c>
      <c r="BB65" s="126">
        <f>OUT!$AK65</f>
        <v/>
      </c>
      <c r="BC65" s="126">
        <f>NOV!$AK65</f>
        <v/>
      </c>
      <c r="BD65" s="126">
        <f>DEZ!$AK65</f>
        <v/>
      </c>
      <c r="BE65" s="127">
        <f>SUM(AS65:BD65)</f>
        <v/>
      </c>
      <c r="BG65" s="93" t="n">
        <v>2</v>
      </c>
      <c r="BH65" s="107">
        <f>SUM(AE65:AP65)</f>
        <v/>
      </c>
      <c r="BI65" s="128">
        <f>IF(BG65="","",IF(BG65=BH65,"","⚠"))</f>
        <v/>
      </c>
    </row>
    <row r="66">
      <c r="A66" s="81" t="inlineStr">
        <is>
          <t>Raphael</t>
        </is>
      </c>
      <c r="B66" s="125">
        <f>CADASTRO!$C62</f>
        <v/>
      </c>
      <c r="C66" s="126">
        <f>JAN!$AM66</f>
        <v/>
      </c>
      <c r="D66" s="126">
        <f>FEV!$AM66</f>
        <v/>
      </c>
      <c r="E66" s="126">
        <f>MAR!$AM66</f>
        <v/>
      </c>
      <c r="F66" s="126">
        <f>ABR!$AM66</f>
        <v/>
      </c>
      <c r="G66" s="126">
        <f>MAI!$AM66</f>
        <v/>
      </c>
      <c r="H66" s="126">
        <f>JUN!$AM66</f>
        <v/>
      </c>
      <c r="I66" s="126">
        <f>JUL!$AM66</f>
        <v/>
      </c>
      <c r="J66" s="126">
        <f>AGO!$AM66</f>
        <v/>
      </c>
      <c r="K66" s="126">
        <f>SET!$AM66</f>
        <v/>
      </c>
      <c r="L66" s="126">
        <f>OUT!$AM66</f>
        <v/>
      </c>
      <c r="M66" s="126">
        <f>NOV!$AM66</f>
        <v/>
      </c>
      <c r="N66" s="126">
        <f>DEZ!$AM66</f>
        <v/>
      </c>
      <c r="O66" s="127">
        <f>SUM(C66:N66)</f>
        <v/>
      </c>
      <c r="Q66" s="126">
        <f>JAN!$AI66</f>
        <v/>
      </c>
      <c r="R66" s="126">
        <f>FEV!$AI66</f>
        <v/>
      </c>
      <c r="S66" s="126">
        <f>MAR!$AI66</f>
        <v/>
      </c>
      <c r="T66" s="126">
        <f>ABR!$AI66</f>
        <v/>
      </c>
      <c r="U66" s="126">
        <f>MAI!$AI66</f>
        <v/>
      </c>
      <c r="V66" s="126">
        <f>JUN!$AI66</f>
        <v/>
      </c>
      <c r="W66" s="126">
        <f>JUL!$AI66</f>
        <v/>
      </c>
      <c r="X66" s="126">
        <f>AGO!$AI66</f>
        <v/>
      </c>
      <c r="Y66" s="126">
        <f>SET!$AI66</f>
        <v/>
      </c>
      <c r="Z66" s="126">
        <f>OUT!$AI66</f>
        <v/>
      </c>
      <c r="AA66" s="126">
        <f>NOV!$AI66</f>
        <v/>
      </c>
      <c r="AB66" s="126">
        <f>DEZ!$AI66</f>
        <v/>
      </c>
      <c r="AC66" s="127">
        <f>SUM(Q66:AB66)</f>
        <v/>
      </c>
      <c r="AE66" s="126">
        <f>JAN!$AJ66</f>
        <v/>
      </c>
      <c r="AF66" s="126">
        <f>FEV!$AJ66</f>
        <v/>
      </c>
      <c r="AG66" s="126">
        <f>MAR!$AJ66</f>
        <v/>
      </c>
      <c r="AH66" s="126">
        <f>ABR!$AJ66</f>
        <v/>
      </c>
      <c r="AI66" s="126">
        <f>MAI!$AJ66</f>
        <v/>
      </c>
      <c r="AJ66" s="126">
        <f>JUN!$AJ66</f>
        <v/>
      </c>
      <c r="AK66" s="126">
        <f>JUL!$AJ66</f>
        <v/>
      </c>
      <c r="AL66" s="126">
        <f>AGO!$AJ66</f>
        <v/>
      </c>
      <c r="AM66" s="126">
        <f>SET!$AJ66</f>
        <v/>
      </c>
      <c r="AN66" s="126">
        <f>OUT!$AJ66</f>
        <v/>
      </c>
      <c r="AO66" s="126">
        <f>NOV!$AJ66</f>
        <v/>
      </c>
      <c r="AP66" s="126">
        <f>DEZ!$AJ66</f>
        <v/>
      </c>
      <c r="AQ66" s="127">
        <f>SUM(AE66:AP66)</f>
        <v/>
      </c>
      <c r="AS66" s="126">
        <f>JAN!$AK66</f>
        <v/>
      </c>
      <c r="AT66" s="126">
        <f>FEV!$AK66</f>
        <v/>
      </c>
      <c r="AU66" s="126">
        <f>MAR!$AK66</f>
        <v/>
      </c>
      <c r="AV66" s="126">
        <f>ABR!$AK66</f>
        <v/>
      </c>
      <c r="AW66" s="126">
        <f>MAI!$AK66</f>
        <v/>
      </c>
      <c r="AX66" s="126">
        <f>JUN!$AK66</f>
        <v/>
      </c>
      <c r="AY66" s="126">
        <f>JUL!$AK66</f>
        <v/>
      </c>
      <c r="AZ66" s="126">
        <f>AGO!$AK66</f>
        <v/>
      </c>
      <c r="BA66" s="126">
        <f>SET!$AK66</f>
        <v/>
      </c>
      <c r="BB66" s="126">
        <f>OUT!$AK66</f>
        <v/>
      </c>
      <c r="BC66" s="126">
        <f>NOV!$AK66</f>
        <v/>
      </c>
      <c r="BD66" s="126">
        <f>DEZ!$AK66</f>
        <v/>
      </c>
      <c r="BE66" s="127">
        <f>SUM(AS66:BD66)</f>
        <v/>
      </c>
      <c r="BG66" s="93" t="n">
        <v>5</v>
      </c>
      <c r="BH66" s="107">
        <f>SUM(AE66:AP66)</f>
        <v/>
      </c>
      <c r="BI66" s="128">
        <f>IF(BG66="","",IF(BG66=BH66,"","⚠"))</f>
        <v/>
      </c>
    </row>
    <row r="67">
      <c r="A67" s="81" t="inlineStr">
        <is>
          <t>Raquel</t>
        </is>
      </c>
      <c r="B67" s="125">
        <f>CADASTRO!$C63</f>
        <v/>
      </c>
      <c r="C67" s="126">
        <f>JAN!$AM67</f>
        <v/>
      </c>
      <c r="D67" s="126">
        <f>FEV!$AM67</f>
        <v/>
      </c>
      <c r="E67" s="126">
        <f>MAR!$AM67</f>
        <v/>
      </c>
      <c r="F67" s="126">
        <f>ABR!$AM67</f>
        <v/>
      </c>
      <c r="G67" s="126">
        <f>MAI!$AM67</f>
        <v/>
      </c>
      <c r="H67" s="126">
        <f>JUN!$AM67</f>
        <v/>
      </c>
      <c r="I67" s="126">
        <f>JUL!$AM67</f>
        <v/>
      </c>
      <c r="J67" s="126">
        <f>AGO!$AM67</f>
        <v/>
      </c>
      <c r="K67" s="126">
        <f>SET!$AM67</f>
        <v/>
      </c>
      <c r="L67" s="126">
        <f>OUT!$AM67</f>
        <v/>
      </c>
      <c r="M67" s="126">
        <f>NOV!$AM67</f>
        <v/>
      </c>
      <c r="N67" s="126">
        <f>DEZ!$AM67</f>
        <v/>
      </c>
      <c r="O67" s="127">
        <f>SUM(C67:N67)</f>
        <v/>
      </c>
      <c r="Q67" s="126">
        <f>JAN!$AI67</f>
        <v/>
      </c>
      <c r="R67" s="126">
        <f>FEV!$AI67</f>
        <v/>
      </c>
      <c r="S67" s="126">
        <f>MAR!$AI67</f>
        <v/>
      </c>
      <c r="T67" s="126">
        <f>ABR!$AI67</f>
        <v/>
      </c>
      <c r="U67" s="126">
        <f>MAI!$AI67</f>
        <v/>
      </c>
      <c r="V67" s="126">
        <f>JUN!$AI67</f>
        <v/>
      </c>
      <c r="W67" s="126">
        <f>JUL!$AI67</f>
        <v/>
      </c>
      <c r="X67" s="126">
        <f>AGO!$AI67</f>
        <v/>
      </c>
      <c r="Y67" s="126">
        <f>SET!$AI67</f>
        <v/>
      </c>
      <c r="Z67" s="126">
        <f>OUT!$AI67</f>
        <v/>
      </c>
      <c r="AA67" s="126">
        <f>NOV!$AI67</f>
        <v/>
      </c>
      <c r="AB67" s="126">
        <f>DEZ!$AI67</f>
        <v/>
      </c>
      <c r="AC67" s="127">
        <f>SUM(Q67:AB67)</f>
        <v/>
      </c>
      <c r="AE67" s="126">
        <f>JAN!$AJ67</f>
        <v/>
      </c>
      <c r="AF67" s="126">
        <f>FEV!$AJ67</f>
        <v/>
      </c>
      <c r="AG67" s="126">
        <f>MAR!$AJ67</f>
        <v/>
      </c>
      <c r="AH67" s="126">
        <f>ABR!$AJ67</f>
        <v/>
      </c>
      <c r="AI67" s="126">
        <f>MAI!$AJ67</f>
        <v/>
      </c>
      <c r="AJ67" s="126">
        <f>JUN!$AJ67</f>
        <v/>
      </c>
      <c r="AK67" s="126">
        <f>JUL!$AJ67</f>
        <v/>
      </c>
      <c r="AL67" s="126">
        <f>AGO!$AJ67</f>
        <v/>
      </c>
      <c r="AM67" s="126">
        <f>SET!$AJ67</f>
        <v/>
      </c>
      <c r="AN67" s="126">
        <f>OUT!$AJ67</f>
        <v/>
      </c>
      <c r="AO67" s="126">
        <f>NOV!$AJ67</f>
        <v/>
      </c>
      <c r="AP67" s="126">
        <f>DEZ!$AJ67</f>
        <v/>
      </c>
      <c r="AQ67" s="127">
        <f>SUM(AE67:AP67)</f>
        <v/>
      </c>
      <c r="AS67" s="126">
        <f>JAN!$AK67</f>
        <v/>
      </c>
      <c r="AT67" s="126">
        <f>FEV!$AK67</f>
        <v/>
      </c>
      <c r="AU67" s="126">
        <f>MAR!$AK67</f>
        <v/>
      </c>
      <c r="AV67" s="126">
        <f>ABR!$AK67</f>
        <v/>
      </c>
      <c r="AW67" s="126">
        <f>MAI!$AK67</f>
        <v/>
      </c>
      <c r="AX67" s="126">
        <f>JUN!$AK67</f>
        <v/>
      </c>
      <c r="AY67" s="126">
        <f>JUL!$AK67</f>
        <v/>
      </c>
      <c r="AZ67" s="126">
        <f>AGO!$AK67</f>
        <v/>
      </c>
      <c r="BA67" s="126">
        <f>SET!$AK67</f>
        <v/>
      </c>
      <c r="BB67" s="126">
        <f>OUT!$AK67</f>
        <v/>
      </c>
      <c r="BC67" s="126">
        <f>NOV!$AK67</f>
        <v/>
      </c>
      <c r="BD67" s="126">
        <f>DEZ!$AK67</f>
        <v/>
      </c>
      <c r="BE67" s="127">
        <f>SUM(AS67:BD67)</f>
        <v/>
      </c>
      <c r="BG67" s="93" t="n">
        <v>4</v>
      </c>
      <c r="BH67" s="107">
        <f>SUM(AE67:AP67)</f>
        <v/>
      </c>
      <c r="BI67" s="128">
        <f>IF(BG67="","",IF(BG67=BH67,"","⚠"))</f>
        <v/>
      </c>
    </row>
    <row r="68">
      <c r="A68" s="81" t="inlineStr">
        <is>
          <t>Thamyres</t>
        </is>
      </c>
      <c r="B68" s="125">
        <f>CADASTRO!$C64</f>
        <v/>
      </c>
      <c r="C68" s="126">
        <f>JAN!$AM68</f>
        <v/>
      </c>
      <c r="D68" s="126">
        <f>FEV!$AM68</f>
        <v/>
      </c>
      <c r="E68" s="126">
        <f>MAR!$AM68</f>
        <v/>
      </c>
      <c r="F68" s="126">
        <f>ABR!$AM68</f>
        <v/>
      </c>
      <c r="G68" s="126">
        <f>MAI!$AM68</f>
        <v/>
      </c>
      <c r="H68" s="126">
        <f>JUN!$AM68</f>
        <v/>
      </c>
      <c r="I68" s="126">
        <f>JUL!$AM68</f>
        <v/>
      </c>
      <c r="J68" s="126">
        <f>AGO!$AM68</f>
        <v/>
      </c>
      <c r="K68" s="126">
        <f>SET!$AM68</f>
        <v/>
      </c>
      <c r="L68" s="126">
        <f>OUT!$AM68</f>
        <v/>
      </c>
      <c r="M68" s="126">
        <f>NOV!$AM68</f>
        <v/>
      </c>
      <c r="N68" s="126">
        <f>DEZ!$AM68</f>
        <v/>
      </c>
      <c r="O68" s="127">
        <f>SUM(C68:N68)</f>
        <v/>
      </c>
      <c r="Q68" s="126">
        <f>JAN!$AI68</f>
        <v/>
      </c>
      <c r="R68" s="126">
        <f>FEV!$AI68</f>
        <v/>
      </c>
      <c r="S68" s="126">
        <f>MAR!$AI68</f>
        <v/>
      </c>
      <c r="T68" s="126">
        <f>ABR!$AI68</f>
        <v/>
      </c>
      <c r="U68" s="126">
        <f>MAI!$AI68</f>
        <v/>
      </c>
      <c r="V68" s="126">
        <f>JUN!$AI68</f>
        <v/>
      </c>
      <c r="W68" s="126">
        <f>JUL!$AI68</f>
        <v/>
      </c>
      <c r="X68" s="126">
        <f>AGO!$AI68</f>
        <v/>
      </c>
      <c r="Y68" s="126">
        <f>SET!$AI68</f>
        <v/>
      </c>
      <c r="Z68" s="126">
        <f>OUT!$AI68</f>
        <v/>
      </c>
      <c r="AA68" s="126">
        <f>NOV!$AI68</f>
        <v/>
      </c>
      <c r="AB68" s="126">
        <f>DEZ!$AI68</f>
        <v/>
      </c>
      <c r="AC68" s="127">
        <f>SUM(Q68:AB68)</f>
        <v/>
      </c>
      <c r="AE68" s="126">
        <f>JAN!$AJ68</f>
        <v/>
      </c>
      <c r="AF68" s="126">
        <f>FEV!$AJ68</f>
        <v/>
      </c>
      <c r="AG68" s="126">
        <f>MAR!$AJ68</f>
        <v/>
      </c>
      <c r="AH68" s="126">
        <f>ABR!$AJ68</f>
        <v/>
      </c>
      <c r="AI68" s="126">
        <f>MAI!$AJ68</f>
        <v/>
      </c>
      <c r="AJ68" s="126">
        <f>JUN!$AJ68</f>
        <v/>
      </c>
      <c r="AK68" s="126">
        <f>JUL!$AJ68</f>
        <v/>
      </c>
      <c r="AL68" s="126">
        <f>AGO!$AJ68</f>
        <v/>
      </c>
      <c r="AM68" s="126">
        <f>SET!$AJ68</f>
        <v/>
      </c>
      <c r="AN68" s="126">
        <f>OUT!$AJ68</f>
        <v/>
      </c>
      <c r="AO68" s="126">
        <f>NOV!$AJ68</f>
        <v/>
      </c>
      <c r="AP68" s="126">
        <f>DEZ!$AJ68</f>
        <v/>
      </c>
      <c r="AQ68" s="127">
        <f>SUM(AE68:AP68)</f>
        <v/>
      </c>
      <c r="AS68" s="126">
        <f>JAN!$AK68</f>
        <v/>
      </c>
      <c r="AT68" s="126">
        <f>FEV!$AK68</f>
        <v/>
      </c>
      <c r="AU68" s="126">
        <f>MAR!$AK68</f>
        <v/>
      </c>
      <c r="AV68" s="126">
        <f>ABR!$AK68</f>
        <v/>
      </c>
      <c r="AW68" s="126">
        <f>MAI!$AK68</f>
        <v/>
      </c>
      <c r="AX68" s="126">
        <f>JUN!$AK68</f>
        <v/>
      </c>
      <c r="AY68" s="126">
        <f>JUL!$AK68</f>
        <v/>
      </c>
      <c r="AZ68" s="126">
        <f>AGO!$AK68</f>
        <v/>
      </c>
      <c r="BA68" s="126">
        <f>SET!$AK68</f>
        <v/>
      </c>
      <c r="BB68" s="126">
        <f>OUT!$AK68</f>
        <v/>
      </c>
      <c r="BC68" s="126">
        <f>NOV!$AK68</f>
        <v/>
      </c>
      <c r="BD68" s="126">
        <f>DEZ!$AK68</f>
        <v/>
      </c>
      <c r="BE68" s="127">
        <f>SUM(AS68:BD68)</f>
        <v/>
      </c>
      <c r="BG68" s="93" t="n">
        <v>5</v>
      </c>
      <c r="BH68" s="107">
        <f>SUM(AE68:AP68)</f>
        <v/>
      </c>
      <c r="BI68" s="128">
        <f>IF(BG68="","",IF(BG68=BH68,"","⚠"))</f>
        <v/>
      </c>
    </row>
    <row r="69">
      <c r="A69" s="81" t="inlineStr">
        <is>
          <t>Vanessa</t>
        </is>
      </c>
      <c r="B69" s="125">
        <f>CADASTRO!$C65</f>
        <v/>
      </c>
      <c r="C69" s="126">
        <f>JAN!$AM69</f>
        <v/>
      </c>
      <c r="D69" s="126">
        <f>FEV!$AM69</f>
        <v/>
      </c>
      <c r="E69" s="126">
        <f>MAR!$AM69</f>
        <v/>
      </c>
      <c r="F69" s="126">
        <f>ABR!$AM69</f>
        <v/>
      </c>
      <c r="G69" s="126">
        <f>MAI!$AM69</f>
        <v/>
      </c>
      <c r="H69" s="126">
        <f>JUN!$AM69</f>
        <v/>
      </c>
      <c r="I69" s="126">
        <f>JUL!$AM69</f>
        <v/>
      </c>
      <c r="J69" s="126">
        <f>AGO!$AM69</f>
        <v/>
      </c>
      <c r="K69" s="126">
        <f>SET!$AM69</f>
        <v/>
      </c>
      <c r="L69" s="126">
        <f>OUT!$AM69</f>
        <v/>
      </c>
      <c r="M69" s="126">
        <f>NOV!$AM69</f>
        <v/>
      </c>
      <c r="N69" s="126">
        <f>DEZ!$AM69</f>
        <v/>
      </c>
      <c r="O69" s="127">
        <f>SUM(C69:N69)</f>
        <v/>
      </c>
      <c r="Q69" s="126">
        <f>JAN!$AI69</f>
        <v/>
      </c>
      <c r="R69" s="126">
        <f>FEV!$AI69</f>
        <v/>
      </c>
      <c r="S69" s="126">
        <f>MAR!$AI69</f>
        <v/>
      </c>
      <c r="T69" s="126">
        <f>ABR!$AI69</f>
        <v/>
      </c>
      <c r="U69" s="126">
        <f>MAI!$AI69</f>
        <v/>
      </c>
      <c r="V69" s="126">
        <f>JUN!$AI69</f>
        <v/>
      </c>
      <c r="W69" s="126">
        <f>JUL!$AI69</f>
        <v/>
      </c>
      <c r="X69" s="126">
        <f>AGO!$AI69</f>
        <v/>
      </c>
      <c r="Y69" s="126">
        <f>SET!$AI69</f>
        <v/>
      </c>
      <c r="Z69" s="126">
        <f>OUT!$AI69</f>
        <v/>
      </c>
      <c r="AA69" s="126">
        <f>NOV!$AI69</f>
        <v/>
      </c>
      <c r="AB69" s="126">
        <f>DEZ!$AI69</f>
        <v/>
      </c>
      <c r="AC69" s="127">
        <f>SUM(Q69:AB69)</f>
        <v/>
      </c>
      <c r="AE69" s="126">
        <f>JAN!$AJ69</f>
        <v/>
      </c>
      <c r="AF69" s="126">
        <f>FEV!$AJ69</f>
        <v/>
      </c>
      <c r="AG69" s="126">
        <f>MAR!$AJ69</f>
        <v/>
      </c>
      <c r="AH69" s="126">
        <f>ABR!$AJ69</f>
        <v/>
      </c>
      <c r="AI69" s="126">
        <f>MAI!$AJ69</f>
        <v/>
      </c>
      <c r="AJ69" s="126">
        <f>JUN!$AJ69</f>
        <v/>
      </c>
      <c r="AK69" s="126">
        <f>JUL!$AJ69</f>
        <v/>
      </c>
      <c r="AL69" s="126">
        <f>AGO!$AJ69</f>
        <v/>
      </c>
      <c r="AM69" s="126">
        <f>SET!$AJ69</f>
        <v/>
      </c>
      <c r="AN69" s="126">
        <f>OUT!$AJ69</f>
        <v/>
      </c>
      <c r="AO69" s="126">
        <f>NOV!$AJ69</f>
        <v/>
      </c>
      <c r="AP69" s="126">
        <f>DEZ!$AJ69</f>
        <v/>
      </c>
      <c r="AQ69" s="127">
        <f>SUM(AE69:AP69)</f>
        <v/>
      </c>
      <c r="AS69" s="126">
        <f>JAN!$AK69</f>
        <v/>
      </c>
      <c r="AT69" s="126">
        <f>FEV!$AK69</f>
        <v/>
      </c>
      <c r="AU69" s="126">
        <f>MAR!$AK69</f>
        <v/>
      </c>
      <c r="AV69" s="126">
        <f>ABR!$AK69</f>
        <v/>
      </c>
      <c r="AW69" s="126">
        <f>MAI!$AK69</f>
        <v/>
      </c>
      <c r="AX69" s="126">
        <f>JUN!$AK69</f>
        <v/>
      </c>
      <c r="AY69" s="126">
        <f>JUL!$AK69</f>
        <v/>
      </c>
      <c r="AZ69" s="126">
        <f>AGO!$AK69</f>
        <v/>
      </c>
      <c r="BA69" s="126">
        <f>SET!$AK69</f>
        <v/>
      </c>
      <c r="BB69" s="126">
        <f>OUT!$AK69</f>
        <v/>
      </c>
      <c r="BC69" s="126">
        <f>NOV!$AK69</f>
        <v/>
      </c>
      <c r="BD69" s="126">
        <f>DEZ!$AK69</f>
        <v/>
      </c>
      <c r="BE69" s="127">
        <f>SUM(AS69:BD69)</f>
        <v/>
      </c>
      <c r="BG69" s="93" t="n">
        <v>3</v>
      </c>
      <c r="BH69" s="107">
        <f>SUM(AE69:AP69)</f>
        <v/>
      </c>
      <c r="BI69" s="128">
        <f>IF(BG69="","",IF(BG69=BH69,"","⚠"))</f>
        <v/>
      </c>
    </row>
    <row r="70">
      <c r="A70" s="81" t="inlineStr">
        <is>
          <t>Yuji</t>
        </is>
      </c>
      <c r="B70" s="125">
        <f>CADASTRO!$C66</f>
        <v/>
      </c>
      <c r="C70" s="126">
        <f>JAN!$AM70</f>
        <v/>
      </c>
      <c r="D70" s="126">
        <f>FEV!$AM70</f>
        <v/>
      </c>
      <c r="E70" s="126">
        <f>MAR!$AM70</f>
        <v/>
      </c>
      <c r="F70" s="126">
        <f>ABR!$AM70</f>
        <v/>
      </c>
      <c r="G70" s="126">
        <f>MAI!$AM70</f>
        <v/>
      </c>
      <c r="H70" s="126">
        <f>JUN!$AM70</f>
        <v/>
      </c>
      <c r="I70" s="126">
        <f>JUL!$AM70</f>
        <v/>
      </c>
      <c r="J70" s="126">
        <f>AGO!$AM70</f>
        <v/>
      </c>
      <c r="K70" s="126">
        <f>SET!$AM70</f>
        <v/>
      </c>
      <c r="L70" s="126">
        <f>OUT!$AM70</f>
        <v/>
      </c>
      <c r="M70" s="126">
        <f>NOV!$AM70</f>
        <v/>
      </c>
      <c r="N70" s="126">
        <f>DEZ!$AM70</f>
        <v/>
      </c>
      <c r="O70" s="127">
        <f>SUM(C70:N70)</f>
        <v/>
      </c>
      <c r="Q70" s="126">
        <f>JAN!$AI70</f>
        <v/>
      </c>
      <c r="R70" s="126">
        <f>FEV!$AI70</f>
        <v/>
      </c>
      <c r="S70" s="126">
        <f>MAR!$AI70</f>
        <v/>
      </c>
      <c r="T70" s="126">
        <f>ABR!$AI70</f>
        <v/>
      </c>
      <c r="U70" s="126">
        <f>MAI!$AI70</f>
        <v/>
      </c>
      <c r="V70" s="126">
        <f>JUN!$AI70</f>
        <v/>
      </c>
      <c r="W70" s="126">
        <f>JUL!$AI70</f>
        <v/>
      </c>
      <c r="X70" s="126">
        <f>AGO!$AI70</f>
        <v/>
      </c>
      <c r="Y70" s="126">
        <f>SET!$AI70</f>
        <v/>
      </c>
      <c r="Z70" s="126">
        <f>OUT!$AI70</f>
        <v/>
      </c>
      <c r="AA70" s="126">
        <f>NOV!$AI70</f>
        <v/>
      </c>
      <c r="AB70" s="126">
        <f>DEZ!$AI70</f>
        <v/>
      </c>
      <c r="AC70" s="127">
        <f>SUM(Q70:AB70)</f>
        <v/>
      </c>
      <c r="AE70" s="126">
        <f>JAN!$AJ70</f>
        <v/>
      </c>
      <c r="AF70" s="126">
        <f>FEV!$AJ70</f>
        <v/>
      </c>
      <c r="AG70" s="126">
        <f>MAR!$AJ70</f>
        <v/>
      </c>
      <c r="AH70" s="126">
        <f>ABR!$AJ70</f>
        <v/>
      </c>
      <c r="AI70" s="126">
        <f>MAI!$AJ70</f>
        <v/>
      </c>
      <c r="AJ70" s="126">
        <f>JUN!$AJ70</f>
        <v/>
      </c>
      <c r="AK70" s="126">
        <f>JUL!$AJ70</f>
        <v/>
      </c>
      <c r="AL70" s="126">
        <f>AGO!$AJ70</f>
        <v/>
      </c>
      <c r="AM70" s="126">
        <f>SET!$AJ70</f>
        <v/>
      </c>
      <c r="AN70" s="126">
        <f>OUT!$AJ70</f>
        <v/>
      </c>
      <c r="AO70" s="126">
        <f>NOV!$AJ70</f>
        <v/>
      </c>
      <c r="AP70" s="126">
        <f>DEZ!$AJ70</f>
        <v/>
      </c>
      <c r="AQ70" s="127">
        <f>SUM(AE70:AP70)</f>
        <v/>
      </c>
      <c r="AS70" s="126">
        <f>JAN!$AK70</f>
        <v/>
      </c>
      <c r="AT70" s="126">
        <f>FEV!$AK70</f>
        <v/>
      </c>
      <c r="AU70" s="126">
        <f>MAR!$AK70</f>
        <v/>
      </c>
      <c r="AV70" s="126">
        <f>ABR!$AK70</f>
        <v/>
      </c>
      <c r="AW70" s="126">
        <f>MAI!$AK70</f>
        <v/>
      </c>
      <c r="AX70" s="126">
        <f>JUN!$AK70</f>
        <v/>
      </c>
      <c r="AY70" s="126">
        <f>JUL!$AK70</f>
        <v/>
      </c>
      <c r="AZ70" s="126">
        <f>AGO!$AK70</f>
        <v/>
      </c>
      <c r="BA70" s="126">
        <f>SET!$AK70</f>
        <v/>
      </c>
      <c r="BB70" s="126">
        <f>OUT!$AK70</f>
        <v/>
      </c>
      <c r="BC70" s="126">
        <f>NOV!$AK70</f>
        <v/>
      </c>
      <c r="BD70" s="126">
        <f>DEZ!$AK70</f>
        <v/>
      </c>
      <c r="BE70" s="127">
        <f>SUM(AS70:BD70)</f>
        <v/>
      </c>
      <c r="BG70" s="93" t="n">
        <v>0</v>
      </c>
      <c r="BH70" s="107">
        <f>SUM(AE70:AP70)</f>
        <v/>
      </c>
      <c r="BI70" s="128">
        <f>IF(BG70="","",IF(BG70=BH70,"","⚠"))</f>
        <v/>
      </c>
    </row>
    <row r="71">
      <c r="A71" s="81" t="inlineStr">
        <is>
          <t>JuIsaac</t>
        </is>
      </c>
      <c r="B71" s="125">
        <f>CADASTRO!$C67</f>
        <v/>
      </c>
      <c r="C71" s="126">
        <f>JAN!$AM71</f>
        <v/>
      </c>
      <c r="D71" s="126">
        <f>FEV!$AM71</f>
        <v/>
      </c>
      <c r="E71" s="126">
        <f>MAR!$AM71</f>
        <v/>
      </c>
      <c r="F71" s="126">
        <f>ABR!$AM71</f>
        <v/>
      </c>
      <c r="G71" s="126">
        <f>MAI!$AM71</f>
        <v/>
      </c>
      <c r="H71" s="126">
        <f>JUN!$AM71</f>
        <v/>
      </c>
      <c r="I71" s="126">
        <f>JUL!$AM71</f>
        <v/>
      </c>
      <c r="J71" s="126">
        <f>AGO!$AM71</f>
        <v/>
      </c>
      <c r="K71" s="126">
        <f>SET!$AM71</f>
        <v/>
      </c>
      <c r="L71" s="126">
        <f>OUT!$AM71</f>
        <v/>
      </c>
      <c r="M71" s="126">
        <f>NOV!$AM71</f>
        <v/>
      </c>
      <c r="N71" s="126">
        <f>DEZ!$AM71</f>
        <v/>
      </c>
      <c r="O71" s="127">
        <f>SUM(C71:N71)</f>
        <v/>
      </c>
      <c r="Q71" s="126">
        <f>JAN!$AI71</f>
        <v/>
      </c>
      <c r="R71" s="126">
        <f>FEV!$AI71</f>
        <v/>
      </c>
      <c r="S71" s="126">
        <f>MAR!$AI71</f>
        <v/>
      </c>
      <c r="T71" s="126">
        <f>ABR!$AI71</f>
        <v/>
      </c>
      <c r="U71" s="126">
        <f>MAI!$AI71</f>
        <v/>
      </c>
      <c r="V71" s="126">
        <f>JUN!$AI71</f>
        <v/>
      </c>
      <c r="W71" s="126">
        <f>JUL!$AI71</f>
        <v/>
      </c>
      <c r="X71" s="126">
        <f>AGO!$AI71</f>
        <v/>
      </c>
      <c r="Y71" s="126">
        <f>SET!$AI71</f>
        <v/>
      </c>
      <c r="Z71" s="126">
        <f>OUT!$AI71</f>
        <v/>
      </c>
      <c r="AA71" s="126">
        <f>NOV!$AI71</f>
        <v/>
      </c>
      <c r="AB71" s="126">
        <f>DEZ!$AI71</f>
        <v/>
      </c>
      <c r="AC71" s="127">
        <f>SUM(Q71:AB71)</f>
        <v/>
      </c>
      <c r="AE71" s="126">
        <f>JAN!$AJ71</f>
        <v/>
      </c>
      <c r="AF71" s="126">
        <f>FEV!$AJ71</f>
        <v/>
      </c>
      <c r="AG71" s="126">
        <f>MAR!$AJ71</f>
        <v/>
      </c>
      <c r="AH71" s="126">
        <f>ABR!$AJ71</f>
        <v/>
      </c>
      <c r="AI71" s="126">
        <f>MAI!$AJ71</f>
        <v/>
      </c>
      <c r="AJ71" s="126">
        <f>JUN!$AJ71</f>
        <v/>
      </c>
      <c r="AK71" s="126">
        <f>JUL!$AJ71</f>
        <v/>
      </c>
      <c r="AL71" s="126">
        <f>AGO!$AJ71</f>
        <v/>
      </c>
      <c r="AM71" s="126">
        <f>SET!$AJ71</f>
        <v/>
      </c>
      <c r="AN71" s="126">
        <f>OUT!$AJ71</f>
        <v/>
      </c>
      <c r="AO71" s="126">
        <f>NOV!$AJ71</f>
        <v/>
      </c>
      <c r="AP71" s="126">
        <f>DEZ!$AJ71</f>
        <v/>
      </c>
      <c r="AQ71" s="127">
        <f>SUM(AE71:AP71)</f>
        <v/>
      </c>
      <c r="AS71" s="126">
        <f>JAN!$AK71</f>
        <v/>
      </c>
      <c r="AT71" s="126">
        <f>FEV!$AK71</f>
        <v/>
      </c>
      <c r="AU71" s="126">
        <f>MAR!$AK71</f>
        <v/>
      </c>
      <c r="AV71" s="126">
        <f>ABR!$AK71</f>
        <v/>
      </c>
      <c r="AW71" s="126">
        <f>MAI!$AK71</f>
        <v/>
      </c>
      <c r="AX71" s="126">
        <f>JUN!$AK71</f>
        <v/>
      </c>
      <c r="AY71" s="126">
        <f>JUL!$AK71</f>
        <v/>
      </c>
      <c r="AZ71" s="126">
        <f>AGO!$AK71</f>
        <v/>
      </c>
      <c r="BA71" s="126">
        <f>SET!$AK71</f>
        <v/>
      </c>
      <c r="BB71" s="126">
        <f>OUT!$AK71</f>
        <v/>
      </c>
      <c r="BC71" s="126">
        <f>NOV!$AK71</f>
        <v/>
      </c>
      <c r="BD71" s="126">
        <f>DEZ!$AK71</f>
        <v/>
      </c>
      <c r="BE71" s="127">
        <f>SUM(AS71:BD71)</f>
        <v/>
      </c>
      <c r="BG71" s="93" t="n">
        <v>1</v>
      </c>
      <c r="BH71" s="107">
        <f>SUM(AE71:AP71)</f>
        <v/>
      </c>
      <c r="BI71" s="128">
        <f>IF(BG71="","",IF(BG71=BH71,"","⚠"))</f>
        <v/>
      </c>
    </row>
    <row r="72">
      <c r="A72" s="81" t="inlineStr">
        <is>
          <t>Stephanie</t>
        </is>
      </c>
      <c r="B72" s="125">
        <f>CADASTRO!$C68</f>
        <v/>
      </c>
      <c r="C72" s="126">
        <f>JAN!$AM72</f>
        <v/>
      </c>
      <c r="D72" s="126">
        <f>FEV!$AM72</f>
        <v/>
      </c>
      <c r="E72" s="126">
        <f>MAR!$AM72</f>
        <v/>
      </c>
      <c r="F72" s="126">
        <f>ABR!$AM72</f>
        <v/>
      </c>
      <c r="G72" s="126">
        <f>MAI!$AM72</f>
        <v/>
      </c>
      <c r="H72" s="126">
        <f>JUN!$AM72</f>
        <v/>
      </c>
      <c r="I72" s="126">
        <f>JUL!$AM72</f>
        <v/>
      </c>
      <c r="J72" s="126">
        <f>AGO!$AM72</f>
        <v/>
      </c>
      <c r="K72" s="126">
        <f>SET!$AM72</f>
        <v/>
      </c>
      <c r="L72" s="126">
        <f>OUT!$AM72</f>
        <v/>
      </c>
      <c r="M72" s="126">
        <f>NOV!$AM72</f>
        <v/>
      </c>
      <c r="N72" s="126">
        <f>DEZ!$AM72</f>
        <v/>
      </c>
      <c r="O72" s="127">
        <f>SUM(C72:N72)</f>
        <v/>
      </c>
      <c r="Q72" s="126">
        <f>JAN!$AI72</f>
        <v/>
      </c>
      <c r="R72" s="126">
        <f>FEV!$AI72</f>
        <v/>
      </c>
      <c r="S72" s="126">
        <f>MAR!$AI72</f>
        <v/>
      </c>
      <c r="T72" s="126">
        <f>ABR!$AI72</f>
        <v/>
      </c>
      <c r="U72" s="126">
        <f>MAI!$AI72</f>
        <v/>
      </c>
      <c r="V72" s="126">
        <f>JUN!$AI72</f>
        <v/>
      </c>
      <c r="W72" s="126">
        <f>JUL!$AI72</f>
        <v/>
      </c>
      <c r="X72" s="126">
        <f>AGO!$AI72</f>
        <v/>
      </c>
      <c r="Y72" s="126">
        <f>SET!$AI72</f>
        <v/>
      </c>
      <c r="Z72" s="126">
        <f>OUT!$AI72</f>
        <v/>
      </c>
      <c r="AA72" s="126">
        <f>NOV!$AI72</f>
        <v/>
      </c>
      <c r="AB72" s="126">
        <f>DEZ!$AI72</f>
        <v/>
      </c>
      <c r="AC72" s="127">
        <f>SUM(Q72:AB72)</f>
        <v/>
      </c>
      <c r="AE72" s="126">
        <f>JAN!$AJ72</f>
        <v/>
      </c>
      <c r="AF72" s="126">
        <f>FEV!$AJ72</f>
        <v/>
      </c>
      <c r="AG72" s="126">
        <f>MAR!$AJ72</f>
        <v/>
      </c>
      <c r="AH72" s="126">
        <f>ABR!$AJ72</f>
        <v/>
      </c>
      <c r="AI72" s="126">
        <f>MAI!$AJ72</f>
        <v/>
      </c>
      <c r="AJ72" s="126">
        <f>JUN!$AJ72</f>
        <v/>
      </c>
      <c r="AK72" s="126">
        <f>JUL!$AJ72</f>
        <v/>
      </c>
      <c r="AL72" s="126">
        <f>AGO!$AJ72</f>
        <v/>
      </c>
      <c r="AM72" s="126">
        <f>SET!$AJ72</f>
        <v/>
      </c>
      <c r="AN72" s="126">
        <f>OUT!$AJ72</f>
        <v/>
      </c>
      <c r="AO72" s="126">
        <f>NOV!$AJ72</f>
        <v/>
      </c>
      <c r="AP72" s="126">
        <f>DEZ!$AJ72</f>
        <v/>
      </c>
      <c r="AQ72" s="127">
        <f>SUM(AE72:AP72)</f>
        <v/>
      </c>
      <c r="AS72" s="126">
        <f>JAN!$AK72</f>
        <v/>
      </c>
      <c r="AT72" s="126">
        <f>FEV!$AK72</f>
        <v/>
      </c>
      <c r="AU72" s="126">
        <f>MAR!$AK72</f>
        <v/>
      </c>
      <c r="AV72" s="126">
        <f>ABR!$AK72</f>
        <v/>
      </c>
      <c r="AW72" s="126">
        <f>MAI!$AK72</f>
        <v/>
      </c>
      <c r="AX72" s="126">
        <f>JUN!$AK72</f>
        <v/>
      </c>
      <c r="AY72" s="126">
        <f>JUL!$AK72</f>
        <v/>
      </c>
      <c r="AZ72" s="126">
        <f>AGO!$AK72</f>
        <v/>
      </c>
      <c r="BA72" s="126">
        <f>SET!$AK72</f>
        <v/>
      </c>
      <c r="BB72" s="126">
        <f>OUT!$AK72</f>
        <v/>
      </c>
      <c r="BC72" s="126">
        <f>NOV!$AK72</f>
        <v/>
      </c>
      <c r="BD72" s="126">
        <f>DEZ!$AK72</f>
        <v/>
      </c>
      <c r="BE72" s="127">
        <f>SUM(AS72:BD72)</f>
        <v/>
      </c>
      <c r="BG72" s="93" t="n">
        <v>2</v>
      </c>
      <c r="BH72" s="107">
        <f>SUM(AE72:AP72)</f>
        <v/>
      </c>
      <c r="BI72" s="128">
        <f>IF(BG72="","",IF(BG72=BH72,"","⚠"))</f>
        <v/>
      </c>
    </row>
    <row r="73">
      <c r="A73" s="81" t="inlineStr">
        <is>
          <t>MPinheiro</t>
        </is>
      </c>
      <c r="B73" s="125">
        <f>CADASTRO!$C69</f>
        <v/>
      </c>
      <c r="C73" s="126">
        <f>JAN!$AM73</f>
        <v/>
      </c>
      <c r="D73" s="126">
        <f>FEV!$AM73</f>
        <v/>
      </c>
      <c r="E73" s="126">
        <f>MAR!$AM73</f>
        <v/>
      </c>
      <c r="F73" s="126">
        <f>ABR!$AM73</f>
        <v/>
      </c>
      <c r="G73" s="126">
        <f>MAI!$AM73</f>
        <v/>
      </c>
      <c r="H73" s="126">
        <f>JUN!$AM73</f>
        <v/>
      </c>
      <c r="I73" s="126">
        <f>JUL!$AM73</f>
        <v/>
      </c>
      <c r="J73" s="126">
        <f>AGO!$AM73</f>
        <v/>
      </c>
      <c r="K73" s="126">
        <f>SET!$AM73</f>
        <v/>
      </c>
      <c r="L73" s="126">
        <f>OUT!$AM73</f>
        <v/>
      </c>
      <c r="M73" s="126">
        <f>NOV!$AM73</f>
        <v/>
      </c>
      <c r="N73" s="126">
        <f>DEZ!$AM73</f>
        <v/>
      </c>
      <c r="O73" s="127">
        <f>SUM(C73:N73)</f>
        <v/>
      </c>
      <c r="Q73" s="126">
        <f>JAN!$AI73</f>
        <v/>
      </c>
      <c r="R73" s="126">
        <f>FEV!$AI73</f>
        <v/>
      </c>
      <c r="S73" s="126">
        <f>MAR!$AI73</f>
        <v/>
      </c>
      <c r="T73" s="126">
        <f>ABR!$AI73</f>
        <v/>
      </c>
      <c r="U73" s="126">
        <f>MAI!$AI73</f>
        <v/>
      </c>
      <c r="V73" s="126">
        <f>JUN!$AI73</f>
        <v/>
      </c>
      <c r="W73" s="126">
        <f>JUL!$AI73</f>
        <v/>
      </c>
      <c r="X73" s="126">
        <f>AGO!$AI73</f>
        <v/>
      </c>
      <c r="Y73" s="126">
        <f>SET!$AI73</f>
        <v/>
      </c>
      <c r="Z73" s="126">
        <f>OUT!$AI73</f>
        <v/>
      </c>
      <c r="AA73" s="126">
        <f>NOV!$AI73</f>
        <v/>
      </c>
      <c r="AB73" s="126">
        <f>DEZ!$AI73</f>
        <v/>
      </c>
      <c r="AC73" s="127">
        <f>SUM(Q73:AB73)</f>
        <v/>
      </c>
      <c r="AE73" s="126">
        <f>JAN!$AJ73</f>
        <v/>
      </c>
      <c r="AF73" s="126">
        <f>FEV!$AJ73</f>
        <v/>
      </c>
      <c r="AG73" s="126">
        <f>MAR!$AJ73</f>
        <v/>
      </c>
      <c r="AH73" s="126">
        <f>ABR!$AJ73</f>
        <v/>
      </c>
      <c r="AI73" s="126">
        <f>MAI!$AJ73</f>
        <v/>
      </c>
      <c r="AJ73" s="126">
        <f>JUN!$AJ73</f>
        <v/>
      </c>
      <c r="AK73" s="126">
        <f>JUL!$AJ73</f>
        <v/>
      </c>
      <c r="AL73" s="126">
        <f>AGO!$AJ73</f>
        <v/>
      </c>
      <c r="AM73" s="126">
        <f>SET!$AJ73</f>
        <v/>
      </c>
      <c r="AN73" s="126">
        <f>OUT!$AJ73</f>
        <v/>
      </c>
      <c r="AO73" s="126">
        <f>NOV!$AJ73</f>
        <v/>
      </c>
      <c r="AP73" s="126">
        <f>DEZ!$AJ73</f>
        <v/>
      </c>
      <c r="AQ73" s="127">
        <f>SUM(AE73:AP73)</f>
        <v/>
      </c>
      <c r="AS73" s="126">
        <f>JAN!$AK73</f>
        <v/>
      </c>
      <c r="AT73" s="126">
        <f>FEV!$AK73</f>
        <v/>
      </c>
      <c r="AU73" s="126">
        <f>MAR!$AK73</f>
        <v/>
      </c>
      <c r="AV73" s="126">
        <f>ABR!$AK73</f>
        <v/>
      </c>
      <c r="AW73" s="126">
        <f>MAI!$AK73</f>
        <v/>
      </c>
      <c r="AX73" s="126">
        <f>JUN!$AK73</f>
        <v/>
      </c>
      <c r="AY73" s="126">
        <f>JUL!$AK73</f>
        <v/>
      </c>
      <c r="AZ73" s="126">
        <f>AGO!$AK73</f>
        <v/>
      </c>
      <c r="BA73" s="126">
        <f>SET!$AK73</f>
        <v/>
      </c>
      <c r="BB73" s="126">
        <f>OUT!$AK73</f>
        <v/>
      </c>
      <c r="BC73" s="126">
        <f>NOV!$AK73</f>
        <v/>
      </c>
      <c r="BD73" s="126">
        <f>DEZ!$AK73</f>
        <v/>
      </c>
      <c r="BE73" s="127">
        <f>SUM(AS73:BD73)</f>
        <v/>
      </c>
      <c r="BG73" s="93" t="n">
        <v>4</v>
      </c>
      <c r="BH73" s="107">
        <f>SUM(AE73:AP73)</f>
        <v/>
      </c>
      <c r="BI73" s="128">
        <f>IF(BG73="","",IF(BG73=BH73,"","⚠"))</f>
        <v/>
      </c>
    </row>
  </sheetData>
  <mergeCells count="5">
    <mergeCell ref="C3:O3"/>
    <mergeCell ref="AE3:AQ3"/>
    <mergeCell ref="BG3:BJ3"/>
    <mergeCell ref="Q3:AC3"/>
    <mergeCell ref="AS3:B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8C79A"/>
    <outlinePr summaryBelow="1" summaryRight="1"/>
    <pageSetUpPr/>
  </sheetPr>
  <dimension ref="A1:AG7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87" t="inlineStr">
        <is>
          <t>códigos Senior</t>
        </is>
      </c>
      <c r="B1" s="129" t="inlineStr">
        <is>
          <t>OUT</t>
        </is>
      </c>
      <c r="C1" s="88" t="inlineStr">
        <is>
          <t>escolha o mês na célula ao lado — a matriz inteira se traduz nos códigos do RH, pronta pra lançar no Senior</t>
        </is>
      </c>
    </row>
    <row r="2">
      <c r="C2" s="130">
        <f>IFERROR(INDIRECT($B$1&amp;"!C2"),"")</f>
        <v/>
      </c>
      <c r="D2" s="130">
        <f>IFERROR(INDIRECT($B$1&amp;"!D2"),"")</f>
        <v/>
      </c>
      <c r="E2" s="130">
        <f>IFERROR(INDIRECT($B$1&amp;"!E2"),"")</f>
        <v/>
      </c>
      <c r="F2" s="130">
        <f>IFERROR(INDIRECT($B$1&amp;"!F2"),"")</f>
        <v/>
      </c>
      <c r="G2" s="130">
        <f>IFERROR(INDIRECT($B$1&amp;"!G2"),"")</f>
        <v/>
      </c>
      <c r="H2" s="130">
        <f>IFERROR(INDIRECT($B$1&amp;"!H2"),"")</f>
        <v/>
      </c>
      <c r="I2" s="130">
        <f>IFERROR(INDIRECT($B$1&amp;"!I2"),"")</f>
        <v/>
      </c>
      <c r="J2" s="130">
        <f>IFERROR(INDIRECT($B$1&amp;"!J2"),"")</f>
        <v/>
      </c>
      <c r="K2" s="130">
        <f>IFERROR(INDIRECT($B$1&amp;"!K2"),"")</f>
        <v/>
      </c>
      <c r="L2" s="130">
        <f>IFERROR(INDIRECT($B$1&amp;"!L2"),"")</f>
        <v/>
      </c>
      <c r="M2" s="130">
        <f>IFERROR(INDIRECT($B$1&amp;"!M2"),"")</f>
        <v/>
      </c>
      <c r="N2" s="130">
        <f>IFERROR(INDIRECT($B$1&amp;"!N2"),"")</f>
        <v/>
      </c>
      <c r="O2" s="130">
        <f>IFERROR(INDIRECT($B$1&amp;"!O2"),"")</f>
        <v/>
      </c>
      <c r="P2" s="130">
        <f>IFERROR(INDIRECT($B$1&amp;"!P2"),"")</f>
        <v/>
      </c>
      <c r="Q2" s="130">
        <f>IFERROR(INDIRECT($B$1&amp;"!Q2"),"")</f>
        <v/>
      </c>
      <c r="R2" s="130">
        <f>IFERROR(INDIRECT($B$1&amp;"!R2"),"")</f>
        <v/>
      </c>
      <c r="S2" s="130">
        <f>IFERROR(INDIRECT($B$1&amp;"!S2"),"")</f>
        <v/>
      </c>
      <c r="T2" s="130">
        <f>IFERROR(INDIRECT($B$1&amp;"!T2"),"")</f>
        <v/>
      </c>
      <c r="U2" s="130">
        <f>IFERROR(INDIRECT($B$1&amp;"!U2"),"")</f>
        <v/>
      </c>
      <c r="V2" s="130">
        <f>IFERROR(INDIRECT($B$1&amp;"!V2"),"")</f>
        <v/>
      </c>
      <c r="W2" s="130">
        <f>IFERROR(INDIRECT($B$1&amp;"!W2"),"")</f>
        <v/>
      </c>
      <c r="X2" s="130">
        <f>IFERROR(INDIRECT($B$1&amp;"!X2"),"")</f>
        <v/>
      </c>
      <c r="Y2" s="130">
        <f>IFERROR(INDIRECT($B$1&amp;"!Y2"),"")</f>
        <v/>
      </c>
      <c r="Z2" s="130">
        <f>IFERROR(INDIRECT($B$1&amp;"!Z2"),"")</f>
        <v/>
      </c>
      <c r="AA2" s="130">
        <f>IFERROR(INDIRECT($B$1&amp;"!AA2"),"")</f>
        <v/>
      </c>
      <c r="AB2" s="130">
        <f>IFERROR(INDIRECT($B$1&amp;"!AB2"),"")</f>
        <v/>
      </c>
      <c r="AC2" s="130">
        <f>IFERROR(INDIRECT($B$1&amp;"!AC2"),"")</f>
        <v/>
      </c>
      <c r="AD2" s="130">
        <f>IFERROR(INDIRECT($B$1&amp;"!AD2"),"")</f>
        <v/>
      </c>
      <c r="AE2" s="130">
        <f>IFERROR(INDIRECT($B$1&amp;"!AE2"),"")</f>
        <v/>
      </c>
      <c r="AF2" s="130">
        <f>IFERROR(INDIRECT($B$1&amp;"!AF2"),"")</f>
        <v/>
      </c>
      <c r="AG2" s="130">
        <f>IFERROR(INDIRECT($B$1&amp;"!AG2"),"")</f>
        <v/>
      </c>
    </row>
    <row r="3">
      <c r="C3" s="93">
        <f>IFERROR(INDIRECT($B$1&amp;"!C3"),"")</f>
        <v/>
      </c>
      <c r="D3" s="93">
        <f>IFERROR(INDIRECT($B$1&amp;"!D3"),"")</f>
        <v/>
      </c>
      <c r="E3" s="93">
        <f>IFERROR(INDIRECT($B$1&amp;"!E3"),"")</f>
        <v/>
      </c>
      <c r="F3" s="93">
        <f>IFERROR(INDIRECT($B$1&amp;"!F3"),"")</f>
        <v/>
      </c>
      <c r="G3" s="93">
        <f>IFERROR(INDIRECT($B$1&amp;"!G3"),"")</f>
        <v/>
      </c>
      <c r="H3" s="93">
        <f>IFERROR(INDIRECT($B$1&amp;"!H3"),"")</f>
        <v/>
      </c>
      <c r="I3" s="93">
        <f>IFERROR(INDIRECT($B$1&amp;"!I3"),"")</f>
        <v/>
      </c>
      <c r="J3" s="93">
        <f>IFERROR(INDIRECT($B$1&amp;"!J3"),"")</f>
        <v/>
      </c>
      <c r="K3" s="93">
        <f>IFERROR(INDIRECT($B$1&amp;"!K3"),"")</f>
        <v/>
      </c>
      <c r="L3" s="93">
        <f>IFERROR(INDIRECT($B$1&amp;"!L3"),"")</f>
        <v/>
      </c>
      <c r="M3" s="93">
        <f>IFERROR(INDIRECT($B$1&amp;"!M3"),"")</f>
        <v/>
      </c>
      <c r="N3" s="93">
        <f>IFERROR(INDIRECT($B$1&amp;"!N3"),"")</f>
        <v/>
      </c>
      <c r="O3" s="93">
        <f>IFERROR(INDIRECT($B$1&amp;"!O3"),"")</f>
        <v/>
      </c>
      <c r="P3" s="93">
        <f>IFERROR(INDIRECT($B$1&amp;"!P3"),"")</f>
        <v/>
      </c>
      <c r="Q3" s="93">
        <f>IFERROR(INDIRECT($B$1&amp;"!Q3"),"")</f>
        <v/>
      </c>
      <c r="R3" s="93">
        <f>IFERROR(INDIRECT($B$1&amp;"!R3"),"")</f>
        <v/>
      </c>
      <c r="S3" s="93">
        <f>IFERROR(INDIRECT($B$1&amp;"!S3"),"")</f>
        <v/>
      </c>
      <c r="T3" s="93">
        <f>IFERROR(INDIRECT($B$1&amp;"!T3"),"")</f>
        <v/>
      </c>
      <c r="U3" s="93">
        <f>IFERROR(INDIRECT($B$1&amp;"!U3"),"")</f>
        <v/>
      </c>
      <c r="V3" s="93">
        <f>IFERROR(INDIRECT($B$1&amp;"!V3"),"")</f>
        <v/>
      </c>
      <c r="W3" s="93">
        <f>IFERROR(INDIRECT($B$1&amp;"!W3"),"")</f>
        <v/>
      </c>
      <c r="X3" s="93">
        <f>IFERROR(INDIRECT($B$1&amp;"!X3"),"")</f>
        <v/>
      </c>
      <c r="Y3" s="93">
        <f>IFERROR(INDIRECT($B$1&amp;"!Y3"),"")</f>
        <v/>
      </c>
      <c r="Z3" s="93">
        <f>IFERROR(INDIRECT($B$1&amp;"!Z3"),"")</f>
        <v/>
      </c>
      <c r="AA3" s="93">
        <f>IFERROR(INDIRECT($B$1&amp;"!AA3"),"")</f>
        <v/>
      </c>
      <c r="AB3" s="93">
        <f>IFERROR(INDIRECT($B$1&amp;"!AB3"),"")</f>
        <v/>
      </c>
      <c r="AC3" s="93">
        <f>IFERROR(INDIRECT($B$1&amp;"!AC3"),"")</f>
        <v/>
      </c>
      <c r="AD3" s="93">
        <f>IFERROR(INDIRECT($B$1&amp;"!AD3"),"")</f>
        <v/>
      </c>
      <c r="AE3" s="93">
        <f>IFERROR(INDIRECT($B$1&amp;"!AE3"),"")</f>
        <v/>
      </c>
      <c r="AF3" s="93">
        <f>IFERROR(INDIRECT($B$1&amp;"!AF3"),"")</f>
        <v/>
      </c>
      <c r="AG3" s="93">
        <f>IFERROR(INDIRECT($B$1&amp;"!AG3"),"")</f>
        <v/>
      </c>
    </row>
    <row r="7">
      <c r="A7" s="40" t="inlineStr">
        <is>
          <t>médico</t>
        </is>
      </c>
      <c r="B7" s="40" t="inlineStr">
        <is>
          <t>mês</t>
        </is>
      </c>
    </row>
    <row r="8">
      <c r="A8" s="131" t="inlineStr">
        <is>
          <t>Frederico Pires</t>
        </is>
      </c>
      <c r="C8" s="132">
        <f>IFERROR(VLOOKUP(INDIRECT($B$1&amp;"!"&amp;ADDRESS(ROW(),COLUMN(),4)),CONFIG!$A$15:$B$28,2,FALSE),"")</f>
        <v/>
      </c>
      <c r="D8" s="132">
        <f>IFERROR(VLOOKUP(INDIRECT($B$1&amp;"!"&amp;ADDRESS(ROW(),COLUMN(),4)),CONFIG!$A$15:$B$28,2,FALSE),"")</f>
        <v/>
      </c>
      <c r="E8" s="132">
        <f>IFERROR(VLOOKUP(INDIRECT($B$1&amp;"!"&amp;ADDRESS(ROW(),COLUMN(),4)),CONFIG!$A$15:$B$28,2,FALSE),"")</f>
        <v/>
      </c>
      <c r="F8" s="132">
        <f>IFERROR(VLOOKUP(INDIRECT($B$1&amp;"!"&amp;ADDRESS(ROW(),COLUMN(),4)),CONFIG!$A$15:$B$28,2,FALSE),"")</f>
        <v/>
      </c>
      <c r="G8" s="132">
        <f>IFERROR(VLOOKUP(INDIRECT($B$1&amp;"!"&amp;ADDRESS(ROW(),COLUMN(),4)),CONFIG!$A$15:$B$28,2,FALSE),"")</f>
        <v/>
      </c>
      <c r="H8" s="132">
        <f>IFERROR(VLOOKUP(INDIRECT($B$1&amp;"!"&amp;ADDRESS(ROW(),COLUMN(),4)),CONFIG!$A$15:$B$28,2,FALSE),"")</f>
        <v/>
      </c>
      <c r="I8" s="132">
        <f>IFERROR(VLOOKUP(INDIRECT($B$1&amp;"!"&amp;ADDRESS(ROW(),COLUMN(),4)),CONFIG!$A$15:$B$28,2,FALSE),"")</f>
        <v/>
      </c>
      <c r="J8" s="132">
        <f>IFERROR(VLOOKUP(INDIRECT($B$1&amp;"!"&amp;ADDRESS(ROW(),COLUMN(),4)),CONFIG!$A$15:$B$28,2,FALSE),"")</f>
        <v/>
      </c>
      <c r="K8" s="132">
        <f>IFERROR(VLOOKUP(INDIRECT($B$1&amp;"!"&amp;ADDRESS(ROW(),COLUMN(),4)),CONFIG!$A$15:$B$28,2,FALSE),"")</f>
        <v/>
      </c>
      <c r="L8" s="132">
        <f>IFERROR(VLOOKUP(INDIRECT($B$1&amp;"!"&amp;ADDRESS(ROW(),COLUMN(),4)),CONFIG!$A$15:$B$28,2,FALSE),"")</f>
        <v/>
      </c>
      <c r="M8" s="132">
        <f>IFERROR(VLOOKUP(INDIRECT($B$1&amp;"!"&amp;ADDRESS(ROW(),COLUMN(),4)),CONFIG!$A$15:$B$28,2,FALSE),"")</f>
        <v/>
      </c>
      <c r="N8" s="132">
        <f>IFERROR(VLOOKUP(INDIRECT($B$1&amp;"!"&amp;ADDRESS(ROW(),COLUMN(),4)),CONFIG!$A$15:$B$28,2,FALSE),"")</f>
        <v/>
      </c>
      <c r="O8" s="132">
        <f>IFERROR(VLOOKUP(INDIRECT($B$1&amp;"!"&amp;ADDRESS(ROW(),COLUMN(),4)),CONFIG!$A$15:$B$28,2,FALSE),"")</f>
        <v/>
      </c>
      <c r="P8" s="132">
        <f>IFERROR(VLOOKUP(INDIRECT($B$1&amp;"!"&amp;ADDRESS(ROW(),COLUMN(),4)),CONFIG!$A$15:$B$28,2,FALSE),"")</f>
        <v/>
      </c>
      <c r="Q8" s="132">
        <f>IFERROR(VLOOKUP(INDIRECT($B$1&amp;"!"&amp;ADDRESS(ROW(),COLUMN(),4)),CONFIG!$A$15:$B$28,2,FALSE),"")</f>
        <v/>
      </c>
      <c r="R8" s="132">
        <f>IFERROR(VLOOKUP(INDIRECT($B$1&amp;"!"&amp;ADDRESS(ROW(),COLUMN(),4)),CONFIG!$A$15:$B$28,2,FALSE),"")</f>
        <v/>
      </c>
      <c r="S8" s="132">
        <f>IFERROR(VLOOKUP(INDIRECT($B$1&amp;"!"&amp;ADDRESS(ROW(),COLUMN(),4)),CONFIG!$A$15:$B$28,2,FALSE),"")</f>
        <v/>
      </c>
      <c r="T8" s="132">
        <f>IFERROR(VLOOKUP(INDIRECT($B$1&amp;"!"&amp;ADDRESS(ROW(),COLUMN(),4)),CONFIG!$A$15:$B$28,2,FALSE),"")</f>
        <v/>
      </c>
      <c r="U8" s="132">
        <f>IFERROR(VLOOKUP(INDIRECT($B$1&amp;"!"&amp;ADDRESS(ROW(),COLUMN(),4)),CONFIG!$A$15:$B$28,2,FALSE),"")</f>
        <v/>
      </c>
      <c r="V8" s="132">
        <f>IFERROR(VLOOKUP(INDIRECT($B$1&amp;"!"&amp;ADDRESS(ROW(),COLUMN(),4)),CONFIG!$A$15:$B$28,2,FALSE),"")</f>
        <v/>
      </c>
      <c r="W8" s="132">
        <f>IFERROR(VLOOKUP(INDIRECT($B$1&amp;"!"&amp;ADDRESS(ROW(),COLUMN(),4)),CONFIG!$A$15:$B$28,2,FALSE),"")</f>
        <v/>
      </c>
      <c r="X8" s="132">
        <f>IFERROR(VLOOKUP(INDIRECT($B$1&amp;"!"&amp;ADDRESS(ROW(),COLUMN(),4)),CONFIG!$A$15:$B$28,2,FALSE),"")</f>
        <v/>
      </c>
      <c r="Y8" s="132">
        <f>IFERROR(VLOOKUP(INDIRECT($B$1&amp;"!"&amp;ADDRESS(ROW(),COLUMN(),4)),CONFIG!$A$15:$B$28,2,FALSE),"")</f>
        <v/>
      </c>
      <c r="Z8" s="132">
        <f>IFERROR(VLOOKUP(INDIRECT($B$1&amp;"!"&amp;ADDRESS(ROW(),COLUMN(),4)),CONFIG!$A$15:$B$28,2,FALSE),"")</f>
        <v/>
      </c>
      <c r="AA8" s="132">
        <f>IFERROR(VLOOKUP(INDIRECT($B$1&amp;"!"&amp;ADDRESS(ROW(),COLUMN(),4)),CONFIG!$A$15:$B$28,2,FALSE),"")</f>
        <v/>
      </c>
      <c r="AB8" s="132">
        <f>IFERROR(VLOOKUP(INDIRECT($B$1&amp;"!"&amp;ADDRESS(ROW(),COLUMN(),4)),CONFIG!$A$15:$B$28,2,FALSE),"")</f>
        <v/>
      </c>
      <c r="AC8" s="132">
        <f>IFERROR(VLOOKUP(INDIRECT($B$1&amp;"!"&amp;ADDRESS(ROW(),COLUMN(),4)),CONFIG!$A$15:$B$28,2,FALSE),"")</f>
        <v/>
      </c>
      <c r="AD8" s="132">
        <f>IFERROR(VLOOKUP(INDIRECT($B$1&amp;"!"&amp;ADDRESS(ROW(),COLUMN(),4)),CONFIG!$A$15:$B$28,2,FALSE),"")</f>
        <v/>
      </c>
      <c r="AE8" s="132">
        <f>IFERROR(VLOOKUP(INDIRECT($B$1&amp;"!"&amp;ADDRESS(ROW(),COLUMN(),4)),CONFIG!$A$15:$B$28,2,FALSE),"")</f>
        <v/>
      </c>
      <c r="AF8" s="132">
        <f>IFERROR(VLOOKUP(INDIRECT($B$1&amp;"!"&amp;ADDRESS(ROW(),COLUMN(),4)),CONFIG!$A$15:$B$28,2,FALSE),"")</f>
        <v/>
      </c>
      <c r="AG8" s="132">
        <f>IFERROR(VLOOKUP(INDIRECT($B$1&amp;"!"&amp;ADDRESS(ROW(),COLUMN(),4)),CONFIG!$A$15:$B$28,2,FALSE),"")</f>
        <v/>
      </c>
    </row>
    <row r="9">
      <c r="A9" s="131" t="inlineStr">
        <is>
          <t>Milena</t>
        </is>
      </c>
      <c r="C9" s="132">
        <f>IFERROR(VLOOKUP(INDIRECT($B$1&amp;"!"&amp;ADDRESS(ROW(),COLUMN(),4)),CONFIG!$A$15:$B$28,2,FALSE),"")</f>
        <v/>
      </c>
      <c r="D9" s="132">
        <f>IFERROR(VLOOKUP(INDIRECT($B$1&amp;"!"&amp;ADDRESS(ROW(),COLUMN(),4)),CONFIG!$A$15:$B$28,2,FALSE),"")</f>
        <v/>
      </c>
      <c r="E9" s="132">
        <f>IFERROR(VLOOKUP(INDIRECT($B$1&amp;"!"&amp;ADDRESS(ROW(),COLUMN(),4)),CONFIG!$A$15:$B$28,2,FALSE),"")</f>
        <v/>
      </c>
      <c r="F9" s="132">
        <f>IFERROR(VLOOKUP(INDIRECT($B$1&amp;"!"&amp;ADDRESS(ROW(),COLUMN(),4)),CONFIG!$A$15:$B$28,2,FALSE),"")</f>
        <v/>
      </c>
      <c r="G9" s="132">
        <f>IFERROR(VLOOKUP(INDIRECT($B$1&amp;"!"&amp;ADDRESS(ROW(),COLUMN(),4)),CONFIG!$A$15:$B$28,2,FALSE),"")</f>
        <v/>
      </c>
      <c r="H9" s="132">
        <f>IFERROR(VLOOKUP(INDIRECT($B$1&amp;"!"&amp;ADDRESS(ROW(),COLUMN(),4)),CONFIG!$A$15:$B$28,2,FALSE),"")</f>
        <v/>
      </c>
      <c r="I9" s="132">
        <f>IFERROR(VLOOKUP(INDIRECT($B$1&amp;"!"&amp;ADDRESS(ROW(),COLUMN(),4)),CONFIG!$A$15:$B$28,2,FALSE),"")</f>
        <v/>
      </c>
      <c r="J9" s="132">
        <f>IFERROR(VLOOKUP(INDIRECT($B$1&amp;"!"&amp;ADDRESS(ROW(),COLUMN(),4)),CONFIG!$A$15:$B$28,2,FALSE),"")</f>
        <v/>
      </c>
      <c r="K9" s="132">
        <f>IFERROR(VLOOKUP(INDIRECT($B$1&amp;"!"&amp;ADDRESS(ROW(),COLUMN(),4)),CONFIG!$A$15:$B$28,2,FALSE),"")</f>
        <v/>
      </c>
      <c r="L9" s="132">
        <f>IFERROR(VLOOKUP(INDIRECT($B$1&amp;"!"&amp;ADDRESS(ROW(),COLUMN(),4)),CONFIG!$A$15:$B$28,2,FALSE),"")</f>
        <v/>
      </c>
      <c r="M9" s="132">
        <f>IFERROR(VLOOKUP(INDIRECT($B$1&amp;"!"&amp;ADDRESS(ROW(),COLUMN(),4)),CONFIG!$A$15:$B$28,2,FALSE),"")</f>
        <v/>
      </c>
      <c r="N9" s="132">
        <f>IFERROR(VLOOKUP(INDIRECT($B$1&amp;"!"&amp;ADDRESS(ROW(),COLUMN(),4)),CONFIG!$A$15:$B$28,2,FALSE),"")</f>
        <v/>
      </c>
      <c r="O9" s="132">
        <f>IFERROR(VLOOKUP(INDIRECT($B$1&amp;"!"&amp;ADDRESS(ROW(),COLUMN(),4)),CONFIG!$A$15:$B$28,2,FALSE),"")</f>
        <v/>
      </c>
      <c r="P9" s="132">
        <f>IFERROR(VLOOKUP(INDIRECT($B$1&amp;"!"&amp;ADDRESS(ROW(),COLUMN(),4)),CONFIG!$A$15:$B$28,2,FALSE),"")</f>
        <v/>
      </c>
      <c r="Q9" s="132">
        <f>IFERROR(VLOOKUP(INDIRECT($B$1&amp;"!"&amp;ADDRESS(ROW(),COLUMN(),4)),CONFIG!$A$15:$B$28,2,FALSE),"")</f>
        <v/>
      </c>
      <c r="R9" s="132">
        <f>IFERROR(VLOOKUP(INDIRECT($B$1&amp;"!"&amp;ADDRESS(ROW(),COLUMN(),4)),CONFIG!$A$15:$B$28,2,FALSE),"")</f>
        <v/>
      </c>
      <c r="S9" s="132">
        <f>IFERROR(VLOOKUP(INDIRECT($B$1&amp;"!"&amp;ADDRESS(ROW(),COLUMN(),4)),CONFIG!$A$15:$B$28,2,FALSE),"")</f>
        <v/>
      </c>
      <c r="T9" s="132">
        <f>IFERROR(VLOOKUP(INDIRECT($B$1&amp;"!"&amp;ADDRESS(ROW(),COLUMN(),4)),CONFIG!$A$15:$B$28,2,FALSE),"")</f>
        <v/>
      </c>
      <c r="U9" s="132">
        <f>IFERROR(VLOOKUP(INDIRECT($B$1&amp;"!"&amp;ADDRESS(ROW(),COLUMN(),4)),CONFIG!$A$15:$B$28,2,FALSE),"")</f>
        <v/>
      </c>
      <c r="V9" s="132">
        <f>IFERROR(VLOOKUP(INDIRECT($B$1&amp;"!"&amp;ADDRESS(ROW(),COLUMN(),4)),CONFIG!$A$15:$B$28,2,FALSE),"")</f>
        <v/>
      </c>
      <c r="W9" s="132">
        <f>IFERROR(VLOOKUP(INDIRECT($B$1&amp;"!"&amp;ADDRESS(ROW(),COLUMN(),4)),CONFIG!$A$15:$B$28,2,FALSE),"")</f>
        <v/>
      </c>
      <c r="X9" s="132">
        <f>IFERROR(VLOOKUP(INDIRECT($B$1&amp;"!"&amp;ADDRESS(ROW(),COLUMN(),4)),CONFIG!$A$15:$B$28,2,FALSE),"")</f>
        <v/>
      </c>
      <c r="Y9" s="132">
        <f>IFERROR(VLOOKUP(INDIRECT($B$1&amp;"!"&amp;ADDRESS(ROW(),COLUMN(),4)),CONFIG!$A$15:$B$28,2,FALSE),"")</f>
        <v/>
      </c>
      <c r="Z9" s="132">
        <f>IFERROR(VLOOKUP(INDIRECT($B$1&amp;"!"&amp;ADDRESS(ROW(),COLUMN(),4)),CONFIG!$A$15:$B$28,2,FALSE),"")</f>
        <v/>
      </c>
      <c r="AA9" s="132">
        <f>IFERROR(VLOOKUP(INDIRECT($B$1&amp;"!"&amp;ADDRESS(ROW(),COLUMN(),4)),CONFIG!$A$15:$B$28,2,FALSE),"")</f>
        <v/>
      </c>
      <c r="AB9" s="132">
        <f>IFERROR(VLOOKUP(INDIRECT($B$1&amp;"!"&amp;ADDRESS(ROW(),COLUMN(),4)),CONFIG!$A$15:$B$28,2,FALSE),"")</f>
        <v/>
      </c>
      <c r="AC9" s="132">
        <f>IFERROR(VLOOKUP(INDIRECT($B$1&amp;"!"&amp;ADDRESS(ROW(),COLUMN(),4)),CONFIG!$A$15:$B$28,2,FALSE),"")</f>
        <v/>
      </c>
      <c r="AD9" s="132">
        <f>IFERROR(VLOOKUP(INDIRECT($B$1&amp;"!"&amp;ADDRESS(ROW(),COLUMN(),4)),CONFIG!$A$15:$B$28,2,FALSE),"")</f>
        <v/>
      </c>
      <c r="AE9" s="132">
        <f>IFERROR(VLOOKUP(INDIRECT($B$1&amp;"!"&amp;ADDRESS(ROW(),COLUMN(),4)),CONFIG!$A$15:$B$28,2,FALSE),"")</f>
        <v/>
      </c>
      <c r="AF9" s="132">
        <f>IFERROR(VLOOKUP(INDIRECT($B$1&amp;"!"&amp;ADDRESS(ROW(),COLUMN(),4)),CONFIG!$A$15:$B$28,2,FALSE),"")</f>
        <v/>
      </c>
      <c r="AG9" s="132">
        <f>IFERROR(VLOOKUP(INDIRECT($B$1&amp;"!"&amp;ADDRESS(ROW(),COLUMN(),4)),CONFIG!$A$15:$B$28,2,FALSE),"")</f>
        <v/>
      </c>
    </row>
    <row r="10">
      <c r="A10" s="131" t="inlineStr">
        <is>
          <t>Paula Abdo</t>
        </is>
      </c>
      <c r="C10" s="132">
        <f>IFERROR(VLOOKUP(INDIRECT($B$1&amp;"!"&amp;ADDRESS(ROW(),COLUMN(),4)),CONFIG!$A$15:$B$28,2,FALSE),"")</f>
        <v/>
      </c>
      <c r="D10" s="132">
        <f>IFERROR(VLOOKUP(INDIRECT($B$1&amp;"!"&amp;ADDRESS(ROW(),COLUMN(),4)),CONFIG!$A$15:$B$28,2,FALSE),"")</f>
        <v/>
      </c>
      <c r="E10" s="132">
        <f>IFERROR(VLOOKUP(INDIRECT($B$1&amp;"!"&amp;ADDRESS(ROW(),COLUMN(),4)),CONFIG!$A$15:$B$28,2,FALSE),"")</f>
        <v/>
      </c>
      <c r="F10" s="132">
        <f>IFERROR(VLOOKUP(INDIRECT($B$1&amp;"!"&amp;ADDRESS(ROW(),COLUMN(),4)),CONFIG!$A$15:$B$28,2,FALSE),"")</f>
        <v/>
      </c>
      <c r="G10" s="132">
        <f>IFERROR(VLOOKUP(INDIRECT($B$1&amp;"!"&amp;ADDRESS(ROW(),COLUMN(),4)),CONFIG!$A$15:$B$28,2,FALSE),"")</f>
        <v/>
      </c>
      <c r="H10" s="132">
        <f>IFERROR(VLOOKUP(INDIRECT($B$1&amp;"!"&amp;ADDRESS(ROW(),COLUMN(),4)),CONFIG!$A$15:$B$28,2,FALSE),"")</f>
        <v/>
      </c>
      <c r="I10" s="132">
        <f>IFERROR(VLOOKUP(INDIRECT($B$1&amp;"!"&amp;ADDRESS(ROW(),COLUMN(),4)),CONFIG!$A$15:$B$28,2,FALSE),"")</f>
        <v/>
      </c>
      <c r="J10" s="132">
        <f>IFERROR(VLOOKUP(INDIRECT($B$1&amp;"!"&amp;ADDRESS(ROW(),COLUMN(),4)),CONFIG!$A$15:$B$28,2,FALSE),"")</f>
        <v/>
      </c>
      <c r="K10" s="132">
        <f>IFERROR(VLOOKUP(INDIRECT($B$1&amp;"!"&amp;ADDRESS(ROW(),COLUMN(),4)),CONFIG!$A$15:$B$28,2,FALSE),"")</f>
        <v/>
      </c>
      <c r="L10" s="132">
        <f>IFERROR(VLOOKUP(INDIRECT($B$1&amp;"!"&amp;ADDRESS(ROW(),COLUMN(),4)),CONFIG!$A$15:$B$28,2,FALSE),"")</f>
        <v/>
      </c>
      <c r="M10" s="132">
        <f>IFERROR(VLOOKUP(INDIRECT($B$1&amp;"!"&amp;ADDRESS(ROW(),COLUMN(),4)),CONFIG!$A$15:$B$28,2,FALSE),"")</f>
        <v/>
      </c>
      <c r="N10" s="132">
        <f>IFERROR(VLOOKUP(INDIRECT($B$1&amp;"!"&amp;ADDRESS(ROW(),COLUMN(),4)),CONFIG!$A$15:$B$28,2,FALSE),"")</f>
        <v/>
      </c>
      <c r="O10" s="132">
        <f>IFERROR(VLOOKUP(INDIRECT($B$1&amp;"!"&amp;ADDRESS(ROW(),COLUMN(),4)),CONFIG!$A$15:$B$28,2,FALSE),"")</f>
        <v/>
      </c>
      <c r="P10" s="132">
        <f>IFERROR(VLOOKUP(INDIRECT($B$1&amp;"!"&amp;ADDRESS(ROW(),COLUMN(),4)),CONFIG!$A$15:$B$28,2,FALSE),"")</f>
        <v/>
      </c>
      <c r="Q10" s="132">
        <f>IFERROR(VLOOKUP(INDIRECT($B$1&amp;"!"&amp;ADDRESS(ROW(),COLUMN(),4)),CONFIG!$A$15:$B$28,2,FALSE),"")</f>
        <v/>
      </c>
      <c r="R10" s="132">
        <f>IFERROR(VLOOKUP(INDIRECT($B$1&amp;"!"&amp;ADDRESS(ROW(),COLUMN(),4)),CONFIG!$A$15:$B$28,2,FALSE),"")</f>
        <v/>
      </c>
      <c r="S10" s="132">
        <f>IFERROR(VLOOKUP(INDIRECT($B$1&amp;"!"&amp;ADDRESS(ROW(),COLUMN(),4)),CONFIG!$A$15:$B$28,2,FALSE),"")</f>
        <v/>
      </c>
      <c r="T10" s="132">
        <f>IFERROR(VLOOKUP(INDIRECT($B$1&amp;"!"&amp;ADDRESS(ROW(),COLUMN(),4)),CONFIG!$A$15:$B$28,2,FALSE),"")</f>
        <v/>
      </c>
      <c r="U10" s="132">
        <f>IFERROR(VLOOKUP(INDIRECT($B$1&amp;"!"&amp;ADDRESS(ROW(),COLUMN(),4)),CONFIG!$A$15:$B$28,2,FALSE),"")</f>
        <v/>
      </c>
      <c r="V10" s="132">
        <f>IFERROR(VLOOKUP(INDIRECT($B$1&amp;"!"&amp;ADDRESS(ROW(),COLUMN(),4)),CONFIG!$A$15:$B$28,2,FALSE),"")</f>
        <v/>
      </c>
      <c r="W10" s="132">
        <f>IFERROR(VLOOKUP(INDIRECT($B$1&amp;"!"&amp;ADDRESS(ROW(),COLUMN(),4)),CONFIG!$A$15:$B$28,2,FALSE),"")</f>
        <v/>
      </c>
      <c r="X10" s="132">
        <f>IFERROR(VLOOKUP(INDIRECT($B$1&amp;"!"&amp;ADDRESS(ROW(),COLUMN(),4)),CONFIG!$A$15:$B$28,2,FALSE),"")</f>
        <v/>
      </c>
      <c r="Y10" s="132">
        <f>IFERROR(VLOOKUP(INDIRECT($B$1&amp;"!"&amp;ADDRESS(ROW(),COLUMN(),4)),CONFIG!$A$15:$B$28,2,FALSE),"")</f>
        <v/>
      </c>
      <c r="Z10" s="132">
        <f>IFERROR(VLOOKUP(INDIRECT($B$1&amp;"!"&amp;ADDRESS(ROW(),COLUMN(),4)),CONFIG!$A$15:$B$28,2,FALSE),"")</f>
        <v/>
      </c>
      <c r="AA10" s="132">
        <f>IFERROR(VLOOKUP(INDIRECT($B$1&amp;"!"&amp;ADDRESS(ROW(),COLUMN(),4)),CONFIG!$A$15:$B$28,2,FALSE),"")</f>
        <v/>
      </c>
      <c r="AB10" s="132">
        <f>IFERROR(VLOOKUP(INDIRECT($B$1&amp;"!"&amp;ADDRESS(ROW(),COLUMN(),4)),CONFIG!$A$15:$B$28,2,FALSE),"")</f>
        <v/>
      </c>
      <c r="AC10" s="132">
        <f>IFERROR(VLOOKUP(INDIRECT($B$1&amp;"!"&amp;ADDRESS(ROW(),COLUMN(),4)),CONFIG!$A$15:$B$28,2,FALSE),"")</f>
        <v/>
      </c>
      <c r="AD10" s="132">
        <f>IFERROR(VLOOKUP(INDIRECT($B$1&amp;"!"&amp;ADDRESS(ROW(),COLUMN(),4)),CONFIG!$A$15:$B$28,2,FALSE),"")</f>
        <v/>
      </c>
      <c r="AE10" s="132">
        <f>IFERROR(VLOOKUP(INDIRECT($B$1&amp;"!"&amp;ADDRESS(ROW(),COLUMN(),4)),CONFIG!$A$15:$B$28,2,FALSE),"")</f>
        <v/>
      </c>
      <c r="AF10" s="132">
        <f>IFERROR(VLOOKUP(INDIRECT($B$1&amp;"!"&amp;ADDRESS(ROW(),COLUMN(),4)),CONFIG!$A$15:$B$28,2,FALSE),"")</f>
        <v/>
      </c>
      <c r="AG10" s="132">
        <f>IFERROR(VLOOKUP(INDIRECT($B$1&amp;"!"&amp;ADDRESS(ROW(),COLUMN(),4)),CONFIG!$A$15:$B$28,2,FALSE),"")</f>
        <v/>
      </c>
    </row>
    <row r="11">
      <c r="A11" s="131" t="inlineStr">
        <is>
          <t>Marina Salomão</t>
        </is>
      </c>
      <c r="C11" s="132">
        <f>IFERROR(VLOOKUP(INDIRECT($B$1&amp;"!"&amp;ADDRESS(ROW(),COLUMN(),4)),CONFIG!$A$15:$B$28,2,FALSE),"")</f>
        <v/>
      </c>
      <c r="D11" s="132">
        <f>IFERROR(VLOOKUP(INDIRECT($B$1&amp;"!"&amp;ADDRESS(ROW(),COLUMN(),4)),CONFIG!$A$15:$B$28,2,FALSE),"")</f>
        <v/>
      </c>
      <c r="E11" s="132">
        <f>IFERROR(VLOOKUP(INDIRECT($B$1&amp;"!"&amp;ADDRESS(ROW(),COLUMN(),4)),CONFIG!$A$15:$B$28,2,FALSE),"")</f>
        <v/>
      </c>
      <c r="F11" s="132">
        <f>IFERROR(VLOOKUP(INDIRECT($B$1&amp;"!"&amp;ADDRESS(ROW(),COLUMN(),4)),CONFIG!$A$15:$B$28,2,FALSE),"")</f>
        <v/>
      </c>
      <c r="G11" s="132">
        <f>IFERROR(VLOOKUP(INDIRECT($B$1&amp;"!"&amp;ADDRESS(ROW(),COLUMN(),4)),CONFIG!$A$15:$B$28,2,FALSE),"")</f>
        <v/>
      </c>
      <c r="H11" s="132">
        <f>IFERROR(VLOOKUP(INDIRECT($B$1&amp;"!"&amp;ADDRESS(ROW(),COLUMN(),4)),CONFIG!$A$15:$B$28,2,FALSE),"")</f>
        <v/>
      </c>
      <c r="I11" s="132">
        <f>IFERROR(VLOOKUP(INDIRECT($B$1&amp;"!"&amp;ADDRESS(ROW(),COLUMN(),4)),CONFIG!$A$15:$B$28,2,FALSE),"")</f>
        <v/>
      </c>
      <c r="J11" s="132">
        <f>IFERROR(VLOOKUP(INDIRECT($B$1&amp;"!"&amp;ADDRESS(ROW(),COLUMN(),4)),CONFIG!$A$15:$B$28,2,FALSE),"")</f>
        <v/>
      </c>
      <c r="K11" s="132">
        <f>IFERROR(VLOOKUP(INDIRECT($B$1&amp;"!"&amp;ADDRESS(ROW(),COLUMN(),4)),CONFIG!$A$15:$B$28,2,FALSE),"")</f>
        <v/>
      </c>
      <c r="L11" s="132">
        <f>IFERROR(VLOOKUP(INDIRECT($B$1&amp;"!"&amp;ADDRESS(ROW(),COLUMN(),4)),CONFIG!$A$15:$B$28,2,FALSE),"")</f>
        <v/>
      </c>
      <c r="M11" s="132">
        <f>IFERROR(VLOOKUP(INDIRECT($B$1&amp;"!"&amp;ADDRESS(ROW(),COLUMN(),4)),CONFIG!$A$15:$B$28,2,FALSE),"")</f>
        <v/>
      </c>
      <c r="N11" s="132">
        <f>IFERROR(VLOOKUP(INDIRECT($B$1&amp;"!"&amp;ADDRESS(ROW(),COLUMN(),4)),CONFIG!$A$15:$B$28,2,FALSE),"")</f>
        <v/>
      </c>
      <c r="O11" s="132">
        <f>IFERROR(VLOOKUP(INDIRECT($B$1&amp;"!"&amp;ADDRESS(ROW(),COLUMN(),4)),CONFIG!$A$15:$B$28,2,FALSE),"")</f>
        <v/>
      </c>
      <c r="P11" s="132">
        <f>IFERROR(VLOOKUP(INDIRECT($B$1&amp;"!"&amp;ADDRESS(ROW(),COLUMN(),4)),CONFIG!$A$15:$B$28,2,FALSE),"")</f>
        <v/>
      </c>
      <c r="Q11" s="132">
        <f>IFERROR(VLOOKUP(INDIRECT($B$1&amp;"!"&amp;ADDRESS(ROW(),COLUMN(),4)),CONFIG!$A$15:$B$28,2,FALSE),"")</f>
        <v/>
      </c>
      <c r="R11" s="132">
        <f>IFERROR(VLOOKUP(INDIRECT($B$1&amp;"!"&amp;ADDRESS(ROW(),COLUMN(),4)),CONFIG!$A$15:$B$28,2,FALSE),"")</f>
        <v/>
      </c>
      <c r="S11" s="132">
        <f>IFERROR(VLOOKUP(INDIRECT($B$1&amp;"!"&amp;ADDRESS(ROW(),COLUMN(),4)),CONFIG!$A$15:$B$28,2,FALSE),"")</f>
        <v/>
      </c>
      <c r="T11" s="132">
        <f>IFERROR(VLOOKUP(INDIRECT($B$1&amp;"!"&amp;ADDRESS(ROW(),COLUMN(),4)),CONFIG!$A$15:$B$28,2,FALSE),"")</f>
        <v/>
      </c>
      <c r="U11" s="132">
        <f>IFERROR(VLOOKUP(INDIRECT($B$1&amp;"!"&amp;ADDRESS(ROW(),COLUMN(),4)),CONFIG!$A$15:$B$28,2,FALSE),"")</f>
        <v/>
      </c>
      <c r="V11" s="132">
        <f>IFERROR(VLOOKUP(INDIRECT($B$1&amp;"!"&amp;ADDRESS(ROW(),COLUMN(),4)),CONFIG!$A$15:$B$28,2,FALSE),"")</f>
        <v/>
      </c>
      <c r="W11" s="132">
        <f>IFERROR(VLOOKUP(INDIRECT($B$1&amp;"!"&amp;ADDRESS(ROW(),COLUMN(),4)),CONFIG!$A$15:$B$28,2,FALSE),"")</f>
        <v/>
      </c>
      <c r="X11" s="132">
        <f>IFERROR(VLOOKUP(INDIRECT($B$1&amp;"!"&amp;ADDRESS(ROW(),COLUMN(),4)),CONFIG!$A$15:$B$28,2,FALSE),"")</f>
        <v/>
      </c>
      <c r="Y11" s="132">
        <f>IFERROR(VLOOKUP(INDIRECT($B$1&amp;"!"&amp;ADDRESS(ROW(),COLUMN(),4)),CONFIG!$A$15:$B$28,2,FALSE),"")</f>
        <v/>
      </c>
      <c r="Z11" s="132">
        <f>IFERROR(VLOOKUP(INDIRECT($B$1&amp;"!"&amp;ADDRESS(ROW(),COLUMN(),4)),CONFIG!$A$15:$B$28,2,FALSE),"")</f>
        <v/>
      </c>
      <c r="AA11" s="132">
        <f>IFERROR(VLOOKUP(INDIRECT($B$1&amp;"!"&amp;ADDRESS(ROW(),COLUMN(),4)),CONFIG!$A$15:$B$28,2,FALSE),"")</f>
        <v/>
      </c>
      <c r="AB11" s="132">
        <f>IFERROR(VLOOKUP(INDIRECT($B$1&amp;"!"&amp;ADDRESS(ROW(),COLUMN(),4)),CONFIG!$A$15:$B$28,2,FALSE),"")</f>
        <v/>
      </c>
      <c r="AC11" s="132">
        <f>IFERROR(VLOOKUP(INDIRECT($B$1&amp;"!"&amp;ADDRESS(ROW(),COLUMN(),4)),CONFIG!$A$15:$B$28,2,FALSE),"")</f>
        <v/>
      </c>
      <c r="AD11" s="132">
        <f>IFERROR(VLOOKUP(INDIRECT($B$1&amp;"!"&amp;ADDRESS(ROW(),COLUMN(),4)),CONFIG!$A$15:$B$28,2,FALSE),"")</f>
        <v/>
      </c>
      <c r="AE11" s="132">
        <f>IFERROR(VLOOKUP(INDIRECT($B$1&amp;"!"&amp;ADDRESS(ROW(),COLUMN(),4)),CONFIG!$A$15:$B$28,2,FALSE),"")</f>
        <v/>
      </c>
      <c r="AF11" s="132">
        <f>IFERROR(VLOOKUP(INDIRECT($B$1&amp;"!"&amp;ADDRESS(ROW(),COLUMN(),4)),CONFIG!$A$15:$B$28,2,FALSE),"")</f>
        <v/>
      </c>
      <c r="AG11" s="132">
        <f>IFERROR(VLOOKUP(INDIRECT($B$1&amp;"!"&amp;ADDRESS(ROW(),COLUMN(),4)),CONFIG!$A$15:$B$28,2,FALSE),"")</f>
        <v/>
      </c>
    </row>
    <row r="12">
      <c r="A12" s="131" t="inlineStr">
        <is>
          <t>Deborah Alves</t>
        </is>
      </c>
      <c r="C12" s="132">
        <f>IFERROR(VLOOKUP(INDIRECT($B$1&amp;"!"&amp;ADDRESS(ROW(),COLUMN(),4)),CONFIG!$A$15:$B$28,2,FALSE),"")</f>
        <v/>
      </c>
      <c r="D12" s="132">
        <f>IFERROR(VLOOKUP(INDIRECT($B$1&amp;"!"&amp;ADDRESS(ROW(),COLUMN(),4)),CONFIG!$A$15:$B$28,2,FALSE),"")</f>
        <v/>
      </c>
      <c r="E12" s="132">
        <f>IFERROR(VLOOKUP(INDIRECT($B$1&amp;"!"&amp;ADDRESS(ROW(),COLUMN(),4)),CONFIG!$A$15:$B$28,2,FALSE),"")</f>
        <v/>
      </c>
      <c r="F12" s="132">
        <f>IFERROR(VLOOKUP(INDIRECT($B$1&amp;"!"&amp;ADDRESS(ROW(),COLUMN(),4)),CONFIG!$A$15:$B$28,2,FALSE),"")</f>
        <v/>
      </c>
      <c r="G12" s="132">
        <f>IFERROR(VLOOKUP(INDIRECT($B$1&amp;"!"&amp;ADDRESS(ROW(),COLUMN(),4)),CONFIG!$A$15:$B$28,2,FALSE),"")</f>
        <v/>
      </c>
      <c r="H12" s="132">
        <f>IFERROR(VLOOKUP(INDIRECT($B$1&amp;"!"&amp;ADDRESS(ROW(),COLUMN(),4)),CONFIG!$A$15:$B$28,2,FALSE),"")</f>
        <v/>
      </c>
      <c r="I12" s="132">
        <f>IFERROR(VLOOKUP(INDIRECT($B$1&amp;"!"&amp;ADDRESS(ROW(),COLUMN(),4)),CONFIG!$A$15:$B$28,2,FALSE),"")</f>
        <v/>
      </c>
      <c r="J12" s="132">
        <f>IFERROR(VLOOKUP(INDIRECT($B$1&amp;"!"&amp;ADDRESS(ROW(),COLUMN(),4)),CONFIG!$A$15:$B$28,2,FALSE),"")</f>
        <v/>
      </c>
      <c r="K12" s="132">
        <f>IFERROR(VLOOKUP(INDIRECT($B$1&amp;"!"&amp;ADDRESS(ROW(),COLUMN(),4)),CONFIG!$A$15:$B$28,2,FALSE),"")</f>
        <v/>
      </c>
      <c r="L12" s="132">
        <f>IFERROR(VLOOKUP(INDIRECT($B$1&amp;"!"&amp;ADDRESS(ROW(),COLUMN(),4)),CONFIG!$A$15:$B$28,2,FALSE),"")</f>
        <v/>
      </c>
      <c r="M12" s="132">
        <f>IFERROR(VLOOKUP(INDIRECT($B$1&amp;"!"&amp;ADDRESS(ROW(),COLUMN(),4)),CONFIG!$A$15:$B$28,2,FALSE),"")</f>
        <v/>
      </c>
      <c r="N12" s="132">
        <f>IFERROR(VLOOKUP(INDIRECT($B$1&amp;"!"&amp;ADDRESS(ROW(),COLUMN(),4)),CONFIG!$A$15:$B$28,2,FALSE),"")</f>
        <v/>
      </c>
      <c r="O12" s="132">
        <f>IFERROR(VLOOKUP(INDIRECT($B$1&amp;"!"&amp;ADDRESS(ROW(),COLUMN(),4)),CONFIG!$A$15:$B$28,2,FALSE),"")</f>
        <v/>
      </c>
      <c r="P12" s="132">
        <f>IFERROR(VLOOKUP(INDIRECT($B$1&amp;"!"&amp;ADDRESS(ROW(),COLUMN(),4)),CONFIG!$A$15:$B$28,2,FALSE),"")</f>
        <v/>
      </c>
      <c r="Q12" s="132">
        <f>IFERROR(VLOOKUP(INDIRECT($B$1&amp;"!"&amp;ADDRESS(ROW(),COLUMN(),4)),CONFIG!$A$15:$B$28,2,FALSE),"")</f>
        <v/>
      </c>
      <c r="R12" s="132">
        <f>IFERROR(VLOOKUP(INDIRECT($B$1&amp;"!"&amp;ADDRESS(ROW(),COLUMN(),4)),CONFIG!$A$15:$B$28,2,FALSE),"")</f>
        <v/>
      </c>
      <c r="S12" s="132">
        <f>IFERROR(VLOOKUP(INDIRECT($B$1&amp;"!"&amp;ADDRESS(ROW(),COLUMN(),4)),CONFIG!$A$15:$B$28,2,FALSE),"")</f>
        <v/>
      </c>
      <c r="T12" s="132">
        <f>IFERROR(VLOOKUP(INDIRECT($B$1&amp;"!"&amp;ADDRESS(ROW(),COLUMN(),4)),CONFIG!$A$15:$B$28,2,FALSE),"")</f>
        <v/>
      </c>
      <c r="U12" s="132">
        <f>IFERROR(VLOOKUP(INDIRECT($B$1&amp;"!"&amp;ADDRESS(ROW(),COLUMN(),4)),CONFIG!$A$15:$B$28,2,FALSE),"")</f>
        <v/>
      </c>
      <c r="V12" s="132">
        <f>IFERROR(VLOOKUP(INDIRECT($B$1&amp;"!"&amp;ADDRESS(ROW(),COLUMN(),4)),CONFIG!$A$15:$B$28,2,FALSE),"")</f>
        <v/>
      </c>
      <c r="W12" s="132">
        <f>IFERROR(VLOOKUP(INDIRECT($B$1&amp;"!"&amp;ADDRESS(ROW(),COLUMN(),4)),CONFIG!$A$15:$B$28,2,FALSE),"")</f>
        <v/>
      </c>
      <c r="X12" s="132">
        <f>IFERROR(VLOOKUP(INDIRECT($B$1&amp;"!"&amp;ADDRESS(ROW(),COLUMN(),4)),CONFIG!$A$15:$B$28,2,FALSE),"")</f>
        <v/>
      </c>
      <c r="Y12" s="132">
        <f>IFERROR(VLOOKUP(INDIRECT($B$1&amp;"!"&amp;ADDRESS(ROW(),COLUMN(),4)),CONFIG!$A$15:$B$28,2,FALSE),"")</f>
        <v/>
      </c>
      <c r="Z12" s="132">
        <f>IFERROR(VLOOKUP(INDIRECT($B$1&amp;"!"&amp;ADDRESS(ROW(),COLUMN(),4)),CONFIG!$A$15:$B$28,2,FALSE),"")</f>
        <v/>
      </c>
      <c r="AA12" s="132">
        <f>IFERROR(VLOOKUP(INDIRECT($B$1&amp;"!"&amp;ADDRESS(ROW(),COLUMN(),4)),CONFIG!$A$15:$B$28,2,FALSE),"")</f>
        <v/>
      </c>
      <c r="AB12" s="132">
        <f>IFERROR(VLOOKUP(INDIRECT($B$1&amp;"!"&amp;ADDRESS(ROW(),COLUMN(),4)),CONFIG!$A$15:$B$28,2,FALSE),"")</f>
        <v/>
      </c>
      <c r="AC12" s="132">
        <f>IFERROR(VLOOKUP(INDIRECT($B$1&amp;"!"&amp;ADDRESS(ROW(),COLUMN(),4)),CONFIG!$A$15:$B$28,2,FALSE),"")</f>
        <v/>
      </c>
      <c r="AD12" s="132">
        <f>IFERROR(VLOOKUP(INDIRECT($B$1&amp;"!"&amp;ADDRESS(ROW(),COLUMN(),4)),CONFIG!$A$15:$B$28,2,FALSE),"")</f>
        <v/>
      </c>
      <c r="AE12" s="132">
        <f>IFERROR(VLOOKUP(INDIRECT($B$1&amp;"!"&amp;ADDRESS(ROW(),COLUMN(),4)),CONFIG!$A$15:$B$28,2,FALSE),"")</f>
        <v/>
      </c>
      <c r="AF12" s="132">
        <f>IFERROR(VLOOKUP(INDIRECT($B$1&amp;"!"&amp;ADDRESS(ROW(),COLUMN(),4)),CONFIG!$A$15:$B$28,2,FALSE),"")</f>
        <v/>
      </c>
      <c r="AG12" s="132">
        <f>IFERROR(VLOOKUP(INDIRECT($B$1&amp;"!"&amp;ADDRESS(ROW(),COLUMN(),4)),CONFIG!$A$15:$B$28,2,FALSE),"")</f>
        <v/>
      </c>
    </row>
    <row r="13">
      <c r="A13" s="131" t="inlineStr">
        <is>
          <t>Vinicius Bezerra</t>
        </is>
      </c>
      <c r="C13" s="132">
        <f>IFERROR(VLOOKUP(INDIRECT($B$1&amp;"!"&amp;ADDRESS(ROW(),COLUMN(),4)),CONFIG!$A$15:$B$28,2,FALSE),"")</f>
        <v/>
      </c>
      <c r="D13" s="132">
        <f>IFERROR(VLOOKUP(INDIRECT($B$1&amp;"!"&amp;ADDRESS(ROW(),COLUMN(),4)),CONFIG!$A$15:$B$28,2,FALSE),"")</f>
        <v/>
      </c>
      <c r="E13" s="132">
        <f>IFERROR(VLOOKUP(INDIRECT($B$1&amp;"!"&amp;ADDRESS(ROW(),COLUMN(),4)),CONFIG!$A$15:$B$28,2,FALSE),"")</f>
        <v/>
      </c>
      <c r="F13" s="132">
        <f>IFERROR(VLOOKUP(INDIRECT($B$1&amp;"!"&amp;ADDRESS(ROW(),COLUMN(),4)),CONFIG!$A$15:$B$28,2,FALSE),"")</f>
        <v/>
      </c>
      <c r="G13" s="132">
        <f>IFERROR(VLOOKUP(INDIRECT($B$1&amp;"!"&amp;ADDRESS(ROW(),COLUMN(),4)),CONFIG!$A$15:$B$28,2,FALSE),"")</f>
        <v/>
      </c>
      <c r="H13" s="132">
        <f>IFERROR(VLOOKUP(INDIRECT($B$1&amp;"!"&amp;ADDRESS(ROW(),COLUMN(),4)),CONFIG!$A$15:$B$28,2,FALSE),"")</f>
        <v/>
      </c>
      <c r="I13" s="132">
        <f>IFERROR(VLOOKUP(INDIRECT($B$1&amp;"!"&amp;ADDRESS(ROW(),COLUMN(),4)),CONFIG!$A$15:$B$28,2,FALSE),"")</f>
        <v/>
      </c>
      <c r="J13" s="132">
        <f>IFERROR(VLOOKUP(INDIRECT($B$1&amp;"!"&amp;ADDRESS(ROW(),COLUMN(),4)),CONFIG!$A$15:$B$28,2,FALSE),"")</f>
        <v/>
      </c>
      <c r="K13" s="132">
        <f>IFERROR(VLOOKUP(INDIRECT($B$1&amp;"!"&amp;ADDRESS(ROW(),COLUMN(),4)),CONFIG!$A$15:$B$28,2,FALSE),"")</f>
        <v/>
      </c>
      <c r="L13" s="132">
        <f>IFERROR(VLOOKUP(INDIRECT($B$1&amp;"!"&amp;ADDRESS(ROW(),COLUMN(),4)),CONFIG!$A$15:$B$28,2,FALSE),"")</f>
        <v/>
      </c>
      <c r="M13" s="132">
        <f>IFERROR(VLOOKUP(INDIRECT($B$1&amp;"!"&amp;ADDRESS(ROW(),COLUMN(),4)),CONFIG!$A$15:$B$28,2,FALSE),"")</f>
        <v/>
      </c>
      <c r="N13" s="132">
        <f>IFERROR(VLOOKUP(INDIRECT($B$1&amp;"!"&amp;ADDRESS(ROW(),COLUMN(),4)),CONFIG!$A$15:$B$28,2,FALSE),"")</f>
        <v/>
      </c>
      <c r="O13" s="132">
        <f>IFERROR(VLOOKUP(INDIRECT($B$1&amp;"!"&amp;ADDRESS(ROW(),COLUMN(),4)),CONFIG!$A$15:$B$28,2,FALSE),"")</f>
        <v/>
      </c>
      <c r="P13" s="132">
        <f>IFERROR(VLOOKUP(INDIRECT($B$1&amp;"!"&amp;ADDRESS(ROW(),COLUMN(),4)),CONFIG!$A$15:$B$28,2,FALSE),"")</f>
        <v/>
      </c>
      <c r="Q13" s="132">
        <f>IFERROR(VLOOKUP(INDIRECT($B$1&amp;"!"&amp;ADDRESS(ROW(),COLUMN(),4)),CONFIG!$A$15:$B$28,2,FALSE),"")</f>
        <v/>
      </c>
      <c r="R13" s="132">
        <f>IFERROR(VLOOKUP(INDIRECT($B$1&amp;"!"&amp;ADDRESS(ROW(),COLUMN(),4)),CONFIG!$A$15:$B$28,2,FALSE),"")</f>
        <v/>
      </c>
      <c r="S13" s="132">
        <f>IFERROR(VLOOKUP(INDIRECT($B$1&amp;"!"&amp;ADDRESS(ROW(),COLUMN(),4)),CONFIG!$A$15:$B$28,2,FALSE),"")</f>
        <v/>
      </c>
      <c r="T13" s="132">
        <f>IFERROR(VLOOKUP(INDIRECT($B$1&amp;"!"&amp;ADDRESS(ROW(),COLUMN(),4)),CONFIG!$A$15:$B$28,2,FALSE),"")</f>
        <v/>
      </c>
      <c r="U13" s="132">
        <f>IFERROR(VLOOKUP(INDIRECT($B$1&amp;"!"&amp;ADDRESS(ROW(),COLUMN(),4)),CONFIG!$A$15:$B$28,2,FALSE),"")</f>
        <v/>
      </c>
      <c r="V13" s="132">
        <f>IFERROR(VLOOKUP(INDIRECT($B$1&amp;"!"&amp;ADDRESS(ROW(),COLUMN(),4)),CONFIG!$A$15:$B$28,2,FALSE),"")</f>
        <v/>
      </c>
      <c r="W13" s="132">
        <f>IFERROR(VLOOKUP(INDIRECT($B$1&amp;"!"&amp;ADDRESS(ROW(),COLUMN(),4)),CONFIG!$A$15:$B$28,2,FALSE),"")</f>
        <v/>
      </c>
      <c r="X13" s="132">
        <f>IFERROR(VLOOKUP(INDIRECT($B$1&amp;"!"&amp;ADDRESS(ROW(),COLUMN(),4)),CONFIG!$A$15:$B$28,2,FALSE),"")</f>
        <v/>
      </c>
      <c r="Y13" s="132">
        <f>IFERROR(VLOOKUP(INDIRECT($B$1&amp;"!"&amp;ADDRESS(ROW(),COLUMN(),4)),CONFIG!$A$15:$B$28,2,FALSE),"")</f>
        <v/>
      </c>
      <c r="Z13" s="132">
        <f>IFERROR(VLOOKUP(INDIRECT($B$1&amp;"!"&amp;ADDRESS(ROW(),COLUMN(),4)),CONFIG!$A$15:$B$28,2,FALSE),"")</f>
        <v/>
      </c>
      <c r="AA13" s="132">
        <f>IFERROR(VLOOKUP(INDIRECT($B$1&amp;"!"&amp;ADDRESS(ROW(),COLUMN(),4)),CONFIG!$A$15:$B$28,2,FALSE),"")</f>
        <v/>
      </c>
      <c r="AB13" s="132">
        <f>IFERROR(VLOOKUP(INDIRECT($B$1&amp;"!"&amp;ADDRESS(ROW(),COLUMN(),4)),CONFIG!$A$15:$B$28,2,FALSE),"")</f>
        <v/>
      </c>
      <c r="AC13" s="132">
        <f>IFERROR(VLOOKUP(INDIRECT($B$1&amp;"!"&amp;ADDRESS(ROW(),COLUMN(),4)),CONFIG!$A$15:$B$28,2,FALSE),"")</f>
        <v/>
      </c>
      <c r="AD13" s="132">
        <f>IFERROR(VLOOKUP(INDIRECT($B$1&amp;"!"&amp;ADDRESS(ROW(),COLUMN(),4)),CONFIG!$A$15:$B$28,2,FALSE),"")</f>
        <v/>
      </c>
      <c r="AE13" s="132">
        <f>IFERROR(VLOOKUP(INDIRECT($B$1&amp;"!"&amp;ADDRESS(ROW(),COLUMN(),4)),CONFIG!$A$15:$B$28,2,FALSE),"")</f>
        <v/>
      </c>
      <c r="AF13" s="132">
        <f>IFERROR(VLOOKUP(INDIRECT($B$1&amp;"!"&amp;ADDRESS(ROW(),COLUMN(),4)),CONFIG!$A$15:$B$28,2,FALSE),"")</f>
        <v/>
      </c>
      <c r="AG13" s="132">
        <f>IFERROR(VLOOKUP(INDIRECT($B$1&amp;"!"&amp;ADDRESS(ROW(),COLUMN(),4)),CONFIG!$A$15:$B$28,2,FALSE),"")</f>
        <v/>
      </c>
    </row>
    <row r="14">
      <c r="A14" s="131" t="inlineStr">
        <is>
          <t>Fernanda Amelio</t>
        </is>
      </c>
      <c r="C14" s="132">
        <f>IFERROR(VLOOKUP(INDIRECT($B$1&amp;"!"&amp;ADDRESS(ROW(),COLUMN(),4)),CONFIG!$A$15:$B$28,2,FALSE),"")</f>
        <v/>
      </c>
      <c r="D14" s="132">
        <f>IFERROR(VLOOKUP(INDIRECT($B$1&amp;"!"&amp;ADDRESS(ROW(),COLUMN(),4)),CONFIG!$A$15:$B$28,2,FALSE),"")</f>
        <v/>
      </c>
      <c r="E14" s="132">
        <f>IFERROR(VLOOKUP(INDIRECT($B$1&amp;"!"&amp;ADDRESS(ROW(),COLUMN(),4)),CONFIG!$A$15:$B$28,2,FALSE),"")</f>
        <v/>
      </c>
      <c r="F14" s="132">
        <f>IFERROR(VLOOKUP(INDIRECT($B$1&amp;"!"&amp;ADDRESS(ROW(),COLUMN(),4)),CONFIG!$A$15:$B$28,2,FALSE),"")</f>
        <v/>
      </c>
      <c r="G14" s="132">
        <f>IFERROR(VLOOKUP(INDIRECT($B$1&amp;"!"&amp;ADDRESS(ROW(),COLUMN(),4)),CONFIG!$A$15:$B$28,2,FALSE),"")</f>
        <v/>
      </c>
      <c r="H14" s="132">
        <f>IFERROR(VLOOKUP(INDIRECT($B$1&amp;"!"&amp;ADDRESS(ROW(),COLUMN(),4)),CONFIG!$A$15:$B$28,2,FALSE),"")</f>
        <v/>
      </c>
      <c r="I14" s="132">
        <f>IFERROR(VLOOKUP(INDIRECT($B$1&amp;"!"&amp;ADDRESS(ROW(),COLUMN(),4)),CONFIG!$A$15:$B$28,2,FALSE),"")</f>
        <v/>
      </c>
      <c r="J14" s="132">
        <f>IFERROR(VLOOKUP(INDIRECT($B$1&amp;"!"&amp;ADDRESS(ROW(),COLUMN(),4)),CONFIG!$A$15:$B$28,2,FALSE),"")</f>
        <v/>
      </c>
      <c r="K14" s="132">
        <f>IFERROR(VLOOKUP(INDIRECT($B$1&amp;"!"&amp;ADDRESS(ROW(),COLUMN(),4)),CONFIG!$A$15:$B$28,2,FALSE),"")</f>
        <v/>
      </c>
      <c r="L14" s="132">
        <f>IFERROR(VLOOKUP(INDIRECT($B$1&amp;"!"&amp;ADDRESS(ROW(),COLUMN(),4)),CONFIG!$A$15:$B$28,2,FALSE),"")</f>
        <v/>
      </c>
      <c r="M14" s="132">
        <f>IFERROR(VLOOKUP(INDIRECT($B$1&amp;"!"&amp;ADDRESS(ROW(),COLUMN(),4)),CONFIG!$A$15:$B$28,2,FALSE),"")</f>
        <v/>
      </c>
      <c r="N14" s="132">
        <f>IFERROR(VLOOKUP(INDIRECT($B$1&amp;"!"&amp;ADDRESS(ROW(),COLUMN(),4)),CONFIG!$A$15:$B$28,2,FALSE),"")</f>
        <v/>
      </c>
      <c r="O14" s="132">
        <f>IFERROR(VLOOKUP(INDIRECT($B$1&amp;"!"&amp;ADDRESS(ROW(),COLUMN(),4)),CONFIG!$A$15:$B$28,2,FALSE),"")</f>
        <v/>
      </c>
      <c r="P14" s="132">
        <f>IFERROR(VLOOKUP(INDIRECT($B$1&amp;"!"&amp;ADDRESS(ROW(),COLUMN(),4)),CONFIG!$A$15:$B$28,2,FALSE),"")</f>
        <v/>
      </c>
      <c r="Q14" s="132">
        <f>IFERROR(VLOOKUP(INDIRECT($B$1&amp;"!"&amp;ADDRESS(ROW(),COLUMN(),4)),CONFIG!$A$15:$B$28,2,FALSE),"")</f>
        <v/>
      </c>
      <c r="R14" s="132">
        <f>IFERROR(VLOOKUP(INDIRECT($B$1&amp;"!"&amp;ADDRESS(ROW(),COLUMN(),4)),CONFIG!$A$15:$B$28,2,FALSE),"")</f>
        <v/>
      </c>
      <c r="S14" s="132">
        <f>IFERROR(VLOOKUP(INDIRECT($B$1&amp;"!"&amp;ADDRESS(ROW(),COLUMN(),4)),CONFIG!$A$15:$B$28,2,FALSE),"")</f>
        <v/>
      </c>
      <c r="T14" s="132">
        <f>IFERROR(VLOOKUP(INDIRECT($B$1&amp;"!"&amp;ADDRESS(ROW(),COLUMN(),4)),CONFIG!$A$15:$B$28,2,FALSE),"")</f>
        <v/>
      </c>
      <c r="U14" s="132">
        <f>IFERROR(VLOOKUP(INDIRECT($B$1&amp;"!"&amp;ADDRESS(ROW(),COLUMN(),4)),CONFIG!$A$15:$B$28,2,FALSE),"")</f>
        <v/>
      </c>
      <c r="V14" s="132">
        <f>IFERROR(VLOOKUP(INDIRECT($B$1&amp;"!"&amp;ADDRESS(ROW(),COLUMN(),4)),CONFIG!$A$15:$B$28,2,FALSE),"")</f>
        <v/>
      </c>
      <c r="W14" s="132">
        <f>IFERROR(VLOOKUP(INDIRECT($B$1&amp;"!"&amp;ADDRESS(ROW(),COLUMN(),4)),CONFIG!$A$15:$B$28,2,FALSE),"")</f>
        <v/>
      </c>
      <c r="X14" s="132">
        <f>IFERROR(VLOOKUP(INDIRECT($B$1&amp;"!"&amp;ADDRESS(ROW(),COLUMN(),4)),CONFIG!$A$15:$B$28,2,FALSE),"")</f>
        <v/>
      </c>
      <c r="Y14" s="132">
        <f>IFERROR(VLOOKUP(INDIRECT($B$1&amp;"!"&amp;ADDRESS(ROW(),COLUMN(),4)),CONFIG!$A$15:$B$28,2,FALSE),"")</f>
        <v/>
      </c>
      <c r="Z14" s="132">
        <f>IFERROR(VLOOKUP(INDIRECT($B$1&amp;"!"&amp;ADDRESS(ROW(),COLUMN(),4)),CONFIG!$A$15:$B$28,2,FALSE),"")</f>
        <v/>
      </c>
      <c r="AA14" s="132">
        <f>IFERROR(VLOOKUP(INDIRECT($B$1&amp;"!"&amp;ADDRESS(ROW(),COLUMN(),4)),CONFIG!$A$15:$B$28,2,FALSE),"")</f>
        <v/>
      </c>
      <c r="AB14" s="132">
        <f>IFERROR(VLOOKUP(INDIRECT($B$1&amp;"!"&amp;ADDRESS(ROW(),COLUMN(),4)),CONFIG!$A$15:$B$28,2,FALSE),"")</f>
        <v/>
      </c>
      <c r="AC14" s="132">
        <f>IFERROR(VLOOKUP(INDIRECT($B$1&amp;"!"&amp;ADDRESS(ROW(),COLUMN(),4)),CONFIG!$A$15:$B$28,2,FALSE),"")</f>
        <v/>
      </c>
      <c r="AD14" s="132">
        <f>IFERROR(VLOOKUP(INDIRECT($B$1&amp;"!"&amp;ADDRESS(ROW(),COLUMN(),4)),CONFIG!$A$15:$B$28,2,FALSE),"")</f>
        <v/>
      </c>
      <c r="AE14" s="132">
        <f>IFERROR(VLOOKUP(INDIRECT($B$1&amp;"!"&amp;ADDRESS(ROW(),COLUMN(),4)),CONFIG!$A$15:$B$28,2,FALSE),"")</f>
        <v/>
      </c>
      <c r="AF14" s="132">
        <f>IFERROR(VLOOKUP(INDIRECT($B$1&amp;"!"&amp;ADDRESS(ROW(),COLUMN(),4)),CONFIG!$A$15:$B$28,2,FALSE),"")</f>
        <v/>
      </c>
      <c r="AG14" s="132">
        <f>IFERROR(VLOOKUP(INDIRECT($B$1&amp;"!"&amp;ADDRESS(ROW(),COLUMN(),4)),CONFIG!$A$15:$B$28,2,FALSE),"")</f>
        <v/>
      </c>
    </row>
    <row r="15">
      <c r="A15" s="131" t="inlineStr">
        <is>
          <t>Murilo</t>
        </is>
      </c>
      <c r="C15" s="132">
        <f>IFERROR(VLOOKUP(INDIRECT($B$1&amp;"!"&amp;ADDRESS(ROW(),COLUMN(),4)),CONFIG!$A$15:$B$28,2,FALSE),"")</f>
        <v/>
      </c>
      <c r="D15" s="132">
        <f>IFERROR(VLOOKUP(INDIRECT($B$1&amp;"!"&amp;ADDRESS(ROW(),COLUMN(),4)),CONFIG!$A$15:$B$28,2,FALSE),"")</f>
        <v/>
      </c>
      <c r="E15" s="132">
        <f>IFERROR(VLOOKUP(INDIRECT($B$1&amp;"!"&amp;ADDRESS(ROW(),COLUMN(),4)),CONFIG!$A$15:$B$28,2,FALSE),"")</f>
        <v/>
      </c>
      <c r="F15" s="132">
        <f>IFERROR(VLOOKUP(INDIRECT($B$1&amp;"!"&amp;ADDRESS(ROW(),COLUMN(),4)),CONFIG!$A$15:$B$28,2,FALSE),"")</f>
        <v/>
      </c>
      <c r="G15" s="132">
        <f>IFERROR(VLOOKUP(INDIRECT($B$1&amp;"!"&amp;ADDRESS(ROW(),COLUMN(),4)),CONFIG!$A$15:$B$28,2,FALSE),"")</f>
        <v/>
      </c>
      <c r="H15" s="132">
        <f>IFERROR(VLOOKUP(INDIRECT($B$1&amp;"!"&amp;ADDRESS(ROW(),COLUMN(),4)),CONFIG!$A$15:$B$28,2,FALSE),"")</f>
        <v/>
      </c>
      <c r="I15" s="132">
        <f>IFERROR(VLOOKUP(INDIRECT($B$1&amp;"!"&amp;ADDRESS(ROW(),COLUMN(),4)),CONFIG!$A$15:$B$28,2,FALSE),"")</f>
        <v/>
      </c>
      <c r="J15" s="132">
        <f>IFERROR(VLOOKUP(INDIRECT($B$1&amp;"!"&amp;ADDRESS(ROW(),COLUMN(),4)),CONFIG!$A$15:$B$28,2,FALSE),"")</f>
        <v/>
      </c>
      <c r="K15" s="132">
        <f>IFERROR(VLOOKUP(INDIRECT($B$1&amp;"!"&amp;ADDRESS(ROW(),COLUMN(),4)),CONFIG!$A$15:$B$28,2,FALSE),"")</f>
        <v/>
      </c>
      <c r="L15" s="132">
        <f>IFERROR(VLOOKUP(INDIRECT($B$1&amp;"!"&amp;ADDRESS(ROW(),COLUMN(),4)),CONFIG!$A$15:$B$28,2,FALSE),"")</f>
        <v/>
      </c>
      <c r="M15" s="132">
        <f>IFERROR(VLOOKUP(INDIRECT($B$1&amp;"!"&amp;ADDRESS(ROW(),COLUMN(),4)),CONFIG!$A$15:$B$28,2,FALSE),"")</f>
        <v/>
      </c>
      <c r="N15" s="132">
        <f>IFERROR(VLOOKUP(INDIRECT($B$1&amp;"!"&amp;ADDRESS(ROW(),COLUMN(),4)),CONFIG!$A$15:$B$28,2,FALSE),"")</f>
        <v/>
      </c>
      <c r="O15" s="132">
        <f>IFERROR(VLOOKUP(INDIRECT($B$1&amp;"!"&amp;ADDRESS(ROW(),COLUMN(),4)),CONFIG!$A$15:$B$28,2,FALSE),"")</f>
        <v/>
      </c>
      <c r="P15" s="132">
        <f>IFERROR(VLOOKUP(INDIRECT($B$1&amp;"!"&amp;ADDRESS(ROW(),COLUMN(),4)),CONFIG!$A$15:$B$28,2,FALSE),"")</f>
        <v/>
      </c>
      <c r="Q15" s="132">
        <f>IFERROR(VLOOKUP(INDIRECT($B$1&amp;"!"&amp;ADDRESS(ROW(),COLUMN(),4)),CONFIG!$A$15:$B$28,2,FALSE),"")</f>
        <v/>
      </c>
      <c r="R15" s="132">
        <f>IFERROR(VLOOKUP(INDIRECT($B$1&amp;"!"&amp;ADDRESS(ROW(),COLUMN(),4)),CONFIG!$A$15:$B$28,2,FALSE),"")</f>
        <v/>
      </c>
      <c r="S15" s="132">
        <f>IFERROR(VLOOKUP(INDIRECT($B$1&amp;"!"&amp;ADDRESS(ROW(),COLUMN(),4)),CONFIG!$A$15:$B$28,2,FALSE),"")</f>
        <v/>
      </c>
      <c r="T15" s="132">
        <f>IFERROR(VLOOKUP(INDIRECT($B$1&amp;"!"&amp;ADDRESS(ROW(),COLUMN(),4)),CONFIG!$A$15:$B$28,2,FALSE),"")</f>
        <v/>
      </c>
      <c r="U15" s="132">
        <f>IFERROR(VLOOKUP(INDIRECT($B$1&amp;"!"&amp;ADDRESS(ROW(),COLUMN(),4)),CONFIG!$A$15:$B$28,2,FALSE),"")</f>
        <v/>
      </c>
      <c r="V15" s="132">
        <f>IFERROR(VLOOKUP(INDIRECT($B$1&amp;"!"&amp;ADDRESS(ROW(),COLUMN(),4)),CONFIG!$A$15:$B$28,2,FALSE),"")</f>
        <v/>
      </c>
      <c r="W15" s="132">
        <f>IFERROR(VLOOKUP(INDIRECT($B$1&amp;"!"&amp;ADDRESS(ROW(),COLUMN(),4)),CONFIG!$A$15:$B$28,2,FALSE),"")</f>
        <v/>
      </c>
      <c r="X15" s="132">
        <f>IFERROR(VLOOKUP(INDIRECT($B$1&amp;"!"&amp;ADDRESS(ROW(),COLUMN(),4)),CONFIG!$A$15:$B$28,2,FALSE),"")</f>
        <v/>
      </c>
      <c r="Y15" s="132">
        <f>IFERROR(VLOOKUP(INDIRECT($B$1&amp;"!"&amp;ADDRESS(ROW(),COLUMN(),4)),CONFIG!$A$15:$B$28,2,FALSE),"")</f>
        <v/>
      </c>
      <c r="Z15" s="132">
        <f>IFERROR(VLOOKUP(INDIRECT($B$1&amp;"!"&amp;ADDRESS(ROW(),COLUMN(),4)),CONFIG!$A$15:$B$28,2,FALSE),"")</f>
        <v/>
      </c>
      <c r="AA15" s="132">
        <f>IFERROR(VLOOKUP(INDIRECT($B$1&amp;"!"&amp;ADDRESS(ROW(),COLUMN(),4)),CONFIG!$A$15:$B$28,2,FALSE),"")</f>
        <v/>
      </c>
      <c r="AB15" s="132">
        <f>IFERROR(VLOOKUP(INDIRECT($B$1&amp;"!"&amp;ADDRESS(ROW(),COLUMN(),4)),CONFIG!$A$15:$B$28,2,FALSE),"")</f>
        <v/>
      </c>
      <c r="AC15" s="132">
        <f>IFERROR(VLOOKUP(INDIRECT($B$1&amp;"!"&amp;ADDRESS(ROW(),COLUMN(),4)),CONFIG!$A$15:$B$28,2,FALSE),"")</f>
        <v/>
      </c>
      <c r="AD15" s="132">
        <f>IFERROR(VLOOKUP(INDIRECT($B$1&amp;"!"&amp;ADDRESS(ROW(),COLUMN(),4)),CONFIG!$A$15:$B$28,2,FALSE),"")</f>
        <v/>
      </c>
      <c r="AE15" s="132">
        <f>IFERROR(VLOOKUP(INDIRECT($B$1&amp;"!"&amp;ADDRESS(ROW(),COLUMN(),4)),CONFIG!$A$15:$B$28,2,FALSE),"")</f>
        <v/>
      </c>
      <c r="AF15" s="132">
        <f>IFERROR(VLOOKUP(INDIRECT($B$1&amp;"!"&amp;ADDRESS(ROW(),COLUMN(),4)),CONFIG!$A$15:$B$28,2,FALSE),"")</f>
        <v/>
      </c>
      <c r="AG15" s="132">
        <f>IFERROR(VLOOKUP(INDIRECT($B$1&amp;"!"&amp;ADDRESS(ROW(),COLUMN(),4)),CONFIG!$A$15:$B$28,2,FALSE),"")</f>
        <v/>
      </c>
    </row>
    <row r="16">
      <c r="A16" s="131" t="inlineStr">
        <is>
          <t>Janaina Rabelo</t>
        </is>
      </c>
      <c r="C16" s="132">
        <f>IFERROR(VLOOKUP(INDIRECT($B$1&amp;"!"&amp;ADDRESS(ROW(),COLUMN(),4)),CONFIG!$A$15:$B$28,2,FALSE),"")</f>
        <v/>
      </c>
      <c r="D16" s="132">
        <f>IFERROR(VLOOKUP(INDIRECT($B$1&amp;"!"&amp;ADDRESS(ROW(),COLUMN(),4)),CONFIG!$A$15:$B$28,2,FALSE),"")</f>
        <v/>
      </c>
      <c r="E16" s="132">
        <f>IFERROR(VLOOKUP(INDIRECT($B$1&amp;"!"&amp;ADDRESS(ROW(),COLUMN(),4)),CONFIG!$A$15:$B$28,2,FALSE),"")</f>
        <v/>
      </c>
      <c r="F16" s="132">
        <f>IFERROR(VLOOKUP(INDIRECT($B$1&amp;"!"&amp;ADDRESS(ROW(),COLUMN(),4)),CONFIG!$A$15:$B$28,2,FALSE),"")</f>
        <v/>
      </c>
      <c r="G16" s="132">
        <f>IFERROR(VLOOKUP(INDIRECT($B$1&amp;"!"&amp;ADDRESS(ROW(),COLUMN(),4)),CONFIG!$A$15:$B$28,2,FALSE),"")</f>
        <v/>
      </c>
      <c r="H16" s="132">
        <f>IFERROR(VLOOKUP(INDIRECT($B$1&amp;"!"&amp;ADDRESS(ROW(),COLUMN(),4)),CONFIG!$A$15:$B$28,2,FALSE),"")</f>
        <v/>
      </c>
      <c r="I16" s="132">
        <f>IFERROR(VLOOKUP(INDIRECT($B$1&amp;"!"&amp;ADDRESS(ROW(),COLUMN(),4)),CONFIG!$A$15:$B$28,2,FALSE),"")</f>
        <v/>
      </c>
      <c r="J16" s="132">
        <f>IFERROR(VLOOKUP(INDIRECT($B$1&amp;"!"&amp;ADDRESS(ROW(),COLUMN(),4)),CONFIG!$A$15:$B$28,2,FALSE),"")</f>
        <v/>
      </c>
      <c r="K16" s="132">
        <f>IFERROR(VLOOKUP(INDIRECT($B$1&amp;"!"&amp;ADDRESS(ROW(),COLUMN(),4)),CONFIG!$A$15:$B$28,2,FALSE),"")</f>
        <v/>
      </c>
      <c r="L16" s="132">
        <f>IFERROR(VLOOKUP(INDIRECT($B$1&amp;"!"&amp;ADDRESS(ROW(),COLUMN(),4)),CONFIG!$A$15:$B$28,2,FALSE),"")</f>
        <v/>
      </c>
      <c r="M16" s="132">
        <f>IFERROR(VLOOKUP(INDIRECT($B$1&amp;"!"&amp;ADDRESS(ROW(),COLUMN(),4)),CONFIG!$A$15:$B$28,2,FALSE),"")</f>
        <v/>
      </c>
      <c r="N16" s="132">
        <f>IFERROR(VLOOKUP(INDIRECT($B$1&amp;"!"&amp;ADDRESS(ROW(),COLUMN(),4)),CONFIG!$A$15:$B$28,2,FALSE),"")</f>
        <v/>
      </c>
      <c r="O16" s="132">
        <f>IFERROR(VLOOKUP(INDIRECT($B$1&amp;"!"&amp;ADDRESS(ROW(),COLUMN(),4)),CONFIG!$A$15:$B$28,2,FALSE),"")</f>
        <v/>
      </c>
      <c r="P16" s="132">
        <f>IFERROR(VLOOKUP(INDIRECT($B$1&amp;"!"&amp;ADDRESS(ROW(),COLUMN(),4)),CONFIG!$A$15:$B$28,2,FALSE),"")</f>
        <v/>
      </c>
      <c r="Q16" s="132">
        <f>IFERROR(VLOOKUP(INDIRECT($B$1&amp;"!"&amp;ADDRESS(ROW(),COLUMN(),4)),CONFIG!$A$15:$B$28,2,FALSE),"")</f>
        <v/>
      </c>
      <c r="R16" s="132">
        <f>IFERROR(VLOOKUP(INDIRECT($B$1&amp;"!"&amp;ADDRESS(ROW(),COLUMN(),4)),CONFIG!$A$15:$B$28,2,FALSE),"")</f>
        <v/>
      </c>
      <c r="S16" s="132">
        <f>IFERROR(VLOOKUP(INDIRECT($B$1&amp;"!"&amp;ADDRESS(ROW(),COLUMN(),4)),CONFIG!$A$15:$B$28,2,FALSE),"")</f>
        <v/>
      </c>
      <c r="T16" s="132">
        <f>IFERROR(VLOOKUP(INDIRECT($B$1&amp;"!"&amp;ADDRESS(ROW(),COLUMN(),4)),CONFIG!$A$15:$B$28,2,FALSE),"")</f>
        <v/>
      </c>
      <c r="U16" s="132">
        <f>IFERROR(VLOOKUP(INDIRECT($B$1&amp;"!"&amp;ADDRESS(ROW(),COLUMN(),4)),CONFIG!$A$15:$B$28,2,FALSE),"")</f>
        <v/>
      </c>
      <c r="V16" s="132">
        <f>IFERROR(VLOOKUP(INDIRECT($B$1&amp;"!"&amp;ADDRESS(ROW(),COLUMN(),4)),CONFIG!$A$15:$B$28,2,FALSE),"")</f>
        <v/>
      </c>
      <c r="W16" s="132">
        <f>IFERROR(VLOOKUP(INDIRECT($B$1&amp;"!"&amp;ADDRESS(ROW(),COLUMN(),4)),CONFIG!$A$15:$B$28,2,FALSE),"")</f>
        <v/>
      </c>
      <c r="X16" s="132">
        <f>IFERROR(VLOOKUP(INDIRECT($B$1&amp;"!"&amp;ADDRESS(ROW(),COLUMN(),4)),CONFIG!$A$15:$B$28,2,FALSE),"")</f>
        <v/>
      </c>
      <c r="Y16" s="132">
        <f>IFERROR(VLOOKUP(INDIRECT($B$1&amp;"!"&amp;ADDRESS(ROW(),COLUMN(),4)),CONFIG!$A$15:$B$28,2,FALSE),"")</f>
        <v/>
      </c>
      <c r="Z16" s="132">
        <f>IFERROR(VLOOKUP(INDIRECT($B$1&amp;"!"&amp;ADDRESS(ROW(),COLUMN(),4)),CONFIG!$A$15:$B$28,2,FALSE),"")</f>
        <v/>
      </c>
      <c r="AA16" s="132">
        <f>IFERROR(VLOOKUP(INDIRECT($B$1&amp;"!"&amp;ADDRESS(ROW(),COLUMN(),4)),CONFIG!$A$15:$B$28,2,FALSE),"")</f>
        <v/>
      </c>
      <c r="AB16" s="132">
        <f>IFERROR(VLOOKUP(INDIRECT($B$1&amp;"!"&amp;ADDRESS(ROW(),COLUMN(),4)),CONFIG!$A$15:$B$28,2,FALSE),"")</f>
        <v/>
      </c>
      <c r="AC16" s="132">
        <f>IFERROR(VLOOKUP(INDIRECT($B$1&amp;"!"&amp;ADDRESS(ROW(),COLUMN(),4)),CONFIG!$A$15:$B$28,2,FALSE),"")</f>
        <v/>
      </c>
      <c r="AD16" s="132">
        <f>IFERROR(VLOOKUP(INDIRECT($B$1&amp;"!"&amp;ADDRESS(ROW(),COLUMN(),4)),CONFIG!$A$15:$B$28,2,FALSE),"")</f>
        <v/>
      </c>
      <c r="AE16" s="132">
        <f>IFERROR(VLOOKUP(INDIRECT($B$1&amp;"!"&amp;ADDRESS(ROW(),COLUMN(),4)),CONFIG!$A$15:$B$28,2,FALSE),"")</f>
        <v/>
      </c>
      <c r="AF16" s="132">
        <f>IFERROR(VLOOKUP(INDIRECT($B$1&amp;"!"&amp;ADDRESS(ROW(),COLUMN(),4)),CONFIG!$A$15:$B$28,2,FALSE),"")</f>
        <v/>
      </c>
      <c r="AG16" s="132">
        <f>IFERROR(VLOOKUP(INDIRECT($B$1&amp;"!"&amp;ADDRESS(ROW(),COLUMN(),4)),CONFIG!$A$15:$B$28,2,FALSE),"")</f>
        <v/>
      </c>
    </row>
    <row r="17">
      <c r="A17" s="131" t="inlineStr">
        <is>
          <t>Aline Saliba</t>
        </is>
      </c>
      <c r="C17" s="132">
        <f>IFERROR(VLOOKUP(INDIRECT($B$1&amp;"!"&amp;ADDRESS(ROW(),COLUMN(),4)),CONFIG!$A$15:$B$28,2,FALSE),"")</f>
        <v/>
      </c>
      <c r="D17" s="132">
        <f>IFERROR(VLOOKUP(INDIRECT($B$1&amp;"!"&amp;ADDRESS(ROW(),COLUMN(),4)),CONFIG!$A$15:$B$28,2,FALSE),"")</f>
        <v/>
      </c>
      <c r="E17" s="132">
        <f>IFERROR(VLOOKUP(INDIRECT($B$1&amp;"!"&amp;ADDRESS(ROW(),COLUMN(),4)),CONFIG!$A$15:$B$28,2,FALSE),"")</f>
        <v/>
      </c>
      <c r="F17" s="132">
        <f>IFERROR(VLOOKUP(INDIRECT($B$1&amp;"!"&amp;ADDRESS(ROW(),COLUMN(),4)),CONFIG!$A$15:$B$28,2,FALSE),"")</f>
        <v/>
      </c>
      <c r="G17" s="132">
        <f>IFERROR(VLOOKUP(INDIRECT($B$1&amp;"!"&amp;ADDRESS(ROW(),COLUMN(),4)),CONFIG!$A$15:$B$28,2,FALSE),"")</f>
        <v/>
      </c>
      <c r="H17" s="132">
        <f>IFERROR(VLOOKUP(INDIRECT($B$1&amp;"!"&amp;ADDRESS(ROW(),COLUMN(),4)),CONFIG!$A$15:$B$28,2,FALSE),"")</f>
        <v/>
      </c>
      <c r="I17" s="132">
        <f>IFERROR(VLOOKUP(INDIRECT($B$1&amp;"!"&amp;ADDRESS(ROW(),COLUMN(),4)),CONFIG!$A$15:$B$28,2,FALSE),"")</f>
        <v/>
      </c>
      <c r="J17" s="132">
        <f>IFERROR(VLOOKUP(INDIRECT($B$1&amp;"!"&amp;ADDRESS(ROW(),COLUMN(),4)),CONFIG!$A$15:$B$28,2,FALSE),"")</f>
        <v/>
      </c>
      <c r="K17" s="132">
        <f>IFERROR(VLOOKUP(INDIRECT($B$1&amp;"!"&amp;ADDRESS(ROW(),COLUMN(),4)),CONFIG!$A$15:$B$28,2,FALSE),"")</f>
        <v/>
      </c>
      <c r="L17" s="132">
        <f>IFERROR(VLOOKUP(INDIRECT($B$1&amp;"!"&amp;ADDRESS(ROW(),COLUMN(),4)),CONFIG!$A$15:$B$28,2,FALSE),"")</f>
        <v/>
      </c>
      <c r="M17" s="132">
        <f>IFERROR(VLOOKUP(INDIRECT($B$1&amp;"!"&amp;ADDRESS(ROW(),COLUMN(),4)),CONFIG!$A$15:$B$28,2,FALSE),"")</f>
        <v/>
      </c>
      <c r="N17" s="132">
        <f>IFERROR(VLOOKUP(INDIRECT($B$1&amp;"!"&amp;ADDRESS(ROW(),COLUMN(),4)),CONFIG!$A$15:$B$28,2,FALSE),"")</f>
        <v/>
      </c>
      <c r="O17" s="132">
        <f>IFERROR(VLOOKUP(INDIRECT($B$1&amp;"!"&amp;ADDRESS(ROW(),COLUMN(),4)),CONFIG!$A$15:$B$28,2,FALSE),"")</f>
        <v/>
      </c>
      <c r="P17" s="132">
        <f>IFERROR(VLOOKUP(INDIRECT($B$1&amp;"!"&amp;ADDRESS(ROW(),COLUMN(),4)),CONFIG!$A$15:$B$28,2,FALSE),"")</f>
        <v/>
      </c>
      <c r="Q17" s="132">
        <f>IFERROR(VLOOKUP(INDIRECT($B$1&amp;"!"&amp;ADDRESS(ROW(),COLUMN(),4)),CONFIG!$A$15:$B$28,2,FALSE),"")</f>
        <v/>
      </c>
      <c r="R17" s="132">
        <f>IFERROR(VLOOKUP(INDIRECT($B$1&amp;"!"&amp;ADDRESS(ROW(),COLUMN(),4)),CONFIG!$A$15:$B$28,2,FALSE),"")</f>
        <v/>
      </c>
      <c r="S17" s="132">
        <f>IFERROR(VLOOKUP(INDIRECT($B$1&amp;"!"&amp;ADDRESS(ROW(),COLUMN(),4)),CONFIG!$A$15:$B$28,2,FALSE),"")</f>
        <v/>
      </c>
      <c r="T17" s="132">
        <f>IFERROR(VLOOKUP(INDIRECT($B$1&amp;"!"&amp;ADDRESS(ROW(),COLUMN(),4)),CONFIG!$A$15:$B$28,2,FALSE),"")</f>
        <v/>
      </c>
      <c r="U17" s="132">
        <f>IFERROR(VLOOKUP(INDIRECT($B$1&amp;"!"&amp;ADDRESS(ROW(),COLUMN(),4)),CONFIG!$A$15:$B$28,2,FALSE),"")</f>
        <v/>
      </c>
      <c r="V17" s="132">
        <f>IFERROR(VLOOKUP(INDIRECT($B$1&amp;"!"&amp;ADDRESS(ROW(),COLUMN(),4)),CONFIG!$A$15:$B$28,2,FALSE),"")</f>
        <v/>
      </c>
      <c r="W17" s="132">
        <f>IFERROR(VLOOKUP(INDIRECT($B$1&amp;"!"&amp;ADDRESS(ROW(),COLUMN(),4)),CONFIG!$A$15:$B$28,2,FALSE),"")</f>
        <v/>
      </c>
      <c r="X17" s="132">
        <f>IFERROR(VLOOKUP(INDIRECT($B$1&amp;"!"&amp;ADDRESS(ROW(),COLUMN(),4)),CONFIG!$A$15:$B$28,2,FALSE),"")</f>
        <v/>
      </c>
      <c r="Y17" s="132">
        <f>IFERROR(VLOOKUP(INDIRECT($B$1&amp;"!"&amp;ADDRESS(ROW(),COLUMN(),4)),CONFIG!$A$15:$B$28,2,FALSE),"")</f>
        <v/>
      </c>
      <c r="Z17" s="132">
        <f>IFERROR(VLOOKUP(INDIRECT($B$1&amp;"!"&amp;ADDRESS(ROW(),COLUMN(),4)),CONFIG!$A$15:$B$28,2,FALSE),"")</f>
        <v/>
      </c>
      <c r="AA17" s="132">
        <f>IFERROR(VLOOKUP(INDIRECT($B$1&amp;"!"&amp;ADDRESS(ROW(),COLUMN(),4)),CONFIG!$A$15:$B$28,2,FALSE),"")</f>
        <v/>
      </c>
      <c r="AB17" s="132">
        <f>IFERROR(VLOOKUP(INDIRECT($B$1&amp;"!"&amp;ADDRESS(ROW(),COLUMN(),4)),CONFIG!$A$15:$B$28,2,FALSE),"")</f>
        <v/>
      </c>
      <c r="AC17" s="132">
        <f>IFERROR(VLOOKUP(INDIRECT($B$1&amp;"!"&amp;ADDRESS(ROW(),COLUMN(),4)),CONFIG!$A$15:$B$28,2,FALSE),"")</f>
        <v/>
      </c>
      <c r="AD17" s="132">
        <f>IFERROR(VLOOKUP(INDIRECT($B$1&amp;"!"&amp;ADDRESS(ROW(),COLUMN(),4)),CONFIG!$A$15:$B$28,2,FALSE),"")</f>
        <v/>
      </c>
      <c r="AE17" s="132">
        <f>IFERROR(VLOOKUP(INDIRECT($B$1&amp;"!"&amp;ADDRESS(ROW(),COLUMN(),4)),CONFIG!$A$15:$B$28,2,FALSE),"")</f>
        <v/>
      </c>
      <c r="AF17" s="132">
        <f>IFERROR(VLOOKUP(INDIRECT($B$1&amp;"!"&amp;ADDRESS(ROW(),COLUMN(),4)),CONFIG!$A$15:$B$28,2,FALSE),"")</f>
        <v/>
      </c>
      <c r="AG17" s="132">
        <f>IFERROR(VLOOKUP(INDIRECT($B$1&amp;"!"&amp;ADDRESS(ROW(),COLUMN(),4)),CONFIG!$A$15:$B$28,2,FALSE),"")</f>
        <v/>
      </c>
    </row>
    <row r="18">
      <c r="A18" s="131" t="inlineStr">
        <is>
          <t>Camila Abreu</t>
        </is>
      </c>
      <c r="C18" s="132">
        <f>IFERROR(VLOOKUP(INDIRECT($B$1&amp;"!"&amp;ADDRESS(ROW(),COLUMN(),4)),CONFIG!$A$15:$B$28,2,FALSE),"")</f>
        <v/>
      </c>
      <c r="D18" s="132">
        <f>IFERROR(VLOOKUP(INDIRECT($B$1&amp;"!"&amp;ADDRESS(ROW(),COLUMN(),4)),CONFIG!$A$15:$B$28,2,FALSE),"")</f>
        <v/>
      </c>
      <c r="E18" s="132">
        <f>IFERROR(VLOOKUP(INDIRECT($B$1&amp;"!"&amp;ADDRESS(ROW(),COLUMN(),4)),CONFIG!$A$15:$B$28,2,FALSE),"")</f>
        <v/>
      </c>
      <c r="F18" s="132">
        <f>IFERROR(VLOOKUP(INDIRECT($B$1&amp;"!"&amp;ADDRESS(ROW(),COLUMN(),4)),CONFIG!$A$15:$B$28,2,FALSE),"")</f>
        <v/>
      </c>
      <c r="G18" s="132">
        <f>IFERROR(VLOOKUP(INDIRECT($B$1&amp;"!"&amp;ADDRESS(ROW(),COLUMN(),4)),CONFIG!$A$15:$B$28,2,FALSE),"")</f>
        <v/>
      </c>
      <c r="H18" s="132">
        <f>IFERROR(VLOOKUP(INDIRECT($B$1&amp;"!"&amp;ADDRESS(ROW(),COLUMN(),4)),CONFIG!$A$15:$B$28,2,FALSE),"")</f>
        <v/>
      </c>
      <c r="I18" s="132">
        <f>IFERROR(VLOOKUP(INDIRECT($B$1&amp;"!"&amp;ADDRESS(ROW(),COLUMN(),4)),CONFIG!$A$15:$B$28,2,FALSE),"")</f>
        <v/>
      </c>
      <c r="J18" s="132">
        <f>IFERROR(VLOOKUP(INDIRECT($B$1&amp;"!"&amp;ADDRESS(ROW(),COLUMN(),4)),CONFIG!$A$15:$B$28,2,FALSE),"")</f>
        <v/>
      </c>
      <c r="K18" s="132">
        <f>IFERROR(VLOOKUP(INDIRECT($B$1&amp;"!"&amp;ADDRESS(ROW(),COLUMN(),4)),CONFIG!$A$15:$B$28,2,FALSE),"")</f>
        <v/>
      </c>
      <c r="L18" s="132">
        <f>IFERROR(VLOOKUP(INDIRECT($B$1&amp;"!"&amp;ADDRESS(ROW(),COLUMN(),4)),CONFIG!$A$15:$B$28,2,FALSE),"")</f>
        <v/>
      </c>
      <c r="M18" s="132">
        <f>IFERROR(VLOOKUP(INDIRECT($B$1&amp;"!"&amp;ADDRESS(ROW(),COLUMN(),4)),CONFIG!$A$15:$B$28,2,FALSE),"")</f>
        <v/>
      </c>
      <c r="N18" s="132">
        <f>IFERROR(VLOOKUP(INDIRECT($B$1&amp;"!"&amp;ADDRESS(ROW(),COLUMN(),4)),CONFIG!$A$15:$B$28,2,FALSE),"")</f>
        <v/>
      </c>
      <c r="O18" s="132">
        <f>IFERROR(VLOOKUP(INDIRECT($B$1&amp;"!"&amp;ADDRESS(ROW(),COLUMN(),4)),CONFIG!$A$15:$B$28,2,FALSE),"")</f>
        <v/>
      </c>
      <c r="P18" s="132">
        <f>IFERROR(VLOOKUP(INDIRECT($B$1&amp;"!"&amp;ADDRESS(ROW(),COLUMN(),4)),CONFIG!$A$15:$B$28,2,FALSE),"")</f>
        <v/>
      </c>
      <c r="Q18" s="132">
        <f>IFERROR(VLOOKUP(INDIRECT($B$1&amp;"!"&amp;ADDRESS(ROW(),COLUMN(),4)),CONFIG!$A$15:$B$28,2,FALSE),"")</f>
        <v/>
      </c>
      <c r="R18" s="132">
        <f>IFERROR(VLOOKUP(INDIRECT($B$1&amp;"!"&amp;ADDRESS(ROW(),COLUMN(),4)),CONFIG!$A$15:$B$28,2,FALSE),"")</f>
        <v/>
      </c>
      <c r="S18" s="132">
        <f>IFERROR(VLOOKUP(INDIRECT($B$1&amp;"!"&amp;ADDRESS(ROW(),COLUMN(),4)),CONFIG!$A$15:$B$28,2,FALSE),"")</f>
        <v/>
      </c>
      <c r="T18" s="132">
        <f>IFERROR(VLOOKUP(INDIRECT($B$1&amp;"!"&amp;ADDRESS(ROW(),COLUMN(),4)),CONFIG!$A$15:$B$28,2,FALSE),"")</f>
        <v/>
      </c>
      <c r="U18" s="132">
        <f>IFERROR(VLOOKUP(INDIRECT($B$1&amp;"!"&amp;ADDRESS(ROW(),COLUMN(),4)),CONFIG!$A$15:$B$28,2,FALSE),"")</f>
        <v/>
      </c>
      <c r="V18" s="132">
        <f>IFERROR(VLOOKUP(INDIRECT($B$1&amp;"!"&amp;ADDRESS(ROW(),COLUMN(),4)),CONFIG!$A$15:$B$28,2,FALSE),"")</f>
        <v/>
      </c>
      <c r="W18" s="132">
        <f>IFERROR(VLOOKUP(INDIRECT($B$1&amp;"!"&amp;ADDRESS(ROW(),COLUMN(),4)),CONFIG!$A$15:$B$28,2,FALSE),"")</f>
        <v/>
      </c>
      <c r="X18" s="132">
        <f>IFERROR(VLOOKUP(INDIRECT($B$1&amp;"!"&amp;ADDRESS(ROW(),COLUMN(),4)),CONFIG!$A$15:$B$28,2,FALSE),"")</f>
        <v/>
      </c>
      <c r="Y18" s="132">
        <f>IFERROR(VLOOKUP(INDIRECT($B$1&amp;"!"&amp;ADDRESS(ROW(),COLUMN(),4)),CONFIG!$A$15:$B$28,2,FALSE),"")</f>
        <v/>
      </c>
      <c r="Z18" s="132">
        <f>IFERROR(VLOOKUP(INDIRECT($B$1&amp;"!"&amp;ADDRESS(ROW(),COLUMN(),4)),CONFIG!$A$15:$B$28,2,FALSE),"")</f>
        <v/>
      </c>
      <c r="AA18" s="132">
        <f>IFERROR(VLOOKUP(INDIRECT($B$1&amp;"!"&amp;ADDRESS(ROW(),COLUMN(),4)),CONFIG!$A$15:$B$28,2,FALSE),"")</f>
        <v/>
      </c>
      <c r="AB18" s="132">
        <f>IFERROR(VLOOKUP(INDIRECT($B$1&amp;"!"&amp;ADDRESS(ROW(),COLUMN(),4)),CONFIG!$A$15:$B$28,2,FALSE),"")</f>
        <v/>
      </c>
      <c r="AC18" s="132">
        <f>IFERROR(VLOOKUP(INDIRECT($B$1&amp;"!"&amp;ADDRESS(ROW(),COLUMN(),4)),CONFIG!$A$15:$B$28,2,FALSE),"")</f>
        <v/>
      </c>
      <c r="AD18" s="132">
        <f>IFERROR(VLOOKUP(INDIRECT($B$1&amp;"!"&amp;ADDRESS(ROW(),COLUMN(),4)),CONFIG!$A$15:$B$28,2,FALSE),"")</f>
        <v/>
      </c>
      <c r="AE18" s="132">
        <f>IFERROR(VLOOKUP(INDIRECT($B$1&amp;"!"&amp;ADDRESS(ROW(),COLUMN(),4)),CONFIG!$A$15:$B$28,2,FALSE),"")</f>
        <v/>
      </c>
      <c r="AF18" s="132">
        <f>IFERROR(VLOOKUP(INDIRECT($B$1&amp;"!"&amp;ADDRESS(ROW(),COLUMN(),4)),CONFIG!$A$15:$B$28,2,FALSE),"")</f>
        <v/>
      </c>
      <c r="AG18" s="132">
        <f>IFERROR(VLOOKUP(INDIRECT($B$1&amp;"!"&amp;ADDRESS(ROW(),COLUMN(),4)),CONFIG!$A$15:$B$28,2,FALSE),"")</f>
        <v/>
      </c>
    </row>
    <row r="19">
      <c r="A19" s="131" t="inlineStr">
        <is>
          <t>Danielle Tanajura</t>
        </is>
      </c>
      <c r="C19" s="132">
        <f>IFERROR(VLOOKUP(INDIRECT($B$1&amp;"!"&amp;ADDRESS(ROW(),COLUMN(),4)),CONFIG!$A$15:$B$28,2,FALSE),"")</f>
        <v/>
      </c>
      <c r="D19" s="132">
        <f>IFERROR(VLOOKUP(INDIRECT($B$1&amp;"!"&amp;ADDRESS(ROW(),COLUMN(),4)),CONFIG!$A$15:$B$28,2,FALSE),"")</f>
        <v/>
      </c>
      <c r="E19" s="132">
        <f>IFERROR(VLOOKUP(INDIRECT($B$1&amp;"!"&amp;ADDRESS(ROW(),COLUMN(),4)),CONFIG!$A$15:$B$28,2,FALSE),"")</f>
        <v/>
      </c>
      <c r="F19" s="132">
        <f>IFERROR(VLOOKUP(INDIRECT($B$1&amp;"!"&amp;ADDRESS(ROW(),COLUMN(),4)),CONFIG!$A$15:$B$28,2,FALSE),"")</f>
        <v/>
      </c>
      <c r="G19" s="132">
        <f>IFERROR(VLOOKUP(INDIRECT($B$1&amp;"!"&amp;ADDRESS(ROW(),COLUMN(),4)),CONFIG!$A$15:$B$28,2,FALSE),"")</f>
        <v/>
      </c>
      <c r="H19" s="132">
        <f>IFERROR(VLOOKUP(INDIRECT($B$1&amp;"!"&amp;ADDRESS(ROW(),COLUMN(),4)),CONFIG!$A$15:$B$28,2,FALSE),"")</f>
        <v/>
      </c>
      <c r="I19" s="132">
        <f>IFERROR(VLOOKUP(INDIRECT($B$1&amp;"!"&amp;ADDRESS(ROW(),COLUMN(),4)),CONFIG!$A$15:$B$28,2,FALSE),"")</f>
        <v/>
      </c>
      <c r="J19" s="132">
        <f>IFERROR(VLOOKUP(INDIRECT($B$1&amp;"!"&amp;ADDRESS(ROW(),COLUMN(),4)),CONFIG!$A$15:$B$28,2,FALSE),"")</f>
        <v/>
      </c>
      <c r="K19" s="132">
        <f>IFERROR(VLOOKUP(INDIRECT($B$1&amp;"!"&amp;ADDRESS(ROW(),COLUMN(),4)),CONFIG!$A$15:$B$28,2,FALSE),"")</f>
        <v/>
      </c>
      <c r="L19" s="132">
        <f>IFERROR(VLOOKUP(INDIRECT($B$1&amp;"!"&amp;ADDRESS(ROW(),COLUMN(),4)),CONFIG!$A$15:$B$28,2,FALSE),"")</f>
        <v/>
      </c>
      <c r="M19" s="132">
        <f>IFERROR(VLOOKUP(INDIRECT($B$1&amp;"!"&amp;ADDRESS(ROW(),COLUMN(),4)),CONFIG!$A$15:$B$28,2,FALSE),"")</f>
        <v/>
      </c>
      <c r="N19" s="132">
        <f>IFERROR(VLOOKUP(INDIRECT($B$1&amp;"!"&amp;ADDRESS(ROW(),COLUMN(),4)),CONFIG!$A$15:$B$28,2,FALSE),"")</f>
        <v/>
      </c>
      <c r="O19" s="132">
        <f>IFERROR(VLOOKUP(INDIRECT($B$1&amp;"!"&amp;ADDRESS(ROW(),COLUMN(),4)),CONFIG!$A$15:$B$28,2,FALSE),"")</f>
        <v/>
      </c>
      <c r="P19" s="132">
        <f>IFERROR(VLOOKUP(INDIRECT($B$1&amp;"!"&amp;ADDRESS(ROW(),COLUMN(),4)),CONFIG!$A$15:$B$28,2,FALSE),"")</f>
        <v/>
      </c>
      <c r="Q19" s="132">
        <f>IFERROR(VLOOKUP(INDIRECT($B$1&amp;"!"&amp;ADDRESS(ROW(),COLUMN(),4)),CONFIG!$A$15:$B$28,2,FALSE),"")</f>
        <v/>
      </c>
      <c r="R19" s="132">
        <f>IFERROR(VLOOKUP(INDIRECT($B$1&amp;"!"&amp;ADDRESS(ROW(),COLUMN(),4)),CONFIG!$A$15:$B$28,2,FALSE),"")</f>
        <v/>
      </c>
      <c r="S19" s="132">
        <f>IFERROR(VLOOKUP(INDIRECT($B$1&amp;"!"&amp;ADDRESS(ROW(),COLUMN(),4)),CONFIG!$A$15:$B$28,2,FALSE),"")</f>
        <v/>
      </c>
      <c r="T19" s="132">
        <f>IFERROR(VLOOKUP(INDIRECT($B$1&amp;"!"&amp;ADDRESS(ROW(),COLUMN(),4)),CONFIG!$A$15:$B$28,2,FALSE),"")</f>
        <v/>
      </c>
      <c r="U19" s="132">
        <f>IFERROR(VLOOKUP(INDIRECT($B$1&amp;"!"&amp;ADDRESS(ROW(),COLUMN(),4)),CONFIG!$A$15:$B$28,2,FALSE),"")</f>
        <v/>
      </c>
      <c r="V19" s="132">
        <f>IFERROR(VLOOKUP(INDIRECT($B$1&amp;"!"&amp;ADDRESS(ROW(),COLUMN(),4)),CONFIG!$A$15:$B$28,2,FALSE),"")</f>
        <v/>
      </c>
      <c r="W19" s="132">
        <f>IFERROR(VLOOKUP(INDIRECT($B$1&amp;"!"&amp;ADDRESS(ROW(),COLUMN(),4)),CONFIG!$A$15:$B$28,2,FALSE),"")</f>
        <v/>
      </c>
      <c r="X19" s="132">
        <f>IFERROR(VLOOKUP(INDIRECT($B$1&amp;"!"&amp;ADDRESS(ROW(),COLUMN(),4)),CONFIG!$A$15:$B$28,2,FALSE),"")</f>
        <v/>
      </c>
      <c r="Y19" s="132">
        <f>IFERROR(VLOOKUP(INDIRECT($B$1&amp;"!"&amp;ADDRESS(ROW(),COLUMN(),4)),CONFIG!$A$15:$B$28,2,FALSE),"")</f>
        <v/>
      </c>
      <c r="Z19" s="132">
        <f>IFERROR(VLOOKUP(INDIRECT($B$1&amp;"!"&amp;ADDRESS(ROW(),COLUMN(),4)),CONFIG!$A$15:$B$28,2,FALSE),"")</f>
        <v/>
      </c>
      <c r="AA19" s="132">
        <f>IFERROR(VLOOKUP(INDIRECT($B$1&amp;"!"&amp;ADDRESS(ROW(),COLUMN(),4)),CONFIG!$A$15:$B$28,2,FALSE),"")</f>
        <v/>
      </c>
      <c r="AB19" s="132">
        <f>IFERROR(VLOOKUP(INDIRECT($B$1&amp;"!"&amp;ADDRESS(ROW(),COLUMN(),4)),CONFIG!$A$15:$B$28,2,FALSE),"")</f>
        <v/>
      </c>
      <c r="AC19" s="132">
        <f>IFERROR(VLOOKUP(INDIRECT($B$1&amp;"!"&amp;ADDRESS(ROW(),COLUMN(),4)),CONFIG!$A$15:$B$28,2,FALSE),"")</f>
        <v/>
      </c>
      <c r="AD19" s="132">
        <f>IFERROR(VLOOKUP(INDIRECT($B$1&amp;"!"&amp;ADDRESS(ROW(),COLUMN(),4)),CONFIG!$A$15:$B$28,2,FALSE),"")</f>
        <v/>
      </c>
      <c r="AE19" s="132">
        <f>IFERROR(VLOOKUP(INDIRECT($B$1&amp;"!"&amp;ADDRESS(ROW(),COLUMN(),4)),CONFIG!$A$15:$B$28,2,FALSE),"")</f>
        <v/>
      </c>
      <c r="AF19" s="132">
        <f>IFERROR(VLOOKUP(INDIRECT($B$1&amp;"!"&amp;ADDRESS(ROW(),COLUMN(),4)),CONFIG!$A$15:$B$28,2,FALSE),"")</f>
        <v/>
      </c>
      <c r="AG19" s="132">
        <f>IFERROR(VLOOKUP(INDIRECT($B$1&amp;"!"&amp;ADDRESS(ROW(),COLUMN(),4)),CONFIG!$A$15:$B$28,2,FALSE),"")</f>
        <v/>
      </c>
    </row>
    <row r="20">
      <c r="A20" s="131" t="inlineStr">
        <is>
          <t>Fabiula Czameski</t>
        </is>
      </c>
      <c r="C20" s="132">
        <f>IFERROR(VLOOKUP(INDIRECT($B$1&amp;"!"&amp;ADDRESS(ROW(),COLUMN(),4)),CONFIG!$A$15:$B$28,2,FALSE),"")</f>
        <v/>
      </c>
      <c r="D20" s="132">
        <f>IFERROR(VLOOKUP(INDIRECT($B$1&amp;"!"&amp;ADDRESS(ROW(),COLUMN(),4)),CONFIG!$A$15:$B$28,2,FALSE),"")</f>
        <v/>
      </c>
      <c r="E20" s="132">
        <f>IFERROR(VLOOKUP(INDIRECT($B$1&amp;"!"&amp;ADDRESS(ROW(),COLUMN(),4)),CONFIG!$A$15:$B$28,2,FALSE),"")</f>
        <v/>
      </c>
      <c r="F20" s="132">
        <f>IFERROR(VLOOKUP(INDIRECT($B$1&amp;"!"&amp;ADDRESS(ROW(),COLUMN(),4)),CONFIG!$A$15:$B$28,2,FALSE),"")</f>
        <v/>
      </c>
      <c r="G20" s="132">
        <f>IFERROR(VLOOKUP(INDIRECT($B$1&amp;"!"&amp;ADDRESS(ROW(),COLUMN(),4)),CONFIG!$A$15:$B$28,2,FALSE),"")</f>
        <v/>
      </c>
      <c r="H20" s="132">
        <f>IFERROR(VLOOKUP(INDIRECT($B$1&amp;"!"&amp;ADDRESS(ROW(),COLUMN(),4)),CONFIG!$A$15:$B$28,2,FALSE),"")</f>
        <v/>
      </c>
      <c r="I20" s="132">
        <f>IFERROR(VLOOKUP(INDIRECT($B$1&amp;"!"&amp;ADDRESS(ROW(),COLUMN(),4)),CONFIG!$A$15:$B$28,2,FALSE),"")</f>
        <v/>
      </c>
      <c r="J20" s="132">
        <f>IFERROR(VLOOKUP(INDIRECT($B$1&amp;"!"&amp;ADDRESS(ROW(),COLUMN(),4)),CONFIG!$A$15:$B$28,2,FALSE),"")</f>
        <v/>
      </c>
      <c r="K20" s="132">
        <f>IFERROR(VLOOKUP(INDIRECT($B$1&amp;"!"&amp;ADDRESS(ROW(),COLUMN(),4)),CONFIG!$A$15:$B$28,2,FALSE),"")</f>
        <v/>
      </c>
      <c r="L20" s="132">
        <f>IFERROR(VLOOKUP(INDIRECT($B$1&amp;"!"&amp;ADDRESS(ROW(),COLUMN(),4)),CONFIG!$A$15:$B$28,2,FALSE),"")</f>
        <v/>
      </c>
      <c r="M20" s="132">
        <f>IFERROR(VLOOKUP(INDIRECT($B$1&amp;"!"&amp;ADDRESS(ROW(),COLUMN(),4)),CONFIG!$A$15:$B$28,2,FALSE),"")</f>
        <v/>
      </c>
      <c r="N20" s="132">
        <f>IFERROR(VLOOKUP(INDIRECT($B$1&amp;"!"&amp;ADDRESS(ROW(),COLUMN(),4)),CONFIG!$A$15:$B$28,2,FALSE),"")</f>
        <v/>
      </c>
      <c r="O20" s="132">
        <f>IFERROR(VLOOKUP(INDIRECT($B$1&amp;"!"&amp;ADDRESS(ROW(),COLUMN(),4)),CONFIG!$A$15:$B$28,2,FALSE),"")</f>
        <v/>
      </c>
      <c r="P20" s="132">
        <f>IFERROR(VLOOKUP(INDIRECT($B$1&amp;"!"&amp;ADDRESS(ROW(),COLUMN(),4)),CONFIG!$A$15:$B$28,2,FALSE),"")</f>
        <v/>
      </c>
      <c r="Q20" s="132">
        <f>IFERROR(VLOOKUP(INDIRECT($B$1&amp;"!"&amp;ADDRESS(ROW(),COLUMN(),4)),CONFIG!$A$15:$B$28,2,FALSE),"")</f>
        <v/>
      </c>
      <c r="R20" s="132">
        <f>IFERROR(VLOOKUP(INDIRECT($B$1&amp;"!"&amp;ADDRESS(ROW(),COLUMN(),4)),CONFIG!$A$15:$B$28,2,FALSE),"")</f>
        <v/>
      </c>
      <c r="S20" s="132">
        <f>IFERROR(VLOOKUP(INDIRECT($B$1&amp;"!"&amp;ADDRESS(ROW(),COLUMN(),4)),CONFIG!$A$15:$B$28,2,FALSE),"")</f>
        <v/>
      </c>
      <c r="T20" s="132">
        <f>IFERROR(VLOOKUP(INDIRECT($B$1&amp;"!"&amp;ADDRESS(ROW(),COLUMN(),4)),CONFIG!$A$15:$B$28,2,FALSE),"")</f>
        <v/>
      </c>
      <c r="U20" s="132">
        <f>IFERROR(VLOOKUP(INDIRECT($B$1&amp;"!"&amp;ADDRESS(ROW(),COLUMN(),4)),CONFIG!$A$15:$B$28,2,FALSE),"")</f>
        <v/>
      </c>
      <c r="V20" s="132">
        <f>IFERROR(VLOOKUP(INDIRECT($B$1&amp;"!"&amp;ADDRESS(ROW(),COLUMN(),4)),CONFIG!$A$15:$B$28,2,FALSE),"")</f>
        <v/>
      </c>
      <c r="W20" s="132">
        <f>IFERROR(VLOOKUP(INDIRECT($B$1&amp;"!"&amp;ADDRESS(ROW(),COLUMN(),4)),CONFIG!$A$15:$B$28,2,FALSE),"")</f>
        <v/>
      </c>
      <c r="X20" s="132">
        <f>IFERROR(VLOOKUP(INDIRECT($B$1&amp;"!"&amp;ADDRESS(ROW(),COLUMN(),4)),CONFIG!$A$15:$B$28,2,FALSE),"")</f>
        <v/>
      </c>
      <c r="Y20" s="132">
        <f>IFERROR(VLOOKUP(INDIRECT($B$1&amp;"!"&amp;ADDRESS(ROW(),COLUMN(),4)),CONFIG!$A$15:$B$28,2,FALSE),"")</f>
        <v/>
      </c>
      <c r="Z20" s="132">
        <f>IFERROR(VLOOKUP(INDIRECT($B$1&amp;"!"&amp;ADDRESS(ROW(),COLUMN(),4)),CONFIG!$A$15:$B$28,2,FALSE),"")</f>
        <v/>
      </c>
      <c r="AA20" s="132">
        <f>IFERROR(VLOOKUP(INDIRECT($B$1&amp;"!"&amp;ADDRESS(ROW(),COLUMN(),4)),CONFIG!$A$15:$B$28,2,FALSE),"")</f>
        <v/>
      </c>
      <c r="AB20" s="132">
        <f>IFERROR(VLOOKUP(INDIRECT($B$1&amp;"!"&amp;ADDRESS(ROW(),COLUMN(),4)),CONFIG!$A$15:$B$28,2,FALSE),"")</f>
        <v/>
      </c>
      <c r="AC20" s="132">
        <f>IFERROR(VLOOKUP(INDIRECT($B$1&amp;"!"&amp;ADDRESS(ROW(),COLUMN(),4)),CONFIG!$A$15:$B$28,2,FALSE),"")</f>
        <v/>
      </c>
      <c r="AD20" s="132">
        <f>IFERROR(VLOOKUP(INDIRECT($B$1&amp;"!"&amp;ADDRESS(ROW(),COLUMN(),4)),CONFIG!$A$15:$B$28,2,FALSE),"")</f>
        <v/>
      </c>
      <c r="AE20" s="132">
        <f>IFERROR(VLOOKUP(INDIRECT($B$1&amp;"!"&amp;ADDRESS(ROW(),COLUMN(),4)),CONFIG!$A$15:$B$28,2,FALSE),"")</f>
        <v/>
      </c>
      <c r="AF20" s="132">
        <f>IFERROR(VLOOKUP(INDIRECT($B$1&amp;"!"&amp;ADDRESS(ROW(),COLUMN(),4)),CONFIG!$A$15:$B$28,2,FALSE),"")</f>
        <v/>
      </c>
      <c r="AG20" s="132">
        <f>IFERROR(VLOOKUP(INDIRECT($B$1&amp;"!"&amp;ADDRESS(ROW(),COLUMN(),4)),CONFIG!$A$15:$B$28,2,FALSE),"")</f>
        <v/>
      </c>
    </row>
    <row r="21">
      <c r="A21" s="131" t="inlineStr">
        <is>
          <t>Isabella Mazzaro</t>
        </is>
      </c>
      <c r="C21" s="132">
        <f>IFERROR(VLOOKUP(INDIRECT($B$1&amp;"!"&amp;ADDRESS(ROW(),COLUMN(),4)),CONFIG!$A$15:$B$28,2,FALSE),"")</f>
        <v/>
      </c>
      <c r="D21" s="132">
        <f>IFERROR(VLOOKUP(INDIRECT($B$1&amp;"!"&amp;ADDRESS(ROW(),COLUMN(),4)),CONFIG!$A$15:$B$28,2,FALSE),"")</f>
        <v/>
      </c>
      <c r="E21" s="132">
        <f>IFERROR(VLOOKUP(INDIRECT($B$1&amp;"!"&amp;ADDRESS(ROW(),COLUMN(),4)),CONFIG!$A$15:$B$28,2,FALSE),"")</f>
        <v/>
      </c>
      <c r="F21" s="132">
        <f>IFERROR(VLOOKUP(INDIRECT($B$1&amp;"!"&amp;ADDRESS(ROW(),COLUMN(),4)),CONFIG!$A$15:$B$28,2,FALSE),"")</f>
        <v/>
      </c>
      <c r="G21" s="132">
        <f>IFERROR(VLOOKUP(INDIRECT($B$1&amp;"!"&amp;ADDRESS(ROW(),COLUMN(),4)),CONFIG!$A$15:$B$28,2,FALSE),"")</f>
        <v/>
      </c>
      <c r="H21" s="132">
        <f>IFERROR(VLOOKUP(INDIRECT($B$1&amp;"!"&amp;ADDRESS(ROW(),COLUMN(),4)),CONFIG!$A$15:$B$28,2,FALSE),"")</f>
        <v/>
      </c>
      <c r="I21" s="132">
        <f>IFERROR(VLOOKUP(INDIRECT($B$1&amp;"!"&amp;ADDRESS(ROW(),COLUMN(),4)),CONFIG!$A$15:$B$28,2,FALSE),"")</f>
        <v/>
      </c>
      <c r="J21" s="132">
        <f>IFERROR(VLOOKUP(INDIRECT($B$1&amp;"!"&amp;ADDRESS(ROW(),COLUMN(),4)),CONFIG!$A$15:$B$28,2,FALSE),"")</f>
        <v/>
      </c>
      <c r="K21" s="132">
        <f>IFERROR(VLOOKUP(INDIRECT($B$1&amp;"!"&amp;ADDRESS(ROW(),COLUMN(),4)),CONFIG!$A$15:$B$28,2,FALSE),"")</f>
        <v/>
      </c>
      <c r="L21" s="132">
        <f>IFERROR(VLOOKUP(INDIRECT($B$1&amp;"!"&amp;ADDRESS(ROW(),COLUMN(),4)),CONFIG!$A$15:$B$28,2,FALSE),"")</f>
        <v/>
      </c>
      <c r="M21" s="132">
        <f>IFERROR(VLOOKUP(INDIRECT($B$1&amp;"!"&amp;ADDRESS(ROW(),COLUMN(),4)),CONFIG!$A$15:$B$28,2,FALSE),"")</f>
        <v/>
      </c>
      <c r="N21" s="132">
        <f>IFERROR(VLOOKUP(INDIRECT($B$1&amp;"!"&amp;ADDRESS(ROW(),COLUMN(),4)),CONFIG!$A$15:$B$28,2,FALSE),"")</f>
        <v/>
      </c>
      <c r="O21" s="132">
        <f>IFERROR(VLOOKUP(INDIRECT($B$1&amp;"!"&amp;ADDRESS(ROW(),COLUMN(),4)),CONFIG!$A$15:$B$28,2,FALSE),"")</f>
        <v/>
      </c>
      <c r="P21" s="132">
        <f>IFERROR(VLOOKUP(INDIRECT($B$1&amp;"!"&amp;ADDRESS(ROW(),COLUMN(),4)),CONFIG!$A$15:$B$28,2,FALSE),"")</f>
        <v/>
      </c>
      <c r="Q21" s="132">
        <f>IFERROR(VLOOKUP(INDIRECT($B$1&amp;"!"&amp;ADDRESS(ROW(),COLUMN(),4)),CONFIG!$A$15:$B$28,2,FALSE),"")</f>
        <v/>
      </c>
      <c r="R21" s="132">
        <f>IFERROR(VLOOKUP(INDIRECT($B$1&amp;"!"&amp;ADDRESS(ROW(),COLUMN(),4)),CONFIG!$A$15:$B$28,2,FALSE),"")</f>
        <v/>
      </c>
      <c r="S21" s="132">
        <f>IFERROR(VLOOKUP(INDIRECT($B$1&amp;"!"&amp;ADDRESS(ROW(),COLUMN(),4)),CONFIG!$A$15:$B$28,2,FALSE),"")</f>
        <v/>
      </c>
      <c r="T21" s="132">
        <f>IFERROR(VLOOKUP(INDIRECT($B$1&amp;"!"&amp;ADDRESS(ROW(),COLUMN(),4)),CONFIG!$A$15:$B$28,2,FALSE),"")</f>
        <v/>
      </c>
      <c r="U21" s="132">
        <f>IFERROR(VLOOKUP(INDIRECT($B$1&amp;"!"&amp;ADDRESS(ROW(),COLUMN(),4)),CONFIG!$A$15:$B$28,2,FALSE),"")</f>
        <v/>
      </c>
      <c r="V21" s="132">
        <f>IFERROR(VLOOKUP(INDIRECT($B$1&amp;"!"&amp;ADDRESS(ROW(),COLUMN(),4)),CONFIG!$A$15:$B$28,2,FALSE),"")</f>
        <v/>
      </c>
      <c r="W21" s="132">
        <f>IFERROR(VLOOKUP(INDIRECT($B$1&amp;"!"&amp;ADDRESS(ROW(),COLUMN(),4)),CONFIG!$A$15:$B$28,2,FALSE),"")</f>
        <v/>
      </c>
      <c r="X21" s="132">
        <f>IFERROR(VLOOKUP(INDIRECT($B$1&amp;"!"&amp;ADDRESS(ROW(),COLUMN(),4)),CONFIG!$A$15:$B$28,2,FALSE),"")</f>
        <v/>
      </c>
      <c r="Y21" s="132">
        <f>IFERROR(VLOOKUP(INDIRECT($B$1&amp;"!"&amp;ADDRESS(ROW(),COLUMN(),4)),CONFIG!$A$15:$B$28,2,FALSE),"")</f>
        <v/>
      </c>
      <c r="Z21" s="132">
        <f>IFERROR(VLOOKUP(INDIRECT($B$1&amp;"!"&amp;ADDRESS(ROW(),COLUMN(),4)),CONFIG!$A$15:$B$28,2,FALSE),"")</f>
        <v/>
      </c>
      <c r="AA21" s="132">
        <f>IFERROR(VLOOKUP(INDIRECT($B$1&amp;"!"&amp;ADDRESS(ROW(),COLUMN(),4)),CONFIG!$A$15:$B$28,2,FALSE),"")</f>
        <v/>
      </c>
      <c r="AB21" s="132">
        <f>IFERROR(VLOOKUP(INDIRECT($B$1&amp;"!"&amp;ADDRESS(ROW(),COLUMN(),4)),CONFIG!$A$15:$B$28,2,FALSE),"")</f>
        <v/>
      </c>
      <c r="AC21" s="132">
        <f>IFERROR(VLOOKUP(INDIRECT($B$1&amp;"!"&amp;ADDRESS(ROW(),COLUMN(),4)),CONFIG!$A$15:$B$28,2,FALSE),"")</f>
        <v/>
      </c>
      <c r="AD21" s="132">
        <f>IFERROR(VLOOKUP(INDIRECT($B$1&amp;"!"&amp;ADDRESS(ROW(),COLUMN(),4)),CONFIG!$A$15:$B$28,2,FALSE),"")</f>
        <v/>
      </c>
      <c r="AE21" s="132">
        <f>IFERROR(VLOOKUP(INDIRECT($B$1&amp;"!"&amp;ADDRESS(ROW(),COLUMN(),4)),CONFIG!$A$15:$B$28,2,FALSE),"")</f>
        <v/>
      </c>
      <c r="AF21" s="132">
        <f>IFERROR(VLOOKUP(INDIRECT($B$1&amp;"!"&amp;ADDRESS(ROW(),COLUMN(),4)),CONFIG!$A$15:$B$28,2,FALSE),"")</f>
        <v/>
      </c>
      <c r="AG21" s="132">
        <f>IFERROR(VLOOKUP(INDIRECT($B$1&amp;"!"&amp;ADDRESS(ROW(),COLUMN(),4)),CONFIG!$A$15:$B$28,2,FALSE),"")</f>
        <v/>
      </c>
    </row>
    <row r="22">
      <c r="A22" s="131" t="inlineStr">
        <is>
          <t>Julliana Brito</t>
        </is>
      </c>
      <c r="C22" s="132">
        <f>IFERROR(VLOOKUP(INDIRECT($B$1&amp;"!"&amp;ADDRESS(ROW(),COLUMN(),4)),CONFIG!$A$15:$B$28,2,FALSE),"")</f>
        <v/>
      </c>
      <c r="D22" s="132">
        <f>IFERROR(VLOOKUP(INDIRECT($B$1&amp;"!"&amp;ADDRESS(ROW(),COLUMN(),4)),CONFIG!$A$15:$B$28,2,FALSE),"")</f>
        <v/>
      </c>
      <c r="E22" s="132">
        <f>IFERROR(VLOOKUP(INDIRECT($B$1&amp;"!"&amp;ADDRESS(ROW(),COLUMN(),4)),CONFIG!$A$15:$B$28,2,FALSE),"")</f>
        <v/>
      </c>
      <c r="F22" s="132">
        <f>IFERROR(VLOOKUP(INDIRECT($B$1&amp;"!"&amp;ADDRESS(ROW(),COLUMN(),4)),CONFIG!$A$15:$B$28,2,FALSE),"")</f>
        <v/>
      </c>
      <c r="G22" s="132">
        <f>IFERROR(VLOOKUP(INDIRECT($B$1&amp;"!"&amp;ADDRESS(ROW(),COLUMN(),4)),CONFIG!$A$15:$B$28,2,FALSE),"")</f>
        <v/>
      </c>
      <c r="H22" s="132">
        <f>IFERROR(VLOOKUP(INDIRECT($B$1&amp;"!"&amp;ADDRESS(ROW(),COLUMN(),4)),CONFIG!$A$15:$B$28,2,FALSE),"")</f>
        <v/>
      </c>
      <c r="I22" s="132">
        <f>IFERROR(VLOOKUP(INDIRECT($B$1&amp;"!"&amp;ADDRESS(ROW(),COLUMN(),4)),CONFIG!$A$15:$B$28,2,FALSE),"")</f>
        <v/>
      </c>
      <c r="J22" s="132">
        <f>IFERROR(VLOOKUP(INDIRECT($B$1&amp;"!"&amp;ADDRESS(ROW(),COLUMN(),4)),CONFIG!$A$15:$B$28,2,FALSE),"")</f>
        <v/>
      </c>
      <c r="K22" s="132">
        <f>IFERROR(VLOOKUP(INDIRECT($B$1&amp;"!"&amp;ADDRESS(ROW(),COLUMN(),4)),CONFIG!$A$15:$B$28,2,FALSE),"")</f>
        <v/>
      </c>
      <c r="L22" s="132">
        <f>IFERROR(VLOOKUP(INDIRECT($B$1&amp;"!"&amp;ADDRESS(ROW(),COLUMN(),4)),CONFIG!$A$15:$B$28,2,FALSE),"")</f>
        <v/>
      </c>
      <c r="M22" s="132">
        <f>IFERROR(VLOOKUP(INDIRECT($B$1&amp;"!"&amp;ADDRESS(ROW(),COLUMN(),4)),CONFIG!$A$15:$B$28,2,FALSE),"")</f>
        <v/>
      </c>
      <c r="N22" s="132">
        <f>IFERROR(VLOOKUP(INDIRECT($B$1&amp;"!"&amp;ADDRESS(ROW(),COLUMN(),4)),CONFIG!$A$15:$B$28,2,FALSE),"")</f>
        <v/>
      </c>
      <c r="O22" s="132">
        <f>IFERROR(VLOOKUP(INDIRECT($B$1&amp;"!"&amp;ADDRESS(ROW(),COLUMN(),4)),CONFIG!$A$15:$B$28,2,FALSE),"")</f>
        <v/>
      </c>
      <c r="P22" s="132">
        <f>IFERROR(VLOOKUP(INDIRECT($B$1&amp;"!"&amp;ADDRESS(ROW(),COLUMN(),4)),CONFIG!$A$15:$B$28,2,FALSE),"")</f>
        <v/>
      </c>
      <c r="Q22" s="132">
        <f>IFERROR(VLOOKUP(INDIRECT($B$1&amp;"!"&amp;ADDRESS(ROW(),COLUMN(),4)),CONFIG!$A$15:$B$28,2,FALSE),"")</f>
        <v/>
      </c>
      <c r="R22" s="132">
        <f>IFERROR(VLOOKUP(INDIRECT($B$1&amp;"!"&amp;ADDRESS(ROW(),COLUMN(),4)),CONFIG!$A$15:$B$28,2,FALSE),"")</f>
        <v/>
      </c>
      <c r="S22" s="132">
        <f>IFERROR(VLOOKUP(INDIRECT($B$1&amp;"!"&amp;ADDRESS(ROW(),COLUMN(),4)),CONFIG!$A$15:$B$28,2,FALSE),"")</f>
        <v/>
      </c>
      <c r="T22" s="132">
        <f>IFERROR(VLOOKUP(INDIRECT($B$1&amp;"!"&amp;ADDRESS(ROW(),COLUMN(),4)),CONFIG!$A$15:$B$28,2,FALSE),"")</f>
        <v/>
      </c>
      <c r="U22" s="132">
        <f>IFERROR(VLOOKUP(INDIRECT($B$1&amp;"!"&amp;ADDRESS(ROW(),COLUMN(),4)),CONFIG!$A$15:$B$28,2,FALSE),"")</f>
        <v/>
      </c>
      <c r="V22" s="132">
        <f>IFERROR(VLOOKUP(INDIRECT($B$1&amp;"!"&amp;ADDRESS(ROW(),COLUMN(),4)),CONFIG!$A$15:$B$28,2,FALSE),"")</f>
        <v/>
      </c>
      <c r="W22" s="132">
        <f>IFERROR(VLOOKUP(INDIRECT($B$1&amp;"!"&amp;ADDRESS(ROW(),COLUMN(),4)),CONFIG!$A$15:$B$28,2,FALSE),"")</f>
        <v/>
      </c>
      <c r="X22" s="132">
        <f>IFERROR(VLOOKUP(INDIRECT($B$1&amp;"!"&amp;ADDRESS(ROW(),COLUMN(),4)),CONFIG!$A$15:$B$28,2,FALSE),"")</f>
        <v/>
      </c>
      <c r="Y22" s="132">
        <f>IFERROR(VLOOKUP(INDIRECT($B$1&amp;"!"&amp;ADDRESS(ROW(),COLUMN(),4)),CONFIG!$A$15:$B$28,2,FALSE),"")</f>
        <v/>
      </c>
      <c r="Z22" s="132">
        <f>IFERROR(VLOOKUP(INDIRECT($B$1&amp;"!"&amp;ADDRESS(ROW(),COLUMN(),4)),CONFIG!$A$15:$B$28,2,FALSE),"")</f>
        <v/>
      </c>
      <c r="AA22" s="132">
        <f>IFERROR(VLOOKUP(INDIRECT($B$1&amp;"!"&amp;ADDRESS(ROW(),COLUMN(),4)),CONFIG!$A$15:$B$28,2,FALSE),"")</f>
        <v/>
      </c>
      <c r="AB22" s="132">
        <f>IFERROR(VLOOKUP(INDIRECT($B$1&amp;"!"&amp;ADDRESS(ROW(),COLUMN(),4)),CONFIG!$A$15:$B$28,2,FALSE),"")</f>
        <v/>
      </c>
      <c r="AC22" s="132">
        <f>IFERROR(VLOOKUP(INDIRECT($B$1&amp;"!"&amp;ADDRESS(ROW(),COLUMN(),4)),CONFIG!$A$15:$B$28,2,FALSE),"")</f>
        <v/>
      </c>
      <c r="AD22" s="132">
        <f>IFERROR(VLOOKUP(INDIRECT($B$1&amp;"!"&amp;ADDRESS(ROW(),COLUMN(),4)),CONFIG!$A$15:$B$28,2,FALSE),"")</f>
        <v/>
      </c>
      <c r="AE22" s="132">
        <f>IFERROR(VLOOKUP(INDIRECT($B$1&amp;"!"&amp;ADDRESS(ROW(),COLUMN(),4)),CONFIG!$A$15:$B$28,2,FALSE),"")</f>
        <v/>
      </c>
      <c r="AF22" s="132">
        <f>IFERROR(VLOOKUP(INDIRECT($B$1&amp;"!"&amp;ADDRESS(ROW(),COLUMN(),4)),CONFIG!$A$15:$B$28,2,FALSE),"")</f>
        <v/>
      </c>
      <c r="AG22" s="132">
        <f>IFERROR(VLOOKUP(INDIRECT($B$1&amp;"!"&amp;ADDRESS(ROW(),COLUMN(),4)),CONFIG!$A$15:$B$28,2,FALSE),"")</f>
        <v/>
      </c>
    </row>
    <row r="23">
      <c r="A23" s="131" t="inlineStr">
        <is>
          <t>Fernanda Kariny</t>
        </is>
      </c>
      <c r="C23" s="132">
        <f>IFERROR(VLOOKUP(INDIRECT($B$1&amp;"!"&amp;ADDRESS(ROW(),COLUMN(),4)),CONFIG!$A$15:$B$28,2,FALSE),"")</f>
        <v/>
      </c>
      <c r="D23" s="132">
        <f>IFERROR(VLOOKUP(INDIRECT($B$1&amp;"!"&amp;ADDRESS(ROW(),COLUMN(),4)),CONFIG!$A$15:$B$28,2,FALSE),"")</f>
        <v/>
      </c>
      <c r="E23" s="132">
        <f>IFERROR(VLOOKUP(INDIRECT($B$1&amp;"!"&amp;ADDRESS(ROW(),COLUMN(),4)),CONFIG!$A$15:$B$28,2,FALSE),"")</f>
        <v/>
      </c>
      <c r="F23" s="132">
        <f>IFERROR(VLOOKUP(INDIRECT($B$1&amp;"!"&amp;ADDRESS(ROW(),COLUMN(),4)),CONFIG!$A$15:$B$28,2,FALSE),"")</f>
        <v/>
      </c>
      <c r="G23" s="132">
        <f>IFERROR(VLOOKUP(INDIRECT($B$1&amp;"!"&amp;ADDRESS(ROW(),COLUMN(),4)),CONFIG!$A$15:$B$28,2,FALSE),"")</f>
        <v/>
      </c>
      <c r="H23" s="132">
        <f>IFERROR(VLOOKUP(INDIRECT($B$1&amp;"!"&amp;ADDRESS(ROW(),COLUMN(),4)),CONFIG!$A$15:$B$28,2,FALSE),"")</f>
        <v/>
      </c>
      <c r="I23" s="132">
        <f>IFERROR(VLOOKUP(INDIRECT($B$1&amp;"!"&amp;ADDRESS(ROW(),COLUMN(),4)),CONFIG!$A$15:$B$28,2,FALSE),"")</f>
        <v/>
      </c>
      <c r="J23" s="132">
        <f>IFERROR(VLOOKUP(INDIRECT($B$1&amp;"!"&amp;ADDRESS(ROW(),COLUMN(),4)),CONFIG!$A$15:$B$28,2,FALSE),"")</f>
        <v/>
      </c>
      <c r="K23" s="132">
        <f>IFERROR(VLOOKUP(INDIRECT($B$1&amp;"!"&amp;ADDRESS(ROW(),COLUMN(),4)),CONFIG!$A$15:$B$28,2,FALSE),"")</f>
        <v/>
      </c>
      <c r="L23" s="132">
        <f>IFERROR(VLOOKUP(INDIRECT($B$1&amp;"!"&amp;ADDRESS(ROW(),COLUMN(),4)),CONFIG!$A$15:$B$28,2,FALSE),"")</f>
        <v/>
      </c>
      <c r="M23" s="132">
        <f>IFERROR(VLOOKUP(INDIRECT($B$1&amp;"!"&amp;ADDRESS(ROW(),COLUMN(),4)),CONFIG!$A$15:$B$28,2,FALSE),"")</f>
        <v/>
      </c>
      <c r="N23" s="132">
        <f>IFERROR(VLOOKUP(INDIRECT($B$1&amp;"!"&amp;ADDRESS(ROW(),COLUMN(),4)),CONFIG!$A$15:$B$28,2,FALSE),"")</f>
        <v/>
      </c>
      <c r="O23" s="132">
        <f>IFERROR(VLOOKUP(INDIRECT($B$1&amp;"!"&amp;ADDRESS(ROW(),COLUMN(),4)),CONFIG!$A$15:$B$28,2,FALSE),"")</f>
        <v/>
      </c>
      <c r="P23" s="132">
        <f>IFERROR(VLOOKUP(INDIRECT($B$1&amp;"!"&amp;ADDRESS(ROW(),COLUMN(),4)),CONFIG!$A$15:$B$28,2,FALSE),"")</f>
        <v/>
      </c>
      <c r="Q23" s="132">
        <f>IFERROR(VLOOKUP(INDIRECT($B$1&amp;"!"&amp;ADDRESS(ROW(),COLUMN(),4)),CONFIG!$A$15:$B$28,2,FALSE),"")</f>
        <v/>
      </c>
      <c r="R23" s="132">
        <f>IFERROR(VLOOKUP(INDIRECT($B$1&amp;"!"&amp;ADDRESS(ROW(),COLUMN(),4)),CONFIG!$A$15:$B$28,2,FALSE),"")</f>
        <v/>
      </c>
      <c r="S23" s="132">
        <f>IFERROR(VLOOKUP(INDIRECT($B$1&amp;"!"&amp;ADDRESS(ROW(),COLUMN(),4)),CONFIG!$A$15:$B$28,2,FALSE),"")</f>
        <v/>
      </c>
      <c r="T23" s="132">
        <f>IFERROR(VLOOKUP(INDIRECT($B$1&amp;"!"&amp;ADDRESS(ROW(),COLUMN(),4)),CONFIG!$A$15:$B$28,2,FALSE),"")</f>
        <v/>
      </c>
      <c r="U23" s="132">
        <f>IFERROR(VLOOKUP(INDIRECT($B$1&amp;"!"&amp;ADDRESS(ROW(),COLUMN(),4)),CONFIG!$A$15:$B$28,2,FALSE),"")</f>
        <v/>
      </c>
      <c r="V23" s="132">
        <f>IFERROR(VLOOKUP(INDIRECT($B$1&amp;"!"&amp;ADDRESS(ROW(),COLUMN(),4)),CONFIG!$A$15:$B$28,2,FALSE),"")</f>
        <v/>
      </c>
      <c r="W23" s="132">
        <f>IFERROR(VLOOKUP(INDIRECT($B$1&amp;"!"&amp;ADDRESS(ROW(),COLUMN(),4)),CONFIG!$A$15:$B$28,2,FALSE),"")</f>
        <v/>
      </c>
      <c r="X23" s="132">
        <f>IFERROR(VLOOKUP(INDIRECT($B$1&amp;"!"&amp;ADDRESS(ROW(),COLUMN(),4)),CONFIG!$A$15:$B$28,2,FALSE),"")</f>
        <v/>
      </c>
      <c r="Y23" s="132">
        <f>IFERROR(VLOOKUP(INDIRECT($B$1&amp;"!"&amp;ADDRESS(ROW(),COLUMN(),4)),CONFIG!$A$15:$B$28,2,FALSE),"")</f>
        <v/>
      </c>
      <c r="Z23" s="132">
        <f>IFERROR(VLOOKUP(INDIRECT($B$1&amp;"!"&amp;ADDRESS(ROW(),COLUMN(),4)),CONFIG!$A$15:$B$28,2,FALSE),"")</f>
        <v/>
      </c>
      <c r="AA23" s="132">
        <f>IFERROR(VLOOKUP(INDIRECT($B$1&amp;"!"&amp;ADDRESS(ROW(),COLUMN(),4)),CONFIG!$A$15:$B$28,2,FALSE),"")</f>
        <v/>
      </c>
      <c r="AB23" s="132">
        <f>IFERROR(VLOOKUP(INDIRECT($B$1&amp;"!"&amp;ADDRESS(ROW(),COLUMN(),4)),CONFIG!$A$15:$B$28,2,FALSE),"")</f>
        <v/>
      </c>
      <c r="AC23" s="132">
        <f>IFERROR(VLOOKUP(INDIRECT($B$1&amp;"!"&amp;ADDRESS(ROW(),COLUMN(),4)),CONFIG!$A$15:$B$28,2,FALSE),"")</f>
        <v/>
      </c>
      <c r="AD23" s="132">
        <f>IFERROR(VLOOKUP(INDIRECT($B$1&amp;"!"&amp;ADDRESS(ROW(),COLUMN(),4)),CONFIG!$A$15:$B$28,2,FALSE),"")</f>
        <v/>
      </c>
      <c r="AE23" s="132">
        <f>IFERROR(VLOOKUP(INDIRECT($B$1&amp;"!"&amp;ADDRESS(ROW(),COLUMN(),4)),CONFIG!$A$15:$B$28,2,FALSE),"")</f>
        <v/>
      </c>
      <c r="AF23" s="132">
        <f>IFERROR(VLOOKUP(INDIRECT($B$1&amp;"!"&amp;ADDRESS(ROW(),COLUMN(),4)),CONFIG!$A$15:$B$28,2,FALSE),"")</f>
        <v/>
      </c>
      <c r="AG23" s="132">
        <f>IFERROR(VLOOKUP(INDIRECT($B$1&amp;"!"&amp;ADDRESS(ROW(),COLUMN(),4)),CONFIG!$A$15:$B$28,2,FALSE),"")</f>
        <v/>
      </c>
    </row>
    <row r="24">
      <c r="A24" s="131" t="inlineStr">
        <is>
          <t>Mayana Leal</t>
        </is>
      </c>
      <c r="C24" s="132">
        <f>IFERROR(VLOOKUP(INDIRECT($B$1&amp;"!"&amp;ADDRESS(ROW(),COLUMN(),4)),CONFIG!$A$15:$B$28,2,FALSE),"")</f>
        <v/>
      </c>
      <c r="D24" s="132">
        <f>IFERROR(VLOOKUP(INDIRECT($B$1&amp;"!"&amp;ADDRESS(ROW(),COLUMN(),4)),CONFIG!$A$15:$B$28,2,FALSE),"")</f>
        <v/>
      </c>
      <c r="E24" s="132">
        <f>IFERROR(VLOOKUP(INDIRECT($B$1&amp;"!"&amp;ADDRESS(ROW(),COLUMN(),4)),CONFIG!$A$15:$B$28,2,FALSE),"")</f>
        <v/>
      </c>
      <c r="F24" s="132">
        <f>IFERROR(VLOOKUP(INDIRECT($B$1&amp;"!"&amp;ADDRESS(ROW(),COLUMN(),4)),CONFIG!$A$15:$B$28,2,FALSE),"")</f>
        <v/>
      </c>
      <c r="G24" s="132">
        <f>IFERROR(VLOOKUP(INDIRECT($B$1&amp;"!"&amp;ADDRESS(ROW(),COLUMN(),4)),CONFIG!$A$15:$B$28,2,FALSE),"")</f>
        <v/>
      </c>
      <c r="H24" s="132">
        <f>IFERROR(VLOOKUP(INDIRECT($B$1&amp;"!"&amp;ADDRESS(ROW(),COLUMN(),4)),CONFIG!$A$15:$B$28,2,FALSE),"")</f>
        <v/>
      </c>
      <c r="I24" s="132">
        <f>IFERROR(VLOOKUP(INDIRECT($B$1&amp;"!"&amp;ADDRESS(ROW(),COLUMN(),4)),CONFIG!$A$15:$B$28,2,FALSE),"")</f>
        <v/>
      </c>
      <c r="J24" s="132">
        <f>IFERROR(VLOOKUP(INDIRECT($B$1&amp;"!"&amp;ADDRESS(ROW(),COLUMN(),4)),CONFIG!$A$15:$B$28,2,FALSE),"")</f>
        <v/>
      </c>
      <c r="K24" s="132">
        <f>IFERROR(VLOOKUP(INDIRECT($B$1&amp;"!"&amp;ADDRESS(ROW(),COLUMN(),4)),CONFIG!$A$15:$B$28,2,FALSE),"")</f>
        <v/>
      </c>
      <c r="L24" s="132">
        <f>IFERROR(VLOOKUP(INDIRECT($B$1&amp;"!"&amp;ADDRESS(ROW(),COLUMN(),4)),CONFIG!$A$15:$B$28,2,FALSE),"")</f>
        <v/>
      </c>
      <c r="M24" s="132">
        <f>IFERROR(VLOOKUP(INDIRECT($B$1&amp;"!"&amp;ADDRESS(ROW(),COLUMN(),4)),CONFIG!$A$15:$B$28,2,FALSE),"")</f>
        <v/>
      </c>
      <c r="N24" s="132">
        <f>IFERROR(VLOOKUP(INDIRECT($B$1&amp;"!"&amp;ADDRESS(ROW(),COLUMN(),4)),CONFIG!$A$15:$B$28,2,FALSE),"")</f>
        <v/>
      </c>
      <c r="O24" s="132">
        <f>IFERROR(VLOOKUP(INDIRECT($B$1&amp;"!"&amp;ADDRESS(ROW(),COLUMN(),4)),CONFIG!$A$15:$B$28,2,FALSE),"")</f>
        <v/>
      </c>
      <c r="P24" s="132">
        <f>IFERROR(VLOOKUP(INDIRECT($B$1&amp;"!"&amp;ADDRESS(ROW(),COLUMN(),4)),CONFIG!$A$15:$B$28,2,FALSE),"")</f>
        <v/>
      </c>
      <c r="Q24" s="132">
        <f>IFERROR(VLOOKUP(INDIRECT($B$1&amp;"!"&amp;ADDRESS(ROW(),COLUMN(),4)),CONFIG!$A$15:$B$28,2,FALSE),"")</f>
        <v/>
      </c>
      <c r="R24" s="132">
        <f>IFERROR(VLOOKUP(INDIRECT($B$1&amp;"!"&amp;ADDRESS(ROW(),COLUMN(),4)),CONFIG!$A$15:$B$28,2,FALSE),"")</f>
        <v/>
      </c>
      <c r="S24" s="132">
        <f>IFERROR(VLOOKUP(INDIRECT($B$1&amp;"!"&amp;ADDRESS(ROW(),COLUMN(),4)),CONFIG!$A$15:$B$28,2,FALSE),"")</f>
        <v/>
      </c>
      <c r="T24" s="132">
        <f>IFERROR(VLOOKUP(INDIRECT($B$1&amp;"!"&amp;ADDRESS(ROW(),COLUMN(),4)),CONFIG!$A$15:$B$28,2,FALSE),"")</f>
        <v/>
      </c>
      <c r="U24" s="132">
        <f>IFERROR(VLOOKUP(INDIRECT($B$1&amp;"!"&amp;ADDRESS(ROW(),COLUMN(),4)),CONFIG!$A$15:$B$28,2,FALSE),"")</f>
        <v/>
      </c>
      <c r="V24" s="132">
        <f>IFERROR(VLOOKUP(INDIRECT($B$1&amp;"!"&amp;ADDRESS(ROW(),COLUMN(),4)),CONFIG!$A$15:$B$28,2,FALSE),"")</f>
        <v/>
      </c>
      <c r="W24" s="132">
        <f>IFERROR(VLOOKUP(INDIRECT($B$1&amp;"!"&amp;ADDRESS(ROW(),COLUMN(),4)),CONFIG!$A$15:$B$28,2,FALSE),"")</f>
        <v/>
      </c>
      <c r="X24" s="132">
        <f>IFERROR(VLOOKUP(INDIRECT($B$1&amp;"!"&amp;ADDRESS(ROW(),COLUMN(),4)),CONFIG!$A$15:$B$28,2,FALSE),"")</f>
        <v/>
      </c>
      <c r="Y24" s="132">
        <f>IFERROR(VLOOKUP(INDIRECT($B$1&amp;"!"&amp;ADDRESS(ROW(),COLUMN(),4)),CONFIG!$A$15:$B$28,2,FALSE),"")</f>
        <v/>
      </c>
      <c r="Z24" s="132">
        <f>IFERROR(VLOOKUP(INDIRECT($B$1&amp;"!"&amp;ADDRESS(ROW(),COLUMN(),4)),CONFIG!$A$15:$B$28,2,FALSE),"")</f>
        <v/>
      </c>
      <c r="AA24" s="132">
        <f>IFERROR(VLOOKUP(INDIRECT($B$1&amp;"!"&amp;ADDRESS(ROW(),COLUMN(),4)),CONFIG!$A$15:$B$28,2,FALSE),"")</f>
        <v/>
      </c>
      <c r="AB24" s="132">
        <f>IFERROR(VLOOKUP(INDIRECT($B$1&amp;"!"&amp;ADDRESS(ROW(),COLUMN(),4)),CONFIG!$A$15:$B$28,2,FALSE),"")</f>
        <v/>
      </c>
      <c r="AC24" s="132">
        <f>IFERROR(VLOOKUP(INDIRECT($B$1&amp;"!"&amp;ADDRESS(ROW(),COLUMN(),4)),CONFIG!$A$15:$B$28,2,FALSE),"")</f>
        <v/>
      </c>
      <c r="AD24" s="132">
        <f>IFERROR(VLOOKUP(INDIRECT($B$1&amp;"!"&amp;ADDRESS(ROW(),COLUMN(),4)),CONFIG!$A$15:$B$28,2,FALSE),"")</f>
        <v/>
      </c>
      <c r="AE24" s="132">
        <f>IFERROR(VLOOKUP(INDIRECT($B$1&amp;"!"&amp;ADDRESS(ROW(),COLUMN(),4)),CONFIG!$A$15:$B$28,2,FALSE),"")</f>
        <v/>
      </c>
      <c r="AF24" s="132">
        <f>IFERROR(VLOOKUP(INDIRECT($B$1&amp;"!"&amp;ADDRESS(ROW(),COLUMN(),4)),CONFIG!$A$15:$B$28,2,FALSE),"")</f>
        <v/>
      </c>
      <c r="AG24" s="132">
        <f>IFERROR(VLOOKUP(INDIRECT($B$1&amp;"!"&amp;ADDRESS(ROW(),COLUMN(),4)),CONFIG!$A$15:$B$28,2,FALSE),"")</f>
        <v/>
      </c>
    </row>
    <row r="25">
      <c r="A25" s="131" t="inlineStr">
        <is>
          <t>Neyde Brito</t>
        </is>
      </c>
      <c r="C25" s="132">
        <f>IFERROR(VLOOKUP(INDIRECT($B$1&amp;"!"&amp;ADDRESS(ROW(),COLUMN(),4)),CONFIG!$A$15:$B$28,2,FALSE),"")</f>
        <v/>
      </c>
      <c r="D25" s="132">
        <f>IFERROR(VLOOKUP(INDIRECT($B$1&amp;"!"&amp;ADDRESS(ROW(),COLUMN(),4)),CONFIG!$A$15:$B$28,2,FALSE),"")</f>
        <v/>
      </c>
      <c r="E25" s="132">
        <f>IFERROR(VLOOKUP(INDIRECT($B$1&amp;"!"&amp;ADDRESS(ROW(),COLUMN(),4)),CONFIG!$A$15:$B$28,2,FALSE),"")</f>
        <v/>
      </c>
      <c r="F25" s="132">
        <f>IFERROR(VLOOKUP(INDIRECT($B$1&amp;"!"&amp;ADDRESS(ROW(),COLUMN(),4)),CONFIG!$A$15:$B$28,2,FALSE),"")</f>
        <v/>
      </c>
      <c r="G25" s="132">
        <f>IFERROR(VLOOKUP(INDIRECT($B$1&amp;"!"&amp;ADDRESS(ROW(),COLUMN(),4)),CONFIG!$A$15:$B$28,2,FALSE),"")</f>
        <v/>
      </c>
      <c r="H25" s="132">
        <f>IFERROR(VLOOKUP(INDIRECT($B$1&amp;"!"&amp;ADDRESS(ROW(),COLUMN(),4)),CONFIG!$A$15:$B$28,2,FALSE),"")</f>
        <v/>
      </c>
      <c r="I25" s="132">
        <f>IFERROR(VLOOKUP(INDIRECT($B$1&amp;"!"&amp;ADDRESS(ROW(),COLUMN(),4)),CONFIG!$A$15:$B$28,2,FALSE),"")</f>
        <v/>
      </c>
      <c r="J25" s="132">
        <f>IFERROR(VLOOKUP(INDIRECT($B$1&amp;"!"&amp;ADDRESS(ROW(),COLUMN(),4)),CONFIG!$A$15:$B$28,2,FALSE),"")</f>
        <v/>
      </c>
      <c r="K25" s="132">
        <f>IFERROR(VLOOKUP(INDIRECT($B$1&amp;"!"&amp;ADDRESS(ROW(),COLUMN(),4)),CONFIG!$A$15:$B$28,2,FALSE),"")</f>
        <v/>
      </c>
      <c r="L25" s="132">
        <f>IFERROR(VLOOKUP(INDIRECT($B$1&amp;"!"&amp;ADDRESS(ROW(),COLUMN(),4)),CONFIG!$A$15:$B$28,2,FALSE),"")</f>
        <v/>
      </c>
      <c r="M25" s="132">
        <f>IFERROR(VLOOKUP(INDIRECT($B$1&amp;"!"&amp;ADDRESS(ROW(),COLUMN(),4)),CONFIG!$A$15:$B$28,2,FALSE),"")</f>
        <v/>
      </c>
      <c r="N25" s="132">
        <f>IFERROR(VLOOKUP(INDIRECT($B$1&amp;"!"&amp;ADDRESS(ROW(),COLUMN(),4)),CONFIG!$A$15:$B$28,2,FALSE),"")</f>
        <v/>
      </c>
      <c r="O25" s="132">
        <f>IFERROR(VLOOKUP(INDIRECT($B$1&amp;"!"&amp;ADDRESS(ROW(),COLUMN(),4)),CONFIG!$A$15:$B$28,2,FALSE),"")</f>
        <v/>
      </c>
      <c r="P25" s="132">
        <f>IFERROR(VLOOKUP(INDIRECT($B$1&amp;"!"&amp;ADDRESS(ROW(),COLUMN(),4)),CONFIG!$A$15:$B$28,2,FALSE),"")</f>
        <v/>
      </c>
      <c r="Q25" s="132">
        <f>IFERROR(VLOOKUP(INDIRECT($B$1&amp;"!"&amp;ADDRESS(ROW(),COLUMN(),4)),CONFIG!$A$15:$B$28,2,FALSE),"")</f>
        <v/>
      </c>
      <c r="R25" s="132">
        <f>IFERROR(VLOOKUP(INDIRECT($B$1&amp;"!"&amp;ADDRESS(ROW(),COLUMN(),4)),CONFIG!$A$15:$B$28,2,FALSE),"")</f>
        <v/>
      </c>
      <c r="S25" s="132">
        <f>IFERROR(VLOOKUP(INDIRECT($B$1&amp;"!"&amp;ADDRESS(ROW(),COLUMN(),4)),CONFIG!$A$15:$B$28,2,FALSE),"")</f>
        <v/>
      </c>
      <c r="T25" s="132">
        <f>IFERROR(VLOOKUP(INDIRECT($B$1&amp;"!"&amp;ADDRESS(ROW(),COLUMN(),4)),CONFIG!$A$15:$B$28,2,FALSE),"")</f>
        <v/>
      </c>
      <c r="U25" s="132">
        <f>IFERROR(VLOOKUP(INDIRECT($B$1&amp;"!"&amp;ADDRESS(ROW(),COLUMN(),4)),CONFIG!$A$15:$B$28,2,FALSE),"")</f>
        <v/>
      </c>
      <c r="V25" s="132">
        <f>IFERROR(VLOOKUP(INDIRECT($B$1&amp;"!"&amp;ADDRESS(ROW(),COLUMN(),4)),CONFIG!$A$15:$B$28,2,FALSE),"")</f>
        <v/>
      </c>
      <c r="W25" s="132">
        <f>IFERROR(VLOOKUP(INDIRECT($B$1&amp;"!"&amp;ADDRESS(ROW(),COLUMN(),4)),CONFIG!$A$15:$B$28,2,FALSE),"")</f>
        <v/>
      </c>
      <c r="X25" s="132">
        <f>IFERROR(VLOOKUP(INDIRECT($B$1&amp;"!"&amp;ADDRESS(ROW(),COLUMN(),4)),CONFIG!$A$15:$B$28,2,FALSE),"")</f>
        <v/>
      </c>
      <c r="Y25" s="132">
        <f>IFERROR(VLOOKUP(INDIRECT($B$1&amp;"!"&amp;ADDRESS(ROW(),COLUMN(),4)),CONFIG!$A$15:$B$28,2,FALSE),"")</f>
        <v/>
      </c>
      <c r="Z25" s="132">
        <f>IFERROR(VLOOKUP(INDIRECT($B$1&amp;"!"&amp;ADDRESS(ROW(),COLUMN(),4)),CONFIG!$A$15:$B$28,2,FALSE),"")</f>
        <v/>
      </c>
      <c r="AA25" s="132">
        <f>IFERROR(VLOOKUP(INDIRECT($B$1&amp;"!"&amp;ADDRESS(ROW(),COLUMN(),4)),CONFIG!$A$15:$B$28,2,FALSE),"")</f>
        <v/>
      </c>
      <c r="AB25" s="132">
        <f>IFERROR(VLOOKUP(INDIRECT($B$1&amp;"!"&amp;ADDRESS(ROW(),COLUMN(),4)),CONFIG!$A$15:$B$28,2,FALSE),"")</f>
        <v/>
      </c>
      <c r="AC25" s="132">
        <f>IFERROR(VLOOKUP(INDIRECT($B$1&amp;"!"&amp;ADDRESS(ROW(),COLUMN(),4)),CONFIG!$A$15:$B$28,2,FALSE),"")</f>
        <v/>
      </c>
      <c r="AD25" s="132">
        <f>IFERROR(VLOOKUP(INDIRECT($B$1&amp;"!"&amp;ADDRESS(ROW(),COLUMN(),4)),CONFIG!$A$15:$B$28,2,FALSE),"")</f>
        <v/>
      </c>
      <c r="AE25" s="132">
        <f>IFERROR(VLOOKUP(INDIRECT($B$1&amp;"!"&amp;ADDRESS(ROW(),COLUMN(),4)),CONFIG!$A$15:$B$28,2,FALSE),"")</f>
        <v/>
      </c>
      <c r="AF25" s="132">
        <f>IFERROR(VLOOKUP(INDIRECT($B$1&amp;"!"&amp;ADDRESS(ROW(),COLUMN(),4)),CONFIG!$A$15:$B$28,2,FALSE),"")</f>
        <v/>
      </c>
      <c r="AG25" s="132">
        <f>IFERROR(VLOOKUP(INDIRECT($B$1&amp;"!"&amp;ADDRESS(ROW(),COLUMN(),4)),CONFIG!$A$15:$B$28,2,FALSE),"")</f>
        <v/>
      </c>
    </row>
    <row r="26">
      <c r="A26" s="131" t="inlineStr">
        <is>
          <t>Roberta Iglesias</t>
        </is>
      </c>
      <c r="C26" s="132">
        <f>IFERROR(VLOOKUP(INDIRECT($B$1&amp;"!"&amp;ADDRESS(ROW(),COLUMN(),4)),CONFIG!$A$15:$B$28,2,FALSE),"")</f>
        <v/>
      </c>
      <c r="D26" s="132">
        <f>IFERROR(VLOOKUP(INDIRECT($B$1&amp;"!"&amp;ADDRESS(ROW(),COLUMN(),4)),CONFIG!$A$15:$B$28,2,FALSE),"")</f>
        <v/>
      </c>
      <c r="E26" s="132">
        <f>IFERROR(VLOOKUP(INDIRECT($B$1&amp;"!"&amp;ADDRESS(ROW(),COLUMN(),4)),CONFIG!$A$15:$B$28,2,FALSE),"")</f>
        <v/>
      </c>
      <c r="F26" s="132">
        <f>IFERROR(VLOOKUP(INDIRECT($B$1&amp;"!"&amp;ADDRESS(ROW(),COLUMN(),4)),CONFIG!$A$15:$B$28,2,FALSE),"")</f>
        <v/>
      </c>
      <c r="G26" s="132">
        <f>IFERROR(VLOOKUP(INDIRECT($B$1&amp;"!"&amp;ADDRESS(ROW(),COLUMN(),4)),CONFIG!$A$15:$B$28,2,FALSE),"")</f>
        <v/>
      </c>
      <c r="H26" s="132">
        <f>IFERROR(VLOOKUP(INDIRECT($B$1&amp;"!"&amp;ADDRESS(ROW(),COLUMN(),4)),CONFIG!$A$15:$B$28,2,FALSE),"")</f>
        <v/>
      </c>
      <c r="I26" s="132">
        <f>IFERROR(VLOOKUP(INDIRECT($B$1&amp;"!"&amp;ADDRESS(ROW(),COLUMN(),4)),CONFIG!$A$15:$B$28,2,FALSE),"")</f>
        <v/>
      </c>
      <c r="J26" s="132">
        <f>IFERROR(VLOOKUP(INDIRECT($B$1&amp;"!"&amp;ADDRESS(ROW(),COLUMN(),4)),CONFIG!$A$15:$B$28,2,FALSE),"")</f>
        <v/>
      </c>
      <c r="K26" s="132">
        <f>IFERROR(VLOOKUP(INDIRECT($B$1&amp;"!"&amp;ADDRESS(ROW(),COLUMN(),4)),CONFIG!$A$15:$B$28,2,FALSE),"")</f>
        <v/>
      </c>
      <c r="L26" s="132">
        <f>IFERROR(VLOOKUP(INDIRECT($B$1&amp;"!"&amp;ADDRESS(ROW(),COLUMN(),4)),CONFIG!$A$15:$B$28,2,FALSE),"")</f>
        <v/>
      </c>
      <c r="M26" s="132">
        <f>IFERROR(VLOOKUP(INDIRECT($B$1&amp;"!"&amp;ADDRESS(ROW(),COLUMN(),4)),CONFIG!$A$15:$B$28,2,FALSE),"")</f>
        <v/>
      </c>
      <c r="N26" s="132">
        <f>IFERROR(VLOOKUP(INDIRECT($B$1&amp;"!"&amp;ADDRESS(ROW(),COLUMN(),4)),CONFIG!$A$15:$B$28,2,FALSE),"")</f>
        <v/>
      </c>
      <c r="O26" s="132">
        <f>IFERROR(VLOOKUP(INDIRECT($B$1&amp;"!"&amp;ADDRESS(ROW(),COLUMN(),4)),CONFIG!$A$15:$B$28,2,FALSE),"")</f>
        <v/>
      </c>
      <c r="P26" s="132">
        <f>IFERROR(VLOOKUP(INDIRECT($B$1&amp;"!"&amp;ADDRESS(ROW(),COLUMN(),4)),CONFIG!$A$15:$B$28,2,FALSE),"")</f>
        <v/>
      </c>
      <c r="Q26" s="132">
        <f>IFERROR(VLOOKUP(INDIRECT($B$1&amp;"!"&amp;ADDRESS(ROW(),COLUMN(),4)),CONFIG!$A$15:$B$28,2,FALSE),"")</f>
        <v/>
      </c>
      <c r="R26" s="132">
        <f>IFERROR(VLOOKUP(INDIRECT($B$1&amp;"!"&amp;ADDRESS(ROW(),COLUMN(),4)),CONFIG!$A$15:$B$28,2,FALSE),"")</f>
        <v/>
      </c>
      <c r="S26" s="132">
        <f>IFERROR(VLOOKUP(INDIRECT($B$1&amp;"!"&amp;ADDRESS(ROW(),COLUMN(),4)),CONFIG!$A$15:$B$28,2,FALSE),"")</f>
        <v/>
      </c>
      <c r="T26" s="132">
        <f>IFERROR(VLOOKUP(INDIRECT($B$1&amp;"!"&amp;ADDRESS(ROW(),COLUMN(),4)),CONFIG!$A$15:$B$28,2,FALSE),"")</f>
        <v/>
      </c>
      <c r="U26" s="132">
        <f>IFERROR(VLOOKUP(INDIRECT($B$1&amp;"!"&amp;ADDRESS(ROW(),COLUMN(),4)),CONFIG!$A$15:$B$28,2,FALSE),"")</f>
        <v/>
      </c>
      <c r="V26" s="132">
        <f>IFERROR(VLOOKUP(INDIRECT($B$1&amp;"!"&amp;ADDRESS(ROW(),COLUMN(),4)),CONFIG!$A$15:$B$28,2,FALSE),"")</f>
        <v/>
      </c>
      <c r="W26" s="132">
        <f>IFERROR(VLOOKUP(INDIRECT($B$1&amp;"!"&amp;ADDRESS(ROW(),COLUMN(),4)),CONFIG!$A$15:$B$28,2,FALSE),"")</f>
        <v/>
      </c>
      <c r="X26" s="132">
        <f>IFERROR(VLOOKUP(INDIRECT($B$1&amp;"!"&amp;ADDRESS(ROW(),COLUMN(),4)),CONFIG!$A$15:$B$28,2,FALSE),"")</f>
        <v/>
      </c>
      <c r="Y26" s="132">
        <f>IFERROR(VLOOKUP(INDIRECT($B$1&amp;"!"&amp;ADDRESS(ROW(),COLUMN(),4)),CONFIG!$A$15:$B$28,2,FALSE),"")</f>
        <v/>
      </c>
      <c r="Z26" s="132">
        <f>IFERROR(VLOOKUP(INDIRECT($B$1&amp;"!"&amp;ADDRESS(ROW(),COLUMN(),4)),CONFIG!$A$15:$B$28,2,FALSE),"")</f>
        <v/>
      </c>
      <c r="AA26" s="132">
        <f>IFERROR(VLOOKUP(INDIRECT($B$1&amp;"!"&amp;ADDRESS(ROW(),COLUMN(),4)),CONFIG!$A$15:$B$28,2,FALSE),"")</f>
        <v/>
      </c>
      <c r="AB26" s="132">
        <f>IFERROR(VLOOKUP(INDIRECT($B$1&amp;"!"&amp;ADDRESS(ROW(),COLUMN(),4)),CONFIG!$A$15:$B$28,2,FALSE),"")</f>
        <v/>
      </c>
      <c r="AC26" s="132">
        <f>IFERROR(VLOOKUP(INDIRECT($B$1&amp;"!"&amp;ADDRESS(ROW(),COLUMN(),4)),CONFIG!$A$15:$B$28,2,FALSE),"")</f>
        <v/>
      </c>
      <c r="AD26" s="132">
        <f>IFERROR(VLOOKUP(INDIRECT($B$1&amp;"!"&amp;ADDRESS(ROW(),COLUMN(),4)),CONFIG!$A$15:$B$28,2,FALSE),"")</f>
        <v/>
      </c>
      <c r="AE26" s="132">
        <f>IFERROR(VLOOKUP(INDIRECT($B$1&amp;"!"&amp;ADDRESS(ROW(),COLUMN(),4)),CONFIG!$A$15:$B$28,2,FALSE),"")</f>
        <v/>
      </c>
      <c r="AF26" s="132">
        <f>IFERROR(VLOOKUP(INDIRECT($B$1&amp;"!"&amp;ADDRESS(ROW(),COLUMN(),4)),CONFIG!$A$15:$B$28,2,FALSE),"")</f>
        <v/>
      </c>
      <c r="AG26" s="132">
        <f>IFERROR(VLOOKUP(INDIRECT($B$1&amp;"!"&amp;ADDRESS(ROW(),COLUMN(),4)),CONFIG!$A$15:$B$28,2,FALSE),"")</f>
        <v/>
      </c>
    </row>
    <row r="27">
      <c r="A27" s="131" t="inlineStr">
        <is>
          <t>Luciana Alice</t>
        </is>
      </c>
      <c r="C27" s="132">
        <f>IFERROR(VLOOKUP(INDIRECT($B$1&amp;"!"&amp;ADDRESS(ROW(),COLUMN(),4)),CONFIG!$A$15:$B$28,2,FALSE),"")</f>
        <v/>
      </c>
      <c r="D27" s="132">
        <f>IFERROR(VLOOKUP(INDIRECT($B$1&amp;"!"&amp;ADDRESS(ROW(),COLUMN(),4)),CONFIG!$A$15:$B$28,2,FALSE),"")</f>
        <v/>
      </c>
      <c r="E27" s="132">
        <f>IFERROR(VLOOKUP(INDIRECT($B$1&amp;"!"&amp;ADDRESS(ROW(),COLUMN(),4)),CONFIG!$A$15:$B$28,2,FALSE),"")</f>
        <v/>
      </c>
      <c r="F27" s="132">
        <f>IFERROR(VLOOKUP(INDIRECT($B$1&amp;"!"&amp;ADDRESS(ROW(),COLUMN(),4)),CONFIG!$A$15:$B$28,2,FALSE),"")</f>
        <v/>
      </c>
      <c r="G27" s="132">
        <f>IFERROR(VLOOKUP(INDIRECT($B$1&amp;"!"&amp;ADDRESS(ROW(),COLUMN(),4)),CONFIG!$A$15:$B$28,2,FALSE),"")</f>
        <v/>
      </c>
      <c r="H27" s="132">
        <f>IFERROR(VLOOKUP(INDIRECT($B$1&amp;"!"&amp;ADDRESS(ROW(),COLUMN(),4)),CONFIG!$A$15:$B$28,2,FALSE),"")</f>
        <v/>
      </c>
      <c r="I27" s="132">
        <f>IFERROR(VLOOKUP(INDIRECT($B$1&amp;"!"&amp;ADDRESS(ROW(),COLUMN(),4)),CONFIG!$A$15:$B$28,2,FALSE),"")</f>
        <v/>
      </c>
      <c r="J27" s="132">
        <f>IFERROR(VLOOKUP(INDIRECT($B$1&amp;"!"&amp;ADDRESS(ROW(),COLUMN(),4)),CONFIG!$A$15:$B$28,2,FALSE),"")</f>
        <v/>
      </c>
      <c r="K27" s="132">
        <f>IFERROR(VLOOKUP(INDIRECT($B$1&amp;"!"&amp;ADDRESS(ROW(),COLUMN(),4)),CONFIG!$A$15:$B$28,2,FALSE),"")</f>
        <v/>
      </c>
      <c r="L27" s="132">
        <f>IFERROR(VLOOKUP(INDIRECT($B$1&amp;"!"&amp;ADDRESS(ROW(),COLUMN(),4)),CONFIG!$A$15:$B$28,2,FALSE),"")</f>
        <v/>
      </c>
      <c r="M27" s="132">
        <f>IFERROR(VLOOKUP(INDIRECT($B$1&amp;"!"&amp;ADDRESS(ROW(),COLUMN(),4)),CONFIG!$A$15:$B$28,2,FALSE),"")</f>
        <v/>
      </c>
      <c r="N27" s="132">
        <f>IFERROR(VLOOKUP(INDIRECT($B$1&amp;"!"&amp;ADDRESS(ROW(),COLUMN(),4)),CONFIG!$A$15:$B$28,2,FALSE),"")</f>
        <v/>
      </c>
      <c r="O27" s="132">
        <f>IFERROR(VLOOKUP(INDIRECT($B$1&amp;"!"&amp;ADDRESS(ROW(),COLUMN(),4)),CONFIG!$A$15:$B$28,2,FALSE),"")</f>
        <v/>
      </c>
      <c r="P27" s="132">
        <f>IFERROR(VLOOKUP(INDIRECT($B$1&amp;"!"&amp;ADDRESS(ROW(),COLUMN(),4)),CONFIG!$A$15:$B$28,2,FALSE),"")</f>
        <v/>
      </c>
      <c r="Q27" s="132">
        <f>IFERROR(VLOOKUP(INDIRECT($B$1&amp;"!"&amp;ADDRESS(ROW(),COLUMN(),4)),CONFIG!$A$15:$B$28,2,FALSE),"")</f>
        <v/>
      </c>
      <c r="R27" s="132">
        <f>IFERROR(VLOOKUP(INDIRECT($B$1&amp;"!"&amp;ADDRESS(ROW(),COLUMN(),4)),CONFIG!$A$15:$B$28,2,FALSE),"")</f>
        <v/>
      </c>
      <c r="S27" s="132">
        <f>IFERROR(VLOOKUP(INDIRECT($B$1&amp;"!"&amp;ADDRESS(ROW(),COLUMN(),4)),CONFIG!$A$15:$B$28,2,FALSE),"")</f>
        <v/>
      </c>
      <c r="T27" s="132">
        <f>IFERROR(VLOOKUP(INDIRECT($B$1&amp;"!"&amp;ADDRESS(ROW(),COLUMN(),4)),CONFIG!$A$15:$B$28,2,FALSE),"")</f>
        <v/>
      </c>
      <c r="U27" s="132">
        <f>IFERROR(VLOOKUP(INDIRECT($B$1&amp;"!"&amp;ADDRESS(ROW(),COLUMN(),4)),CONFIG!$A$15:$B$28,2,FALSE),"")</f>
        <v/>
      </c>
      <c r="V27" s="132">
        <f>IFERROR(VLOOKUP(INDIRECT($B$1&amp;"!"&amp;ADDRESS(ROW(),COLUMN(),4)),CONFIG!$A$15:$B$28,2,FALSE),"")</f>
        <v/>
      </c>
      <c r="W27" s="132">
        <f>IFERROR(VLOOKUP(INDIRECT($B$1&amp;"!"&amp;ADDRESS(ROW(),COLUMN(),4)),CONFIG!$A$15:$B$28,2,FALSE),"")</f>
        <v/>
      </c>
      <c r="X27" s="132">
        <f>IFERROR(VLOOKUP(INDIRECT($B$1&amp;"!"&amp;ADDRESS(ROW(),COLUMN(),4)),CONFIG!$A$15:$B$28,2,FALSE),"")</f>
        <v/>
      </c>
      <c r="Y27" s="132">
        <f>IFERROR(VLOOKUP(INDIRECT($B$1&amp;"!"&amp;ADDRESS(ROW(),COLUMN(),4)),CONFIG!$A$15:$B$28,2,FALSE),"")</f>
        <v/>
      </c>
      <c r="Z27" s="132">
        <f>IFERROR(VLOOKUP(INDIRECT($B$1&amp;"!"&amp;ADDRESS(ROW(),COLUMN(),4)),CONFIG!$A$15:$B$28,2,FALSE),"")</f>
        <v/>
      </c>
      <c r="AA27" s="132">
        <f>IFERROR(VLOOKUP(INDIRECT($B$1&amp;"!"&amp;ADDRESS(ROW(),COLUMN(),4)),CONFIG!$A$15:$B$28,2,FALSE),"")</f>
        <v/>
      </c>
      <c r="AB27" s="132">
        <f>IFERROR(VLOOKUP(INDIRECT($B$1&amp;"!"&amp;ADDRESS(ROW(),COLUMN(),4)),CONFIG!$A$15:$B$28,2,FALSE),"")</f>
        <v/>
      </c>
      <c r="AC27" s="132">
        <f>IFERROR(VLOOKUP(INDIRECT($B$1&amp;"!"&amp;ADDRESS(ROW(),COLUMN(),4)),CONFIG!$A$15:$B$28,2,FALSE),"")</f>
        <v/>
      </c>
      <c r="AD27" s="132">
        <f>IFERROR(VLOOKUP(INDIRECT($B$1&amp;"!"&amp;ADDRESS(ROW(),COLUMN(),4)),CONFIG!$A$15:$B$28,2,FALSE),"")</f>
        <v/>
      </c>
      <c r="AE27" s="132">
        <f>IFERROR(VLOOKUP(INDIRECT($B$1&amp;"!"&amp;ADDRESS(ROW(),COLUMN(),4)),CONFIG!$A$15:$B$28,2,FALSE),"")</f>
        <v/>
      </c>
      <c r="AF27" s="132">
        <f>IFERROR(VLOOKUP(INDIRECT($B$1&amp;"!"&amp;ADDRESS(ROW(),COLUMN(),4)),CONFIG!$A$15:$B$28,2,FALSE),"")</f>
        <v/>
      </c>
      <c r="AG27" s="132">
        <f>IFERROR(VLOOKUP(INDIRECT($B$1&amp;"!"&amp;ADDRESS(ROW(),COLUMN(),4)),CONFIG!$A$15:$B$28,2,FALSE),"")</f>
        <v/>
      </c>
    </row>
    <row r="28">
      <c r="A28" s="131" t="inlineStr">
        <is>
          <t>Amanda Braga</t>
        </is>
      </c>
      <c r="C28" s="132">
        <f>IFERROR(VLOOKUP(INDIRECT($B$1&amp;"!"&amp;ADDRESS(ROW(),COLUMN(),4)),CONFIG!$A$15:$B$28,2,FALSE),"")</f>
        <v/>
      </c>
      <c r="D28" s="132">
        <f>IFERROR(VLOOKUP(INDIRECT($B$1&amp;"!"&amp;ADDRESS(ROW(),COLUMN(),4)),CONFIG!$A$15:$B$28,2,FALSE),"")</f>
        <v/>
      </c>
      <c r="E28" s="132">
        <f>IFERROR(VLOOKUP(INDIRECT($B$1&amp;"!"&amp;ADDRESS(ROW(),COLUMN(),4)),CONFIG!$A$15:$B$28,2,FALSE),"")</f>
        <v/>
      </c>
      <c r="F28" s="132">
        <f>IFERROR(VLOOKUP(INDIRECT($B$1&amp;"!"&amp;ADDRESS(ROW(),COLUMN(),4)),CONFIG!$A$15:$B$28,2,FALSE),"")</f>
        <v/>
      </c>
      <c r="G28" s="132">
        <f>IFERROR(VLOOKUP(INDIRECT($B$1&amp;"!"&amp;ADDRESS(ROW(),COLUMN(),4)),CONFIG!$A$15:$B$28,2,FALSE),"")</f>
        <v/>
      </c>
      <c r="H28" s="132">
        <f>IFERROR(VLOOKUP(INDIRECT($B$1&amp;"!"&amp;ADDRESS(ROW(),COLUMN(),4)),CONFIG!$A$15:$B$28,2,FALSE),"")</f>
        <v/>
      </c>
      <c r="I28" s="132">
        <f>IFERROR(VLOOKUP(INDIRECT($B$1&amp;"!"&amp;ADDRESS(ROW(),COLUMN(),4)),CONFIG!$A$15:$B$28,2,FALSE),"")</f>
        <v/>
      </c>
      <c r="J28" s="132">
        <f>IFERROR(VLOOKUP(INDIRECT($B$1&amp;"!"&amp;ADDRESS(ROW(),COLUMN(),4)),CONFIG!$A$15:$B$28,2,FALSE),"")</f>
        <v/>
      </c>
      <c r="K28" s="132">
        <f>IFERROR(VLOOKUP(INDIRECT($B$1&amp;"!"&amp;ADDRESS(ROW(),COLUMN(),4)),CONFIG!$A$15:$B$28,2,FALSE),"")</f>
        <v/>
      </c>
      <c r="L28" s="132">
        <f>IFERROR(VLOOKUP(INDIRECT($B$1&amp;"!"&amp;ADDRESS(ROW(),COLUMN(),4)),CONFIG!$A$15:$B$28,2,FALSE),"")</f>
        <v/>
      </c>
      <c r="M28" s="132">
        <f>IFERROR(VLOOKUP(INDIRECT($B$1&amp;"!"&amp;ADDRESS(ROW(),COLUMN(),4)),CONFIG!$A$15:$B$28,2,FALSE),"")</f>
        <v/>
      </c>
      <c r="N28" s="132">
        <f>IFERROR(VLOOKUP(INDIRECT($B$1&amp;"!"&amp;ADDRESS(ROW(),COLUMN(),4)),CONFIG!$A$15:$B$28,2,FALSE),"")</f>
        <v/>
      </c>
      <c r="O28" s="132">
        <f>IFERROR(VLOOKUP(INDIRECT($B$1&amp;"!"&amp;ADDRESS(ROW(),COLUMN(),4)),CONFIG!$A$15:$B$28,2,FALSE),"")</f>
        <v/>
      </c>
      <c r="P28" s="132">
        <f>IFERROR(VLOOKUP(INDIRECT($B$1&amp;"!"&amp;ADDRESS(ROW(),COLUMN(),4)),CONFIG!$A$15:$B$28,2,FALSE),"")</f>
        <v/>
      </c>
      <c r="Q28" s="132">
        <f>IFERROR(VLOOKUP(INDIRECT($B$1&amp;"!"&amp;ADDRESS(ROW(),COLUMN(),4)),CONFIG!$A$15:$B$28,2,FALSE),"")</f>
        <v/>
      </c>
      <c r="R28" s="132">
        <f>IFERROR(VLOOKUP(INDIRECT($B$1&amp;"!"&amp;ADDRESS(ROW(),COLUMN(),4)),CONFIG!$A$15:$B$28,2,FALSE),"")</f>
        <v/>
      </c>
      <c r="S28" s="132">
        <f>IFERROR(VLOOKUP(INDIRECT($B$1&amp;"!"&amp;ADDRESS(ROW(),COLUMN(),4)),CONFIG!$A$15:$B$28,2,FALSE),"")</f>
        <v/>
      </c>
      <c r="T28" s="132">
        <f>IFERROR(VLOOKUP(INDIRECT($B$1&amp;"!"&amp;ADDRESS(ROW(),COLUMN(),4)),CONFIG!$A$15:$B$28,2,FALSE),"")</f>
        <v/>
      </c>
      <c r="U28" s="132">
        <f>IFERROR(VLOOKUP(INDIRECT($B$1&amp;"!"&amp;ADDRESS(ROW(),COLUMN(),4)),CONFIG!$A$15:$B$28,2,FALSE),"")</f>
        <v/>
      </c>
      <c r="V28" s="132">
        <f>IFERROR(VLOOKUP(INDIRECT($B$1&amp;"!"&amp;ADDRESS(ROW(),COLUMN(),4)),CONFIG!$A$15:$B$28,2,FALSE),"")</f>
        <v/>
      </c>
      <c r="W28" s="132">
        <f>IFERROR(VLOOKUP(INDIRECT($B$1&amp;"!"&amp;ADDRESS(ROW(),COLUMN(),4)),CONFIG!$A$15:$B$28,2,FALSE),"")</f>
        <v/>
      </c>
      <c r="X28" s="132">
        <f>IFERROR(VLOOKUP(INDIRECT($B$1&amp;"!"&amp;ADDRESS(ROW(),COLUMN(),4)),CONFIG!$A$15:$B$28,2,FALSE),"")</f>
        <v/>
      </c>
      <c r="Y28" s="132">
        <f>IFERROR(VLOOKUP(INDIRECT($B$1&amp;"!"&amp;ADDRESS(ROW(),COLUMN(),4)),CONFIG!$A$15:$B$28,2,FALSE),"")</f>
        <v/>
      </c>
      <c r="Z28" s="132">
        <f>IFERROR(VLOOKUP(INDIRECT($B$1&amp;"!"&amp;ADDRESS(ROW(),COLUMN(),4)),CONFIG!$A$15:$B$28,2,FALSE),"")</f>
        <v/>
      </c>
      <c r="AA28" s="132">
        <f>IFERROR(VLOOKUP(INDIRECT($B$1&amp;"!"&amp;ADDRESS(ROW(),COLUMN(),4)),CONFIG!$A$15:$B$28,2,FALSE),"")</f>
        <v/>
      </c>
      <c r="AB28" s="132">
        <f>IFERROR(VLOOKUP(INDIRECT($B$1&amp;"!"&amp;ADDRESS(ROW(),COLUMN(),4)),CONFIG!$A$15:$B$28,2,FALSE),"")</f>
        <v/>
      </c>
      <c r="AC28" s="132">
        <f>IFERROR(VLOOKUP(INDIRECT($B$1&amp;"!"&amp;ADDRESS(ROW(),COLUMN(),4)),CONFIG!$A$15:$B$28,2,FALSE),"")</f>
        <v/>
      </c>
      <c r="AD28" s="132">
        <f>IFERROR(VLOOKUP(INDIRECT($B$1&amp;"!"&amp;ADDRESS(ROW(),COLUMN(),4)),CONFIG!$A$15:$B$28,2,FALSE),"")</f>
        <v/>
      </c>
      <c r="AE28" s="132">
        <f>IFERROR(VLOOKUP(INDIRECT($B$1&amp;"!"&amp;ADDRESS(ROW(),COLUMN(),4)),CONFIG!$A$15:$B$28,2,FALSE),"")</f>
        <v/>
      </c>
      <c r="AF28" s="132">
        <f>IFERROR(VLOOKUP(INDIRECT($B$1&amp;"!"&amp;ADDRESS(ROW(),COLUMN(),4)),CONFIG!$A$15:$B$28,2,FALSE),"")</f>
        <v/>
      </c>
      <c r="AG28" s="132">
        <f>IFERROR(VLOOKUP(INDIRECT($B$1&amp;"!"&amp;ADDRESS(ROW(),COLUMN(),4)),CONFIG!$A$15:$B$28,2,FALSE),"")</f>
        <v/>
      </c>
    </row>
    <row r="29">
      <c r="A29" s="131" t="inlineStr">
        <is>
          <t>Fernando Filardi</t>
        </is>
      </c>
      <c r="C29" s="132">
        <f>IFERROR(VLOOKUP(INDIRECT($B$1&amp;"!"&amp;ADDRESS(ROW(),COLUMN(),4)),CONFIG!$A$15:$B$28,2,FALSE),"")</f>
        <v/>
      </c>
      <c r="D29" s="132">
        <f>IFERROR(VLOOKUP(INDIRECT($B$1&amp;"!"&amp;ADDRESS(ROW(),COLUMN(),4)),CONFIG!$A$15:$B$28,2,FALSE),"")</f>
        <v/>
      </c>
      <c r="E29" s="132">
        <f>IFERROR(VLOOKUP(INDIRECT($B$1&amp;"!"&amp;ADDRESS(ROW(),COLUMN(),4)),CONFIG!$A$15:$B$28,2,FALSE),"")</f>
        <v/>
      </c>
      <c r="F29" s="132">
        <f>IFERROR(VLOOKUP(INDIRECT($B$1&amp;"!"&amp;ADDRESS(ROW(),COLUMN(),4)),CONFIG!$A$15:$B$28,2,FALSE),"")</f>
        <v/>
      </c>
      <c r="G29" s="132">
        <f>IFERROR(VLOOKUP(INDIRECT($B$1&amp;"!"&amp;ADDRESS(ROW(),COLUMN(),4)),CONFIG!$A$15:$B$28,2,FALSE),"")</f>
        <v/>
      </c>
      <c r="H29" s="132">
        <f>IFERROR(VLOOKUP(INDIRECT($B$1&amp;"!"&amp;ADDRESS(ROW(),COLUMN(),4)),CONFIG!$A$15:$B$28,2,FALSE),"")</f>
        <v/>
      </c>
      <c r="I29" s="132">
        <f>IFERROR(VLOOKUP(INDIRECT($B$1&amp;"!"&amp;ADDRESS(ROW(),COLUMN(),4)),CONFIG!$A$15:$B$28,2,FALSE),"")</f>
        <v/>
      </c>
      <c r="J29" s="132">
        <f>IFERROR(VLOOKUP(INDIRECT($B$1&amp;"!"&amp;ADDRESS(ROW(),COLUMN(),4)),CONFIG!$A$15:$B$28,2,FALSE),"")</f>
        <v/>
      </c>
      <c r="K29" s="132">
        <f>IFERROR(VLOOKUP(INDIRECT($B$1&amp;"!"&amp;ADDRESS(ROW(),COLUMN(),4)),CONFIG!$A$15:$B$28,2,FALSE),"")</f>
        <v/>
      </c>
      <c r="L29" s="132">
        <f>IFERROR(VLOOKUP(INDIRECT($B$1&amp;"!"&amp;ADDRESS(ROW(),COLUMN(),4)),CONFIG!$A$15:$B$28,2,FALSE),"")</f>
        <v/>
      </c>
      <c r="M29" s="132">
        <f>IFERROR(VLOOKUP(INDIRECT($B$1&amp;"!"&amp;ADDRESS(ROW(),COLUMN(),4)),CONFIG!$A$15:$B$28,2,FALSE),"")</f>
        <v/>
      </c>
      <c r="N29" s="132">
        <f>IFERROR(VLOOKUP(INDIRECT($B$1&amp;"!"&amp;ADDRESS(ROW(),COLUMN(),4)),CONFIG!$A$15:$B$28,2,FALSE),"")</f>
        <v/>
      </c>
      <c r="O29" s="132">
        <f>IFERROR(VLOOKUP(INDIRECT($B$1&amp;"!"&amp;ADDRESS(ROW(),COLUMN(),4)),CONFIG!$A$15:$B$28,2,FALSE),"")</f>
        <v/>
      </c>
      <c r="P29" s="132">
        <f>IFERROR(VLOOKUP(INDIRECT($B$1&amp;"!"&amp;ADDRESS(ROW(),COLUMN(),4)),CONFIG!$A$15:$B$28,2,FALSE),"")</f>
        <v/>
      </c>
      <c r="Q29" s="132">
        <f>IFERROR(VLOOKUP(INDIRECT($B$1&amp;"!"&amp;ADDRESS(ROW(),COLUMN(),4)),CONFIG!$A$15:$B$28,2,FALSE),"")</f>
        <v/>
      </c>
      <c r="R29" s="132">
        <f>IFERROR(VLOOKUP(INDIRECT($B$1&amp;"!"&amp;ADDRESS(ROW(),COLUMN(),4)),CONFIG!$A$15:$B$28,2,FALSE),"")</f>
        <v/>
      </c>
      <c r="S29" s="132">
        <f>IFERROR(VLOOKUP(INDIRECT($B$1&amp;"!"&amp;ADDRESS(ROW(),COLUMN(),4)),CONFIG!$A$15:$B$28,2,FALSE),"")</f>
        <v/>
      </c>
      <c r="T29" s="132">
        <f>IFERROR(VLOOKUP(INDIRECT($B$1&amp;"!"&amp;ADDRESS(ROW(),COLUMN(),4)),CONFIG!$A$15:$B$28,2,FALSE),"")</f>
        <v/>
      </c>
      <c r="U29" s="132">
        <f>IFERROR(VLOOKUP(INDIRECT($B$1&amp;"!"&amp;ADDRESS(ROW(),COLUMN(),4)),CONFIG!$A$15:$B$28,2,FALSE),"")</f>
        <v/>
      </c>
      <c r="V29" s="132">
        <f>IFERROR(VLOOKUP(INDIRECT($B$1&amp;"!"&amp;ADDRESS(ROW(),COLUMN(),4)),CONFIG!$A$15:$B$28,2,FALSE),"")</f>
        <v/>
      </c>
      <c r="W29" s="132">
        <f>IFERROR(VLOOKUP(INDIRECT($B$1&amp;"!"&amp;ADDRESS(ROW(),COLUMN(),4)),CONFIG!$A$15:$B$28,2,FALSE),"")</f>
        <v/>
      </c>
      <c r="X29" s="132">
        <f>IFERROR(VLOOKUP(INDIRECT($B$1&amp;"!"&amp;ADDRESS(ROW(),COLUMN(),4)),CONFIG!$A$15:$B$28,2,FALSE),"")</f>
        <v/>
      </c>
      <c r="Y29" s="132">
        <f>IFERROR(VLOOKUP(INDIRECT($B$1&amp;"!"&amp;ADDRESS(ROW(),COLUMN(),4)),CONFIG!$A$15:$B$28,2,FALSE),"")</f>
        <v/>
      </c>
      <c r="Z29" s="132">
        <f>IFERROR(VLOOKUP(INDIRECT($B$1&amp;"!"&amp;ADDRESS(ROW(),COLUMN(),4)),CONFIG!$A$15:$B$28,2,FALSE),"")</f>
        <v/>
      </c>
      <c r="AA29" s="132">
        <f>IFERROR(VLOOKUP(INDIRECT($B$1&amp;"!"&amp;ADDRESS(ROW(),COLUMN(),4)),CONFIG!$A$15:$B$28,2,FALSE),"")</f>
        <v/>
      </c>
      <c r="AB29" s="132">
        <f>IFERROR(VLOOKUP(INDIRECT($B$1&amp;"!"&amp;ADDRESS(ROW(),COLUMN(),4)),CONFIG!$A$15:$B$28,2,FALSE),"")</f>
        <v/>
      </c>
      <c r="AC29" s="132">
        <f>IFERROR(VLOOKUP(INDIRECT($B$1&amp;"!"&amp;ADDRESS(ROW(),COLUMN(),4)),CONFIG!$A$15:$B$28,2,FALSE),"")</f>
        <v/>
      </c>
      <c r="AD29" s="132">
        <f>IFERROR(VLOOKUP(INDIRECT($B$1&amp;"!"&amp;ADDRESS(ROW(),COLUMN(),4)),CONFIG!$A$15:$B$28,2,FALSE),"")</f>
        <v/>
      </c>
      <c r="AE29" s="132">
        <f>IFERROR(VLOOKUP(INDIRECT($B$1&amp;"!"&amp;ADDRESS(ROW(),COLUMN(),4)),CONFIG!$A$15:$B$28,2,FALSE),"")</f>
        <v/>
      </c>
      <c r="AF29" s="132">
        <f>IFERROR(VLOOKUP(INDIRECT($B$1&amp;"!"&amp;ADDRESS(ROW(),COLUMN(),4)),CONFIG!$A$15:$B$28,2,FALSE),"")</f>
        <v/>
      </c>
      <c r="AG29" s="132">
        <f>IFERROR(VLOOKUP(INDIRECT($B$1&amp;"!"&amp;ADDRESS(ROW(),COLUMN(),4)),CONFIG!$A$15:$B$28,2,FALSE),"")</f>
        <v/>
      </c>
    </row>
    <row r="30">
      <c r="A30" s="131" t="inlineStr">
        <is>
          <t>João</t>
        </is>
      </c>
      <c r="C30" s="132">
        <f>IFERROR(VLOOKUP(INDIRECT($B$1&amp;"!"&amp;ADDRESS(ROW(),COLUMN(),4)),CONFIG!$A$15:$B$28,2,FALSE),"")</f>
        <v/>
      </c>
      <c r="D30" s="132">
        <f>IFERROR(VLOOKUP(INDIRECT($B$1&amp;"!"&amp;ADDRESS(ROW(),COLUMN(),4)),CONFIG!$A$15:$B$28,2,FALSE),"")</f>
        <v/>
      </c>
      <c r="E30" s="132">
        <f>IFERROR(VLOOKUP(INDIRECT($B$1&amp;"!"&amp;ADDRESS(ROW(),COLUMN(),4)),CONFIG!$A$15:$B$28,2,FALSE),"")</f>
        <v/>
      </c>
      <c r="F30" s="132">
        <f>IFERROR(VLOOKUP(INDIRECT($B$1&amp;"!"&amp;ADDRESS(ROW(),COLUMN(),4)),CONFIG!$A$15:$B$28,2,FALSE),"")</f>
        <v/>
      </c>
      <c r="G30" s="132">
        <f>IFERROR(VLOOKUP(INDIRECT($B$1&amp;"!"&amp;ADDRESS(ROW(),COLUMN(),4)),CONFIG!$A$15:$B$28,2,FALSE),"")</f>
        <v/>
      </c>
      <c r="H30" s="132">
        <f>IFERROR(VLOOKUP(INDIRECT($B$1&amp;"!"&amp;ADDRESS(ROW(),COLUMN(),4)),CONFIG!$A$15:$B$28,2,FALSE),"")</f>
        <v/>
      </c>
      <c r="I30" s="132">
        <f>IFERROR(VLOOKUP(INDIRECT($B$1&amp;"!"&amp;ADDRESS(ROW(),COLUMN(),4)),CONFIG!$A$15:$B$28,2,FALSE),"")</f>
        <v/>
      </c>
      <c r="J30" s="132">
        <f>IFERROR(VLOOKUP(INDIRECT($B$1&amp;"!"&amp;ADDRESS(ROW(),COLUMN(),4)),CONFIG!$A$15:$B$28,2,FALSE),"")</f>
        <v/>
      </c>
      <c r="K30" s="132">
        <f>IFERROR(VLOOKUP(INDIRECT($B$1&amp;"!"&amp;ADDRESS(ROW(),COLUMN(),4)),CONFIG!$A$15:$B$28,2,FALSE),"")</f>
        <v/>
      </c>
      <c r="L30" s="132">
        <f>IFERROR(VLOOKUP(INDIRECT($B$1&amp;"!"&amp;ADDRESS(ROW(),COLUMN(),4)),CONFIG!$A$15:$B$28,2,FALSE),"")</f>
        <v/>
      </c>
      <c r="M30" s="132">
        <f>IFERROR(VLOOKUP(INDIRECT($B$1&amp;"!"&amp;ADDRESS(ROW(),COLUMN(),4)),CONFIG!$A$15:$B$28,2,FALSE),"")</f>
        <v/>
      </c>
      <c r="N30" s="132">
        <f>IFERROR(VLOOKUP(INDIRECT($B$1&amp;"!"&amp;ADDRESS(ROW(),COLUMN(),4)),CONFIG!$A$15:$B$28,2,FALSE),"")</f>
        <v/>
      </c>
      <c r="O30" s="132">
        <f>IFERROR(VLOOKUP(INDIRECT($B$1&amp;"!"&amp;ADDRESS(ROW(),COLUMN(),4)),CONFIG!$A$15:$B$28,2,FALSE),"")</f>
        <v/>
      </c>
      <c r="P30" s="132">
        <f>IFERROR(VLOOKUP(INDIRECT($B$1&amp;"!"&amp;ADDRESS(ROW(),COLUMN(),4)),CONFIG!$A$15:$B$28,2,FALSE),"")</f>
        <v/>
      </c>
      <c r="Q30" s="132">
        <f>IFERROR(VLOOKUP(INDIRECT($B$1&amp;"!"&amp;ADDRESS(ROW(),COLUMN(),4)),CONFIG!$A$15:$B$28,2,FALSE),"")</f>
        <v/>
      </c>
      <c r="R30" s="132">
        <f>IFERROR(VLOOKUP(INDIRECT($B$1&amp;"!"&amp;ADDRESS(ROW(),COLUMN(),4)),CONFIG!$A$15:$B$28,2,FALSE),"")</f>
        <v/>
      </c>
      <c r="S30" s="132">
        <f>IFERROR(VLOOKUP(INDIRECT($B$1&amp;"!"&amp;ADDRESS(ROW(),COLUMN(),4)),CONFIG!$A$15:$B$28,2,FALSE),"")</f>
        <v/>
      </c>
      <c r="T30" s="132">
        <f>IFERROR(VLOOKUP(INDIRECT($B$1&amp;"!"&amp;ADDRESS(ROW(),COLUMN(),4)),CONFIG!$A$15:$B$28,2,FALSE),"")</f>
        <v/>
      </c>
      <c r="U30" s="132">
        <f>IFERROR(VLOOKUP(INDIRECT($B$1&amp;"!"&amp;ADDRESS(ROW(),COLUMN(),4)),CONFIG!$A$15:$B$28,2,FALSE),"")</f>
        <v/>
      </c>
      <c r="V30" s="132">
        <f>IFERROR(VLOOKUP(INDIRECT($B$1&amp;"!"&amp;ADDRESS(ROW(),COLUMN(),4)),CONFIG!$A$15:$B$28,2,FALSE),"")</f>
        <v/>
      </c>
      <c r="W30" s="132">
        <f>IFERROR(VLOOKUP(INDIRECT($B$1&amp;"!"&amp;ADDRESS(ROW(),COLUMN(),4)),CONFIG!$A$15:$B$28,2,FALSE),"")</f>
        <v/>
      </c>
      <c r="X30" s="132">
        <f>IFERROR(VLOOKUP(INDIRECT($B$1&amp;"!"&amp;ADDRESS(ROW(),COLUMN(),4)),CONFIG!$A$15:$B$28,2,FALSE),"")</f>
        <v/>
      </c>
      <c r="Y30" s="132">
        <f>IFERROR(VLOOKUP(INDIRECT($B$1&amp;"!"&amp;ADDRESS(ROW(),COLUMN(),4)),CONFIG!$A$15:$B$28,2,FALSE),"")</f>
        <v/>
      </c>
      <c r="Z30" s="132">
        <f>IFERROR(VLOOKUP(INDIRECT($B$1&amp;"!"&amp;ADDRESS(ROW(),COLUMN(),4)),CONFIG!$A$15:$B$28,2,FALSE),"")</f>
        <v/>
      </c>
      <c r="AA30" s="132">
        <f>IFERROR(VLOOKUP(INDIRECT($B$1&amp;"!"&amp;ADDRESS(ROW(),COLUMN(),4)),CONFIG!$A$15:$B$28,2,FALSE),"")</f>
        <v/>
      </c>
      <c r="AB30" s="132">
        <f>IFERROR(VLOOKUP(INDIRECT($B$1&amp;"!"&amp;ADDRESS(ROW(),COLUMN(),4)),CONFIG!$A$15:$B$28,2,FALSE),"")</f>
        <v/>
      </c>
      <c r="AC30" s="132">
        <f>IFERROR(VLOOKUP(INDIRECT($B$1&amp;"!"&amp;ADDRESS(ROW(),COLUMN(),4)),CONFIG!$A$15:$B$28,2,FALSE),"")</f>
        <v/>
      </c>
      <c r="AD30" s="132">
        <f>IFERROR(VLOOKUP(INDIRECT($B$1&amp;"!"&amp;ADDRESS(ROW(),COLUMN(),4)),CONFIG!$A$15:$B$28,2,FALSE),"")</f>
        <v/>
      </c>
      <c r="AE30" s="132">
        <f>IFERROR(VLOOKUP(INDIRECT($B$1&amp;"!"&amp;ADDRESS(ROW(),COLUMN(),4)),CONFIG!$A$15:$B$28,2,FALSE),"")</f>
        <v/>
      </c>
      <c r="AF30" s="132">
        <f>IFERROR(VLOOKUP(INDIRECT($B$1&amp;"!"&amp;ADDRESS(ROW(),COLUMN(),4)),CONFIG!$A$15:$B$28,2,FALSE),"")</f>
        <v/>
      </c>
      <c r="AG30" s="132">
        <f>IFERROR(VLOOKUP(INDIRECT($B$1&amp;"!"&amp;ADDRESS(ROW(),COLUMN(),4)),CONFIG!$A$15:$B$28,2,FALSE),"")</f>
        <v/>
      </c>
    </row>
    <row r="31">
      <c r="A31" s="131" t="inlineStr">
        <is>
          <t>Juliana Coutinho</t>
        </is>
      </c>
      <c r="C31" s="132">
        <f>IFERROR(VLOOKUP(INDIRECT($B$1&amp;"!"&amp;ADDRESS(ROW(),COLUMN(),4)),CONFIG!$A$15:$B$28,2,FALSE),"")</f>
        <v/>
      </c>
      <c r="D31" s="132">
        <f>IFERROR(VLOOKUP(INDIRECT($B$1&amp;"!"&amp;ADDRESS(ROW(),COLUMN(),4)),CONFIG!$A$15:$B$28,2,FALSE),"")</f>
        <v/>
      </c>
      <c r="E31" s="132">
        <f>IFERROR(VLOOKUP(INDIRECT($B$1&amp;"!"&amp;ADDRESS(ROW(),COLUMN(),4)),CONFIG!$A$15:$B$28,2,FALSE),"")</f>
        <v/>
      </c>
      <c r="F31" s="132">
        <f>IFERROR(VLOOKUP(INDIRECT($B$1&amp;"!"&amp;ADDRESS(ROW(),COLUMN(),4)),CONFIG!$A$15:$B$28,2,FALSE),"")</f>
        <v/>
      </c>
      <c r="G31" s="132">
        <f>IFERROR(VLOOKUP(INDIRECT($B$1&amp;"!"&amp;ADDRESS(ROW(),COLUMN(),4)),CONFIG!$A$15:$B$28,2,FALSE),"")</f>
        <v/>
      </c>
      <c r="H31" s="132">
        <f>IFERROR(VLOOKUP(INDIRECT($B$1&amp;"!"&amp;ADDRESS(ROW(),COLUMN(),4)),CONFIG!$A$15:$B$28,2,FALSE),"")</f>
        <v/>
      </c>
      <c r="I31" s="132">
        <f>IFERROR(VLOOKUP(INDIRECT($B$1&amp;"!"&amp;ADDRESS(ROW(),COLUMN(),4)),CONFIG!$A$15:$B$28,2,FALSE),"")</f>
        <v/>
      </c>
      <c r="J31" s="132">
        <f>IFERROR(VLOOKUP(INDIRECT($B$1&amp;"!"&amp;ADDRESS(ROW(),COLUMN(),4)),CONFIG!$A$15:$B$28,2,FALSE),"")</f>
        <v/>
      </c>
      <c r="K31" s="132">
        <f>IFERROR(VLOOKUP(INDIRECT($B$1&amp;"!"&amp;ADDRESS(ROW(),COLUMN(),4)),CONFIG!$A$15:$B$28,2,FALSE),"")</f>
        <v/>
      </c>
      <c r="L31" s="132">
        <f>IFERROR(VLOOKUP(INDIRECT($B$1&amp;"!"&amp;ADDRESS(ROW(),COLUMN(),4)),CONFIG!$A$15:$B$28,2,FALSE),"")</f>
        <v/>
      </c>
      <c r="M31" s="132">
        <f>IFERROR(VLOOKUP(INDIRECT($B$1&amp;"!"&amp;ADDRESS(ROW(),COLUMN(),4)),CONFIG!$A$15:$B$28,2,FALSE),"")</f>
        <v/>
      </c>
      <c r="N31" s="132">
        <f>IFERROR(VLOOKUP(INDIRECT($B$1&amp;"!"&amp;ADDRESS(ROW(),COLUMN(),4)),CONFIG!$A$15:$B$28,2,FALSE),"")</f>
        <v/>
      </c>
      <c r="O31" s="132">
        <f>IFERROR(VLOOKUP(INDIRECT($B$1&amp;"!"&amp;ADDRESS(ROW(),COLUMN(),4)),CONFIG!$A$15:$B$28,2,FALSE),"")</f>
        <v/>
      </c>
      <c r="P31" s="132">
        <f>IFERROR(VLOOKUP(INDIRECT($B$1&amp;"!"&amp;ADDRESS(ROW(),COLUMN(),4)),CONFIG!$A$15:$B$28,2,FALSE),"")</f>
        <v/>
      </c>
      <c r="Q31" s="132">
        <f>IFERROR(VLOOKUP(INDIRECT($B$1&amp;"!"&amp;ADDRESS(ROW(),COLUMN(),4)),CONFIG!$A$15:$B$28,2,FALSE),"")</f>
        <v/>
      </c>
      <c r="R31" s="132">
        <f>IFERROR(VLOOKUP(INDIRECT($B$1&amp;"!"&amp;ADDRESS(ROW(),COLUMN(),4)),CONFIG!$A$15:$B$28,2,FALSE),"")</f>
        <v/>
      </c>
      <c r="S31" s="132">
        <f>IFERROR(VLOOKUP(INDIRECT($B$1&amp;"!"&amp;ADDRESS(ROW(),COLUMN(),4)),CONFIG!$A$15:$B$28,2,FALSE),"")</f>
        <v/>
      </c>
      <c r="T31" s="132">
        <f>IFERROR(VLOOKUP(INDIRECT($B$1&amp;"!"&amp;ADDRESS(ROW(),COLUMN(),4)),CONFIG!$A$15:$B$28,2,FALSE),"")</f>
        <v/>
      </c>
      <c r="U31" s="132">
        <f>IFERROR(VLOOKUP(INDIRECT($B$1&amp;"!"&amp;ADDRESS(ROW(),COLUMN(),4)),CONFIG!$A$15:$B$28,2,FALSE),"")</f>
        <v/>
      </c>
      <c r="V31" s="132">
        <f>IFERROR(VLOOKUP(INDIRECT($B$1&amp;"!"&amp;ADDRESS(ROW(),COLUMN(),4)),CONFIG!$A$15:$B$28,2,FALSE),"")</f>
        <v/>
      </c>
      <c r="W31" s="132">
        <f>IFERROR(VLOOKUP(INDIRECT($B$1&amp;"!"&amp;ADDRESS(ROW(),COLUMN(),4)),CONFIG!$A$15:$B$28,2,FALSE),"")</f>
        <v/>
      </c>
      <c r="X31" s="132">
        <f>IFERROR(VLOOKUP(INDIRECT($B$1&amp;"!"&amp;ADDRESS(ROW(),COLUMN(),4)),CONFIG!$A$15:$B$28,2,FALSE),"")</f>
        <v/>
      </c>
      <c r="Y31" s="132">
        <f>IFERROR(VLOOKUP(INDIRECT($B$1&amp;"!"&amp;ADDRESS(ROW(),COLUMN(),4)),CONFIG!$A$15:$B$28,2,FALSE),"")</f>
        <v/>
      </c>
      <c r="Z31" s="132">
        <f>IFERROR(VLOOKUP(INDIRECT($B$1&amp;"!"&amp;ADDRESS(ROW(),COLUMN(),4)),CONFIG!$A$15:$B$28,2,FALSE),"")</f>
        <v/>
      </c>
      <c r="AA31" s="132">
        <f>IFERROR(VLOOKUP(INDIRECT($B$1&amp;"!"&amp;ADDRESS(ROW(),COLUMN(),4)),CONFIG!$A$15:$B$28,2,FALSE),"")</f>
        <v/>
      </c>
      <c r="AB31" s="132">
        <f>IFERROR(VLOOKUP(INDIRECT($B$1&amp;"!"&amp;ADDRESS(ROW(),COLUMN(),4)),CONFIG!$A$15:$B$28,2,FALSE),"")</f>
        <v/>
      </c>
      <c r="AC31" s="132">
        <f>IFERROR(VLOOKUP(INDIRECT($B$1&amp;"!"&amp;ADDRESS(ROW(),COLUMN(),4)),CONFIG!$A$15:$B$28,2,FALSE),"")</f>
        <v/>
      </c>
      <c r="AD31" s="132">
        <f>IFERROR(VLOOKUP(INDIRECT($B$1&amp;"!"&amp;ADDRESS(ROW(),COLUMN(),4)),CONFIG!$A$15:$B$28,2,FALSE),"")</f>
        <v/>
      </c>
      <c r="AE31" s="132">
        <f>IFERROR(VLOOKUP(INDIRECT($B$1&amp;"!"&amp;ADDRESS(ROW(),COLUMN(),4)),CONFIG!$A$15:$B$28,2,FALSE),"")</f>
        <v/>
      </c>
      <c r="AF31" s="132">
        <f>IFERROR(VLOOKUP(INDIRECT($B$1&amp;"!"&amp;ADDRESS(ROW(),COLUMN(),4)),CONFIG!$A$15:$B$28,2,FALSE),"")</f>
        <v/>
      </c>
      <c r="AG31" s="132">
        <f>IFERROR(VLOOKUP(INDIRECT($B$1&amp;"!"&amp;ADDRESS(ROW(),COLUMN(),4)),CONFIG!$A$15:$B$28,2,FALSE),"")</f>
        <v/>
      </c>
    </row>
    <row r="32">
      <c r="A32" s="131" t="inlineStr">
        <is>
          <t>Leticia Lemos</t>
        </is>
      </c>
      <c r="C32" s="132">
        <f>IFERROR(VLOOKUP(INDIRECT($B$1&amp;"!"&amp;ADDRESS(ROW(),COLUMN(),4)),CONFIG!$A$15:$B$28,2,FALSE),"")</f>
        <v/>
      </c>
      <c r="D32" s="132">
        <f>IFERROR(VLOOKUP(INDIRECT($B$1&amp;"!"&amp;ADDRESS(ROW(),COLUMN(),4)),CONFIG!$A$15:$B$28,2,FALSE),"")</f>
        <v/>
      </c>
      <c r="E32" s="132">
        <f>IFERROR(VLOOKUP(INDIRECT($B$1&amp;"!"&amp;ADDRESS(ROW(),COLUMN(),4)),CONFIG!$A$15:$B$28,2,FALSE),"")</f>
        <v/>
      </c>
      <c r="F32" s="132">
        <f>IFERROR(VLOOKUP(INDIRECT($B$1&amp;"!"&amp;ADDRESS(ROW(),COLUMN(),4)),CONFIG!$A$15:$B$28,2,FALSE),"")</f>
        <v/>
      </c>
      <c r="G32" s="132">
        <f>IFERROR(VLOOKUP(INDIRECT($B$1&amp;"!"&amp;ADDRESS(ROW(),COLUMN(),4)),CONFIG!$A$15:$B$28,2,FALSE),"")</f>
        <v/>
      </c>
      <c r="H32" s="132">
        <f>IFERROR(VLOOKUP(INDIRECT($B$1&amp;"!"&amp;ADDRESS(ROW(),COLUMN(),4)),CONFIG!$A$15:$B$28,2,FALSE),"")</f>
        <v/>
      </c>
      <c r="I32" s="132">
        <f>IFERROR(VLOOKUP(INDIRECT($B$1&amp;"!"&amp;ADDRESS(ROW(),COLUMN(),4)),CONFIG!$A$15:$B$28,2,FALSE),"")</f>
        <v/>
      </c>
      <c r="J32" s="132">
        <f>IFERROR(VLOOKUP(INDIRECT($B$1&amp;"!"&amp;ADDRESS(ROW(),COLUMN(),4)),CONFIG!$A$15:$B$28,2,FALSE),"")</f>
        <v/>
      </c>
      <c r="K32" s="132">
        <f>IFERROR(VLOOKUP(INDIRECT($B$1&amp;"!"&amp;ADDRESS(ROW(),COLUMN(),4)),CONFIG!$A$15:$B$28,2,FALSE),"")</f>
        <v/>
      </c>
      <c r="L32" s="132">
        <f>IFERROR(VLOOKUP(INDIRECT($B$1&amp;"!"&amp;ADDRESS(ROW(),COLUMN(),4)),CONFIG!$A$15:$B$28,2,FALSE),"")</f>
        <v/>
      </c>
      <c r="M32" s="132">
        <f>IFERROR(VLOOKUP(INDIRECT($B$1&amp;"!"&amp;ADDRESS(ROW(),COLUMN(),4)),CONFIG!$A$15:$B$28,2,FALSE),"")</f>
        <v/>
      </c>
      <c r="N32" s="132">
        <f>IFERROR(VLOOKUP(INDIRECT($B$1&amp;"!"&amp;ADDRESS(ROW(),COLUMN(),4)),CONFIG!$A$15:$B$28,2,FALSE),"")</f>
        <v/>
      </c>
      <c r="O32" s="132">
        <f>IFERROR(VLOOKUP(INDIRECT($B$1&amp;"!"&amp;ADDRESS(ROW(),COLUMN(),4)),CONFIG!$A$15:$B$28,2,FALSE),"")</f>
        <v/>
      </c>
      <c r="P32" s="132">
        <f>IFERROR(VLOOKUP(INDIRECT($B$1&amp;"!"&amp;ADDRESS(ROW(),COLUMN(),4)),CONFIG!$A$15:$B$28,2,FALSE),"")</f>
        <v/>
      </c>
      <c r="Q32" s="132">
        <f>IFERROR(VLOOKUP(INDIRECT($B$1&amp;"!"&amp;ADDRESS(ROW(),COLUMN(),4)),CONFIG!$A$15:$B$28,2,FALSE),"")</f>
        <v/>
      </c>
      <c r="R32" s="132">
        <f>IFERROR(VLOOKUP(INDIRECT($B$1&amp;"!"&amp;ADDRESS(ROW(),COLUMN(),4)),CONFIG!$A$15:$B$28,2,FALSE),"")</f>
        <v/>
      </c>
      <c r="S32" s="132">
        <f>IFERROR(VLOOKUP(INDIRECT($B$1&amp;"!"&amp;ADDRESS(ROW(),COLUMN(),4)),CONFIG!$A$15:$B$28,2,FALSE),"")</f>
        <v/>
      </c>
      <c r="T32" s="132">
        <f>IFERROR(VLOOKUP(INDIRECT($B$1&amp;"!"&amp;ADDRESS(ROW(),COLUMN(),4)),CONFIG!$A$15:$B$28,2,FALSE),"")</f>
        <v/>
      </c>
      <c r="U32" s="132">
        <f>IFERROR(VLOOKUP(INDIRECT($B$1&amp;"!"&amp;ADDRESS(ROW(),COLUMN(),4)),CONFIG!$A$15:$B$28,2,FALSE),"")</f>
        <v/>
      </c>
      <c r="V32" s="132">
        <f>IFERROR(VLOOKUP(INDIRECT($B$1&amp;"!"&amp;ADDRESS(ROW(),COLUMN(),4)),CONFIG!$A$15:$B$28,2,FALSE),"")</f>
        <v/>
      </c>
      <c r="W32" s="132">
        <f>IFERROR(VLOOKUP(INDIRECT($B$1&amp;"!"&amp;ADDRESS(ROW(),COLUMN(),4)),CONFIG!$A$15:$B$28,2,FALSE),"")</f>
        <v/>
      </c>
      <c r="X32" s="132">
        <f>IFERROR(VLOOKUP(INDIRECT($B$1&amp;"!"&amp;ADDRESS(ROW(),COLUMN(),4)),CONFIG!$A$15:$B$28,2,FALSE),"")</f>
        <v/>
      </c>
      <c r="Y32" s="132">
        <f>IFERROR(VLOOKUP(INDIRECT($B$1&amp;"!"&amp;ADDRESS(ROW(),COLUMN(),4)),CONFIG!$A$15:$B$28,2,FALSE),"")</f>
        <v/>
      </c>
      <c r="Z32" s="132">
        <f>IFERROR(VLOOKUP(INDIRECT($B$1&amp;"!"&amp;ADDRESS(ROW(),COLUMN(),4)),CONFIG!$A$15:$B$28,2,FALSE),"")</f>
        <v/>
      </c>
      <c r="AA32" s="132">
        <f>IFERROR(VLOOKUP(INDIRECT($B$1&amp;"!"&amp;ADDRESS(ROW(),COLUMN(),4)),CONFIG!$A$15:$B$28,2,FALSE),"")</f>
        <v/>
      </c>
      <c r="AB32" s="132">
        <f>IFERROR(VLOOKUP(INDIRECT($B$1&amp;"!"&amp;ADDRESS(ROW(),COLUMN(),4)),CONFIG!$A$15:$B$28,2,FALSE),"")</f>
        <v/>
      </c>
      <c r="AC32" s="132">
        <f>IFERROR(VLOOKUP(INDIRECT($B$1&amp;"!"&amp;ADDRESS(ROW(),COLUMN(),4)),CONFIG!$A$15:$B$28,2,FALSE),"")</f>
        <v/>
      </c>
      <c r="AD32" s="132">
        <f>IFERROR(VLOOKUP(INDIRECT($B$1&amp;"!"&amp;ADDRESS(ROW(),COLUMN(),4)),CONFIG!$A$15:$B$28,2,FALSE),"")</f>
        <v/>
      </c>
      <c r="AE32" s="132">
        <f>IFERROR(VLOOKUP(INDIRECT($B$1&amp;"!"&amp;ADDRESS(ROW(),COLUMN(),4)),CONFIG!$A$15:$B$28,2,FALSE),"")</f>
        <v/>
      </c>
      <c r="AF32" s="132">
        <f>IFERROR(VLOOKUP(INDIRECT($B$1&amp;"!"&amp;ADDRESS(ROW(),COLUMN(),4)),CONFIG!$A$15:$B$28,2,FALSE),"")</f>
        <v/>
      </c>
      <c r="AG32" s="132">
        <f>IFERROR(VLOOKUP(INDIRECT($B$1&amp;"!"&amp;ADDRESS(ROW(),COLUMN(),4)),CONFIG!$A$15:$B$28,2,FALSE),"")</f>
        <v/>
      </c>
    </row>
    <row r="33">
      <c r="A33" s="131" t="inlineStr">
        <is>
          <t>Leomara</t>
        </is>
      </c>
      <c r="C33" s="132">
        <f>IFERROR(VLOOKUP(INDIRECT($B$1&amp;"!"&amp;ADDRESS(ROW(),COLUMN(),4)),CONFIG!$A$15:$B$28,2,FALSE),"")</f>
        <v/>
      </c>
      <c r="D33" s="132">
        <f>IFERROR(VLOOKUP(INDIRECT($B$1&amp;"!"&amp;ADDRESS(ROW(),COLUMN(),4)),CONFIG!$A$15:$B$28,2,FALSE),"")</f>
        <v/>
      </c>
      <c r="E33" s="132">
        <f>IFERROR(VLOOKUP(INDIRECT($B$1&amp;"!"&amp;ADDRESS(ROW(),COLUMN(),4)),CONFIG!$A$15:$B$28,2,FALSE),"")</f>
        <v/>
      </c>
      <c r="F33" s="132">
        <f>IFERROR(VLOOKUP(INDIRECT($B$1&amp;"!"&amp;ADDRESS(ROW(),COLUMN(),4)),CONFIG!$A$15:$B$28,2,FALSE),"")</f>
        <v/>
      </c>
      <c r="G33" s="132">
        <f>IFERROR(VLOOKUP(INDIRECT($B$1&amp;"!"&amp;ADDRESS(ROW(),COLUMN(),4)),CONFIG!$A$15:$B$28,2,FALSE),"")</f>
        <v/>
      </c>
      <c r="H33" s="132">
        <f>IFERROR(VLOOKUP(INDIRECT($B$1&amp;"!"&amp;ADDRESS(ROW(),COLUMN(),4)),CONFIG!$A$15:$B$28,2,FALSE),"")</f>
        <v/>
      </c>
      <c r="I33" s="132">
        <f>IFERROR(VLOOKUP(INDIRECT($B$1&amp;"!"&amp;ADDRESS(ROW(),COLUMN(),4)),CONFIG!$A$15:$B$28,2,FALSE),"")</f>
        <v/>
      </c>
      <c r="J33" s="132">
        <f>IFERROR(VLOOKUP(INDIRECT($B$1&amp;"!"&amp;ADDRESS(ROW(),COLUMN(),4)),CONFIG!$A$15:$B$28,2,FALSE),"")</f>
        <v/>
      </c>
      <c r="K33" s="132">
        <f>IFERROR(VLOOKUP(INDIRECT($B$1&amp;"!"&amp;ADDRESS(ROW(),COLUMN(),4)),CONFIG!$A$15:$B$28,2,FALSE),"")</f>
        <v/>
      </c>
      <c r="L33" s="132">
        <f>IFERROR(VLOOKUP(INDIRECT($B$1&amp;"!"&amp;ADDRESS(ROW(),COLUMN(),4)),CONFIG!$A$15:$B$28,2,FALSE),"")</f>
        <v/>
      </c>
      <c r="M33" s="132">
        <f>IFERROR(VLOOKUP(INDIRECT($B$1&amp;"!"&amp;ADDRESS(ROW(),COLUMN(),4)),CONFIG!$A$15:$B$28,2,FALSE),"")</f>
        <v/>
      </c>
      <c r="N33" s="132">
        <f>IFERROR(VLOOKUP(INDIRECT($B$1&amp;"!"&amp;ADDRESS(ROW(),COLUMN(),4)),CONFIG!$A$15:$B$28,2,FALSE),"")</f>
        <v/>
      </c>
      <c r="O33" s="132">
        <f>IFERROR(VLOOKUP(INDIRECT($B$1&amp;"!"&amp;ADDRESS(ROW(),COLUMN(),4)),CONFIG!$A$15:$B$28,2,FALSE),"")</f>
        <v/>
      </c>
      <c r="P33" s="132">
        <f>IFERROR(VLOOKUP(INDIRECT($B$1&amp;"!"&amp;ADDRESS(ROW(),COLUMN(),4)),CONFIG!$A$15:$B$28,2,FALSE),"")</f>
        <v/>
      </c>
      <c r="Q33" s="132">
        <f>IFERROR(VLOOKUP(INDIRECT($B$1&amp;"!"&amp;ADDRESS(ROW(),COLUMN(),4)),CONFIG!$A$15:$B$28,2,FALSE),"")</f>
        <v/>
      </c>
      <c r="R33" s="132">
        <f>IFERROR(VLOOKUP(INDIRECT($B$1&amp;"!"&amp;ADDRESS(ROW(),COLUMN(),4)),CONFIG!$A$15:$B$28,2,FALSE),"")</f>
        <v/>
      </c>
      <c r="S33" s="132">
        <f>IFERROR(VLOOKUP(INDIRECT($B$1&amp;"!"&amp;ADDRESS(ROW(),COLUMN(),4)),CONFIG!$A$15:$B$28,2,FALSE),"")</f>
        <v/>
      </c>
      <c r="T33" s="132">
        <f>IFERROR(VLOOKUP(INDIRECT($B$1&amp;"!"&amp;ADDRESS(ROW(),COLUMN(),4)),CONFIG!$A$15:$B$28,2,FALSE),"")</f>
        <v/>
      </c>
      <c r="U33" s="132">
        <f>IFERROR(VLOOKUP(INDIRECT($B$1&amp;"!"&amp;ADDRESS(ROW(),COLUMN(),4)),CONFIG!$A$15:$B$28,2,FALSE),"")</f>
        <v/>
      </c>
      <c r="V33" s="132">
        <f>IFERROR(VLOOKUP(INDIRECT($B$1&amp;"!"&amp;ADDRESS(ROW(),COLUMN(),4)),CONFIG!$A$15:$B$28,2,FALSE),"")</f>
        <v/>
      </c>
      <c r="W33" s="132">
        <f>IFERROR(VLOOKUP(INDIRECT($B$1&amp;"!"&amp;ADDRESS(ROW(),COLUMN(),4)),CONFIG!$A$15:$B$28,2,FALSE),"")</f>
        <v/>
      </c>
      <c r="X33" s="132">
        <f>IFERROR(VLOOKUP(INDIRECT($B$1&amp;"!"&amp;ADDRESS(ROW(),COLUMN(),4)),CONFIG!$A$15:$B$28,2,FALSE),"")</f>
        <v/>
      </c>
      <c r="Y33" s="132">
        <f>IFERROR(VLOOKUP(INDIRECT($B$1&amp;"!"&amp;ADDRESS(ROW(),COLUMN(),4)),CONFIG!$A$15:$B$28,2,FALSE),"")</f>
        <v/>
      </c>
      <c r="Z33" s="132">
        <f>IFERROR(VLOOKUP(INDIRECT($B$1&amp;"!"&amp;ADDRESS(ROW(),COLUMN(),4)),CONFIG!$A$15:$B$28,2,FALSE),"")</f>
        <v/>
      </c>
      <c r="AA33" s="132">
        <f>IFERROR(VLOOKUP(INDIRECT($B$1&amp;"!"&amp;ADDRESS(ROW(),COLUMN(),4)),CONFIG!$A$15:$B$28,2,FALSE),"")</f>
        <v/>
      </c>
      <c r="AB33" s="132">
        <f>IFERROR(VLOOKUP(INDIRECT($B$1&amp;"!"&amp;ADDRESS(ROW(),COLUMN(),4)),CONFIG!$A$15:$B$28,2,FALSE),"")</f>
        <v/>
      </c>
      <c r="AC33" s="132">
        <f>IFERROR(VLOOKUP(INDIRECT($B$1&amp;"!"&amp;ADDRESS(ROW(),COLUMN(),4)),CONFIG!$A$15:$B$28,2,FALSE),"")</f>
        <v/>
      </c>
      <c r="AD33" s="132">
        <f>IFERROR(VLOOKUP(INDIRECT($B$1&amp;"!"&amp;ADDRESS(ROW(),COLUMN(),4)),CONFIG!$A$15:$B$28,2,FALSE),"")</f>
        <v/>
      </c>
      <c r="AE33" s="132">
        <f>IFERROR(VLOOKUP(INDIRECT($B$1&amp;"!"&amp;ADDRESS(ROW(),COLUMN(),4)),CONFIG!$A$15:$B$28,2,FALSE),"")</f>
        <v/>
      </c>
      <c r="AF33" s="132">
        <f>IFERROR(VLOOKUP(INDIRECT($B$1&amp;"!"&amp;ADDRESS(ROW(),COLUMN(),4)),CONFIG!$A$15:$B$28,2,FALSE),"")</f>
        <v/>
      </c>
      <c r="AG33" s="132">
        <f>IFERROR(VLOOKUP(INDIRECT($B$1&amp;"!"&amp;ADDRESS(ROW(),COLUMN(),4)),CONFIG!$A$15:$B$28,2,FALSE),"")</f>
        <v/>
      </c>
    </row>
    <row r="34">
      <c r="A34" s="131" t="inlineStr">
        <is>
          <t>Marilia</t>
        </is>
      </c>
      <c r="C34" s="132">
        <f>IFERROR(VLOOKUP(INDIRECT($B$1&amp;"!"&amp;ADDRESS(ROW(),COLUMN(),4)),CONFIG!$A$15:$B$28,2,FALSE),"")</f>
        <v/>
      </c>
      <c r="D34" s="132">
        <f>IFERROR(VLOOKUP(INDIRECT($B$1&amp;"!"&amp;ADDRESS(ROW(),COLUMN(),4)),CONFIG!$A$15:$B$28,2,FALSE),"")</f>
        <v/>
      </c>
      <c r="E34" s="132">
        <f>IFERROR(VLOOKUP(INDIRECT($B$1&amp;"!"&amp;ADDRESS(ROW(),COLUMN(),4)),CONFIG!$A$15:$B$28,2,FALSE),"")</f>
        <v/>
      </c>
      <c r="F34" s="132">
        <f>IFERROR(VLOOKUP(INDIRECT($B$1&amp;"!"&amp;ADDRESS(ROW(),COLUMN(),4)),CONFIG!$A$15:$B$28,2,FALSE),"")</f>
        <v/>
      </c>
      <c r="G34" s="132">
        <f>IFERROR(VLOOKUP(INDIRECT($B$1&amp;"!"&amp;ADDRESS(ROW(),COLUMN(),4)),CONFIG!$A$15:$B$28,2,FALSE),"")</f>
        <v/>
      </c>
      <c r="H34" s="132">
        <f>IFERROR(VLOOKUP(INDIRECT($B$1&amp;"!"&amp;ADDRESS(ROW(),COLUMN(),4)),CONFIG!$A$15:$B$28,2,FALSE),"")</f>
        <v/>
      </c>
      <c r="I34" s="132">
        <f>IFERROR(VLOOKUP(INDIRECT($B$1&amp;"!"&amp;ADDRESS(ROW(),COLUMN(),4)),CONFIG!$A$15:$B$28,2,FALSE),"")</f>
        <v/>
      </c>
      <c r="J34" s="132">
        <f>IFERROR(VLOOKUP(INDIRECT($B$1&amp;"!"&amp;ADDRESS(ROW(),COLUMN(),4)),CONFIG!$A$15:$B$28,2,FALSE),"")</f>
        <v/>
      </c>
      <c r="K34" s="132">
        <f>IFERROR(VLOOKUP(INDIRECT($B$1&amp;"!"&amp;ADDRESS(ROW(),COLUMN(),4)),CONFIG!$A$15:$B$28,2,FALSE),"")</f>
        <v/>
      </c>
      <c r="L34" s="132">
        <f>IFERROR(VLOOKUP(INDIRECT($B$1&amp;"!"&amp;ADDRESS(ROW(),COLUMN(),4)),CONFIG!$A$15:$B$28,2,FALSE),"")</f>
        <v/>
      </c>
      <c r="M34" s="132">
        <f>IFERROR(VLOOKUP(INDIRECT($B$1&amp;"!"&amp;ADDRESS(ROW(),COLUMN(),4)),CONFIG!$A$15:$B$28,2,FALSE),"")</f>
        <v/>
      </c>
      <c r="N34" s="132">
        <f>IFERROR(VLOOKUP(INDIRECT($B$1&amp;"!"&amp;ADDRESS(ROW(),COLUMN(),4)),CONFIG!$A$15:$B$28,2,FALSE),"")</f>
        <v/>
      </c>
      <c r="O34" s="132">
        <f>IFERROR(VLOOKUP(INDIRECT($B$1&amp;"!"&amp;ADDRESS(ROW(),COLUMN(),4)),CONFIG!$A$15:$B$28,2,FALSE),"")</f>
        <v/>
      </c>
      <c r="P34" s="132">
        <f>IFERROR(VLOOKUP(INDIRECT($B$1&amp;"!"&amp;ADDRESS(ROW(),COLUMN(),4)),CONFIG!$A$15:$B$28,2,FALSE),"")</f>
        <v/>
      </c>
      <c r="Q34" s="132">
        <f>IFERROR(VLOOKUP(INDIRECT($B$1&amp;"!"&amp;ADDRESS(ROW(),COLUMN(),4)),CONFIG!$A$15:$B$28,2,FALSE),"")</f>
        <v/>
      </c>
      <c r="R34" s="132">
        <f>IFERROR(VLOOKUP(INDIRECT($B$1&amp;"!"&amp;ADDRESS(ROW(),COLUMN(),4)),CONFIG!$A$15:$B$28,2,FALSE),"")</f>
        <v/>
      </c>
      <c r="S34" s="132">
        <f>IFERROR(VLOOKUP(INDIRECT($B$1&amp;"!"&amp;ADDRESS(ROW(),COLUMN(),4)),CONFIG!$A$15:$B$28,2,FALSE),"")</f>
        <v/>
      </c>
      <c r="T34" s="132">
        <f>IFERROR(VLOOKUP(INDIRECT($B$1&amp;"!"&amp;ADDRESS(ROW(),COLUMN(),4)),CONFIG!$A$15:$B$28,2,FALSE),"")</f>
        <v/>
      </c>
      <c r="U34" s="132">
        <f>IFERROR(VLOOKUP(INDIRECT($B$1&amp;"!"&amp;ADDRESS(ROW(),COLUMN(),4)),CONFIG!$A$15:$B$28,2,FALSE),"")</f>
        <v/>
      </c>
      <c r="V34" s="132">
        <f>IFERROR(VLOOKUP(INDIRECT($B$1&amp;"!"&amp;ADDRESS(ROW(),COLUMN(),4)),CONFIG!$A$15:$B$28,2,FALSE),"")</f>
        <v/>
      </c>
      <c r="W34" s="132">
        <f>IFERROR(VLOOKUP(INDIRECT($B$1&amp;"!"&amp;ADDRESS(ROW(),COLUMN(),4)),CONFIG!$A$15:$B$28,2,FALSE),"")</f>
        <v/>
      </c>
      <c r="X34" s="132">
        <f>IFERROR(VLOOKUP(INDIRECT($B$1&amp;"!"&amp;ADDRESS(ROW(),COLUMN(),4)),CONFIG!$A$15:$B$28,2,FALSE),"")</f>
        <v/>
      </c>
      <c r="Y34" s="132">
        <f>IFERROR(VLOOKUP(INDIRECT($B$1&amp;"!"&amp;ADDRESS(ROW(),COLUMN(),4)),CONFIG!$A$15:$B$28,2,FALSE),"")</f>
        <v/>
      </c>
      <c r="Z34" s="132">
        <f>IFERROR(VLOOKUP(INDIRECT($B$1&amp;"!"&amp;ADDRESS(ROW(),COLUMN(),4)),CONFIG!$A$15:$B$28,2,FALSE),"")</f>
        <v/>
      </c>
      <c r="AA34" s="132">
        <f>IFERROR(VLOOKUP(INDIRECT($B$1&amp;"!"&amp;ADDRESS(ROW(),COLUMN(),4)),CONFIG!$A$15:$B$28,2,FALSE),"")</f>
        <v/>
      </c>
      <c r="AB34" s="132">
        <f>IFERROR(VLOOKUP(INDIRECT($B$1&amp;"!"&amp;ADDRESS(ROW(),COLUMN(),4)),CONFIG!$A$15:$B$28,2,FALSE),"")</f>
        <v/>
      </c>
      <c r="AC34" s="132">
        <f>IFERROR(VLOOKUP(INDIRECT($B$1&amp;"!"&amp;ADDRESS(ROW(),COLUMN(),4)),CONFIG!$A$15:$B$28,2,FALSE),"")</f>
        <v/>
      </c>
      <c r="AD34" s="132">
        <f>IFERROR(VLOOKUP(INDIRECT($B$1&amp;"!"&amp;ADDRESS(ROW(),COLUMN(),4)),CONFIG!$A$15:$B$28,2,FALSE),"")</f>
        <v/>
      </c>
      <c r="AE34" s="132">
        <f>IFERROR(VLOOKUP(INDIRECT($B$1&amp;"!"&amp;ADDRESS(ROW(),COLUMN(),4)),CONFIG!$A$15:$B$28,2,FALSE),"")</f>
        <v/>
      </c>
      <c r="AF34" s="132">
        <f>IFERROR(VLOOKUP(INDIRECT($B$1&amp;"!"&amp;ADDRESS(ROW(),COLUMN(),4)),CONFIG!$A$15:$B$28,2,FALSE),"")</f>
        <v/>
      </c>
      <c r="AG34" s="132">
        <f>IFERROR(VLOOKUP(INDIRECT($B$1&amp;"!"&amp;ADDRESS(ROW(),COLUMN(),4)),CONFIG!$A$15:$B$28,2,FALSE),"")</f>
        <v/>
      </c>
    </row>
    <row r="35">
      <c r="A35" s="131" t="inlineStr">
        <is>
          <t>Daniel Raylander</t>
        </is>
      </c>
      <c r="C35" s="132">
        <f>IFERROR(VLOOKUP(INDIRECT($B$1&amp;"!"&amp;ADDRESS(ROW(),COLUMN(),4)),CONFIG!$A$15:$B$28,2,FALSE),"")</f>
        <v/>
      </c>
      <c r="D35" s="132">
        <f>IFERROR(VLOOKUP(INDIRECT($B$1&amp;"!"&amp;ADDRESS(ROW(),COLUMN(),4)),CONFIG!$A$15:$B$28,2,FALSE),"")</f>
        <v/>
      </c>
      <c r="E35" s="132">
        <f>IFERROR(VLOOKUP(INDIRECT($B$1&amp;"!"&amp;ADDRESS(ROW(),COLUMN(),4)),CONFIG!$A$15:$B$28,2,FALSE),"")</f>
        <v/>
      </c>
      <c r="F35" s="132">
        <f>IFERROR(VLOOKUP(INDIRECT($B$1&amp;"!"&amp;ADDRESS(ROW(),COLUMN(),4)),CONFIG!$A$15:$B$28,2,FALSE),"")</f>
        <v/>
      </c>
      <c r="G35" s="132">
        <f>IFERROR(VLOOKUP(INDIRECT($B$1&amp;"!"&amp;ADDRESS(ROW(),COLUMN(),4)),CONFIG!$A$15:$B$28,2,FALSE),"")</f>
        <v/>
      </c>
      <c r="H35" s="132">
        <f>IFERROR(VLOOKUP(INDIRECT($B$1&amp;"!"&amp;ADDRESS(ROW(),COLUMN(),4)),CONFIG!$A$15:$B$28,2,FALSE),"")</f>
        <v/>
      </c>
      <c r="I35" s="132">
        <f>IFERROR(VLOOKUP(INDIRECT($B$1&amp;"!"&amp;ADDRESS(ROW(),COLUMN(),4)),CONFIG!$A$15:$B$28,2,FALSE),"")</f>
        <v/>
      </c>
      <c r="J35" s="132">
        <f>IFERROR(VLOOKUP(INDIRECT($B$1&amp;"!"&amp;ADDRESS(ROW(),COLUMN(),4)),CONFIG!$A$15:$B$28,2,FALSE),"")</f>
        <v/>
      </c>
      <c r="K35" s="132">
        <f>IFERROR(VLOOKUP(INDIRECT($B$1&amp;"!"&amp;ADDRESS(ROW(),COLUMN(),4)),CONFIG!$A$15:$B$28,2,FALSE),"")</f>
        <v/>
      </c>
      <c r="L35" s="132">
        <f>IFERROR(VLOOKUP(INDIRECT($B$1&amp;"!"&amp;ADDRESS(ROW(),COLUMN(),4)),CONFIG!$A$15:$B$28,2,FALSE),"")</f>
        <v/>
      </c>
      <c r="M35" s="132">
        <f>IFERROR(VLOOKUP(INDIRECT($B$1&amp;"!"&amp;ADDRESS(ROW(),COLUMN(),4)),CONFIG!$A$15:$B$28,2,FALSE),"")</f>
        <v/>
      </c>
      <c r="N35" s="132">
        <f>IFERROR(VLOOKUP(INDIRECT($B$1&amp;"!"&amp;ADDRESS(ROW(),COLUMN(),4)),CONFIG!$A$15:$B$28,2,FALSE),"")</f>
        <v/>
      </c>
      <c r="O35" s="132">
        <f>IFERROR(VLOOKUP(INDIRECT($B$1&amp;"!"&amp;ADDRESS(ROW(),COLUMN(),4)),CONFIG!$A$15:$B$28,2,FALSE),"")</f>
        <v/>
      </c>
      <c r="P35" s="132">
        <f>IFERROR(VLOOKUP(INDIRECT($B$1&amp;"!"&amp;ADDRESS(ROW(),COLUMN(),4)),CONFIG!$A$15:$B$28,2,FALSE),"")</f>
        <v/>
      </c>
      <c r="Q35" s="132">
        <f>IFERROR(VLOOKUP(INDIRECT($B$1&amp;"!"&amp;ADDRESS(ROW(),COLUMN(),4)),CONFIG!$A$15:$B$28,2,FALSE),"")</f>
        <v/>
      </c>
      <c r="R35" s="132">
        <f>IFERROR(VLOOKUP(INDIRECT($B$1&amp;"!"&amp;ADDRESS(ROW(),COLUMN(),4)),CONFIG!$A$15:$B$28,2,FALSE),"")</f>
        <v/>
      </c>
      <c r="S35" s="132">
        <f>IFERROR(VLOOKUP(INDIRECT($B$1&amp;"!"&amp;ADDRESS(ROW(),COLUMN(),4)),CONFIG!$A$15:$B$28,2,FALSE),"")</f>
        <v/>
      </c>
      <c r="T35" s="132">
        <f>IFERROR(VLOOKUP(INDIRECT($B$1&amp;"!"&amp;ADDRESS(ROW(),COLUMN(),4)),CONFIG!$A$15:$B$28,2,FALSE),"")</f>
        <v/>
      </c>
      <c r="U35" s="132">
        <f>IFERROR(VLOOKUP(INDIRECT($B$1&amp;"!"&amp;ADDRESS(ROW(),COLUMN(),4)),CONFIG!$A$15:$B$28,2,FALSE),"")</f>
        <v/>
      </c>
      <c r="V35" s="132">
        <f>IFERROR(VLOOKUP(INDIRECT($B$1&amp;"!"&amp;ADDRESS(ROW(),COLUMN(),4)),CONFIG!$A$15:$B$28,2,FALSE),"")</f>
        <v/>
      </c>
      <c r="W35" s="132">
        <f>IFERROR(VLOOKUP(INDIRECT($B$1&amp;"!"&amp;ADDRESS(ROW(),COLUMN(),4)),CONFIG!$A$15:$B$28,2,FALSE),"")</f>
        <v/>
      </c>
      <c r="X35" s="132">
        <f>IFERROR(VLOOKUP(INDIRECT($B$1&amp;"!"&amp;ADDRESS(ROW(),COLUMN(),4)),CONFIG!$A$15:$B$28,2,FALSE),"")</f>
        <v/>
      </c>
      <c r="Y35" s="132">
        <f>IFERROR(VLOOKUP(INDIRECT($B$1&amp;"!"&amp;ADDRESS(ROW(),COLUMN(),4)),CONFIG!$A$15:$B$28,2,FALSE),"")</f>
        <v/>
      </c>
      <c r="Z35" s="132">
        <f>IFERROR(VLOOKUP(INDIRECT($B$1&amp;"!"&amp;ADDRESS(ROW(),COLUMN(),4)),CONFIG!$A$15:$B$28,2,FALSE),"")</f>
        <v/>
      </c>
      <c r="AA35" s="132">
        <f>IFERROR(VLOOKUP(INDIRECT($B$1&amp;"!"&amp;ADDRESS(ROW(),COLUMN(),4)),CONFIG!$A$15:$B$28,2,FALSE),"")</f>
        <v/>
      </c>
      <c r="AB35" s="132">
        <f>IFERROR(VLOOKUP(INDIRECT($B$1&amp;"!"&amp;ADDRESS(ROW(),COLUMN(),4)),CONFIG!$A$15:$B$28,2,FALSE),"")</f>
        <v/>
      </c>
      <c r="AC35" s="132">
        <f>IFERROR(VLOOKUP(INDIRECT($B$1&amp;"!"&amp;ADDRESS(ROW(),COLUMN(),4)),CONFIG!$A$15:$B$28,2,FALSE),"")</f>
        <v/>
      </c>
      <c r="AD35" s="132">
        <f>IFERROR(VLOOKUP(INDIRECT($B$1&amp;"!"&amp;ADDRESS(ROW(),COLUMN(),4)),CONFIG!$A$15:$B$28,2,FALSE),"")</f>
        <v/>
      </c>
      <c r="AE35" s="132">
        <f>IFERROR(VLOOKUP(INDIRECT($B$1&amp;"!"&amp;ADDRESS(ROW(),COLUMN(),4)),CONFIG!$A$15:$B$28,2,FALSE),"")</f>
        <v/>
      </c>
      <c r="AF35" s="132">
        <f>IFERROR(VLOOKUP(INDIRECT($B$1&amp;"!"&amp;ADDRESS(ROW(),COLUMN(),4)),CONFIG!$A$15:$B$28,2,FALSE),"")</f>
        <v/>
      </c>
      <c r="AG35" s="132">
        <f>IFERROR(VLOOKUP(INDIRECT($B$1&amp;"!"&amp;ADDRESS(ROW(),COLUMN(),4)),CONFIG!$A$15:$B$28,2,FALSE),"")</f>
        <v/>
      </c>
    </row>
    <row r="36">
      <c r="A36" s="131" t="inlineStr">
        <is>
          <t>Ricardo</t>
        </is>
      </c>
      <c r="C36" s="132">
        <f>IFERROR(VLOOKUP(INDIRECT($B$1&amp;"!"&amp;ADDRESS(ROW(),COLUMN(),4)),CONFIG!$A$15:$B$28,2,FALSE),"")</f>
        <v/>
      </c>
      <c r="D36" s="132">
        <f>IFERROR(VLOOKUP(INDIRECT($B$1&amp;"!"&amp;ADDRESS(ROW(),COLUMN(),4)),CONFIG!$A$15:$B$28,2,FALSE),"")</f>
        <v/>
      </c>
      <c r="E36" s="132">
        <f>IFERROR(VLOOKUP(INDIRECT($B$1&amp;"!"&amp;ADDRESS(ROW(),COLUMN(),4)),CONFIG!$A$15:$B$28,2,FALSE),"")</f>
        <v/>
      </c>
      <c r="F36" s="132">
        <f>IFERROR(VLOOKUP(INDIRECT($B$1&amp;"!"&amp;ADDRESS(ROW(),COLUMN(),4)),CONFIG!$A$15:$B$28,2,FALSE),"")</f>
        <v/>
      </c>
      <c r="G36" s="132">
        <f>IFERROR(VLOOKUP(INDIRECT($B$1&amp;"!"&amp;ADDRESS(ROW(),COLUMN(),4)),CONFIG!$A$15:$B$28,2,FALSE),"")</f>
        <v/>
      </c>
      <c r="H36" s="132">
        <f>IFERROR(VLOOKUP(INDIRECT($B$1&amp;"!"&amp;ADDRESS(ROW(),COLUMN(),4)),CONFIG!$A$15:$B$28,2,FALSE),"")</f>
        <v/>
      </c>
      <c r="I36" s="132">
        <f>IFERROR(VLOOKUP(INDIRECT($B$1&amp;"!"&amp;ADDRESS(ROW(),COLUMN(),4)),CONFIG!$A$15:$B$28,2,FALSE),"")</f>
        <v/>
      </c>
      <c r="J36" s="132">
        <f>IFERROR(VLOOKUP(INDIRECT($B$1&amp;"!"&amp;ADDRESS(ROW(),COLUMN(),4)),CONFIG!$A$15:$B$28,2,FALSE),"")</f>
        <v/>
      </c>
      <c r="K36" s="132">
        <f>IFERROR(VLOOKUP(INDIRECT($B$1&amp;"!"&amp;ADDRESS(ROW(),COLUMN(),4)),CONFIG!$A$15:$B$28,2,FALSE),"")</f>
        <v/>
      </c>
      <c r="L36" s="132">
        <f>IFERROR(VLOOKUP(INDIRECT($B$1&amp;"!"&amp;ADDRESS(ROW(),COLUMN(),4)),CONFIG!$A$15:$B$28,2,FALSE),"")</f>
        <v/>
      </c>
      <c r="M36" s="132">
        <f>IFERROR(VLOOKUP(INDIRECT($B$1&amp;"!"&amp;ADDRESS(ROW(),COLUMN(),4)),CONFIG!$A$15:$B$28,2,FALSE),"")</f>
        <v/>
      </c>
      <c r="N36" s="132">
        <f>IFERROR(VLOOKUP(INDIRECT($B$1&amp;"!"&amp;ADDRESS(ROW(),COLUMN(),4)),CONFIG!$A$15:$B$28,2,FALSE),"")</f>
        <v/>
      </c>
      <c r="O36" s="132">
        <f>IFERROR(VLOOKUP(INDIRECT($B$1&amp;"!"&amp;ADDRESS(ROW(),COLUMN(),4)),CONFIG!$A$15:$B$28,2,FALSE),"")</f>
        <v/>
      </c>
      <c r="P36" s="132">
        <f>IFERROR(VLOOKUP(INDIRECT($B$1&amp;"!"&amp;ADDRESS(ROW(),COLUMN(),4)),CONFIG!$A$15:$B$28,2,FALSE),"")</f>
        <v/>
      </c>
      <c r="Q36" s="132">
        <f>IFERROR(VLOOKUP(INDIRECT($B$1&amp;"!"&amp;ADDRESS(ROW(),COLUMN(),4)),CONFIG!$A$15:$B$28,2,FALSE),"")</f>
        <v/>
      </c>
      <c r="R36" s="132">
        <f>IFERROR(VLOOKUP(INDIRECT($B$1&amp;"!"&amp;ADDRESS(ROW(),COLUMN(),4)),CONFIG!$A$15:$B$28,2,FALSE),"")</f>
        <v/>
      </c>
      <c r="S36" s="132">
        <f>IFERROR(VLOOKUP(INDIRECT($B$1&amp;"!"&amp;ADDRESS(ROW(),COLUMN(),4)),CONFIG!$A$15:$B$28,2,FALSE),"")</f>
        <v/>
      </c>
      <c r="T36" s="132">
        <f>IFERROR(VLOOKUP(INDIRECT($B$1&amp;"!"&amp;ADDRESS(ROW(),COLUMN(),4)),CONFIG!$A$15:$B$28,2,FALSE),"")</f>
        <v/>
      </c>
      <c r="U36" s="132">
        <f>IFERROR(VLOOKUP(INDIRECT($B$1&amp;"!"&amp;ADDRESS(ROW(),COLUMN(),4)),CONFIG!$A$15:$B$28,2,FALSE),"")</f>
        <v/>
      </c>
      <c r="V36" s="132">
        <f>IFERROR(VLOOKUP(INDIRECT($B$1&amp;"!"&amp;ADDRESS(ROW(),COLUMN(),4)),CONFIG!$A$15:$B$28,2,FALSE),"")</f>
        <v/>
      </c>
      <c r="W36" s="132">
        <f>IFERROR(VLOOKUP(INDIRECT($B$1&amp;"!"&amp;ADDRESS(ROW(),COLUMN(),4)),CONFIG!$A$15:$B$28,2,FALSE),"")</f>
        <v/>
      </c>
      <c r="X36" s="132">
        <f>IFERROR(VLOOKUP(INDIRECT($B$1&amp;"!"&amp;ADDRESS(ROW(),COLUMN(),4)),CONFIG!$A$15:$B$28,2,FALSE),"")</f>
        <v/>
      </c>
      <c r="Y36" s="132">
        <f>IFERROR(VLOOKUP(INDIRECT($B$1&amp;"!"&amp;ADDRESS(ROW(),COLUMN(),4)),CONFIG!$A$15:$B$28,2,FALSE),"")</f>
        <v/>
      </c>
      <c r="Z36" s="132">
        <f>IFERROR(VLOOKUP(INDIRECT($B$1&amp;"!"&amp;ADDRESS(ROW(),COLUMN(),4)),CONFIG!$A$15:$B$28,2,FALSE),"")</f>
        <v/>
      </c>
      <c r="AA36" s="132">
        <f>IFERROR(VLOOKUP(INDIRECT($B$1&amp;"!"&amp;ADDRESS(ROW(),COLUMN(),4)),CONFIG!$A$15:$B$28,2,FALSE),"")</f>
        <v/>
      </c>
      <c r="AB36" s="132">
        <f>IFERROR(VLOOKUP(INDIRECT($B$1&amp;"!"&amp;ADDRESS(ROW(),COLUMN(),4)),CONFIG!$A$15:$B$28,2,FALSE),"")</f>
        <v/>
      </c>
      <c r="AC36" s="132">
        <f>IFERROR(VLOOKUP(INDIRECT($B$1&amp;"!"&amp;ADDRESS(ROW(),COLUMN(),4)),CONFIG!$A$15:$B$28,2,FALSE),"")</f>
        <v/>
      </c>
      <c r="AD36" s="132">
        <f>IFERROR(VLOOKUP(INDIRECT($B$1&amp;"!"&amp;ADDRESS(ROW(),COLUMN(),4)),CONFIG!$A$15:$B$28,2,FALSE),"")</f>
        <v/>
      </c>
      <c r="AE36" s="132">
        <f>IFERROR(VLOOKUP(INDIRECT($B$1&amp;"!"&amp;ADDRESS(ROW(),COLUMN(),4)),CONFIG!$A$15:$B$28,2,FALSE),"")</f>
        <v/>
      </c>
      <c r="AF36" s="132">
        <f>IFERROR(VLOOKUP(INDIRECT($B$1&amp;"!"&amp;ADDRESS(ROW(),COLUMN(),4)),CONFIG!$A$15:$B$28,2,FALSE),"")</f>
        <v/>
      </c>
      <c r="AG36" s="132">
        <f>IFERROR(VLOOKUP(INDIRECT($B$1&amp;"!"&amp;ADDRESS(ROW(),COLUMN(),4)),CONFIG!$A$15:$B$28,2,FALSE),"")</f>
        <v/>
      </c>
    </row>
    <row r="37">
      <c r="A37" s="131" t="inlineStr">
        <is>
          <t>Rosana</t>
        </is>
      </c>
      <c r="C37" s="132">
        <f>IFERROR(VLOOKUP(INDIRECT($B$1&amp;"!"&amp;ADDRESS(ROW(),COLUMN(),4)),CONFIG!$A$15:$B$28,2,FALSE),"")</f>
        <v/>
      </c>
      <c r="D37" s="132">
        <f>IFERROR(VLOOKUP(INDIRECT($B$1&amp;"!"&amp;ADDRESS(ROW(),COLUMN(),4)),CONFIG!$A$15:$B$28,2,FALSE),"")</f>
        <v/>
      </c>
      <c r="E37" s="132">
        <f>IFERROR(VLOOKUP(INDIRECT($B$1&amp;"!"&amp;ADDRESS(ROW(),COLUMN(),4)),CONFIG!$A$15:$B$28,2,FALSE),"")</f>
        <v/>
      </c>
      <c r="F37" s="132">
        <f>IFERROR(VLOOKUP(INDIRECT($B$1&amp;"!"&amp;ADDRESS(ROW(),COLUMN(),4)),CONFIG!$A$15:$B$28,2,FALSE),"")</f>
        <v/>
      </c>
      <c r="G37" s="132">
        <f>IFERROR(VLOOKUP(INDIRECT($B$1&amp;"!"&amp;ADDRESS(ROW(),COLUMN(),4)),CONFIG!$A$15:$B$28,2,FALSE),"")</f>
        <v/>
      </c>
      <c r="H37" s="132">
        <f>IFERROR(VLOOKUP(INDIRECT($B$1&amp;"!"&amp;ADDRESS(ROW(),COLUMN(),4)),CONFIG!$A$15:$B$28,2,FALSE),"")</f>
        <v/>
      </c>
      <c r="I37" s="132">
        <f>IFERROR(VLOOKUP(INDIRECT($B$1&amp;"!"&amp;ADDRESS(ROW(),COLUMN(),4)),CONFIG!$A$15:$B$28,2,FALSE),"")</f>
        <v/>
      </c>
      <c r="J37" s="132">
        <f>IFERROR(VLOOKUP(INDIRECT($B$1&amp;"!"&amp;ADDRESS(ROW(),COLUMN(),4)),CONFIG!$A$15:$B$28,2,FALSE),"")</f>
        <v/>
      </c>
      <c r="K37" s="132">
        <f>IFERROR(VLOOKUP(INDIRECT($B$1&amp;"!"&amp;ADDRESS(ROW(),COLUMN(),4)),CONFIG!$A$15:$B$28,2,FALSE),"")</f>
        <v/>
      </c>
      <c r="L37" s="132">
        <f>IFERROR(VLOOKUP(INDIRECT($B$1&amp;"!"&amp;ADDRESS(ROW(),COLUMN(),4)),CONFIG!$A$15:$B$28,2,FALSE),"")</f>
        <v/>
      </c>
      <c r="M37" s="132">
        <f>IFERROR(VLOOKUP(INDIRECT($B$1&amp;"!"&amp;ADDRESS(ROW(),COLUMN(),4)),CONFIG!$A$15:$B$28,2,FALSE),"")</f>
        <v/>
      </c>
      <c r="N37" s="132">
        <f>IFERROR(VLOOKUP(INDIRECT($B$1&amp;"!"&amp;ADDRESS(ROW(),COLUMN(),4)),CONFIG!$A$15:$B$28,2,FALSE),"")</f>
        <v/>
      </c>
      <c r="O37" s="132">
        <f>IFERROR(VLOOKUP(INDIRECT($B$1&amp;"!"&amp;ADDRESS(ROW(),COLUMN(),4)),CONFIG!$A$15:$B$28,2,FALSE),"")</f>
        <v/>
      </c>
      <c r="P37" s="132">
        <f>IFERROR(VLOOKUP(INDIRECT($B$1&amp;"!"&amp;ADDRESS(ROW(),COLUMN(),4)),CONFIG!$A$15:$B$28,2,FALSE),"")</f>
        <v/>
      </c>
      <c r="Q37" s="132">
        <f>IFERROR(VLOOKUP(INDIRECT($B$1&amp;"!"&amp;ADDRESS(ROW(),COLUMN(),4)),CONFIG!$A$15:$B$28,2,FALSE),"")</f>
        <v/>
      </c>
      <c r="R37" s="132">
        <f>IFERROR(VLOOKUP(INDIRECT($B$1&amp;"!"&amp;ADDRESS(ROW(),COLUMN(),4)),CONFIG!$A$15:$B$28,2,FALSE),"")</f>
        <v/>
      </c>
      <c r="S37" s="132">
        <f>IFERROR(VLOOKUP(INDIRECT($B$1&amp;"!"&amp;ADDRESS(ROW(),COLUMN(),4)),CONFIG!$A$15:$B$28,2,FALSE),"")</f>
        <v/>
      </c>
      <c r="T37" s="132">
        <f>IFERROR(VLOOKUP(INDIRECT($B$1&amp;"!"&amp;ADDRESS(ROW(),COLUMN(),4)),CONFIG!$A$15:$B$28,2,FALSE),"")</f>
        <v/>
      </c>
      <c r="U37" s="132">
        <f>IFERROR(VLOOKUP(INDIRECT($B$1&amp;"!"&amp;ADDRESS(ROW(),COLUMN(),4)),CONFIG!$A$15:$B$28,2,FALSE),"")</f>
        <v/>
      </c>
      <c r="V37" s="132">
        <f>IFERROR(VLOOKUP(INDIRECT($B$1&amp;"!"&amp;ADDRESS(ROW(),COLUMN(),4)),CONFIG!$A$15:$B$28,2,FALSE),"")</f>
        <v/>
      </c>
      <c r="W37" s="132">
        <f>IFERROR(VLOOKUP(INDIRECT($B$1&amp;"!"&amp;ADDRESS(ROW(),COLUMN(),4)),CONFIG!$A$15:$B$28,2,FALSE),"")</f>
        <v/>
      </c>
      <c r="X37" s="132">
        <f>IFERROR(VLOOKUP(INDIRECT($B$1&amp;"!"&amp;ADDRESS(ROW(),COLUMN(),4)),CONFIG!$A$15:$B$28,2,FALSE),"")</f>
        <v/>
      </c>
      <c r="Y37" s="132">
        <f>IFERROR(VLOOKUP(INDIRECT($B$1&amp;"!"&amp;ADDRESS(ROW(),COLUMN(),4)),CONFIG!$A$15:$B$28,2,FALSE),"")</f>
        <v/>
      </c>
      <c r="Z37" s="132">
        <f>IFERROR(VLOOKUP(INDIRECT($B$1&amp;"!"&amp;ADDRESS(ROW(),COLUMN(),4)),CONFIG!$A$15:$B$28,2,FALSE),"")</f>
        <v/>
      </c>
      <c r="AA37" s="132">
        <f>IFERROR(VLOOKUP(INDIRECT($B$1&amp;"!"&amp;ADDRESS(ROW(),COLUMN(),4)),CONFIG!$A$15:$B$28,2,FALSE),"")</f>
        <v/>
      </c>
      <c r="AB37" s="132">
        <f>IFERROR(VLOOKUP(INDIRECT($B$1&amp;"!"&amp;ADDRESS(ROW(),COLUMN(),4)),CONFIG!$A$15:$B$28,2,FALSE),"")</f>
        <v/>
      </c>
      <c r="AC37" s="132">
        <f>IFERROR(VLOOKUP(INDIRECT($B$1&amp;"!"&amp;ADDRESS(ROW(),COLUMN(),4)),CONFIG!$A$15:$B$28,2,FALSE),"")</f>
        <v/>
      </c>
      <c r="AD37" s="132">
        <f>IFERROR(VLOOKUP(INDIRECT($B$1&amp;"!"&amp;ADDRESS(ROW(),COLUMN(),4)),CONFIG!$A$15:$B$28,2,FALSE),"")</f>
        <v/>
      </c>
      <c r="AE37" s="132">
        <f>IFERROR(VLOOKUP(INDIRECT($B$1&amp;"!"&amp;ADDRESS(ROW(),COLUMN(),4)),CONFIG!$A$15:$B$28,2,FALSE),"")</f>
        <v/>
      </c>
      <c r="AF37" s="132">
        <f>IFERROR(VLOOKUP(INDIRECT($B$1&amp;"!"&amp;ADDRESS(ROW(),COLUMN(),4)),CONFIG!$A$15:$B$28,2,FALSE),"")</f>
        <v/>
      </c>
      <c r="AG37" s="132">
        <f>IFERROR(VLOOKUP(INDIRECT($B$1&amp;"!"&amp;ADDRESS(ROW(),COLUMN(),4)),CONFIG!$A$15:$B$28,2,FALSE),"")</f>
        <v/>
      </c>
    </row>
    <row r="38">
      <c r="A38" s="131" t="inlineStr">
        <is>
          <t>Ana Severino</t>
        </is>
      </c>
      <c r="C38" s="132">
        <f>IFERROR(VLOOKUP(INDIRECT($B$1&amp;"!"&amp;ADDRESS(ROW(),COLUMN(),4)),CONFIG!$A$15:$B$28,2,FALSE),"")</f>
        <v/>
      </c>
      <c r="D38" s="132">
        <f>IFERROR(VLOOKUP(INDIRECT($B$1&amp;"!"&amp;ADDRESS(ROW(),COLUMN(),4)),CONFIG!$A$15:$B$28,2,FALSE),"")</f>
        <v/>
      </c>
      <c r="E38" s="132">
        <f>IFERROR(VLOOKUP(INDIRECT($B$1&amp;"!"&amp;ADDRESS(ROW(),COLUMN(),4)),CONFIG!$A$15:$B$28,2,FALSE),"")</f>
        <v/>
      </c>
      <c r="F38" s="132">
        <f>IFERROR(VLOOKUP(INDIRECT($B$1&amp;"!"&amp;ADDRESS(ROW(),COLUMN(),4)),CONFIG!$A$15:$B$28,2,FALSE),"")</f>
        <v/>
      </c>
      <c r="G38" s="132">
        <f>IFERROR(VLOOKUP(INDIRECT($B$1&amp;"!"&amp;ADDRESS(ROW(),COLUMN(),4)),CONFIG!$A$15:$B$28,2,FALSE),"")</f>
        <v/>
      </c>
      <c r="H38" s="132">
        <f>IFERROR(VLOOKUP(INDIRECT($B$1&amp;"!"&amp;ADDRESS(ROW(),COLUMN(),4)),CONFIG!$A$15:$B$28,2,FALSE),"")</f>
        <v/>
      </c>
      <c r="I38" s="132">
        <f>IFERROR(VLOOKUP(INDIRECT($B$1&amp;"!"&amp;ADDRESS(ROW(),COLUMN(),4)),CONFIG!$A$15:$B$28,2,FALSE),"")</f>
        <v/>
      </c>
      <c r="J38" s="132">
        <f>IFERROR(VLOOKUP(INDIRECT($B$1&amp;"!"&amp;ADDRESS(ROW(),COLUMN(),4)),CONFIG!$A$15:$B$28,2,FALSE),"")</f>
        <v/>
      </c>
      <c r="K38" s="132">
        <f>IFERROR(VLOOKUP(INDIRECT($B$1&amp;"!"&amp;ADDRESS(ROW(),COLUMN(),4)),CONFIG!$A$15:$B$28,2,FALSE),"")</f>
        <v/>
      </c>
      <c r="L38" s="132">
        <f>IFERROR(VLOOKUP(INDIRECT($B$1&amp;"!"&amp;ADDRESS(ROW(),COLUMN(),4)),CONFIG!$A$15:$B$28,2,FALSE),"")</f>
        <v/>
      </c>
      <c r="M38" s="132">
        <f>IFERROR(VLOOKUP(INDIRECT($B$1&amp;"!"&amp;ADDRESS(ROW(),COLUMN(),4)),CONFIG!$A$15:$B$28,2,FALSE),"")</f>
        <v/>
      </c>
      <c r="N38" s="132">
        <f>IFERROR(VLOOKUP(INDIRECT($B$1&amp;"!"&amp;ADDRESS(ROW(),COLUMN(),4)),CONFIG!$A$15:$B$28,2,FALSE),"")</f>
        <v/>
      </c>
      <c r="O38" s="132">
        <f>IFERROR(VLOOKUP(INDIRECT($B$1&amp;"!"&amp;ADDRESS(ROW(),COLUMN(),4)),CONFIG!$A$15:$B$28,2,FALSE),"")</f>
        <v/>
      </c>
      <c r="P38" s="132">
        <f>IFERROR(VLOOKUP(INDIRECT($B$1&amp;"!"&amp;ADDRESS(ROW(),COLUMN(),4)),CONFIG!$A$15:$B$28,2,FALSE),"")</f>
        <v/>
      </c>
      <c r="Q38" s="132">
        <f>IFERROR(VLOOKUP(INDIRECT($B$1&amp;"!"&amp;ADDRESS(ROW(),COLUMN(),4)),CONFIG!$A$15:$B$28,2,FALSE),"")</f>
        <v/>
      </c>
      <c r="R38" s="132">
        <f>IFERROR(VLOOKUP(INDIRECT($B$1&amp;"!"&amp;ADDRESS(ROW(),COLUMN(),4)),CONFIG!$A$15:$B$28,2,FALSE),"")</f>
        <v/>
      </c>
      <c r="S38" s="132">
        <f>IFERROR(VLOOKUP(INDIRECT($B$1&amp;"!"&amp;ADDRESS(ROW(),COLUMN(),4)),CONFIG!$A$15:$B$28,2,FALSE),"")</f>
        <v/>
      </c>
      <c r="T38" s="132">
        <f>IFERROR(VLOOKUP(INDIRECT($B$1&amp;"!"&amp;ADDRESS(ROW(),COLUMN(),4)),CONFIG!$A$15:$B$28,2,FALSE),"")</f>
        <v/>
      </c>
      <c r="U38" s="132">
        <f>IFERROR(VLOOKUP(INDIRECT($B$1&amp;"!"&amp;ADDRESS(ROW(),COLUMN(),4)),CONFIG!$A$15:$B$28,2,FALSE),"")</f>
        <v/>
      </c>
      <c r="V38" s="132">
        <f>IFERROR(VLOOKUP(INDIRECT($B$1&amp;"!"&amp;ADDRESS(ROW(),COLUMN(),4)),CONFIG!$A$15:$B$28,2,FALSE),"")</f>
        <v/>
      </c>
      <c r="W38" s="132">
        <f>IFERROR(VLOOKUP(INDIRECT($B$1&amp;"!"&amp;ADDRESS(ROW(),COLUMN(),4)),CONFIG!$A$15:$B$28,2,FALSE),"")</f>
        <v/>
      </c>
      <c r="X38" s="132">
        <f>IFERROR(VLOOKUP(INDIRECT($B$1&amp;"!"&amp;ADDRESS(ROW(),COLUMN(),4)),CONFIG!$A$15:$B$28,2,FALSE),"")</f>
        <v/>
      </c>
      <c r="Y38" s="132">
        <f>IFERROR(VLOOKUP(INDIRECT($B$1&amp;"!"&amp;ADDRESS(ROW(),COLUMN(),4)),CONFIG!$A$15:$B$28,2,FALSE),"")</f>
        <v/>
      </c>
      <c r="Z38" s="132">
        <f>IFERROR(VLOOKUP(INDIRECT($B$1&amp;"!"&amp;ADDRESS(ROW(),COLUMN(),4)),CONFIG!$A$15:$B$28,2,FALSE),"")</f>
        <v/>
      </c>
      <c r="AA38" s="132">
        <f>IFERROR(VLOOKUP(INDIRECT($B$1&amp;"!"&amp;ADDRESS(ROW(),COLUMN(),4)),CONFIG!$A$15:$B$28,2,FALSE),"")</f>
        <v/>
      </c>
      <c r="AB38" s="132">
        <f>IFERROR(VLOOKUP(INDIRECT($B$1&amp;"!"&amp;ADDRESS(ROW(),COLUMN(),4)),CONFIG!$A$15:$B$28,2,FALSE),"")</f>
        <v/>
      </c>
      <c r="AC38" s="132">
        <f>IFERROR(VLOOKUP(INDIRECT($B$1&amp;"!"&amp;ADDRESS(ROW(),COLUMN(),4)),CONFIG!$A$15:$B$28,2,FALSE),"")</f>
        <v/>
      </c>
      <c r="AD38" s="132">
        <f>IFERROR(VLOOKUP(INDIRECT($B$1&amp;"!"&amp;ADDRESS(ROW(),COLUMN(),4)),CONFIG!$A$15:$B$28,2,FALSE),"")</f>
        <v/>
      </c>
      <c r="AE38" s="132">
        <f>IFERROR(VLOOKUP(INDIRECT($B$1&amp;"!"&amp;ADDRESS(ROW(),COLUMN(),4)),CONFIG!$A$15:$B$28,2,FALSE),"")</f>
        <v/>
      </c>
      <c r="AF38" s="132">
        <f>IFERROR(VLOOKUP(INDIRECT($B$1&amp;"!"&amp;ADDRESS(ROW(),COLUMN(),4)),CONFIG!$A$15:$B$28,2,FALSE),"")</f>
        <v/>
      </c>
      <c r="AG38" s="132">
        <f>IFERROR(VLOOKUP(INDIRECT($B$1&amp;"!"&amp;ADDRESS(ROW(),COLUMN(),4)),CONFIG!$A$15:$B$28,2,FALSE),"")</f>
        <v/>
      </c>
    </row>
    <row r="39">
      <c r="A39" s="131" t="inlineStr">
        <is>
          <t>Anna Jorge</t>
        </is>
      </c>
      <c r="C39" s="132">
        <f>IFERROR(VLOOKUP(INDIRECT($B$1&amp;"!"&amp;ADDRESS(ROW(),COLUMN(),4)),CONFIG!$A$15:$B$28,2,FALSE),"")</f>
        <v/>
      </c>
      <c r="D39" s="132">
        <f>IFERROR(VLOOKUP(INDIRECT($B$1&amp;"!"&amp;ADDRESS(ROW(),COLUMN(),4)),CONFIG!$A$15:$B$28,2,FALSE),"")</f>
        <v/>
      </c>
      <c r="E39" s="132">
        <f>IFERROR(VLOOKUP(INDIRECT($B$1&amp;"!"&amp;ADDRESS(ROW(),COLUMN(),4)),CONFIG!$A$15:$B$28,2,FALSE),"")</f>
        <v/>
      </c>
      <c r="F39" s="132">
        <f>IFERROR(VLOOKUP(INDIRECT($B$1&amp;"!"&amp;ADDRESS(ROW(),COLUMN(),4)),CONFIG!$A$15:$B$28,2,FALSE),"")</f>
        <v/>
      </c>
      <c r="G39" s="132">
        <f>IFERROR(VLOOKUP(INDIRECT($B$1&amp;"!"&amp;ADDRESS(ROW(),COLUMN(),4)),CONFIG!$A$15:$B$28,2,FALSE),"")</f>
        <v/>
      </c>
      <c r="H39" s="132">
        <f>IFERROR(VLOOKUP(INDIRECT($B$1&amp;"!"&amp;ADDRESS(ROW(),COLUMN(),4)),CONFIG!$A$15:$B$28,2,FALSE),"")</f>
        <v/>
      </c>
      <c r="I39" s="132">
        <f>IFERROR(VLOOKUP(INDIRECT($B$1&amp;"!"&amp;ADDRESS(ROW(),COLUMN(),4)),CONFIG!$A$15:$B$28,2,FALSE),"")</f>
        <v/>
      </c>
      <c r="J39" s="132">
        <f>IFERROR(VLOOKUP(INDIRECT($B$1&amp;"!"&amp;ADDRESS(ROW(),COLUMN(),4)),CONFIG!$A$15:$B$28,2,FALSE),"")</f>
        <v/>
      </c>
      <c r="K39" s="132">
        <f>IFERROR(VLOOKUP(INDIRECT($B$1&amp;"!"&amp;ADDRESS(ROW(),COLUMN(),4)),CONFIG!$A$15:$B$28,2,FALSE),"")</f>
        <v/>
      </c>
      <c r="L39" s="132">
        <f>IFERROR(VLOOKUP(INDIRECT($B$1&amp;"!"&amp;ADDRESS(ROW(),COLUMN(),4)),CONFIG!$A$15:$B$28,2,FALSE),"")</f>
        <v/>
      </c>
      <c r="M39" s="132">
        <f>IFERROR(VLOOKUP(INDIRECT($B$1&amp;"!"&amp;ADDRESS(ROW(),COLUMN(),4)),CONFIG!$A$15:$B$28,2,FALSE),"")</f>
        <v/>
      </c>
      <c r="N39" s="132">
        <f>IFERROR(VLOOKUP(INDIRECT($B$1&amp;"!"&amp;ADDRESS(ROW(),COLUMN(),4)),CONFIG!$A$15:$B$28,2,FALSE),"")</f>
        <v/>
      </c>
      <c r="O39" s="132">
        <f>IFERROR(VLOOKUP(INDIRECT($B$1&amp;"!"&amp;ADDRESS(ROW(),COLUMN(),4)),CONFIG!$A$15:$B$28,2,FALSE),"")</f>
        <v/>
      </c>
      <c r="P39" s="132">
        <f>IFERROR(VLOOKUP(INDIRECT($B$1&amp;"!"&amp;ADDRESS(ROW(),COLUMN(),4)),CONFIG!$A$15:$B$28,2,FALSE),"")</f>
        <v/>
      </c>
      <c r="Q39" s="132">
        <f>IFERROR(VLOOKUP(INDIRECT($B$1&amp;"!"&amp;ADDRESS(ROW(),COLUMN(),4)),CONFIG!$A$15:$B$28,2,FALSE),"")</f>
        <v/>
      </c>
      <c r="R39" s="132">
        <f>IFERROR(VLOOKUP(INDIRECT($B$1&amp;"!"&amp;ADDRESS(ROW(),COLUMN(),4)),CONFIG!$A$15:$B$28,2,FALSE),"")</f>
        <v/>
      </c>
      <c r="S39" s="132">
        <f>IFERROR(VLOOKUP(INDIRECT($B$1&amp;"!"&amp;ADDRESS(ROW(),COLUMN(),4)),CONFIG!$A$15:$B$28,2,FALSE),"")</f>
        <v/>
      </c>
      <c r="T39" s="132">
        <f>IFERROR(VLOOKUP(INDIRECT($B$1&amp;"!"&amp;ADDRESS(ROW(),COLUMN(),4)),CONFIG!$A$15:$B$28,2,FALSE),"")</f>
        <v/>
      </c>
      <c r="U39" s="132">
        <f>IFERROR(VLOOKUP(INDIRECT($B$1&amp;"!"&amp;ADDRESS(ROW(),COLUMN(),4)),CONFIG!$A$15:$B$28,2,FALSE),"")</f>
        <v/>
      </c>
      <c r="V39" s="132">
        <f>IFERROR(VLOOKUP(INDIRECT($B$1&amp;"!"&amp;ADDRESS(ROW(),COLUMN(),4)),CONFIG!$A$15:$B$28,2,FALSE),"")</f>
        <v/>
      </c>
      <c r="W39" s="132">
        <f>IFERROR(VLOOKUP(INDIRECT($B$1&amp;"!"&amp;ADDRESS(ROW(),COLUMN(),4)),CONFIG!$A$15:$B$28,2,FALSE),"")</f>
        <v/>
      </c>
      <c r="X39" s="132">
        <f>IFERROR(VLOOKUP(INDIRECT($B$1&amp;"!"&amp;ADDRESS(ROW(),COLUMN(),4)),CONFIG!$A$15:$B$28,2,FALSE),"")</f>
        <v/>
      </c>
      <c r="Y39" s="132">
        <f>IFERROR(VLOOKUP(INDIRECT($B$1&amp;"!"&amp;ADDRESS(ROW(),COLUMN(),4)),CONFIG!$A$15:$B$28,2,FALSE),"")</f>
        <v/>
      </c>
      <c r="Z39" s="132">
        <f>IFERROR(VLOOKUP(INDIRECT($B$1&amp;"!"&amp;ADDRESS(ROW(),COLUMN(),4)),CONFIG!$A$15:$B$28,2,FALSE),"")</f>
        <v/>
      </c>
      <c r="AA39" s="132">
        <f>IFERROR(VLOOKUP(INDIRECT($B$1&amp;"!"&amp;ADDRESS(ROW(),COLUMN(),4)),CONFIG!$A$15:$B$28,2,FALSE),"")</f>
        <v/>
      </c>
      <c r="AB39" s="132">
        <f>IFERROR(VLOOKUP(INDIRECT($B$1&amp;"!"&amp;ADDRESS(ROW(),COLUMN(),4)),CONFIG!$A$15:$B$28,2,FALSE),"")</f>
        <v/>
      </c>
      <c r="AC39" s="132">
        <f>IFERROR(VLOOKUP(INDIRECT($B$1&amp;"!"&amp;ADDRESS(ROW(),COLUMN(),4)),CONFIG!$A$15:$B$28,2,FALSE),"")</f>
        <v/>
      </c>
      <c r="AD39" s="132">
        <f>IFERROR(VLOOKUP(INDIRECT($B$1&amp;"!"&amp;ADDRESS(ROW(),COLUMN(),4)),CONFIG!$A$15:$B$28,2,FALSE),"")</f>
        <v/>
      </c>
      <c r="AE39" s="132">
        <f>IFERROR(VLOOKUP(INDIRECT($B$1&amp;"!"&amp;ADDRESS(ROW(),COLUMN(),4)),CONFIG!$A$15:$B$28,2,FALSE),"")</f>
        <v/>
      </c>
      <c r="AF39" s="132">
        <f>IFERROR(VLOOKUP(INDIRECT($B$1&amp;"!"&amp;ADDRESS(ROW(),COLUMN(),4)),CONFIG!$A$15:$B$28,2,FALSE),"")</f>
        <v/>
      </c>
      <c r="AG39" s="132">
        <f>IFERROR(VLOOKUP(INDIRECT($B$1&amp;"!"&amp;ADDRESS(ROW(),COLUMN(),4)),CONFIG!$A$15:$B$28,2,FALSE),"")</f>
        <v/>
      </c>
    </row>
    <row r="40">
      <c r="A40" s="131" t="inlineStr">
        <is>
          <t>Ariadne</t>
        </is>
      </c>
      <c r="C40" s="132">
        <f>IFERROR(VLOOKUP(INDIRECT($B$1&amp;"!"&amp;ADDRESS(ROW(),COLUMN(),4)),CONFIG!$A$15:$B$28,2,FALSE),"")</f>
        <v/>
      </c>
      <c r="D40" s="132">
        <f>IFERROR(VLOOKUP(INDIRECT($B$1&amp;"!"&amp;ADDRESS(ROW(),COLUMN(),4)),CONFIG!$A$15:$B$28,2,FALSE),"")</f>
        <v/>
      </c>
      <c r="E40" s="132">
        <f>IFERROR(VLOOKUP(INDIRECT($B$1&amp;"!"&amp;ADDRESS(ROW(),COLUMN(),4)),CONFIG!$A$15:$B$28,2,FALSE),"")</f>
        <v/>
      </c>
      <c r="F40" s="132">
        <f>IFERROR(VLOOKUP(INDIRECT($B$1&amp;"!"&amp;ADDRESS(ROW(),COLUMN(),4)),CONFIG!$A$15:$B$28,2,FALSE),"")</f>
        <v/>
      </c>
      <c r="G40" s="132">
        <f>IFERROR(VLOOKUP(INDIRECT($B$1&amp;"!"&amp;ADDRESS(ROW(),COLUMN(),4)),CONFIG!$A$15:$B$28,2,FALSE),"")</f>
        <v/>
      </c>
      <c r="H40" s="132">
        <f>IFERROR(VLOOKUP(INDIRECT($B$1&amp;"!"&amp;ADDRESS(ROW(),COLUMN(),4)),CONFIG!$A$15:$B$28,2,FALSE),"")</f>
        <v/>
      </c>
      <c r="I40" s="132">
        <f>IFERROR(VLOOKUP(INDIRECT($B$1&amp;"!"&amp;ADDRESS(ROW(),COLUMN(),4)),CONFIG!$A$15:$B$28,2,FALSE),"")</f>
        <v/>
      </c>
      <c r="J40" s="132">
        <f>IFERROR(VLOOKUP(INDIRECT($B$1&amp;"!"&amp;ADDRESS(ROW(),COLUMN(),4)),CONFIG!$A$15:$B$28,2,FALSE),"")</f>
        <v/>
      </c>
      <c r="K40" s="132">
        <f>IFERROR(VLOOKUP(INDIRECT($B$1&amp;"!"&amp;ADDRESS(ROW(),COLUMN(),4)),CONFIG!$A$15:$B$28,2,FALSE),"")</f>
        <v/>
      </c>
      <c r="L40" s="132">
        <f>IFERROR(VLOOKUP(INDIRECT($B$1&amp;"!"&amp;ADDRESS(ROW(),COLUMN(),4)),CONFIG!$A$15:$B$28,2,FALSE),"")</f>
        <v/>
      </c>
      <c r="M40" s="132">
        <f>IFERROR(VLOOKUP(INDIRECT($B$1&amp;"!"&amp;ADDRESS(ROW(),COLUMN(),4)),CONFIG!$A$15:$B$28,2,FALSE),"")</f>
        <v/>
      </c>
      <c r="N40" s="132">
        <f>IFERROR(VLOOKUP(INDIRECT($B$1&amp;"!"&amp;ADDRESS(ROW(),COLUMN(),4)),CONFIG!$A$15:$B$28,2,FALSE),"")</f>
        <v/>
      </c>
      <c r="O40" s="132">
        <f>IFERROR(VLOOKUP(INDIRECT($B$1&amp;"!"&amp;ADDRESS(ROW(),COLUMN(),4)),CONFIG!$A$15:$B$28,2,FALSE),"")</f>
        <v/>
      </c>
      <c r="P40" s="132">
        <f>IFERROR(VLOOKUP(INDIRECT($B$1&amp;"!"&amp;ADDRESS(ROW(),COLUMN(),4)),CONFIG!$A$15:$B$28,2,FALSE),"")</f>
        <v/>
      </c>
      <c r="Q40" s="132">
        <f>IFERROR(VLOOKUP(INDIRECT($B$1&amp;"!"&amp;ADDRESS(ROW(),COLUMN(),4)),CONFIG!$A$15:$B$28,2,FALSE),"")</f>
        <v/>
      </c>
      <c r="R40" s="132">
        <f>IFERROR(VLOOKUP(INDIRECT($B$1&amp;"!"&amp;ADDRESS(ROW(),COLUMN(),4)),CONFIG!$A$15:$B$28,2,FALSE),"")</f>
        <v/>
      </c>
      <c r="S40" s="132">
        <f>IFERROR(VLOOKUP(INDIRECT($B$1&amp;"!"&amp;ADDRESS(ROW(),COLUMN(),4)),CONFIG!$A$15:$B$28,2,FALSE),"")</f>
        <v/>
      </c>
      <c r="T40" s="132">
        <f>IFERROR(VLOOKUP(INDIRECT($B$1&amp;"!"&amp;ADDRESS(ROW(),COLUMN(),4)),CONFIG!$A$15:$B$28,2,FALSE),"")</f>
        <v/>
      </c>
      <c r="U40" s="132">
        <f>IFERROR(VLOOKUP(INDIRECT($B$1&amp;"!"&amp;ADDRESS(ROW(),COLUMN(),4)),CONFIG!$A$15:$B$28,2,FALSE),"")</f>
        <v/>
      </c>
      <c r="V40" s="132">
        <f>IFERROR(VLOOKUP(INDIRECT($B$1&amp;"!"&amp;ADDRESS(ROW(),COLUMN(),4)),CONFIG!$A$15:$B$28,2,FALSE),"")</f>
        <v/>
      </c>
      <c r="W40" s="132">
        <f>IFERROR(VLOOKUP(INDIRECT($B$1&amp;"!"&amp;ADDRESS(ROW(),COLUMN(),4)),CONFIG!$A$15:$B$28,2,FALSE),"")</f>
        <v/>
      </c>
      <c r="X40" s="132">
        <f>IFERROR(VLOOKUP(INDIRECT($B$1&amp;"!"&amp;ADDRESS(ROW(),COLUMN(),4)),CONFIG!$A$15:$B$28,2,FALSE),"")</f>
        <v/>
      </c>
      <c r="Y40" s="132">
        <f>IFERROR(VLOOKUP(INDIRECT($B$1&amp;"!"&amp;ADDRESS(ROW(),COLUMN(),4)),CONFIG!$A$15:$B$28,2,FALSE),"")</f>
        <v/>
      </c>
      <c r="Z40" s="132">
        <f>IFERROR(VLOOKUP(INDIRECT($B$1&amp;"!"&amp;ADDRESS(ROW(),COLUMN(),4)),CONFIG!$A$15:$B$28,2,FALSE),"")</f>
        <v/>
      </c>
      <c r="AA40" s="132">
        <f>IFERROR(VLOOKUP(INDIRECT($B$1&amp;"!"&amp;ADDRESS(ROW(),COLUMN(),4)),CONFIG!$A$15:$B$28,2,FALSE),"")</f>
        <v/>
      </c>
      <c r="AB40" s="132">
        <f>IFERROR(VLOOKUP(INDIRECT($B$1&amp;"!"&amp;ADDRESS(ROW(),COLUMN(),4)),CONFIG!$A$15:$B$28,2,FALSE),"")</f>
        <v/>
      </c>
      <c r="AC40" s="132">
        <f>IFERROR(VLOOKUP(INDIRECT($B$1&amp;"!"&amp;ADDRESS(ROW(),COLUMN(),4)),CONFIG!$A$15:$B$28,2,FALSE),"")</f>
        <v/>
      </c>
      <c r="AD40" s="132">
        <f>IFERROR(VLOOKUP(INDIRECT($B$1&amp;"!"&amp;ADDRESS(ROW(),COLUMN(),4)),CONFIG!$A$15:$B$28,2,FALSE),"")</f>
        <v/>
      </c>
      <c r="AE40" s="132">
        <f>IFERROR(VLOOKUP(INDIRECT($B$1&amp;"!"&amp;ADDRESS(ROW(),COLUMN(),4)),CONFIG!$A$15:$B$28,2,FALSE),"")</f>
        <v/>
      </c>
      <c r="AF40" s="132">
        <f>IFERROR(VLOOKUP(INDIRECT($B$1&amp;"!"&amp;ADDRESS(ROW(),COLUMN(),4)),CONFIG!$A$15:$B$28,2,FALSE),"")</f>
        <v/>
      </c>
      <c r="AG40" s="132">
        <f>IFERROR(VLOOKUP(INDIRECT($B$1&amp;"!"&amp;ADDRESS(ROW(),COLUMN(),4)),CONFIG!$A$15:$B$28,2,FALSE),"")</f>
        <v/>
      </c>
    </row>
    <row r="41">
      <c r="A41" s="131" t="inlineStr">
        <is>
          <t>Beatriz</t>
        </is>
      </c>
      <c r="C41" s="132">
        <f>IFERROR(VLOOKUP(INDIRECT($B$1&amp;"!"&amp;ADDRESS(ROW(),COLUMN(),4)),CONFIG!$A$15:$B$28,2,FALSE),"")</f>
        <v/>
      </c>
      <c r="D41" s="132">
        <f>IFERROR(VLOOKUP(INDIRECT($B$1&amp;"!"&amp;ADDRESS(ROW(),COLUMN(),4)),CONFIG!$A$15:$B$28,2,FALSE),"")</f>
        <v/>
      </c>
      <c r="E41" s="132">
        <f>IFERROR(VLOOKUP(INDIRECT($B$1&amp;"!"&amp;ADDRESS(ROW(),COLUMN(),4)),CONFIG!$A$15:$B$28,2,FALSE),"")</f>
        <v/>
      </c>
      <c r="F41" s="132">
        <f>IFERROR(VLOOKUP(INDIRECT($B$1&amp;"!"&amp;ADDRESS(ROW(),COLUMN(),4)),CONFIG!$A$15:$B$28,2,FALSE),"")</f>
        <v/>
      </c>
      <c r="G41" s="132">
        <f>IFERROR(VLOOKUP(INDIRECT($B$1&amp;"!"&amp;ADDRESS(ROW(),COLUMN(),4)),CONFIG!$A$15:$B$28,2,FALSE),"")</f>
        <v/>
      </c>
      <c r="H41" s="132">
        <f>IFERROR(VLOOKUP(INDIRECT($B$1&amp;"!"&amp;ADDRESS(ROW(),COLUMN(),4)),CONFIG!$A$15:$B$28,2,FALSE),"")</f>
        <v/>
      </c>
      <c r="I41" s="132">
        <f>IFERROR(VLOOKUP(INDIRECT($B$1&amp;"!"&amp;ADDRESS(ROW(),COLUMN(),4)),CONFIG!$A$15:$B$28,2,FALSE),"")</f>
        <v/>
      </c>
      <c r="J41" s="132">
        <f>IFERROR(VLOOKUP(INDIRECT($B$1&amp;"!"&amp;ADDRESS(ROW(),COLUMN(),4)),CONFIG!$A$15:$B$28,2,FALSE),"")</f>
        <v/>
      </c>
      <c r="K41" s="132">
        <f>IFERROR(VLOOKUP(INDIRECT($B$1&amp;"!"&amp;ADDRESS(ROW(),COLUMN(),4)),CONFIG!$A$15:$B$28,2,FALSE),"")</f>
        <v/>
      </c>
      <c r="L41" s="132">
        <f>IFERROR(VLOOKUP(INDIRECT($B$1&amp;"!"&amp;ADDRESS(ROW(),COLUMN(),4)),CONFIG!$A$15:$B$28,2,FALSE),"")</f>
        <v/>
      </c>
      <c r="M41" s="132">
        <f>IFERROR(VLOOKUP(INDIRECT($B$1&amp;"!"&amp;ADDRESS(ROW(),COLUMN(),4)),CONFIG!$A$15:$B$28,2,FALSE),"")</f>
        <v/>
      </c>
      <c r="N41" s="132">
        <f>IFERROR(VLOOKUP(INDIRECT($B$1&amp;"!"&amp;ADDRESS(ROW(),COLUMN(),4)),CONFIG!$A$15:$B$28,2,FALSE),"")</f>
        <v/>
      </c>
      <c r="O41" s="132">
        <f>IFERROR(VLOOKUP(INDIRECT($B$1&amp;"!"&amp;ADDRESS(ROW(),COLUMN(),4)),CONFIG!$A$15:$B$28,2,FALSE),"")</f>
        <v/>
      </c>
      <c r="P41" s="132">
        <f>IFERROR(VLOOKUP(INDIRECT($B$1&amp;"!"&amp;ADDRESS(ROW(),COLUMN(),4)),CONFIG!$A$15:$B$28,2,FALSE),"")</f>
        <v/>
      </c>
      <c r="Q41" s="132">
        <f>IFERROR(VLOOKUP(INDIRECT($B$1&amp;"!"&amp;ADDRESS(ROW(),COLUMN(),4)),CONFIG!$A$15:$B$28,2,FALSE),"")</f>
        <v/>
      </c>
      <c r="R41" s="132">
        <f>IFERROR(VLOOKUP(INDIRECT($B$1&amp;"!"&amp;ADDRESS(ROW(),COLUMN(),4)),CONFIG!$A$15:$B$28,2,FALSE),"")</f>
        <v/>
      </c>
      <c r="S41" s="132">
        <f>IFERROR(VLOOKUP(INDIRECT($B$1&amp;"!"&amp;ADDRESS(ROW(),COLUMN(),4)),CONFIG!$A$15:$B$28,2,FALSE),"")</f>
        <v/>
      </c>
      <c r="T41" s="132">
        <f>IFERROR(VLOOKUP(INDIRECT($B$1&amp;"!"&amp;ADDRESS(ROW(),COLUMN(),4)),CONFIG!$A$15:$B$28,2,FALSE),"")</f>
        <v/>
      </c>
      <c r="U41" s="132">
        <f>IFERROR(VLOOKUP(INDIRECT($B$1&amp;"!"&amp;ADDRESS(ROW(),COLUMN(),4)),CONFIG!$A$15:$B$28,2,FALSE),"")</f>
        <v/>
      </c>
      <c r="V41" s="132">
        <f>IFERROR(VLOOKUP(INDIRECT($B$1&amp;"!"&amp;ADDRESS(ROW(),COLUMN(),4)),CONFIG!$A$15:$B$28,2,FALSE),"")</f>
        <v/>
      </c>
      <c r="W41" s="132">
        <f>IFERROR(VLOOKUP(INDIRECT($B$1&amp;"!"&amp;ADDRESS(ROW(),COLUMN(),4)),CONFIG!$A$15:$B$28,2,FALSE),"")</f>
        <v/>
      </c>
      <c r="X41" s="132">
        <f>IFERROR(VLOOKUP(INDIRECT($B$1&amp;"!"&amp;ADDRESS(ROW(),COLUMN(),4)),CONFIG!$A$15:$B$28,2,FALSE),"")</f>
        <v/>
      </c>
      <c r="Y41" s="132">
        <f>IFERROR(VLOOKUP(INDIRECT($B$1&amp;"!"&amp;ADDRESS(ROW(),COLUMN(),4)),CONFIG!$A$15:$B$28,2,FALSE),"")</f>
        <v/>
      </c>
      <c r="Z41" s="132">
        <f>IFERROR(VLOOKUP(INDIRECT($B$1&amp;"!"&amp;ADDRESS(ROW(),COLUMN(),4)),CONFIG!$A$15:$B$28,2,FALSE),"")</f>
        <v/>
      </c>
      <c r="AA41" s="132">
        <f>IFERROR(VLOOKUP(INDIRECT($B$1&amp;"!"&amp;ADDRESS(ROW(),COLUMN(),4)),CONFIG!$A$15:$B$28,2,FALSE),"")</f>
        <v/>
      </c>
      <c r="AB41" s="132">
        <f>IFERROR(VLOOKUP(INDIRECT($B$1&amp;"!"&amp;ADDRESS(ROW(),COLUMN(),4)),CONFIG!$A$15:$B$28,2,FALSE),"")</f>
        <v/>
      </c>
      <c r="AC41" s="132">
        <f>IFERROR(VLOOKUP(INDIRECT($B$1&amp;"!"&amp;ADDRESS(ROW(),COLUMN(),4)),CONFIG!$A$15:$B$28,2,FALSE),"")</f>
        <v/>
      </c>
      <c r="AD41" s="132">
        <f>IFERROR(VLOOKUP(INDIRECT($B$1&amp;"!"&amp;ADDRESS(ROW(),COLUMN(),4)),CONFIG!$A$15:$B$28,2,FALSE),"")</f>
        <v/>
      </c>
      <c r="AE41" s="132">
        <f>IFERROR(VLOOKUP(INDIRECT($B$1&amp;"!"&amp;ADDRESS(ROW(),COLUMN(),4)),CONFIG!$A$15:$B$28,2,FALSE),"")</f>
        <v/>
      </c>
      <c r="AF41" s="132">
        <f>IFERROR(VLOOKUP(INDIRECT($B$1&amp;"!"&amp;ADDRESS(ROW(),COLUMN(),4)),CONFIG!$A$15:$B$28,2,FALSE),"")</f>
        <v/>
      </c>
      <c r="AG41" s="132">
        <f>IFERROR(VLOOKUP(INDIRECT($B$1&amp;"!"&amp;ADDRESS(ROW(),COLUMN(),4)),CONFIG!$A$15:$B$28,2,FALSE),"")</f>
        <v/>
      </c>
    </row>
    <row r="42">
      <c r="A42" s="131" t="inlineStr">
        <is>
          <t>Bruna</t>
        </is>
      </c>
      <c r="C42" s="132">
        <f>IFERROR(VLOOKUP(INDIRECT($B$1&amp;"!"&amp;ADDRESS(ROW(),COLUMN(),4)),CONFIG!$A$15:$B$28,2,FALSE),"")</f>
        <v/>
      </c>
      <c r="D42" s="132">
        <f>IFERROR(VLOOKUP(INDIRECT($B$1&amp;"!"&amp;ADDRESS(ROW(),COLUMN(),4)),CONFIG!$A$15:$B$28,2,FALSE),"")</f>
        <v/>
      </c>
      <c r="E42" s="132">
        <f>IFERROR(VLOOKUP(INDIRECT($B$1&amp;"!"&amp;ADDRESS(ROW(),COLUMN(),4)),CONFIG!$A$15:$B$28,2,FALSE),"")</f>
        <v/>
      </c>
      <c r="F42" s="132">
        <f>IFERROR(VLOOKUP(INDIRECT($B$1&amp;"!"&amp;ADDRESS(ROW(),COLUMN(),4)),CONFIG!$A$15:$B$28,2,FALSE),"")</f>
        <v/>
      </c>
      <c r="G42" s="132">
        <f>IFERROR(VLOOKUP(INDIRECT($B$1&amp;"!"&amp;ADDRESS(ROW(),COLUMN(),4)),CONFIG!$A$15:$B$28,2,FALSE),"")</f>
        <v/>
      </c>
      <c r="H42" s="132">
        <f>IFERROR(VLOOKUP(INDIRECT($B$1&amp;"!"&amp;ADDRESS(ROW(),COLUMN(),4)),CONFIG!$A$15:$B$28,2,FALSE),"")</f>
        <v/>
      </c>
      <c r="I42" s="132">
        <f>IFERROR(VLOOKUP(INDIRECT($B$1&amp;"!"&amp;ADDRESS(ROW(),COLUMN(),4)),CONFIG!$A$15:$B$28,2,FALSE),"")</f>
        <v/>
      </c>
      <c r="J42" s="132">
        <f>IFERROR(VLOOKUP(INDIRECT($B$1&amp;"!"&amp;ADDRESS(ROW(),COLUMN(),4)),CONFIG!$A$15:$B$28,2,FALSE),"")</f>
        <v/>
      </c>
      <c r="K42" s="132">
        <f>IFERROR(VLOOKUP(INDIRECT($B$1&amp;"!"&amp;ADDRESS(ROW(),COLUMN(),4)),CONFIG!$A$15:$B$28,2,FALSE),"")</f>
        <v/>
      </c>
      <c r="L42" s="132">
        <f>IFERROR(VLOOKUP(INDIRECT($B$1&amp;"!"&amp;ADDRESS(ROW(),COLUMN(),4)),CONFIG!$A$15:$B$28,2,FALSE),"")</f>
        <v/>
      </c>
      <c r="M42" s="132">
        <f>IFERROR(VLOOKUP(INDIRECT($B$1&amp;"!"&amp;ADDRESS(ROW(),COLUMN(),4)),CONFIG!$A$15:$B$28,2,FALSE),"")</f>
        <v/>
      </c>
      <c r="N42" s="132">
        <f>IFERROR(VLOOKUP(INDIRECT($B$1&amp;"!"&amp;ADDRESS(ROW(),COLUMN(),4)),CONFIG!$A$15:$B$28,2,FALSE),"")</f>
        <v/>
      </c>
      <c r="O42" s="132">
        <f>IFERROR(VLOOKUP(INDIRECT($B$1&amp;"!"&amp;ADDRESS(ROW(),COLUMN(),4)),CONFIG!$A$15:$B$28,2,FALSE),"")</f>
        <v/>
      </c>
      <c r="P42" s="132">
        <f>IFERROR(VLOOKUP(INDIRECT($B$1&amp;"!"&amp;ADDRESS(ROW(),COLUMN(),4)),CONFIG!$A$15:$B$28,2,FALSE),"")</f>
        <v/>
      </c>
      <c r="Q42" s="132">
        <f>IFERROR(VLOOKUP(INDIRECT($B$1&amp;"!"&amp;ADDRESS(ROW(),COLUMN(),4)),CONFIG!$A$15:$B$28,2,FALSE),"")</f>
        <v/>
      </c>
      <c r="R42" s="132">
        <f>IFERROR(VLOOKUP(INDIRECT($B$1&amp;"!"&amp;ADDRESS(ROW(),COLUMN(),4)),CONFIG!$A$15:$B$28,2,FALSE),"")</f>
        <v/>
      </c>
      <c r="S42" s="132">
        <f>IFERROR(VLOOKUP(INDIRECT($B$1&amp;"!"&amp;ADDRESS(ROW(),COLUMN(),4)),CONFIG!$A$15:$B$28,2,FALSE),"")</f>
        <v/>
      </c>
      <c r="T42" s="132">
        <f>IFERROR(VLOOKUP(INDIRECT($B$1&amp;"!"&amp;ADDRESS(ROW(),COLUMN(),4)),CONFIG!$A$15:$B$28,2,FALSE),"")</f>
        <v/>
      </c>
      <c r="U42" s="132">
        <f>IFERROR(VLOOKUP(INDIRECT($B$1&amp;"!"&amp;ADDRESS(ROW(),COLUMN(),4)),CONFIG!$A$15:$B$28,2,FALSE),"")</f>
        <v/>
      </c>
      <c r="V42" s="132">
        <f>IFERROR(VLOOKUP(INDIRECT($B$1&amp;"!"&amp;ADDRESS(ROW(),COLUMN(),4)),CONFIG!$A$15:$B$28,2,FALSE),"")</f>
        <v/>
      </c>
      <c r="W42" s="132">
        <f>IFERROR(VLOOKUP(INDIRECT($B$1&amp;"!"&amp;ADDRESS(ROW(),COLUMN(),4)),CONFIG!$A$15:$B$28,2,FALSE),"")</f>
        <v/>
      </c>
      <c r="X42" s="132">
        <f>IFERROR(VLOOKUP(INDIRECT($B$1&amp;"!"&amp;ADDRESS(ROW(),COLUMN(),4)),CONFIG!$A$15:$B$28,2,FALSE),"")</f>
        <v/>
      </c>
      <c r="Y42" s="132">
        <f>IFERROR(VLOOKUP(INDIRECT($B$1&amp;"!"&amp;ADDRESS(ROW(),COLUMN(),4)),CONFIG!$A$15:$B$28,2,FALSE),"")</f>
        <v/>
      </c>
      <c r="Z42" s="132">
        <f>IFERROR(VLOOKUP(INDIRECT($B$1&amp;"!"&amp;ADDRESS(ROW(),COLUMN(),4)),CONFIG!$A$15:$B$28,2,FALSE),"")</f>
        <v/>
      </c>
      <c r="AA42" s="132">
        <f>IFERROR(VLOOKUP(INDIRECT($B$1&amp;"!"&amp;ADDRESS(ROW(),COLUMN(),4)),CONFIG!$A$15:$B$28,2,FALSE),"")</f>
        <v/>
      </c>
      <c r="AB42" s="132">
        <f>IFERROR(VLOOKUP(INDIRECT($B$1&amp;"!"&amp;ADDRESS(ROW(),COLUMN(),4)),CONFIG!$A$15:$B$28,2,FALSE),"")</f>
        <v/>
      </c>
      <c r="AC42" s="132">
        <f>IFERROR(VLOOKUP(INDIRECT($B$1&amp;"!"&amp;ADDRESS(ROW(),COLUMN(),4)),CONFIG!$A$15:$B$28,2,FALSE),"")</f>
        <v/>
      </c>
      <c r="AD42" s="132">
        <f>IFERROR(VLOOKUP(INDIRECT($B$1&amp;"!"&amp;ADDRESS(ROW(),COLUMN(),4)),CONFIG!$A$15:$B$28,2,FALSE),"")</f>
        <v/>
      </c>
      <c r="AE42" s="132">
        <f>IFERROR(VLOOKUP(INDIRECT($B$1&amp;"!"&amp;ADDRESS(ROW(),COLUMN(),4)),CONFIG!$A$15:$B$28,2,FALSE),"")</f>
        <v/>
      </c>
      <c r="AF42" s="132">
        <f>IFERROR(VLOOKUP(INDIRECT($B$1&amp;"!"&amp;ADDRESS(ROW(),COLUMN(),4)),CONFIG!$A$15:$B$28,2,FALSE),"")</f>
        <v/>
      </c>
      <c r="AG42" s="132">
        <f>IFERROR(VLOOKUP(INDIRECT($B$1&amp;"!"&amp;ADDRESS(ROW(),COLUMN(),4)),CONFIG!$A$15:$B$28,2,FALSE),"")</f>
        <v/>
      </c>
    </row>
    <row r="43">
      <c r="A43" s="131" t="inlineStr">
        <is>
          <t>Fernanda Constantino</t>
        </is>
      </c>
      <c r="C43" s="132">
        <f>IFERROR(VLOOKUP(INDIRECT($B$1&amp;"!"&amp;ADDRESS(ROW(),COLUMN(),4)),CONFIG!$A$15:$B$28,2,FALSE),"")</f>
        <v/>
      </c>
      <c r="D43" s="132">
        <f>IFERROR(VLOOKUP(INDIRECT($B$1&amp;"!"&amp;ADDRESS(ROW(),COLUMN(),4)),CONFIG!$A$15:$B$28,2,FALSE),"")</f>
        <v/>
      </c>
      <c r="E43" s="132">
        <f>IFERROR(VLOOKUP(INDIRECT($B$1&amp;"!"&amp;ADDRESS(ROW(),COLUMN(),4)),CONFIG!$A$15:$B$28,2,FALSE),"")</f>
        <v/>
      </c>
      <c r="F43" s="132">
        <f>IFERROR(VLOOKUP(INDIRECT($B$1&amp;"!"&amp;ADDRESS(ROW(),COLUMN(),4)),CONFIG!$A$15:$B$28,2,FALSE),"")</f>
        <v/>
      </c>
      <c r="G43" s="132">
        <f>IFERROR(VLOOKUP(INDIRECT($B$1&amp;"!"&amp;ADDRESS(ROW(),COLUMN(),4)),CONFIG!$A$15:$B$28,2,FALSE),"")</f>
        <v/>
      </c>
      <c r="H43" s="132">
        <f>IFERROR(VLOOKUP(INDIRECT($B$1&amp;"!"&amp;ADDRESS(ROW(),COLUMN(),4)),CONFIG!$A$15:$B$28,2,FALSE),"")</f>
        <v/>
      </c>
      <c r="I43" s="132">
        <f>IFERROR(VLOOKUP(INDIRECT($B$1&amp;"!"&amp;ADDRESS(ROW(),COLUMN(),4)),CONFIG!$A$15:$B$28,2,FALSE),"")</f>
        <v/>
      </c>
      <c r="J43" s="132">
        <f>IFERROR(VLOOKUP(INDIRECT($B$1&amp;"!"&amp;ADDRESS(ROW(),COLUMN(),4)),CONFIG!$A$15:$B$28,2,FALSE),"")</f>
        <v/>
      </c>
      <c r="K43" s="132">
        <f>IFERROR(VLOOKUP(INDIRECT($B$1&amp;"!"&amp;ADDRESS(ROW(),COLUMN(),4)),CONFIG!$A$15:$B$28,2,FALSE),"")</f>
        <v/>
      </c>
      <c r="L43" s="132">
        <f>IFERROR(VLOOKUP(INDIRECT($B$1&amp;"!"&amp;ADDRESS(ROW(),COLUMN(),4)),CONFIG!$A$15:$B$28,2,FALSE),"")</f>
        <v/>
      </c>
      <c r="M43" s="132">
        <f>IFERROR(VLOOKUP(INDIRECT($B$1&amp;"!"&amp;ADDRESS(ROW(),COLUMN(),4)),CONFIG!$A$15:$B$28,2,FALSE),"")</f>
        <v/>
      </c>
      <c r="N43" s="132">
        <f>IFERROR(VLOOKUP(INDIRECT($B$1&amp;"!"&amp;ADDRESS(ROW(),COLUMN(),4)),CONFIG!$A$15:$B$28,2,FALSE),"")</f>
        <v/>
      </c>
      <c r="O43" s="132">
        <f>IFERROR(VLOOKUP(INDIRECT($B$1&amp;"!"&amp;ADDRESS(ROW(),COLUMN(),4)),CONFIG!$A$15:$B$28,2,FALSE),"")</f>
        <v/>
      </c>
      <c r="P43" s="132">
        <f>IFERROR(VLOOKUP(INDIRECT($B$1&amp;"!"&amp;ADDRESS(ROW(),COLUMN(),4)),CONFIG!$A$15:$B$28,2,FALSE),"")</f>
        <v/>
      </c>
      <c r="Q43" s="132">
        <f>IFERROR(VLOOKUP(INDIRECT($B$1&amp;"!"&amp;ADDRESS(ROW(),COLUMN(),4)),CONFIG!$A$15:$B$28,2,FALSE),"")</f>
        <v/>
      </c>
      <c r="R43" s="132">
        <f>IFERROR(VLOOKUP(INDIRECT($B$1&amp;"!"&amp;ADDRESS(ROW(),COLUMN(),4)),CONFIG!$A$15:$B$28,2,FALSE),"")</f>
        <v/>
      </c>
      <c r="S43" s="132">
        <f>IFERROR(VLOOKUP(INDIRECT($B$1&amp;"!"&amp;ADDRESS(ROW(),COLUMN(),4)),CONFIG!$A$15:$B$28,2,FALSE),"")</f>
        <v/>
      </c>
      <c r="T43" s="132">
        <f>IFERROR(VLOOKUP(INDIRECT($B$1&amp;"!"&amp;ADDRESS(ROW(),COLUMN(),4)),CONFIG!$A$15:$B$28,2,FALSE),"")</f>
        <v/>
      </c>
      <c r="U43" s="132">
        <f>IFERROR(VLOOKUP(INDIRECT($B$1&amp;"!"&amp;ADDRESS(ROW(),COLUMN(),4)),CONFIG!$A$15:$B$28,2,FALSE),"")</f>
        <v/>
      </c>
      <c r="V43" s="132">
        <f>IFERROR(VLOOKUP(INDIRECT($B$1&amp;"!"&amp;ADDRESS(ROW(),COLUMN(),4)),CONFIG!$A$15:$B$28,2,FALSE),"")</f>
        <v/>
      </c>
      <c r="W43" s="132">
        <f>IFERROR(VLOOKUP(INDIRECT($B$1&amp;"!"&amp;ADDRESS(ROW(),COLUMN(),4)),CONFIG!$A$15:$B$28,2,FALSE),"")</f>
        <v/>
      </c>
      <c r="X43" s="132">
        <f>IFERROR(VLOOKUP(INDIRECT($B$1&amp;"!"&amp;ADDRESS(ROW(),COLUMN(),4)),CONFIG!$A$15:$B$28,2,FALSE),"")</f>
        <v/>
      </c>
      <c r="Y43" s="132">
        <f>IFERROR(VLOOKUP(INDIRECT($B$1&amp;"!"&amp;ADDRESS(ROW(),COLUMN(),4)),CONFIG!$A$15:$B$28,2,FALSE),"")</f>
        <v/>
      </c>
      <c r="Z43" s="132">
        <f>IFERROR(VLOOKUP(INDIRECT($B$1&amp;"!"&amp;ADDRESS(ROW(),COLUMN(),4)),CONFIG!$A$15:$B$28,2,FALSE),"")</f>
        <v/>
      </c>
      <c r="AA43" s="132">
        <f>IFERROR(VLOOKUP(INDIRECT($B$1&amp;"!"&amp;ADDRESS(ROW(),COLUMN(),4)),CONFIG!$A$15:$B$28,2,FALSE),"")</f>
        <v/>
      </c>
      <c r="AB43" s="132">
        <f>IFERROR(VLOOKUP(INDIRECT($B$1&amp;"!"&amp;ADDRESS(ROW(),COLUMN(),4)),CONFIG!$A$15:$B$28,2,FALSE),"")</f>
        <v/>
      </c>
      <c r="AC43" s="132">
        <f>IFERROR(VLOOKUP(INDIRECT($B$1&amp;"!"&amp;ADDRESS(ROW(),COLUMN(),4)),CONFIG!$A$15:$B$28,2,FALSE),"")</f>
        <v/>
      </c>
      <c r="AD43" s="132">
        <f>IFERROR(VLOOKUP(INDIRECT($B$1&amp;"!"&amp;ADDRESS(ROW(),COLUMN(),4)),CONFIG!$A$15:$B$28,2,FALSE),"")</f>
        <v/>
      </c>
      <c r="AE43" s="132">
        <f>IFERROR(VLOOKUP(INDIRECT($B$1&amp;"!"&amp;ADDRESS(ROW(),COLUMN(),4)),CONFIG!$A$15:$B$28,2,FALSE),"")</f>
        <v/>
      </c>
      <c r="AF43" s="132">
        <f>IFERROR(VLOOKUP(INDIRECT($B$1&amp;"!"&amp;ADDRESS(ROW(),COLUMN(),4)),CONFIG!$A$15:$B$28,2,FALSE),"")</f>
        <v/>
      </c>
      <c r="AG43" s="132">
        <f>IFERROR(VLOOKUP(INDIRECT($B$1&amp;"!"&amp;ADDRESS(ROW(),COLUMN(),4)),CONFIG!$A$15:$B$28,2,FALSE),"")</f>
        <v/>
      </c>
    </row>
    <row r="44">
      <c r="A44" s="131" t="inlineStr">
        <is>
          <t>Debora Matias</t>
        </is>
      </c>
      <c r="C44" s="132">
        <f>IFERROR(VLOOKUP(INDIRECT($B$1&amp;"!"&amp;ADDRESS(ROW(),COLUMN(),4)),CONFIG!$A$15:$B$28,2,FALSE),"")</f>
        <v/>
      </c>
      <c r="D44" s="132">
        <f>IFERROR(VLOOKUP(INDIRECT($B$1&amp;"!"&amp;ADDRESS(ROW(),COLUMN(),4)),CONFIG!$A$15:$B$28,2,FALSE),"")</f>
        <v/>
      </c>
      <c r="E44" s="132">
        <f>IFERROR(VLOOKUP(INDIRECT($B$1&amp;"!"&amp;ADDRESS(ROW(),COLUMN(),4)),CONFIG!$A$15:$B$28,2,FALSE),"")</f>
        <v/>
      </c>
      <c r="F44" s="132">
        <f>IFERROR(VLOOKUP(INDIRECT($B$1&amp;"!"&amp;ADDRESS(ROW(),COLUMN(),4)),CONFIG!$A$15:$B$28,2,FALSE),"")</f>
        <v/>
      </c>
      <c r="G44" s="132">
        <f>IFERROR(VLOOKUP(INDIRECT($B$1&amp;"!"&amp;ADDRESS(ROW(),COLUMN(),4)),CONFIG!$A$15:$B$28,2,FALSE),"")</f>
        <v/>
      </c>
      <c r="H44" s="132">
        <f>IFERROR(VLOOKUP(INDIRECT($B$1&amp;"!"&amp;ADDRESS(ROW(),COLUMN(),4)),CONFIG!$A$15:$B$28,2,FALSE),"")</f>
        <v/>
      </c>
      <c r="I44" s="132">
        <f>IFERROR(VLOOKUP(INDIRECT($B$1&amp;"!"&amp;ADDRESS(ROW(),COLUMN(),4)),CONFIG!$A$15:$B$28,2,FALSE),"")</f>
        <v/>
      </c>
      <c r="J44" s="132">
        <f>IFERROR(VLOOKUP(INDIRECT($B$1&amp;"!"&amp;ADDRESS(ROW(),COLUMN(),4)),CONFIG!$A$15:$B$28,2,FALSE),"")</f>
        <v/>
      </c>
      <c r="K44" s="132">
        <f>IFERROR(VLOOKUP(INDIRECT($B$1&amp;"!"&amp;ADDRESS(ROW(),COLUMN(),4)),CONFIG!$A$15:$B$28,2,FALSE),"")</f>
        <v/>
      </c>
      <c r="L44" s="132">
        <f>IFERROR(VLOOKUP(INDIRECT($B$1&amp;"!"&amp;ADDRESS(ROW(),COLUMN(),4)),CONFIG!$A$15:$B$28,2,FALSE),"")</f>
        <v/>
      </c>
      <c r="M44" s="132">
        <f>IFERROR(VLOOKUP(INDIRECT($B$1&amp;"!"&amp;ADDRESS(ROW(),COLUMN(),4)),CONFIG!$A$15:$B$28,2,FALSE),"")</f>
        <v/>
      </c>
      <c r="N44" s="132">
        <f>IFERROR(VLOOKUP(INDIRECT($B$1&amp;"!"&amp;ADDRESS(ROW(),COLUMN(),4)),CONFIG!$A$15:$B$28,2,FALSE),"")</f>
        <v/>
      </c>
      <c r="O44" s="132">
        <f>IFERROR(VLOOKUP(INDIRECT($B$1&amp;"!"&amp;ADDRESS(ROW(),COLUMN(),4)),CONFIG!$A$15:$B$28,2,FALSE),"")</f>
        <v/>
      </c>
      <c r="P44" s="132">
        <f>IFERROR(VLOOKUP(INDIRECT($B$1&amp;"!"&amp;ADDRESS(ROW(),COLUMN(),4)),CONFIG!$A$15:$B$28,2,FALSE),"")</f>
        <v/>
      </c>
      <c r="Q44" s="132">
        <f>IFERROR(VLOOKUP(INDIRECT($B$1&amp;"!"&amp;ADDRESS(ROW(),COLUMN(),4)),CONFIG!$A$15:$B$28,2,FALSE),"")</f>
        <v/>
      </c>
      <c r="R44" s="132">
        <f>IFERROR(VLOOKUP(INDIRECT($B$1&amp;"!"&amp;ADDRESS(ROW(),COLUMN(),4)),CONFIG!$A$15:$B$28,2,FALSE),"")</f>
        <v/>
      </c>
      <c r="S44" s="132">
        <f>IFERROR(VLOOKUP(INDIRECT($B$1&amp;"!"&amp;ADDRESS(ROW(),COLUMN(),4)),CONFIG!$A$15:$B$28,2,FALSE),"")</f>
        <v/>
      </c>
      <c r="T44" s="132">
        <f>IFERROR(VLOOKUP(INDIRECT($B$1&amp;"!"&amp;ADDRESS(ROW(),COLUMN(),4)),CONFIG!$A$15:$B$28,2,FALSE),"")</f>
        <v/>
      </c>
      <c r="U44" s="132">
        <f>IFERROR(VLOOKUP(INDIRECT($B$1&amp;"!"&amp;ADDRESS(ROW(),COLUMN(),4)),CONFIG!$A$15:$B$28,2,FALSE),"")</f>
        <v/>
      </c>
      <c r="V44" s="132">
        <f>IFERROR(VLOOKUP(INDIRECT($B$1&amp;"!"&amp;ADDRESS(ROW(),COLUMN(),4)),CONFIG!$A$15:$B$28,2,FALSE),"")</f>
        <v/>
      </c>
      <c r="W44" s="132">
        <f>IFERROR(VLOOKUP(INDIRECT($B$1&amp;"!"&amp;ADDRESS(ROW(),COLUMN(),4)),CONFIG!$A$15:$B$28,2,FALSE),"")</f>
        <v/>
      </c>
      <c r="X44" s="132">
        <f>IFERROR(VLOOKUP(INDIRECT($B$1&amp;"!"&amp;ADDRESS(ROW(),COLUMN(),4)),CONFIG!$A$15:$B$28,2,FALSE),"")</f>
        <v/>
      </c>
      <c r="Y44" s="132">
        <f>IFERROR(VLOOKUP(INDIRECT($B$1&amp;"!"&amp;ADDRESS(ROW(),COLUMN(),4)),CONFIG!$A$15:$B$28,2,FALSE),"")</f>
        <v/>
      </c>
      <c r="Z44" s="132">
        <f>IFERROR(VLOOKUP(INDIRECT($B$1&amp;"!"&amp;ADDRESS(ROW(),COLUMN(),4)),CONFIG!$A$15:$B$28,2,FALSE),"")</f>
        <v/>
      </c>
      <c r="AA44" s="132">
        <f>IFERROR(VLOOKUP(INDIRECT($B$1&amp;"!"&amp;ADDRESS(ROW(),COLUMN(),4)),CONFIG!$A$15:$B$28,2,FALSE),"")</f>
        <v/>
      </c>
      <c r="AB44" s="132">
        <f>IFERROR(VLOOKUP(INDIRECT($B$1&amp;"!"&amp;ADDRESS(ROW(),COLUMN(),4)),CONFIG!$A$15:$B$28,2,FALSE),"")</f>
        <v/>
      </c>
      <c r="AC44" s="132">
        <f>IFERROR(VLOOKUP(INDIRECT($B$1&amp;"!"&amp;ADDRESS(ROW(),COLUMN(),4)),CONFIG!$A$15:$B$28,2,FALSE),"")</f>
        <v/>
      </c>
      <c r="AD44" s="132">
        <f>IFERROR(VLOOKUP(INDIRECT($B$1&amp;"!"&amp;ADDRESS(ROW(),COLUMN(),4)),CONFIG!$A$15:$B$28,2,FALSE),"")</f>
        <v/>
      </c>
      <c r="AE44" s="132">
        <f>IFERROR(VLOOKUP(INDIRECT($B$1&amp;"!"&amp;ADDRESS(ROW(),COLUMN(),4)),CONFIG!$A$15:$B$28,2,FALSE),"")</f>
        <v/>
      </c>
      <c r="AF44" s="132">
        <f>IFERROR(VLOOKUP(INDIRECT($B$1&amp;"!"&amp;ADDRESS(ROW(),COLUMN(),4)),CONFIG!$A$15:$B$28,2,FALSE),"")</f>
        <v/>
      </c>
      <c r="AG44" s="132">
        <f>IFERROR(VLOOKUP(INDIRECT($B$1&amp;"!"&amp;ADDRESS(ROW(),COLUMN(),4)),CONFIG!$A$15:$B$28,2,FALSE),"")</f>
        <v/>
      </c>
    </row>
    <row r="45">
      <c r="A45" s="131" t="inlineStr">
        <is>
          <t>Denise</t>
        </is>
      </c>
      <c r="C45" s="132">
        <f>IFERROR(VLOOKUP(INDIRECT($B$1&amp;"!"&amp;ADDRESS(ROW(),COLUMN(),4)),CONFIG!$A$15:$B$28,2,FALSE),"")</f>
        <v/>
      </c>
      <c r="D45" s="132">
        <f>IFERROR(VLOOKUP(INDIRECT($B$1&amp;"!"&amp;ADDRESS(ROW(),COLUMN(),4)),CONFIG!$A$15:$B$28,2,FALSE),"")</f>
        <v/>
      </c>
      <c r="E45" s="132">
        <f>IFERROR(VLOOKUP(INDIRECT($B$1&amp;"!"&amp;ADDRESS(ROW(),COLUMN(),4)),CONFIG!$A$15:$B$28,2,FALSE),"")</f>
        <v/>
      </c>
      <c r="F45" s="132">
        <f>IFERROR(VLOOKUP(INDIRECT($B$1&amp;"!"&amp;ADDRESS(ROW(),COLUMN(),4)),CONFIG!$A$15:$B$28,2,FALSE),"")</f>
        <v/>
      </c>
      <c r="G45" s="132">
        <f>IFERROR(VLOOKUP(INDIRECT($B$1&amp;"!"&amp;ADDRESS(ROW(),COLUMN(),4)),CONFIG!$A$15:$B$28,2,FALSE),"")</f>
        <v/>
      </c>
      <c r="H45" s="132">
        <f>IFERROR(VLOOKUP(INDIRECT($B$1&amp;"!"&amp;ADDRESS(ROW(),COLUMN(),4)),CONFIG!$A$15:$B$28,2,FALSE),"")</f>
        <v/>
      </c>
      <c r="I45" s="132">
        <f>IFERROR(VLOOKUP(INDIRECT($B$1&amp;"!"&amp;ADDRESS(ROW(),COLUMN(),4)),CONFIG!$A$15:$B$28,2,FALSE),"")</f>
        <v/>
      </c>
      <c r="J45" s="132">
        <f>IFERROR(VLOOKUP(INDIRECT($B$1&amp;"!"&amp;ADDRESS(ROW(),COLUMN(),4)),CONFIG!$A$15:$B$28,2,FALSE),"")</f>
        <v/>
      </c>
      <c r="K45" s="132">
        <f>IFERROR(VLOOKUP(INDIRECT($B$1&amp;"!"&amp;ADDRESS(ROW(),COLUMN(),4)),CONFIG!$A$15:$B$28,2,FALSE),"")</f>
        <v/>
      </c>
      <c r="L45" s="132">
        <f>IFERROR(VLOOKUP(INDIRECT($B$1&amp;"!"&amp;ADDRESS(ROW(),COLUMN(),4)),CONFIG!$A$15:$B$28,2,FALSE),"")</f>
        <v/>
      </c>
      <c r="M45" s="132">
        <f>IFERROR(VLOOKUP(INDIRECT($B$1&amp;"!"&amp;ADDRESS(ROW(),COLUMN(),4)),CONFIG!$A$15:$B$28,2,FALSE),"")</f>
        <v/>
      </c>
      <c r="N45" s="132">
        <f>IFERROR(VLOOKUP(INDIRECT($B$1&amp;"!"&amp;ADDRESS(ROW(),COLUMN(),4)),CONFIG!$A$15:$B$28,2,FALSE),"")</f>
        <v/>
      </c>
      <c r="O45" s="132">
        <f>IFERROR(VLOOKUP(INDIRECT($B$1&amp;"!"&amp;ADDRESS(ROW(),COLUMN(),4)),CONFIG!$A$15:$B$28,2,FALSE),"")</f>
        <v/>
      </c>
      <c r="P45" s="132">
        <f>IFERROR(VLOOKUP(INDIRECT($B$1&amp;"!"&amp;ADDRESS(ROW(),COLUMN(),4)),CONFIG!$A$15:$B$28,2,FALSE),"")</f>
        <v/>
      </c>
      <c r="Q45" s="132">
        <f>IFERROR(VLOOKUP(INDIRECT($B$1&amp;"!"&amp;ADDRESS(ROW(),COLUMN(),4)),CONFIG!$A$15:$B$28,2,FALSE),"")</f>
        <v/>
      </c>
      <c r="R45" s="132">
        <f>IFERROR(VLOOKUP(INDIRECT($B$1&amp;"!"&amp;ADDRESS(ROW(),COLUMN(),4)),CONFIG!$A$15:$B$28,2,FALSE),"")</f>
        <v/>
      </c>
      <c r="S45" s="132">
        <f>IFERROR(VLOOKUP(INDIRECT($B$1&amp;"!"&amp;ADDRESS(ROW(),COLUMN(),4)),CONFIG!$A$15:$B$28,2,FALSE),"")</f>
        <v/>
      </c>
      <c r="T45" s="132">
        <f>IFERROR(VLOOKUP(INDIRECT($B$1&amp;"!"&amp;ADDRESS(ROW(),COLUMN(),4)),CONFIG!$A$15:$B$28,2,FALSE),"")</f>
        <v/>
      </c>
      <c r="U45" s="132">
        <f>IFERROR(VLOOKUP(INDIRECT($B$1&amp;"!"&amp;ADDRESS(ROW(),COLUMN(),4)),CONFIG!$A$15:$B$28,2,FALSE),"")</f>
        <v/>
      </c>
      <c r="V45" s="132">
        <f>IFERROR(VLOOKUP(INDIRECT($B$1&amp;"!"&amp;ADDRESS(ROW(),COLUMN(),4)),CONFIG!$A$15:$B$28,2,FALSE),"")</f>
        <v/>
      </c>
      <c r="W45" s="132">
        <f>IFERROR(VLOOKUP(INDIRECT($B$1&amp;"!"&amp;ADDRESS(ROW(),COLUMN(),4)),CONFIG!$A$15:$B$28,2,FALSE),"")</f>
        <v/>
      </c>
      <c r="X45" s="132">
        <f>IFERROR(VLOOKUP(INDIRECT($B$1&amp;"!"&amp;ADDRESS(ROW(),COLUMN(),4)),CONFIG!$A$15:$B$28,2,FALSE),"")</f>
        <v/>
      </c>
      <c r="Y45" s="132">
        <f>IFERROR(VLOOKUP(INDIRECT($B$1&amp;"!"&amp;ADDRESS(ROW(),COLUMN(),4)),CONFIG!$A$15:$B$28,2,FALSE),"")</f>
        <v/>
      </c>
      <c r="Z45" s="132">
        <f>IFERROR(VLOOKUP(INDIRECT($B$1&amp;"!"&amp;ADDRESS(ROW(),COLUMN(),4)),CONFIG!$A$15:$B$28,2,FALSE),"")</f>
        <v/>
      </c>
      <c r="AA45" s="132">
        <f>IFERROR(VLOOKUP(INDIRECT($B$1&amp;"!"&amp;ADDRESS(ROW(),COLUMN(),4)),CONFIG!$A$15:$B$28,2,FALSE),"")</f>
        <v/>
      </c>
      <c r="AB45" s="132">
        <f>IFERROR(VLOOKUP(INDIRECT($B$1&amp;"!"&amp;ADDRESS(ROW(),COLUMN(),4)),CONFIG!$A$15:$B$28,2,FALSE),"")</f>
        <v/>
      </c>
      <c r="AC45" s="132">
        <f>IFERROR(VLOOKUP(INDIRECT($B$1&amp;"!"&amp;ADDRESS(ROW(),COLUMN(),4)),CONFIG!$A$15:$B$28,2,FALSE),"")</f>
        <v/>
      </c>
      <c r="AD45" s="132">
        <f>IFERROR(VLOOKUP(INDIRECT($B$1&amp;"!"&amp;ADDRESS(ROW(),COLUMN(),4)),CONFIG!$A$15:$B$28,2,FALSE),"")</f>
        <v/>
      </c>
      <c r="AE45" s="132">
        <f>IFERROR(VLOOKUP(INDIRECT($B$1&amp;"!"&amp;ADDRESS(ROW(),COLUMN(),4)),CONFIG!$A$15:$B$28,2,FALSE),"")</f>
        <v/>
      </c>
      <c r="AF45" s="132">
        <f>IFERROR(VLOOKUP(INDIRECT($B$1&amp;"!"&amp;ADDRESS(ROW(),COLUMN(),4)),CONFIG!$A$15:$B$28,2,FALSE),"")</f>
        <v/>
      </c>
      <c r="AG45" s="132">
        <f>IFERROR(VLOOKUP(INDIRECT($B$1&amp;"!"&amp;ADDRESS(ROW(),COLUMN(),4)),CONFIG!$A$15:$B$28,2,FALSE),"")</f>
        <v/>
      </c>
    </row>
    <row r="46">
      <c r="A46" s="131" t="inlineStr">
        <is>
          <t>Carlos Ernesto</t>
        </is>
      </c>
      <c r="C46" s="132">
        <f>IFERROR(VLOOKUP(INDIRECT($B$1&amp;"!"&amp;ADDRESS(ROW(),COLUMN(),4)),CONFIG!$A$15:$B$28,2,FALSE),"")</f>
        <v/>
      </c>
      <c r="D46" s="132">
        <f>IFERROR(VLOOKUP(INDIRECT($B$1&amp;"!"&amp;ADDRESS(ROW(),COLUMN(),4)),CONFIG!$A$15:$B$28,2,FALSE),"")</f>
        <v/>
      </c>
      <c r="E46" s="132">
        <f>IFERROR(VLOOKUP(INDIRECT($B$1&amp;"!"&amp;ADDRESS(ROW(),COLUMN(),4)),CONFIG!$A$15:$B$28,2,FALSE),"")</f>
        <v/>
      </c>
      <c r="F46" s="132">
        <f>IFERROR(VLOOKUP(INDIRECT($B$1&amp;"!"&amp;ADDRESS(ROW(),COLUMN(),4)),CONFIG!$A$15:$B$28,2,FALSE),"")</f>
        <v/>
      </c>
      <c r="G46" s="132">
        <f>IFERROR(VLOOKUP(INDIRECT($B$1&amp;"!"&amp;ADDRESS(ROW(),COLUMN(),4)),CONFIG!$A$15:$B$28,2,FALSE),"")</f>
        <v/>
      </c>
      <c r="H46" s="132">
        <f>IFERROR(VLOOKUP(INDIRECT($B$1&amp;"!"&amp;ADDRESS(ROW(),COLUMN(),4)),CONFIG!$A$15:$B$28,2,FALSE),"")</f>
        <v/>
      </c>
      <c r="I46" s="132">
        <f>IFERROR(VLOOKUP(INDIRECT($B$1&amp;"!"&amp;ADDRESS(ROW(),COLUMN(),4)),CONFIG!$A$15:$B$28,2,FALSE),"")</f>
        <v/>
      </c>
      <c r="J46" s="132">
        <f>IFERROR(VLOOKUP(INDIRECT($B$1&amp;"!"&amp;ADDRESS(ROW(),COLUMN(),4)),CONFIG!$A$15:$B$28,2,FALSE),"")</f>
        <v/>
      </c>
      <c r="K46" s="132">
        <f>IFERROR(VLOOKUP(INDIRECT($B$1&amp;"!"&amp;ADDRESS(ROW(),COLUMN(),4)),CONFIG!$A$15:$B$28,2,FALSE),"")</f>
        <v/>
      </c>
      <c r="L46" s="132">
        <f>IFERROR(VLOOKUP(INDIRECT($B$1&amp;"!"&amp;ADDRESS(ROW(),COLUMN(),4)),CONFIG!$A$15:$B$28,2,FALSE),"")</f>
        <v/>
      </c>
      <c r="M46" s="132">
        <f>IFERROR(VLOOKUP(INDIRECT($B$1&amp;"!"&amp;ADDRESS(ROW(),COLUMN(),4)),CONFIG!$A$15:$B$28,2,FALSE),"")</f>
        <v/>
      </c>
      <c r="N46" s="132">
        <f>IFERROR(VLOOKUP(INDIRECT($B$1&amp;"!"&amp;ADDRESS(ROW(),COLUMN(),4)),CONFIG!$A$15:$B$28,2,FALSE),"")</f>
        <v/>
      </c>
      <c r="O46" s="132">
        <f>IFERROR(VLOOKUP(INDIRECT($B$1&amp;"!"&amp;ADDRESS(ROW(),COLUMN(),4)),CONFIG!$A$15:$B$28,2,FALSE),"")</f>
        <v/>
      </c>
      <c r="P46" s="132">
        <f>IFERROR(VLOOKUP(INDIRECT($B$1&amp;"!"&amp;ADDRESS(ROW(),COLUMN(),4)),CONFIG!$A$15:$B$28,2,FALSE),"")</f>
        <v/>
      </c>
      <c r="Q46" s="132">
        <f>IFERROR(VLOOKUP(INDIRECT($B$1&amp;"!"&amp;ADDRESS(ROW(),COLUMN(),4)),CONFIG!$A$15:$B$28,2,FALSE),"")</f>
        <v/>
      </c>
      <c r="R46" s="132">
        <f>IFERROR(VLOOKUP(INDIRECT($B$1&amp;"!"&amp;ADDRESS(ROW(),COLUMN(),4)),CONFIG!$A$15:$B$28,2,FALSE),"")</f>
        <v/>
      </c>
      <c r="S46" s="132">
        <f>IFERROR(VLOOKUP(INDIRECT($B$1&amp;"!"&amp;ADDRESS(ROW(),COLUMN(),4)),CONFIG!$A$15:$B$28,2,FALSE),"")</f>
        <v/>
      </c>
      <c r="T46" s="132">
        <f>IFERROR(VLOOKUP(INDIRECT($B$1&amp;"!"&amp;ADDRESS(ROW(),COLUMN(),4)),CONFIG!$A$15:$B$28,2,FALSE),"")</f>
        <v/>
      </c>
      <c r="U46" s="132">
        <f>IFERROR(VLOOKUP(INDIRECT($B$1&amp;"!"&amp;ADDRESS(ROW(),COLUMN(),4)),CONFIG!$A$15:$B$28,2,FALSE),"")</f>
        <v/>
      </c>
      <c r="V46" s="132">
        <f>IFERROR(VLOOKUP(INDIRECT($B$1&amp;"!"&amp;ADDRESS(ROW(),COLUMN(),4)),CONFIG!$A$15:$B$28,2,FALSE),"")</f>
        <v/>
      </c>
      <c r="W46" s="132">
        <f>IFERROR(VLOOKUP(INDIRECT($B$1&amp;"!"&amp;ADDRESS(ROW(),COLUMN(),4)),CONFIG!$A$15:$B$28,2,FALSE),"")</f>
        <v/>
      </c>
      <c r="X46" s="132">
        <f>IFERROR(VLOOKUP(INDIRECT($B$1&amp;"!"&amp;ADDRESS(ROW(),COLUMN(),4)),CONFIG!$A$15:$B$28,2,FALSE),"")</f>
        <v/>
      </c>
      <c r="Y46" s="132">
        <f>IFERROR(VLOOKUP(INDIRECT($B$1&amp;"!"&amp;ADDRESS(ROW(),COLUMN(),4)),CONFIG!$A$15:$B$28,2,FALSE),"")</f>
        <v/>
      </c>
      <c r="Z46" s="132">
        <f>IFERROR(VLOOKUP(INDIRECT($B$1&amp;"!"&amp;ADDRESS(ROW(),COLUMN(),4)),CONFIG!$A$15:$B$28,2,FALSE),"")</f>
        <v/>
      </c>
      <c r="AA46" s="132">
        <f>IFERROR(VLOOKUP(INDIRECT($B$1&amp;"!"&amp;ADDRESS(ROW(),COLUMN(),4)),CONFIG!$A$15:$B$28,2,FALSE),"")</f>
        <v/>
      </c>
      <c r="AB46" s="132">
        <f>IFERROR(VLOOKUP(INDIRECT($B$1&amp;"!"&amp;ADDRESS(ROW(),COLUMN(),4)),CONFIG!$A$15:$B$28,2,FALSE),"")</f>
        <v/>
      </c>
      <c r="AC46" s="132">
        <f>IFERROR(VLOOKUP(INDIRECT($B$1&amp;"!"&amp;ADDRESS(ROW(),COLUMN(),4)),CONFIG!$A$15:$B$28,2,FALSE),"")</f>
        <v/>
      </c>
      <c r="AD46" s="132">
        <f>IFERROR(VLOOKUP(INDIRECT($B$1&amp;"!"&amp;ADDRESS(ROW(),COLUMN(),4)),CONFIG!$A$15:$B$28,2,FALSE),"")</f>
        <v/>
      </c>
      <c r="AE46" s="132">
        <f>IFERROR(VLOOKUP(INDIRECT($B$1&amp;"!"&amp;ADDRESS(ROW(),COLUMN(),4)),CONFIG!$A$15:$B$28,2,FALSE),"")</f>
        <v/>
      </c>
      <c r="AF46" s="132">
        <f>IFERROR(VLOOKUP(INDIRECT($B$1&amp;"!"&amp;ADDRESS(ROW(),COLUMN(),4)),CONFIG!$A$15:$B$28,2,FALSE),"")</f>
        <v/>
      </c>
      <c r="AG46" s="132">
        <f>IFERROR(VLOOKUP(INDIRECT($B$1&amp;"!"&amp;ADDRESS(ROW(),COLUMN(),4)),CONFIG!$A$15:$B$28,2,FALSE),"")</f>
        <v/>
      </c>
    </row>
    <row r="47">
      <c r="A47" s="131" t="inlineStr">
        <is>
          <t>Grayce Maya</t>
        </is>
      </c>
      <c r="C47" s="132">
        <f>IFERROR(VLOOKUP(INDIRECT($B$1&amp;"!"&amp;ADDRESS(ROW(),COLUMN(),4)),CONFIG!$A$15:$B$28,2,FALSE),"")</f>
        <v/>
      </c>
      <c r="D47" s="132">
        <f>IFERROR(VLOOKUP(INDIRECT($B$1&amp;"!"&amp;ADDRESS(ROW(),COLUMN(),4)),CONFIG!$A$15:$B$28,2,FALSE),"")</f>
        <v/>
      </c>
      <c r="E47" s="132">
        <f>IFERROR(VLOOKUP(INDIRECT($B$1&amp;"!"&amp;ADDRESS(ROW(),COLUMN(),4)),CONFIG!$A$15:$B$28,2,FALSE),"")</f>
        <v/>
      </c>
      <c r="F47" s="132">
        <f>IFERROR(VLOOKUP(INDIRECT($B$1&amp;"!"&amp;ADDRESS(ROW(),COLUMN(),4)),CONFIG!$A$15:$B$28,2,FALSE),"")</f>
        <v/>
      </c>
      <c r="G47" s="132">
        <f>IFERROR(VLOOKUP(INDIRECT($B$1&amp;"!"&amp;ADDRESS(ROW(),COLUMN(),4)),CONFIG!$A$15:$B$28,2,FALSE),"")</f>
        <v/>
      </c>
      <c r="H47" s="132">
        <f>IFERROR(VLOOKUP(INDIRECT($B$1&amp;"!"&amp;ADDRESS(ROW(),COLUMN(),4)),CONFIG!$A$15:$B$28,2,FALSE),"")</f>
        <v/>
      </c>
      <c r="I47" s="132">
        <f>IFERROR(VLOOKUP(INDIRECT($B$1&amp;"!"&amp;ADDRESS(ROW(),COLUMN(),4)),CONFIG!$A$15:$B$28,2,FALSE),"")</f>
        <v/>
      </c>
      <c r="J47" s="132">
        <f>IFERROR(VLOOKUP(INDIRECT($B$1&amp;"!"&amp;ADDRESS(ROW(),COLUMN(),4)),CONFIG!$A$15:$B$28,2,FALSE),"")</f>
        <v/>
      </c>
      <c r="K47" s="132">
        <f>IFERROR(VLOOKUP(INDIRECT($B$1&amp;"!"&amp;ADDRESS(ROW(),COLUMN(),4)),CONFIG!$A$15:$B$28,2,FALSE),"")</f>
        <v/>
      </c>
      <c r="L47" s="132">
        <f>IFERROR(VLOOKUP(INDIRECT($B$1&amp;"!"&amp;ADDRESS(ROW(),COLUMN(),4)),CONFIG!$A$15:$B$28,2,FALSE),"")</f>
        <v/>
      </c>
      <c r="M47" s="132">
        <f>IFERROR(VLOOKUP(INDIRECT($B$1&amp;"!"&amp;ADDRESS(ROW(),COLUMN(),4)),CONFIG!$A$15:$B$28,2,FALSE),"")</f>
        <v/>
      </c>
      <c r="N47" s="132">
        <f>IFERROR(VLOOKUP(INDIRECT($B$1&amp;"!"&amp;ADDRESS(ROW(),COLUMN(),4)),CONFIG!$A$15:$B$28,2,FALSE),"")</f>
        <v/>
      </c>
      <c r="O47" s="132">
        <f>IFERROR(VLOOKUP(INDIRECT($B$1&amp;"!"&amp;ADDRESS(ROW(),COLUMN(),4)),CONFIG!$A$15:$B$28,2,FALSE),"")</f>
        <v/>
      </c>
      <c r="P47" s="132">
        <f>IFERROR(VLOOKUP(INDIRECT($B$1&amp;"!"&amp;ADDRESS(ROW(),COLUMN(),4)),CONFIG!$A$15:$B$28,2,FALSE),"")</f>
        <v/>
      </c>
      <c r="Q47" s="132">
        <f>IFERROR(VLOOKUP(INDIRECT($B$1&amp;"!"&amp;ADDRESS(ROW(),COLUMN(),4)),CONFIG!$A$15:$B$28,2,FALSE),"")</f>
        <v/>
      </c>
      <c r="R47" s="132">
        <f>IFERROR(VLOOKUP(INDIRECT($B$1&amp;"!"&amp;ADDRESS(ROW(),COLUMN(),4)),CONFIG!$A$15:$B$28,2,FALSE),"")</f>
        <v/>
      </c>
      <c r="S47" s="132">
        <f>IFERROR(VLOOKUP(INDIRECT($B$1&amp;"!"&amp;ADDRESS(ROW(),COLUMN(),4)),CONFIG!$A$15:$B$28,2,FALSE),"")</f>
        <v/>
      </c>
      <c r="T47" s="132">
        <f>IFERROR(VLOOKUP(INDIRECT($B$1&amp;"!"&amp;ADDRESS(ROW(),COLUMN(),4)),CONFIG!$A$15:$B$28,2,FALSE),"")</f>
        <v/>
      </c>
      <c r="U47" s="132">
        <f>IFERROR(VLOOKUP(INDIRECT($B$1&amp;"!"&amp;ADDRESS(ROW(),COLUMN(),4)),CONFIG!$A$15:$B$28,2,FALSE),"")</f>
        <v/>
      </c>
      <c r="V47" s="132">
        <f>IFERROR(VLOOKUP(INDIRECT($B$1&amp;"!"&amp;ADDRESS(ROW(),COLUMN(),4)),CONFIG!$A$15:$B$28,2,FALSE),"")</f>
        <v/>
      </c>
      <c r="W47" s="132">
        <f>IFERROR(VLOOKUP(INDIRECT($B$1&amp;"!"&amp;ADDRESS(ROW(),COLUMN(),4)),CONFIG!$A$15:$B$28,2,FALSE),"")</f>
        <v/>
      </c>
      <c r="X47" s="132">
        <f>IFERROR(VLOOKUP(INDIRECT($B$1&amp;"!"&amp;ADDRESS(ROW(),COLUMN(),4)),CONFIG!$A$15:$B$28,2,FALSE),"")</f>
        <v/>
      </c>
      <c r="Y47" s="132">
        <f>IFERROR(VLOOKUP(INDIRECT($B$1&amp;"!"&amp;ADDRESS(ROW(),COLUMN(),4)),CONFIG!$A$15:$B$28,2,FALSE),"")</f>
        <v/>
      </c>
      <c r="Z47" s="132">
        <f>IFERROR(VLOOKUP(INDIRECT($B$1&amp;"!"&amp;ADDRESS(ROW(),COLUMN(),4)),CONFIG!$A$15:$B$28,2,FALSE),"")</f>
        <v/>
      </c>
      <c r="AA47" s="132">
        <f>IFERROR(VLOOKUP(INDIRECT($B$1&amp;"!"&amp;ADDRESS(ROW(),COLUMN(),4)),CONFIG!$A$15:$B$28,2,FALSE),"")</f>
        <v/>
      </c>
      <c r="AB47" s="132">
        <f>IFERROR(VLOOKUP(INDIRECT($B$1&amp;"!"&amp;ADDRESS(ROW(),COLUMN(),4)),CONFIG!$A$15:$B$28,2,FALSE),"")</f>
        <v/>
      </c>
      <c r="AC47" s="132">
        <f>IFERROR(VLOOKUP(INDIRECT($B$1&amp;"!"&amp;ADDRESS(ROW(),COLUMN(),4)),CONFIG!$A$15:$B$28,2,FALSE),"")</f>
        <v/>
      </c>
      <c r="AD47" s="132">
        <f>IFERROR(VLOOKUP(INDIRECT($B$1&amp;"!"&amp;ADDRESS(ROW(),COLUMN(),4)),CONFIG!$A$15:$B$28,2,FALSE),"")</f>
        <v/>
      </c>
      <c r="AE47" s="132">
        <f>IFERROR(VLOOKUP(INDIRECT($B$1&amp;"!"&amp;ADDRESS(ROW(),COLUMN(),4)),CONFIG!$A$15:$B$28,2,FALSE),"")</f>
        <v/>
      </c>
      <c r="AF47" s="132">
        <f>IFERROR(VLOOKUP(INDIRECT($B$1&amp;"!"&amp;ADDRESS(ROW(),COLUMN(),4)),CONFIG!$A$15:$B$28,2,FALSE),"")</f>
        <v/>
      </c>
      <c r="AG47" s="132">
        <f>IFERROR(VLOOKUP(INDIRECT($B$1&amp;"!"&amp;ADDRESS(ROW(),COLUMN(),4)),CONFIG!$A$15:$B$28,2,FALSE),"")</f>
        <v/>
      </c>
    </row>
    <row r="48">
      <c r="A48" s="131" t="inlineStr">
        <is>
          <t>Heloa</t>
        </is>
      </c>
      <c r="C48" s="132">
        <f>IFERROR(VLOOKUP(INDIRECT($B$1&amp;"!"&amp;ADDRESS(ROW(),COLUMN(),4)),CONFIG!$A$15:$B$28,2,FALSE),"")</f>
        <v/>
      </c>
      <c r="D48" s="132">
        <f>IFERROR(VLOOKUP(INDIRECT($B$1&amp;"!"&amp;ADDRESS(ROW(),COLUMN(),4)),CONFIG!$A$15:$B$28,2,FALSE),"")</f>
        <v/>
      </c>
      <c r="E48" s="132">
        <f>IFERROR(VLOOKUP(INDIRECT($B$1&amp;"!"&amp;ADDRESS(ROW(),COLUMN(),4)),CONFIG!$A$15:$B$28,2,FALSE),"")</f>
        <v/>
      </c>
      <c r="F48" s="132">
        <f>IFERROR(VLOOKUP(INDIRECT($B$1&amp;"!"&amp;ADDRESS(ROW(),COLUMN(),4)),CONFIG!$A$15:$B$28,2,FALSE),"")</f>
        <v/>
      </c>
      <c r="G48" s="132">
        <f>IFERROR(VLOOKUP(INDIRECT($B$1&amp;"!"&amp;ADDRESS(ROW(),COLUMN(),4)),CONFIG!$A$15:$B$28,2,FALSE),"")</f>
        <v/>
      </c>
      <c r="H48" s="132">
        <f>IFERROR(VLOOKUP(INDIRECT($B$1&amp;"!"&amp;ADDRESS(ROW(),COLUMN(),4)),CONFIG!$A$15:$B$28,2,FALSE),"")</f>
        <v/>
      </c>
      <c r="I48" s="132">
        <f>IFERROR(VLOOKUP(INDIRECT($B$1&amp;"!"&amp;ADDRESS(ROW(),COLUMN(),4)),CONFIG!$A$15:$B$28,2,FALSE),"")</f>
        <v/>
      </c>
      <c r="J48" s="132">
        <f>IFERROR(VLOOKUP(INDIRECT($B$1&amp;"!"&amp;ADDRESS(ROW(),COLUMN(),4)),CONFIG!$A$15:$B$28,2,FALSE),"")</f>
        <v/>
      </c>
      <c r="K48" s="132">
        <f>IFERROR(VLOOKUP(INDIRECT($B$1&amp;"!"&amp;ADDRESS(ROW(),COLUMN(),4)),CONFIG!$A$15:$B$28,2,FALSE),"")</f>
        <v/>
      </c>
      <c r="L48" s="132">
        <f>IFERROR(VLOOKUP(INDIRECT($B$1&amp;"!"&amp;ADDRESS(ROW(),COLUMN(),4)),CONFIG!$A$15:$B$28,2,FALSE),"")</f>
        <v/>
      </c>
      <c r="M48" s="132">
        <f>IFERROR(VLOOKUP(INDIRECT($B$1&amp;"!"&amp;ADDRESS(ROW(),COLUMN(),4)),CONFIG!$A$15:$B$28,2,FALSE),"")</f>
        <v/>
      </c>
      <c r="N48" s="132">
        <f>IFERROR(VLOOKUP(INDIRECT($B$1&amp;"!"&amp;ADDRESS(ROW(),COLUMN(),4)),CONFIG!$A$15:$B$28,2,FALSE),"")</f>
        <v/>
      </c>
      <c r="O48" s="132">
        <f>IFERROR(VLOOKUP(INDIRECT($B$1&amp;"!"&amp;ADDRESS(ROW(),COLUMN(),4)),CONFIG!$A$15:$B$28,2,FALSE),"")</f>
        <v/>
      </c>
      <c r="P48" s="132">
        <f>IFERROR(VLOOKUP(INDIRECT($B$1&amp;"!"&amp;ADDRESS(ROW(),COLUMN(),4)),CONFIG!$A$15:$B$28,2,FALSE),"")</f>
        <v/>
      </c>
      <c r="Q48" s="132">
        <f>IFERROR(VLOOKUP(INDIRECT($B$1&amp;"!"&amp;ADDRESS(ROW(),COLUMN(),4)),CONFIG!$A$15:$B$28,2,FALSE),"")</f>
        <v/>
      </c>
      <c r="R48" s="132">
        <f>IFERROR(VLOOKUP(INDIRECT($B$1&amp;"!"&amp;ADDRESS(ROW(),COLUMN(),4)),CONFIG!$A$15:$B$28,2,FALSE),"")</f>
        <v/>
      </c>
      <c r="S48" s="132">
        <f>IFERROR(VLOOKUP(INDIRECT($B$1&amp;"!"&amp;ADDRESS(ROW(),COLUMN(),4)),CONFIG!$A$15:$B$28,2,FALSE),"")</f>
        <v/>
      </c>
      <c r="T48" s="132">
        <f>IFERROR(VLOOKUP(INDIRECT($B$1&amp;"!"&amp;ADDRESS(ROW(),COLUMN(),4)),CONFIG!$A$15:$B$28,2,FALSE),"")</f>
        <v/>
      </c>
      <c r="U48" s="132">
        <f>IFERROR(VLOOKUP(INDIRECT($B$1&amp;"!"&amp;ADDRESS(ROW(),COLUMN(),4)),CONFIG!$A$15:$B$28,2,FALSE),"")</f>
        <v/>
      </c>
      <c r="V48" s="132">
        <f>IFERROR(VLOOKUP(INDIRECT($B$1&amp;"!"&amp;ADDRESS(ROW(),COLUMN(),4)),CONFIG!$A$15:$B$28,2,FALSE),"")</f>
        <v/>
      </c>
      <c r="W48" s="132">
        <f>IFERROR(VLOOKUP(INDIRECT($B$1&amp;"!"&amp;ADDRESS(ROW(),COLUMN(),4)),CONFIG!$A$15:$B$28,2,FALSE),"")</f>
        <v/>
      </c>
      <c r="X48" s="132">
        <f>IFERROR(VLOOKUP(INDIRECT($B$1&amp;"!"&amp;ADDRESS(ROW(),COLUMN(),4)),CONFIG!$A$15:$B$28,2,FALSE),"")</f>
        <v/>
      </c>
      <c r="Y48" s="132">
        <f>IFERROR(VLOOKUP(INDIRECT($B$1&amp;"!"&amp;ADDRESS(ROW(),COLUMN(),4)),CONFIG!$A$15:$B$28,2,FALSE),"")</f>
        <v/>
      </c>
      <c r="Z48" s="132">
        <f>IFERROR(VLOOKUP(INDIRECT($B$1&amp;"!"&amp;ADDRESS(ROW(),COLUMN(),4)),CONFIG!$A$15:$B$28,2,FALSE),"")</f>
        <v/>
      </c>
      <c r="AA48" s="132">
        <f>IFERROR(VLOOKUP(INDIRECT($B$1&amp;"!"&amp;ADDRESS(ROW(),COLUMN(),4)),CONFIG!$A$15:$B$28,2,FALSE),"")</f>
        <v/>
      </c>
      <c r="AB48" s="132">
        <f>IFERROR(VLOOKUP(INDIRECT($B$1&amp;"!"&amp;ADDRESS(ROW(),COLUMN(),4)),CONFIG!$A$15:$B$28,2,FALSE),"")</f>
        <v/>
      </c>
      <c r="AC48" s="132">
        <f>IFERROR(VLOOKUP(INDIRECT($B$1&amp;"!"&amp;ADDRESS(ROW(),COLUMN(),4)),CONFIG!$A$15:$B$28,2,FALSE),"")</f>
        <v/>
      </c>
      <c r="AD48" s="132">
        <f>IFERROR(VLOOKUP(INDIRECT($B$1&amp;"!"&amp;ADDRESS(ROW(),COLUMN(),4)),CONFIG!$A$15:$B$28,2,FALSE),"")</f>
        <v/>
      </c>
      <c r="AE48" s="132">
        <f>IFERROR(VLOOKUP(INDIRECT($B$1&amp;"!"&amp;ADDRESS(ROW(),COLUMN(),4)),CONFIG!$A$15:$B$28,2,FALSE),"")</f>
        <v/>
      </c>
      <c r="AF48" s="132">
        <f>IFERROR(VLOOKUP(INDIRECT($B$1&amp;"!"&amp;ADDRESS(ROW(),COLUMN(),4)),CONFIG!$A$15:$B$28,2,FALSE),"")</f>
        <v/>
      </c>
      <c r="AG48" s="132">
        <f>IFERROR(VLOOKUP(INDIRECT($B$1&amp;"!"&amp;ADDRESS(ROW(),COLUMN(),4)),CONFIG!$A$15:$B$28,2,FALSE),"")</f>
        <v/>
      </c>
    </row>
    <row r="49">
      <c r="A49" s="131" t="inlineStr">
        <is>
          <t>Iggor Almeida</t>
        </is>
      </c>
      <c r="C49" s="132">
        <f>IFERROR(VLOOKUP(INDIRECT($B$1&amp;"!"&amp;ADDRESS(ROW(),COLUMN(),4)),CONFIG!$A$15:$B$28,2,FALSE),"")</f>
        <v/>
      </c>
      <c r="D49" s="132">
        <f>IFERROR(VLOOKUP(INDIRECT($B$1&amp;"!"&amp;ADDRESS(ROW(),COLUMN(),4)),CONFIG!$A$15:$B$28,2,FALSE),"")</f>
        <v/>
      </c>
      <c r="E49" s="132">
        <f>IFERROR(VLOOKUP(INDIRECT($B$1&amp;"!"&amp;ADDRESS(ROW(),COLUMN(),4)),CONFIG!$A$15:$B$28,2,FALSE),"")</f>
        <v/>
      </c>
      <c r="F49" s="132">
        <f>IFERROR(VLOOKUP(INDIRECT($B$1&amp;"!"&amp;ADDRESS(ROW(),COLUMN(),4)),CONFIG!$A$15:$B$28,2,FALSE),"")</f>
        <v/>
      </c>
      <c r="G49" s="132">
        <f>IFERROR(VLOOKUP(INDIRECT($B$1&amp;"!"&amp;ADDRESS(ROW(),COLUMN(),4)),CONFIG!$A$15:$B$28,2,FALSE),"")</f>
        <v/>
      </c>
      <c r="H49" s="132">
        <f>IFERROR(VLOOKUP(INDIRECT($B$1&amp;"!"&amp;ADDRESS(ROW(),COLUMN(),4)),CONFIG!$A$15:$B$28,2,FALSE),"")</f>
        <v/>
      </c>
      <c r="I49" s="132">
        <f>IFERROR(VLOOKUP(INDIRECT($B$1&amp;"!"&amp;ADDRESS(ROW(),COLUMN(),4)),CONFIG!$A$15:$B$28,2,FALSE),"")</f>
        <v/>
      </c>
      <c r="J49" s="132">
        <f>IFERROR(VLOOKUP(INDIRECT($B$1&amp;"!"&amp;ADDRESS(ROW(),COLUMN(),4)),CONFIG!$A$15:$B$28,2,FALSE),"")</f>
        <v/>
      </c>
      <c r="K49" s="132">
        <f>IFERROR(VLOOKUP(INDIRECT($B$1&amp;"!"&amp;ADDRESS(ROW(),COLUMN(),4)),CONFIG!$A$15:$B$28,2,FALSE),"")</f>
        <v/>
      </c>
      <c r="L49" s="132">
        <f>IFERROR(VLOOKUP(INDIRECT($B$1&amp;"!"&amp;ADDRESS(ROW(),COLUMN(),4)),CONFIG!$A$15:$B$28,2,FALSE),"")</f>
        <v/>
      </c>
      <c r="M49" s="132">
        <f>IFERROR(VLOOKUP(INDIRECT($B$1&amp;"!"&amp;ADDRESS(ROW(),COLUMN(),4)),CONFIG!$A$15:$B$28,2,FALSE),"")</f>
        <v/>
      </c>
      <c r="N49" s="132">
        <f>IFERROR(VLOOKUP(INDIRECT($B$1&amp;"!"&amp;ADDRESS(ROW(),COLUMN(),4)),CONFIG!$A$15:$B$28,2,FALSE),"")</f>
        <v/>
      </c>
      <c r="O49" s="132">
        <f>IFERROR(VLOOKUP(INDIRECT($B$1&amp;"!"&amp;ADDRESS(ROW(),COLUMN(),4)),CONFIG!$A$15:$B$28,2,FALSE),"")</f>
        <v/>
      </c>
      <c r="P49" s="132">
        <f>IFERROR(VLOOKUP(INDIRECT($B$1&amp;"!"&amp;ADDRESS(ROW(),COLUMN(),4)),CONFIG!$A$15:$B$28,2,FALSE),"")</f>
        <v/>
      </c>
      <c r="Q49" s="132">
        <f>IFERROR(VLOOKUP(INDIRECT($B$1&amp;"!"&amp;ADDRESS(ROW(),COLUMN(),4)),CONFIG!$A$15:$B$28,2,FALSE),"")</f>
        <v/>
      </c>
      <c r="R49" s="132">
        <f>IFERROR(VLOOKUP(INDIRECT($B$1&amp;"!"&amp;ADDRESS(ROW(),COLUMN(),4)),CONFIG!$A$15:$B$28,2,FALSE),"")</f>
        <v/>
      </c>
      <c r="S49" s="132">
        <f>IFERROR(VLOOKUP(INDIRECT($B$1&amp;"!"&amp;ADDRESS(ROW(),COLUMN(),4)),CONFIG!$A$15:$B$28,2,FALSE),"")</f>
        <v/>
      </c>
      <c r="T49" s="132">
        <f>IFERROR(VLOOKUP(INDIRECT($B$1&amp;"!"&amp;ADDRESS(ROW(),COLUMN(),4)),CONFIG!$A$15:$B$28,2,FALSE),"")</f>
        <v/>
      </c>
      <c r="U49" s="132">
        <f>IFERROR(VLOOKUP(INDIRECT($B$1&amp;"!"&amp;ADDRESS(ROW(),COLUMN(),4)),CONFIG!$A$15:$B$28,2,FALSE),"")</f>
        <v/>
      </c>
      <c r="V49" s="132">
        <f>IFERROR(VLOOKUP(INDIRECT($B$1&amp;"!"&amp;ADDRESS(ROW(),COLUMN(),4)),CONFIG!$A$15:$B$28,2,FALSE),"")</f>
        <v/>
      </c>
      <c r="W49" s="132">
        <f>IFERROR(VLOOKUP(INDIRECT($B$1&amp;"!"&amp;ADDRESS(ROW(),COLUMN(),4)),CONFIG!$A$15:$B$28,2,FALSE),"")</f>
        <v/>
      </c>
      <c r="X49" s="132">
        <f>IFERROR(VLOOKUP(INDIRECT($B$1&amp;"!"&amp;ADDRESS(ROW(),COLUMN(),4)),CONFIG!$A$15:$B$28,2,FALSE),"")</f>
        <v/>
      </c>
      <c r="Y49" s="132">
        <f>IFERROR(VLOOKUP(INDIRECT($B$1&amp;"!"&amp;ADDRESS(ROW(),COLUMN(),4)),CONFIG!$A$15:$B$28,2,FALSE),"")</f>
        <v/>
      </c>
      <c r="Z49" s="132">
        <f>IFERROR(VLOOKUP(INDIRECT($B$1&amp;"!"&amp;ADDRESS(ROW(),COLUMN(),4)),CONFIG!$A$15:$B$28,2,FALSE),"")</f>
        <v/>
      </c>
      <c r="AA49" s="132">
        <f>IFERROR(VLOOKUP(INDIRECT($B$1&amp;"!"&amp;ADDRESS(ROW(),COLUMN(),4)),CONFIG!$A$15:$B$28,2,FALSE),"")</f>
        <v/>
      </c>
      <c r="AB49" s="132">
        <f>IFERROR(VLOOKUP(INDIRECT($B$1&amp;"!"&amp;ADDRESS(ROW(),COLUMN(),4)),CONFIG!$A$15:$B$28,2,FALSE),"")</f>
        <v/>
      </c>
      <c r="AC49" s="132">
        <f>IFERROR(VLOOKUP(INDIRECT($B$1&amp;"!"&amp;ADDRESS(ROW(),COLUMN(),4)),CONFIG!$A$15:$B$28,2,FALSE),"")</f>
        <v/>
      </c>
      <c r="AD49" s="132">
        <f>IFERROR(VLOOKUP(INDIRECT($B$1&amp;"!"&amp;ADDRESS(ROW(),COLUMN(),4)),CONFIG!$A$15:$B$28,2,FALSE),"")</f>
        <v/>
      </c>
      <c r="AE49" s="132">
        <f>IFERROR(VLOOKUP(INDIRECT($B$1&amp;"!"&amp;ADDRESS(ROW(),COLUMN(),4)),CONFIG!$A$15:$B$28,2,FALSE),"")</f>
        <v/>
      </c>
      <c r="AF49" s="132">
        <f>IFERROR(VLOOKUP(INDIRECT($B$1&amp;"!"&amp;ADDRESS(ROW(),COLUMN(),4)),CONFIG!$A$15:$B$28,2,FALSE),"")</f>
        <v/>
      </c>
      <c r="AG49" s="132">
        <f>IFERROR(VLOOKUP(INDIRECT($B$1&amp;"!"&amp;ADDRESS(ROW(),COLUMN(),4)),CONFIG!$A$15:$B$28,2,FALSE),"")</f>
        <v/>
      </c>
    </row>
    <row r="50">
      <c r="A50" s="131" t="inlineStr">
        <is>
          <t>Isabela Ribeiro</t>
        </is>
      </c>
      <c r="C50" s="132">
        <f>IFERROR(VLOOKUP(INDIRECT($B$1&amp;"!"&amp;ADDRESS(ROW(),COLUMN(),4)),CONFIG!$A$15:$B$28,2,FALSE),"")</f>
        <v/>
      </c>
      <c r="D50" s="132">
        <f>IFERROR(VLOOKUP(INDIRECT($B$1&amp;"!"&amp;ADDRESS(ROW(),COLUMN(),4)),CONFIG!$A$15:$B$28,2,FALSE),"")</f>
        <v/>
      </c>
      <c r="E50" s="132">
        <f>IFERROR(VLOOKUP(INDIRECT($B$1&amp;"!"&amp;ADDRESS(ROW(),COLUMN(),4)),CONFIG!$A$15:$B$28,2,FALSE),"")</f>
        <v/>
      </c>
      <c r="F50" s="132">
        <f>IFERROR(VLOOKUP(INDIRECT($B$1&amp;"!"&amp;ADDRESS(ROW(),COLUMN(),4)),CONFIG!$A$15:$B$28,2,FALSE),"")</f>
        <v/>
      </c>
      <c r="G50" s="132">
        <f>IFERROR(VLOOKUP(INDIRECT($B$1&amp;"!"&amp;ADDRESS(ROW(),COLUMN(),4)),CONFIG!$A$15:$B$28,2,FALSE),"")</f>
        <v/>
      </c>
      <c r="H50" s="132">
        <f>IFERROR(VLOOKUP(INDIRECT($B$1&amp;"!"&amp;ADDRESS(ROW(),COLUMN(),4)),CONFIG!$A$15:$B$28,2,FALSE),"")</f>
        <v/>
      </c>
      <c r="I50" s="132">
        <f>IFERROR(VLOOKUP(INDIRECT($B$1&amp;"!"&amp;ADDRESS(ROW(),COLUMN(),4)),CONFIG!$A$15:$B$28,2,FALSE),"")</f>
        <v/>
      </c>
      <c r="J50" s="132">
        <f>IFERROR(VLOOKUP(INDIRECT($B$1&amp;"!"&amp;ADDRESS(ROW(),COLUMN(),4)),CONFIG!$A$15:$B$28,2,FALSE),"")</f>
        <v/>
      </c>
      <c r="K50" s="132">
        <f>IFERROR(VLOOKUP(INDIRECT($B$1&amp;"!"&amp;ADDRESS(ROW(),COLUMN(),4)),CONFIG!$A$15:$B$28,2,FALSE),"")</f>
        <v/>
      </c>
      <c r="L50" s="132">
        <f>IFERROR(VLOOKUP(INDIRECT($B$1&amp;"!"&amp;ADDRESS(ROW(),COLUMN(),4)),CONFIG!$A$15:$B$28,2,FALSE),"")</f>
        <v/>
      </c>
      <c r="M50" s="132">
        <f>IFERROR(VLOOKUP(INDIRECT($B$1&amp;"!"&amp;ADDRESS(ROW(),COLUMN(),4)),CONFIG!$A$15:$B$28,2,FALSE),"")</f>
        <v/>
      </c>
      <c r="N50" s="132">
        <f>IFERROR(VLOOKUP(INDIRECT($B$1&amp;"!"&amp;ADDRESS(ROW(),COLUMN(),4)),CONFIG!$A$15:$B$28,2,FALSE),"")</f>
        <v/>
      </c>
      <c r="O50" s="132">
        <f>IFERROR(VLOOKUP(INDIRECT($B$1&amp;"!"&amp;ADDRESS(ROW(),COLUMN(),4)),CONFIG!$A$15:$B$28,2,FALSE),"")</f>
        <v/>
      </c>
      <c r="P50" s="132">
        <f>IFERROR(VLOOKUP(INDIRECT($B$1&amp;"!"&amp;ADDRESS(ROW(),COLUMN(),4)),CONFIG!$A$15:$B$28,2,FALSE),"")</f>
        <v/>
      </c>
      <c r="Q50" s="132">
        <f>IFERROR(VLOOKUP(INDIRECT($B$1&amp;"!"&amp;ADDRESS(ROW(),COLUMN(),4)),CONFIG!$A$15:$B$28,2,FALSE),"")</f>
        <v/>
      </c>
      <c r="R50" s="132">
        <f>IFERROR(VLOOKUP(INDIRECT($B$1&amp;"!"&amp;ADDRESS(ROW(),COLUMN(),4)),CONFIG!$A$15:$B$28,2,FALSE),"")</f>
        <v/>
      </c>
      <c r="S50" s="132">
        <f>IFERROR(VLOOKUP(INDIRECT($B$1&amp;"!"&amp;ADDRESS(ROW(),COLUMN(),4)),CONFIG!$A$15:$B$28,2,FALSE),"")</f>
        <v/>
      </c>
      <c r="T50" s="132">
        <f>IFERROR(VLOOKUP(INDIRECT($B$1&amp;"!"&amp;ADDRESS(ROW(),COLUMN(),4)),CONFIG!$A$15:$B$28,2,FALSE),"")</f>
        <v/>
      </c>
      <c r="U50" s="132">
        <f>IFERROR(VLOOKUP(INDIRECT($B$1&amp;"!"&amp;ADDRESS(ROW(),COLUMN(),4)),CONFIG!$A$15:$B$28,2,FALSE),"")</f>
        <v/>
      </c>
      <c r="V50" s="132">
        <f>IFERROR(VLOOKUP(INDIRECT($B$1&amp;"!"&amp;ADDRESS(ROW(),COLUMN(),4)),CONFIG!$A$15:$B$28,2,FALSE),"")</f>
        <v/>
      </c>
      <c r="W50" s="132">
        <f>IFERROR(VLOOKUP(INDIRECT($B$1&amp;"!"&amp;ADDRESS(ROW(),COLUMN(),4)),CONFIG!$A$15:$B$28,2,FALSE),"")</f>
        <v/>
      </c>
      <c r="X50" s="132">
        <f>IFERROR(VLOOKUP(INDIRECT($B$1&amp;"!"&amp;ADDRESS(ROW(),COLUMN(),4)),CONFIG!$A$15:$B$28,2,FALSE),"")</f>
        <v/>
      </c>
      <c r="Y50" s="132">
        <f>IFERROR(VLOOKUP(INDIRECT($B$1&amp;"!"&amp;ADDRESS(ROW(),COLUMN(),4)),CONFIG!$A$15:$B$28,2,FALSE),"")</f>
        <v/>
      </c>
      <c r="Z50" s="132">
        <f>IFERROR(VLOOKUP(INDIRECT($B$1&amp;"!"&amp;ADDRESS(ROW(),COLUMN(),4)),CONFIG!$A$15:$B$28,2,FALSE),"")</f>
        <v/>
      </c>
      <c r="AA50" s="132">
        <f>IFERROR(VLOOKUP(INDIRECT($B$1&amp;"!"&amp;ADDRESS(ROW(),COLUMN(),4)),CONFIG!$A$15:$B$28,2,FALSE),"")</f>
        <v/>
      </c>
      <c r="AB50" s="132">
        <f>IFERROR(VLOOKUP(INDIRECT($B$1&amp;"!"&amp;ADDRESS(ROW(),COLUMN(),4)),CONFIG!$A$15:$B$28,2,FALSE),"")</f>
        <v/>
      </c>
      <c r="AC50" s="132">
        <f>IFERROR(VLOOKUP(INDIRECT($B$1&amp;"!"&amp;ADDRESS(ROW(),COLUMN(),4)),CONFIG!$A$15:$B$28,2,FALSE),"")</f>
        <v/>
      </c>
      <c r="AD50" s="132">
        <f>IFERROR(VLOOKUP(INDIRECT($B$1&amp;"!"&amp;ADDRESS(ROW(),COLUMN(),4)),CONFIG!$A$15:$B$28,2,FALSE),"")</f>
        <v/>
      </c>
      <c r="AE50" s="132">
        <f>IFERROR(VLOOKUP(INDIRECT($B$1&amp;"!"&amp;ADDRESS(ROW(),COLUMN(),4)),CONFIG!$A$15:$B$28,2,FALSE),"")</f>
        <v/>
      </c>
      <c r="AF50" s="132">
        <f>IFERROR(VLOOKUP(INDIRECT($B$1&amp;"!"&amp;ADDRESS(ROW(),COLUMN(),4)),CONFIG!$A$15:$B$28,2,FALSE),"")</f>
        <v/>
      </c>
      <c r="AG50" s="132">
        <f>IFERROR(VLOOKUP(INDIRECT($B$1&amp;"!"&amp;ADDRESS(ROW(),COLUMN(),4)),CONFIG!$A$15:$B$28,2,FALSE),"")</f>
        <v/>
      </c>
    </row>
    <row r="51">
      <c r="A51" s="131" t="inlineStr">
        <is>
          <t>Jaqueline</t>
        </is>
      </c>
      <c r="C51" s="132">
        <f>IFERROR(VLOOKUP(INDIRECT($B$1&amp;"!"&amp;ADDRESS(ROW(),COLUMN(),4)),CONFIG!$A$15:$B$28,2,FALSE),"")</f>
        <v/>
      </c>
      <c r="D51" s="132">
        <f>IFERROR(VLOOKUP(INDIRECT($B$1&amp;"!"&amp;ADDRESS(ROW(),COLUMN(),4)),CONFIG!$A$15:$B$28,2,FALSE),"")</f>
        <v/>
      </c>
      <c r="E51" s="132">
        <f>IFERROR(VLOOKUP(INDIRECT($B$1&amp;"!"&amp;ADDRESS(ROW(),COLUMN(),4)),CONFIG!$A$15:$B$28,2,FALSE),"")</f>
        <v/>
      </c>
      <c r="F51" s="132">
        <f>IFERROR(VLOOKUP(INDIRECT($B$1&amp;"!"&amp;ADDRESS(ROW(),COLUMN(),4)),CONFIG!$A$15:$B$28,2,FALSE),"")</f>
        <v/>
      </c>
      <c r="G51" s="132">
        <f>IFERROR(VLOOKUP(INDIRECT($B$1&amp;"!"&amp;ADDRESS(ROW(),COLUMN(),4)),CONFIG!$A$15:$B$28,2,FALSE),"")</f>
        <v/>
      </c>
      <c r="H51" s="132">
        <f>IFERROR(VLOOKUP(INDIRECT($B$1&amp;"!"&amp;ADDRESS(ROW(),COLUMN(),4)),CONFIG!$A$15:$B$28,2,FALSE),"")</f>
        <v/>
      </c>
      <c r="I51" s="132">
        <f>IFERROR(VLOOKUP(INDIRECT($B$1&amp;"!"&amp;ADDRESS(ROW(),COLUMN(),4)),CONFIG!$A$15:$B$28,2,FALSE),"")</f>
        <v/>
      </c>
      <c r="J51" s="132">
        <f>IFERROR(VLOOKUP(INDIRECT($B$1&amp;"!"&amp;ADDRESS(ROW(),COLUMN(),4)),CONFIG!$A$15:$B$28,2,FALSE),"")</f>
        <v/>
      </c>
      <c r="K51" s="132">
        <f>IFERROR(VLOOKUP(INDIRECT($B$1&amp;"!"&amp;ADDRESS(ROW(),COLUMN(),4)),CONFIG!$A$15:$B$28,2,FALSE),"")</f>
        <v/>
      </c>
      <c r="L51" s="132">
        <f>IFERROR(VLOOKUP(INDIRECT($B$1&amp;"!"&amp;ADDRESS(ROW(),COLUMN(),4)),CONFIG!$A$15:$B$28,2,FALSE),"")</f>
        <v/>
      </c>
      <c r="M51" s="132">
        <f>IFERROR(VLOOKUP(INDIRECT($B$1&amp;"!"&amp;ADDRESS(ROW(),COLUMN(),4)),CONFIG!$A$15:$B$28,2,FALSE),"")</f>
        <v/>
      </c>
      <c r="N51" s="132">
        <f>IFERROR(VLOOKUP(INDIRECT($B$1&amp;"!"&amp;ADDRESS(ROW(),COLUMN(),4)),CONFIG!$A$15:$B$28,2,FALSE),"")</f>
        <v/>
      </c>
      <c r="O51" s="132">
        <f>IFERROR(VLOOKUP(INDIRECT($B$1&amp;"!"&amp;ADDRESS(ROW(),COLUMN(),4)),CONFIG!$A$15:$B$28,2,FALSE),"")</f>
        <v/>
      </c>
      <c r="P51" s="132">
        <f>IFERROR(VLOOKUP(INDIRECT($B$1&amp;"!"&amp;ADDRESS(ROW(),COLUMN(),4)),CONFIG!$A$15:$B$28,2,FALSE),"")</f>
        <v/>
      </c>
      <c r="Q51" s="132">
        <f>IFERROR(VLOOKUP(INDIRECT($B$1&amp;"!"&amp;ADDRESS(ROW(),COLUMN(),4)),CONFIG!$A$15:$B$28,2,FALSE),"")</f>
        <v/>
      </c>
      <c r="R51" s="132">
        <f>IFERROR(VLOOKUP(INDIRECT($B$1&amp;"!"&amp;ADDRESS(ROW(),COLUMN(),4)),CONFIG!$A$15:$B$28,2,FALSE),"")</f>
        <v/>
      </c>
      <c r="S51" s="132">
        <f>IFERROR(VLOOKUP(INDIRECT($B$1&amp;"!"&amp;ADDRESS(ROW(),COLUMN(),4)),CONFIG!$A$15:$B$28,2,FALSE),"")</f>
        <v/>
      </c>
      <c r="T51" s="132">
        <f>IFERROR(VLOOKUP(INDIRECT($B$1&amp;"!"&amp;ADDRESS(ROW(),COLUMN(),4)),CONFIG!$A$15:$B$28,2,FALSE),"")</f>
        <v/>
      </c>
      <c r="U51" s="132">
        <f>IFERROR(VLOOKUP(INDIRECT($B$1&amp;"!"&amp;ADDRESS(ROW(),COLUMN(),4)),CONFIG!$A$15:$B$28,2,FALSE),"")</f>
        <v/>
      </c>
      <c r="V51" s="132">
        <f>IFERROR(VLOOKUP(INDIRECT($B$1&amp;"!"&amp;ADDRESS(ROW(),COLUMN(),4)),CONFIG!$A$15:$B$28,2,FALSE),"")</f>
        <v/>
      </c>
      <c r="W51" s="132">
        <f>IFERROR(VLOOKUP(INDIRECT($B$1&amp;"!"&amp;ADDRESS(ROW(),COLUMN(),4)),CONFIG!$A$15:$B$28,2,FALSE),"")</f>
        <v/>
      </c>
      <c r="X51" s="132">
        <f>IFERROR(VLOOKUP(INDIRECT($B$1&amp;"!"&amp;ADDRESS(ROW(),COLUMN(),4)),CONFIG!$A$15:$B$28,2,FALSE),"")</f>
        <v/>
      </c>
      <c r="Y51" s="132">
        <f>IFERROR(VLOOKUP(INDIRECT($B$1&amp;"!"&amp;ADDRESS(ROW(),COLUMN(),4)),CONFIG!$A$15:$B$28,2,FALSE),"")</f>
        <v/>
      </c>
      <c r="Z51" s="132">
        <f>IFERROR(VLOOKUP(INDIRECT($B$1&amp;"!"&amp;ADDRESS(ROW(),COLUMN(),4)),CONFIG!$A$15:$B$28,2,FALSE),"")</f>
        <v/>
      </c>
      <c r="AA51" s="132">
        <f>IFERROR(VLOOKUP(INDIRECT($B$1&amp;"!"&amp;ADDRESS(ROW(),COLUMN(),4)),CONFIG!$A$15:$B$28,2,FALSE),"")</f>
        <v/>
      </c>
      <c r="AB51" s="132">
        <f>IFERROR(VLOOKUP(INDIRECT($B$1&amp;"!"&amp;ADDRESS(ROW(),COLUMN(),4)),CONFIG!$A$15:$B$28,2,FALSE),"")</f>
        <v/>
      </c>
      <c r="AC51" s="132">
        <f>IFERROR(VLOOKUP(INDIRECT($B$1&amp;"!"&amp;ADDRESS(ROW(),COLUMN(),4)),CONFIG!$A$15:$B$28,2,FALSE),"")</f>
        <v/>
      </c>
      <c r="AD51" s="132">
        <f>IFERROR(VLOOKUP(INDIRECT($B$1&amp;"!"&amp;ADDRESS(ROW(),COLUMN(),4)),CONFIG!$A$15:$B$28,2,FALSE),"")</f>
        <v/>
      </c>
      <c r="AE51" s="132">
        <f>IFERROR(VLOOKUP(INDIRECT($B$1&amp;"!"&amp;ADDRESS(ROW(),COLUMN(),4)),CONFIG!$A$15:$B$28,2,FALSE),"")</f>
        <v/>
      </c>
      <c r="AF51" s="132">
        <f>IFERROR(VLOOKUP(INDIRECT($B$1&amp;"!"&amp;ADDRESS(ROW(),COLUMN(),4)),CONFIG!$A$15:$B$28,2,FALSE),"")</f>
        <v/>
      </c>
      <c r="AG51" s="132">
        <f>IFERROR(VLOOKUP(INDIRECT($B$1&amp;"!"&amp;ADDRESS(ROW(),COLUMN(),4)),CONFIG!$A$15:$B$28,2,FALSE),"")</f>
        <v/>
      </c>
    </row>
    <row r="52">
      <c r="A52" s="131" t="inlineStr">
        <is>
          <t>Joaquim</t>
        </is>
      </c>
      <c r="C52" s="132">
        <f>IFERROR(VLOOKUP(INDIRECT($B$1&amp;"!"&amp;ADDRESS(ROW(),COLUMN(),4)),CONFIG!$A$15:$B$28,2,FALSE),"")</f>
        <v/>
      </c>
      <c r="D52" s="132">
        <f>IFERROR(VLOOKUP(INDIRECT($B$1&amp;"!"&amp;ADDRESS(ROW(),COLUMN(),4)),CONFIG!$A$15:$B$28,2,FALSE),"")</f>
        <v/>
      </c>
      <c r="E52" s="132">
        <f>IFERROR(VLOOKUP(INDIRECT($B$1&amp;"!"&amp;ADDRESS(ROW(),COLUMN(),4)),CONFIG!$A$15:$B$28,2,FALSE),"")</f>
        <v/>
      </c>
      <c r="F52" s="132">
        <f>IFERROR(VLOOKUP(INDIRECT($B$1&amp;"!"&amp;ADDRESS(ROW(),COLUMN(),4)),CONFIG!$A$15:$B$28,2,FALSE),"")</f>
        <v/>
      </c>
      <c r="G52" s="132">
        <f>IFERROR(VLOOKUP(INDIRECT($B$1&amp;"!"&amp;ADDRESS(ROW(),COLUMN(),4)),CONFIG!$A$15:$B$28,2,FALSE),"")</f>
        <v/>
      </c>
      <c r="H52" s="132">
        <f>IFERROR(VLOOKUP(INDIRECT($B$1&amp;"!"&amp;ADDRESS(ROW(),COLUMN(),4)),CONFIG!$A$15:$B$28,2,FALSE),"")</f>
        <v/>
      </c>
      <c r="I52" s="132">
        <f>IFERROR(VLOOKUP(INDIRECT($B$1&amp;"!"&amp;ADDRESS(ROW(),COLUMN(),4)),CONFIG!$A$15:$B$28,2,FALSE),"")</f>
        <v/>
      </c>
      <c r="J52" s="132">
        <f>IFERROR(VLOOKUP(INDIRECT($B$1&amp;"!"&amp;ADDRESS(ROW(),COLUMN(),4)),CONFIG!$A$15:$B$28,2,FALSE),"")</f>
        <v/>
      </c>
      <c r="K52" s="132">
        <f>IFERROR(VLOOKUP(INDIRECT($B$1&amp;"!"&amp;ADDRESS(ROW(),COLUMN(),4)),CONFIG!$A$15:$B$28,2,FALSE),"")</f>
        <v/>
      </c>
      <c r="L52" s="132">
        <f>IFERROR(VLOOKUP(INDIRECT($B$1&amp;"!"&amp;ADDRESS(ROW(),COLUMN(),4)),CONFIG!$A$15:$B$28,2,FALSE),"")</f>
        <v/>
      </c>
      <c r="M52" s="132">
        <f>IFERROR(VLOOKUP(INDIRECT($B$1&amp;"!"&amp;ADDRESS(ROW(),COLUMN(),4)),CONFIG!$A$15:$B$28,2,FALSE),"")</f>
        <v/>
      </c>
      <c r="N52" s="132">
        <f>IFERROR(VLOOKUP(INDIRECT($B$1&amp;"!"&amp;ADDRESS(ROW(),COLUMN(),4)),CONFIG!$A$15:$B$28,2,FALSE),"")</f>
        <v/>
      </c>
      <c r="O52" s="132">
        <f>IFERROR(VLOOKUP(INDIRECT($B$1&amp;"!"&amp;ADDRESS(ROW(),COLUMN(),4)),CONFIG!$A$15:$B$28,2,FALSE),"")</f>
        <v/>
      </c>
      <c r="P52" s="132">
        <f>IFERROR(VLOOKUP(INDIRECT($B$1&amp;"!"&amp;ADDRESS(ROW(),COLUMN(),4)),CONFIG!$A$15:$B$28,2,FALSE),"")</f>
        <v/>
      </c>
      <c r="Q52" s="132">
        <f>IFERROR(VLOOKUP(INDIRECT($B$1&amp;"!"&amp;ADDRESS(ROW(),COLUMN(),4)),CONFIG!$A$15:$B$28,2,FALSE),"")</f>
        <v/>
      </c>
      <c r="R52" s="132">
        <f>IFERROR(VLOOKUP(INDIRECT($B$1&amp;"!"&amp;ADDRESS(ROW(),COLUMN(),4)),CONFIG!$A$15:$B$28,2,FALSE),"")</f>
        <v/>
      </c>
      <c r="S52" s="132">
        <f>IFERROR(VLOOKUP(INDIRECT($B$1&amp;"!"&amp;ADDRESS(ROW(),COLUMN(),4)),CONFIG!$A$15:$B$28,2,FALSE),"")</f>
        <v/>
      </c>
      <c r="T52" s="132">
        <f>IFERROR(VLOOKUP(INDIRECT($B$1&amp;"!"&amp;ADDRESS(ROW(),COLUMN(),4)),CONFIG!$A$15:$B$28,2,FALSE),"")</f>
        <v/>
      </c>
      <c r="U52" s="132">
        <f>IFERROR(VLOOKUP(INDIRECT($B$1&amp;"!"&amp;ADDRESS(ROW(),COLUMN(),4)),CONFIG!$A$15:$B$28,2,FALSE),"")</f>
        <v/>
      </c>
      <c r="V52" s="132">
        <f>IFERROR(VLOOKUP(INDIRECT($B$1&amp;"!"&amp;ADDRESS(ROW(),COLUMN(),4)),CONFIG!$A$15:$B$28,2,FALSE),"")</f>
        <v/>
      </c>
      <c r="W52" s="132">
        <f>IFERROR(VLOOKUP(INDIRECT($B$1&amp;"!"&amp;ADDRESS(ROW(),COLUMN(),4)),CONFIG!$A$15:$B$28,2,FALSE),"")</f>
        <v/>
      </c>
      <c r="X52" s="132">
        <f>IFERROR(VLOOKUP(INDIRECT($B$1&amp;"!"&amp;ADDRESS(ROW(),COLUMN(),4)),CONFIG!$A$15:$B$28,2,FALSE),"")</f>
        <v/>
      </c>
      <c r="Y52" s="132">
        <f>IFERROR(VLOOKUP(INDIRECT($B$1&amp;"!"&amp;ADDRESS(ROW(),COLUMN(),4)),CONFIG!$A$15:$B$28,2,FALSE),"")</f>
        <v/>
      </c>
      <c r="Z52" s="132">
        <f>IFERROR(VLOOKUP(INDIRECT($B$1&amp;"!"&amp;ADDRESS(ROW(),COLUMN(),4)),CONFIG!$A$15:$B$28,2,FALSE),"")</f>
        <v/>
      </c>
      <c r="AA52" s="132">
        <f>IFERROR(VLOOKUP(INDIRECT($B$1&amp;"!"&amp;ADDRESS(ROW(),COLUMN(),4)),CONFIG!$A$15:$B$28,2,FALSE),"")</f>
        <v/>
      </c>
      <c r="AB52" s="132">
        <f>IFERROR(VLOOKUP(INDIRECT($B$1&amp;"!"&amp;ADDRESS(ROW(),COLUMN(),4)),CONFIG!$A$15:$B$28,2,FALSE),"")</f>
        <v/>
      </c>
      <c r="AC52" s="132">
        <f>IFERROR(VLOOKUP(INDIRECT($B$1&amp;"!"&amp;ADDRESS(ROW(),COLUMN(),4)),CONFIG!$A$15:$B$28,2,FALSE),"")</f>
        <v/>
      </c>
      <c r="AD52" s="132">
        <f>IFERROR(VLOOKUP(INDIRECT($B$1&amp;"!"&amp;ADDRESS(ROW(),COLUMN(),4)),CONFIG!$A$15:$B$28,2,FALSE),"")</f>
        <v/>
      </c>
      <c r="AE52" s="132">
        <f>IFERROR(VLOOKUP(INDIRECT($B$1&amp;"!"&amp;ADDRESS(ROW(),COLUMN(),4)),CONFIG!$A$15:$B$28,2,FALSE),"")</f>
        <v/>
      </c>
      <c r="AF52" s="132">
        <f>IFERROR(VLOOKUP(INDIRECT($B$1&amp;"!"&amp;ADDRESS(ROW(),COLUMN(),4)),CONFIG!$A$15:$B$28,2,FALSE),"")</f>
        <v/>
      </c>
      <c r="AG52" s="132">
        <f>IFERROR(VLOOKUP(INDIRECT($B$1&amp;"!"&amp;ADDRESS(ROW(),COLUMN(),4)),CONFIG!$A$15:$B$28,2,FALSE),"")</f>
        <v/>
      </c>
    </row>
    <row r="53">
      <c r="A53" s="131" t="inlineStr">
        <is>
          <t>Julia Figueiredo</t>
        </is>
      </c>
      <c r="C53" s="132">
        <f>IFERROR(VLOOKUP(INDIRECT($B$1&amp;"!"&amp;ADDRESS(ROW(),COLUMN(),4)),CONFIG!$A$15:$B$28,2,FALSE),"")</f>
        <v/>
      </c>
      <c r="D53" s="132">
        <f>IFERROR(VLOOKUP(INDIRECT($B$1&amp;"!"&amp;ADDRESS(ROW(),COLUMN(),4)),CONFIG!$A$15:$B$28,2,FALSE),"")</f>
        <v/>
      </c>
      <c r="E53" s="132">
        <f>IFERROR(VLOOKUP(INDIRECT($B$1&amp;"!"&amp;ADDRESS(ROW(),COLUMN(),4)),CONFIG!$A$15:$B$28,2,FALSE),"")</f>
        <v/>
      </c>
      <c r="F53" s="132">
        <f>IFERROR(VLOOKUP(INDIRECT($B$1&amp;"!"&amp;ADDRESS(ROW(),COLUMN(),4)),CONFIG!$A$15:$B$28,2,FALSE),"")</f>
        <v/>
      </c>
      <c r="G53" s="132">
        <f>IFERROR(VLOOKUP(INDIRECT($B$1&amp;"!"&amp;ADDRESS(ROW(),COLUMN(),4)),CONFIG!$A$15:$B$28,2,FALSE),"")</f>
        <v/>
      </c>
      <c r="H53" s="132">
        <f>IFERROR(VLOOKUP(INDIRECT($B$1&amp;"!"&amp;ADDRESS(ROW(),COLUMN(),4)),CONFIG!$A$15:$B$28,2,FALSE),"")</f>
        <v/>
      </c>
      <c r="I53" s="132">
        <f>IFERROR(VLOOKUP(INDIRECT($B$1&amp;"!"&amp;ADDRESS(ROW(),COLUMN(),4)),CONFIG!$A$15:$B$28,2,FALSE),"")</f>
        <v/>
      </c>
      <c r="J53" s="132">
        <f>IFERROR(VLOOKUP(INDIRECT($B$1&amp;"!"&amp;ADDRESS(ROW(),COLUMN(),4)),CONFIG!$A$15:$B$28,2,FALSE),"")</f>
        <v/>
      </c>
      <c r="K53" s="132">
        <f>IFERROR(VLOOKUP(INDIRECT($B$1&amp;"!"&amp;ADDRESS(ROW(),COLUMN(),4)),CONFIG!$A$15:$B$28,2,FALSE),"")</f>
        <v/>
      </c>
      <c r="L53" s="132">
        <f>IFERROR(VLOOKUP(INDIRECT($B$1&amp;"!"&amp;ADDRESS(ROW(),COLUMN(),4)),CONFIG!$A$15:$B$28,2,FALSE),"")</f>
        <v/>
      </c>
      <c r="M53" s="132">
        <f>IFERROR(VLOOKUP(INDIRECT($B$1&amp;"!"&amp;ADDRESS(ROW(),COLUMN(),4)),CONFIG!$A$15:$B$28,2,FALSE),"")</f>
        <v/>
      </c>
      <c r="N53" s="132">
        <f>IFERROR(VLOOKUP(INDIRECT($B$1&amp;"!"&amp;ADDRESS(ROW(),COLUMN(),4)),CONFIG!$A$15:$B$28,2,FALSE),"")</f>
        <v/>
      </c>
      <c r="O53" s="132">
        <f>IFERROR(VLOOKUP(INDIRECT($B$1&amp;"!"&amp;ADDRESS(ROW(),COLUMN(),4)),CONFIG!$A$15:$B$28,2,FALSE),"")</f>
        <v/>
      </c>
      <c r="P53" s="132">
        <f>IFERROR(VLOOKUP(INDIRECT($B$1&amp;"!"&amp;ADDRESS(ROW(),COLUMN(),4)),CONFIG!$A$15:$B$28,2,FALSE),"")</f>
        <v/>
      </c>
      <c r="Q53" s="132">
        <f>IFERROR(VLOOKUP(INDIRECT($B$1&amp;"!"&amp;ADDRESS(ROW(),COLUMN(),4)),CONFIG!$A$15:$B$28,2,FALSE),"")</f>
        <v/>
      </c>
      <c r="R53" s="132">
        <f>IFERROR(VLOOKUP(INDIRECT($B$1&amp;"!"&amp;ADDRESS(ROW(),COLUMN(),4)),CONFIG!$A$15:$B$28,2,FALSE),"")</f>
        <v/>
      </c>
      <c r="S53" s="132">
        <f>IFERROR(VLOOKUP(INDIRECT($B$1&amp;"!"&amp;ADDRESS(ROW(),COLUMN(),4)),CONFIG!$A$15:$B$28,2,FALSE),"")</f>
        <v/>
      </c>
      <c r="T53" s="132">
        <f>IFERROR(VLOOKUP(INDIRECT($B$1&amp;"!"&amp;ADDRESS(ROW(),COLUMN(),4)),CONFIG!$A$15:$B$28,2,FALSE),"")</f>
        <v/>
      </c>
      <c r="U53" s="132">
        <f>IFERROR(VLOOKUP(INDIRECT($B$1&amp;"!"&amp;ADDRESS(ROW(),COLUMN(),4)),CONFIG!$A$15:$B$28,2,FALSE),"")</f>
        <v/>
      </c>
      <c r="V53" s="132">
        <f>IFERROR(VLOOKUP(INDIRECT($B$1&amp;"!"&amp;ADDRESS(ROW(),COLUMN(),4)),CONFIG!$A$15:$B$28,2,FALSE),"")</f>
        <v/>
      </c>
      <c r="W53" s="132">
        <f>IFERROR(VLOOKUP(INDIRECT($B$1&amp;"!"&amp;ADDRESS(ROW(),COLUMN(),4)),CONFIG!$A$15:$B$28,2,FALSE),"")</f>
        <v/>
      </c>
      <c r="X53" s="132">
        <f>IFERROR(VLOOKUP(INDIRECT($B$1&amp;"!"&amp;ADDRESS(ROW(),COLUMN(),4)),CONFIG!$A$15:$B$28,2,FALSE),"")</f>
        <v/>
      </c>
      <c r="Y53" s="132">
        <f>IFERROR(VLOOKUP(INDIRECT($B$1&amp;"!"&amp;ADDRESS(ROW(),COLUMN(),4)),CONFIG!$A$15:$B$28,2,FALSE),"")</f>
        <v/>
      </c>
      <c r="Z53" s="132">
        <f>IFERROR(VLOOKUP(INDIRECT($B$1&amp;"!"&amp;ADDRESS(ROW(),COLUMN(),4)),CONFIG!$A$15:$B$28,2,FALSE),"")</f>
        <v/>
      </c>
      <c r="AA53" s="132">
        <f>IFERROR(VLOOKUP(INDIRECT($B$1&amp;"!"&amp;ADDRESS(ROW(),COLUMN(),4)),CONFIG!$A$15:$B$28,2,FALSE),"")</f>
        <v/>
      </c>
      <c r="AB53" s="132">
        <f>IFERROR(VLOOKUP(INDIRECT($B$1&amp;"!"&amp;ADDRESS(ROW(),COLUMN(),4)),CONFIG!$A$15:$B$28,2,FALSE),"")</f>
        <v/>
      </c>
      <c r="AC53" s="132">
        <f>IFERROR(VLOOKUP(INDIRECT($B$1&amp;"!"&amp;ADDRESS(ROW(),COLUMN(),4)),CONFIG!$A$15:$B$28,2,FALSE),"")</f>
        <v/>
      </c>
      <c r="AD53" s="132">
        <f>IFERROR(VLOOKUP(INDIRECT($B$1&amp;"!"&amp;ADDRESS(ROW(),COLUMN(),4)),CONFIG!$A$15:$B$28,2,FALSE),"")</f>
        <v/>
      </c>
      <c r="AE53" s="132">
        <f>IFERROR(VLOOKUP(INDIRECT($B$1&amp;"!"&amp;ADDRESS(ROW(),COLUMN(),4)),CONFIG!$A$15:$B$28,2,FALSE),"")</f>
        <v/>
      </c>
      <c r="AF53" s="132">
        <f>IFERROR(VLOOKUP(INDIRECT($B$1&amp;"!"&amp;ADDRESS(ROW(),COLUMN(),4)),CONFIG!$A$15:$B$28,2,FALSE),"")</f>
        <v/>
      </c>
      <c r="AG53" s="132">
        <f>IFERROR(VLOOKUP(INDIRECT($B$1&amp;"!"&amp;ADDRESS(ROW(),COLUMN(),4)),CONFIG!$A$15:$B$28,2,FALSE),"")</f>
        <v/>
      </c>
    </row>
    <row r="54">
      <c r="A54" s="131" t="inlineStr">
        <is>
          <t>Ana Kozak</t>
        </is>
      </c>
      <c r="C54" s="132">
        <f>IFERROR(VLOOKUP(INDIRECT($B$1&amp;"!"&amp;ADDRESS(ROW(),COLUMN(),4)),CONFIG!$A$15:$B$28,2,FALSE),"")</f>
        <v/>
      </c>
      <c r="D54" s="132">
        <f>IFERROR(VLOOKUP(INDIRECT($B$1&amp;"!"&amp;ADDRESS(ROW(),COLUMN(),4)),CONFIG!$A$15:$B$28,2,FALSE),"")</f>
        <v/>
      </c>
      <c r="E54" s="132">
        <f>IFERROR(VLOOKUP(INDIRECT($B$1&amp;"!"&amp;ADDRESS(ROW(),COLUMN(),4)),CONFIG!$A$15:$B$28,2,FALSE),"")</f>
        <v/>
      </c>
      <c r="F54" s="132">
        <f>IFERROR(VLOOKUP(INDIRECT($B$1&amp;"!"&amp;ADDRESS(ROW(),COLUMN(),4)),CONFIG!$A$15:$B$28,2,FALSE),"")</f>
        <v/>
      </c>
      <c r="G54" s="132">
        <f>IFERROR(VLOOKUP(INDIRECT($B$1&amp;"!"&amp;ADDRESS(ROW(),COLUMN(),4)),CONFIG!$A$15:$B$28,2,FALSE),"")</f>
        <v/>
      </c>
      <c r="H54" s="132">
        <f>IFERROR(VLOOKUP(INDIRECT($B$1&amp;"!"&amp;ADDRESS(ROW(),COLUMN(),4)),CONFIG!$A$15:$B$28,2,FALSE),"")</f>
        <v/>
      </c>
      <c r="I54" s="132">
        <f>IFERROR(VLOOKUP(INDIRECT($B$1&amp;"!"&amp;ADDRESS(ROW(),COLUMN(),4)),CONFIG!$A$15:$B$28,2,FALSE),"")</f>
        <v/>
      </c>
      <c r="J54" s="132">
        <f>IFERROR(VLOOKUP(INDIRECT($B$1&amp;"!"&amp;ADDRESS(ROW(),COLUMN(),4)),CONFIG!$A$15:$B$28,2,FALSE),"")</f>
        <v/>
      </c>
      <c r="K54" s="132">
        <f>IFERROR(VLOOKUP(INDIRECT($B$1&amp;"!"&amp;ADDRESS(ROW(),COLUMN(),4)),CONFIG!$A$15:$B$28,2,FALSE),"")</f>
        <v/>
      </c>
      <c r="L54" s="132">
        <f>IFERROR(VLOOKUP(INDIRECT($B$1&amp;"!"&amp;ADDRESS(ROW(),COLUMN(),4)),CONFIG!$A$15:$B$28,2,FALSE),"")</f>
        <v/>
      </c>
      <c r="M54" s="132">
        <f>IFERROR(VLOOKUP(INDIRECT($B$1&amp;"!"&amp;ADDRESS(ROW(),COLUMN(),4)),CONFIG!$A$15:$B$28,2,FALSE),"")</f>
        <v/>
      </c>
      <c r="N54" s="132">
        <f>IFERROR(VLOOKUP(INDIRECT($B$1&amp;"!"&amp;ADDRESS(ROW(),COLUMN(),4)),CONFIG!$A$15:$B$28,2,FALSE),"")</f>
        <v/>
      </c>
      <c r="O54" s="132">
        <f>IFERROR(VLOOKUP(INDIRECT($B$1&amp;"!"&amp;ADDRESS(ROW(),COLUMN(),4)),CONFIG!$A$15:$B$28,2,FALSE),"")</f>
        <v/>
      </c>
      <c r="P54" s="132">
        <f>IFERROR(VLOOKUP(INDIRECT($B$1&amp;"!"&amp;ADDRESS(ROW(),COLUMN(),4)),CONFIG!$A$15:$B$28,2,FALSE),"")</f>
        <v/>
      </c>
      <c r="Q54" s="132">
        <f>IFERROR(VLOOKUP(INDIRECT($B$1&amp;"!"&amp;ADDRESS(ROW(),COLUMN(),4)),CONFIG!$A$15:$B$28,2,FALSE),"")</f>
        <v/>
      </c>
      <c r="R54" s="132">
        <f>IFERROR(VLOOKUP(INDIRECT($B$1&amp;"!"&amp;ADDRESS(ROW(),COLUMN(),4)),CONFIG!$A$15:$B$28,2,FALSE),"")</f>
        <v/>
      </c>
      <c r="S54" s="132">
        <f>IFERROR(VLOOKUP(INDIRECT($B$1&amp;"!"&amp;ADDRESS(ROW(),COLUMN(),4)),CONFIG!$A$15:$B$28,2,FALSE),"")</f>
        <v/>
      </c>
      <c r="T54" s="132">
        <f>IFERROR(VLOOKUP(INDIRECT($B$1&amp;"!"&amp;ADDRESS(ROW(),COLUMN(),4)),CONFIG!$A$15:$B$28,2,FALSE),"")</f>
        <v/>
      </c>
      <c r="U54" s="132">
        <f>IFERROR(VLOOKUP(INDIRECT($B$1&amp;"!"&amp;ADDRESS(ROW(),COLUMN(),4)),CONFIG!$A$15:$B$28,2,FALSE),"")</f>
        <v/>
      </c>
      <c r="V54" s="132">
        <f>IFERROR(VLOOKUP(INDIRECT($B$1&amp;"!"&amp;ADDRESS(ROW(),COLUMN(),4)),CONFIG!$A$15:$B$28,2,FALSE),"")</f>
        <v/>
      </c>
      <c r="W54" s="132">
        <f>IFERROR(VLOOKUP(INDIRECT($B$1&amp;"!"&amp;ADDRESS(ROW(),COLUMN(),4)),CONFIG!$A$15:$B$28,2,FALSE),"")</f>
        <v/>
      </c>
      <c r="X54" s="132">
        <f>IFERROR(VLOOKUP(INDIRECT($B$1&amp;"!"&amp;ADDRESS(ROW(),COLUMN(),4)),CONFIG!$A$15:$B$28,2,FALSE),"")</f>
        <v/>
      </c>
      <c r="Y54" s="132">
        <f>IFERROR(VLOOKUP(INDIRECT($B$1&amp;"!"&amp;ADDRESS(ROW(),COLUMN(),4)),CONFIG!$A$15:$B$28,2,FALSE),"")</f>
        <v/>
      </c>
      <c r="Z54" s="132">
        <f>IFERROR(VLOOKUP(INDIRECT($B$1&amp;"!"&amp;ADDRESS(ROW(),COLUMN(),4)),CONFIG!$A$15:$B$28,2,FALSE),"")</f>
        <v/>
      </c>
      <c r="AA54" s="132">
        <f>IFERROR(VLOOKUP(INDIRECT($B$1&amp;"!"&amp;ADDRESS(ROW(),COLUMN(),4)),CONFIG!$A$15:$B$28,2,FALSE),"")</f>
        <v/>
      </c>
      <c r="AB54" s="132">
        <f>IFERROR(VLOOKUP(INDIRECT($B$1&amp;"!"&amp;ADDRESS(ROW(),COLUMN(),4)),CONFIG!$A$15:$B$28,2,FALSE),"")</f>
        <v/>
      </c>
      <c r="AC54" s="132">
        <f>IFERROR(VLOOKUP(INDIRECT($B$1&amp;"!"&amp;ADDRESS(ROW(),COLUMN(),4)),CONFIG!$A$15:$B$28,2,FALSE),"")</f>
        <v/>
      </c>
      <c r="AD54" s="132">
        <f>IFERROR(VLOOKUP(INDIRECT($B$1&amp;"!"&amp;ADDRESS(ROW(),COLUMN(),4)),CONFIG!$A$15:$B$28,2,FALSE),"")</f>
        <v/>
      </c>
      <c r="AE54" s="132">
        <f>IFERROR(VLOOKUP(INDIRECT($B$1&amp;"!"&amp;ADDRESS(ROW(),COLUMN(),4)),CONFIG!$A$15:$B$28,2,FALSE),"")</f>
        <v/>
      </c>
      <c r="AF54" s="132">
        <f>IFERROR(VLOOKUP(INDIRECT($B$1&amp;"!"&amp;ADDRESS(ROW(),COLUMN(),4)),CONFIG!$A$15:$B$28,2,FALSE),"")</f>
        <v/>
      </c>
      <c r="AG54" s="132">
        <f>IFERROR(VLOOKUP(INDIRECT($B$1&amp;"!"&amp;ADDRESS(ROW(),COLUMN(),4)),CONFIG!$A$15:$B$28,2,FALSE),"")</f>
        <v/>
      </c>
    </row>
    <row r="55">
      <c r="A55" s="131" t="inlineStr">
        <is>
          <t>Laura Haydee</t>
        </is>
      </c>
      <c r="C55" s="132">
        <f>IFERROR(VLOOKUP(INDIRECT($B$1&amp;"!"&amp;ADDRESS(ROW(),COLUMN(),4)),CONFIG!$A$15:$B$28,2,FALSE),"")</f>
        <v/>
      </c>
      <c r="D55" s="132">
        <f>IFERROR(VLOOKUP(INDIRECT($B$1&amp;"!"&amp;ADDRESS(ROW(),COLUMN(),4)),CONFIG!$A$15:$B$28,2,FALSE),"")</f>
        <v/>
      </c>
      <c r="E55" s="132">
        <f>IFERROR(VLOOKUP(INDIRECT($B$1&amp;"!"&amp;ADDRESS(ROW(),COLUMN(),4)),CONFIG!$A$15:$B$28,2,FALSE),"")</f>
        <v/>
      </c>
      <c r="F55" s="132">
        <f>IFERROR(VLOOKUP(INDIRECT($B$1&amp;"!"&amp;ADDRESS(ROW(),COLUMN(),4)),CONFIG!$A$15:$B$28,2,FALSE),"")</f>
        <v/>
      </c>
      <c r="G55" s="132">
        <f>IFERROR(VLOOKUP(INDIRECT($B$1&amp;"!"&amp;ADDRESS(ROW(),COLUMN(),4)),CONFIG!$A$15:$B$28,2,FALSE),"")</f>
        <v/>
      </c>
      <c r="H55" s="132">
        <f>IFERROR(VLOOKUP(INDIRECT($B$1&amp;"!"&amp;ADDRESS(ROW(),COLUMN(),4)),CONFIG!$A$15:$B$28,2,FALSE),"")</f>
        <v/>
      </c>
      <c r="I55" s="132">
        <f>IFERROR(VLOOKUP(INDIRECT($B$1&amp;"!"&amp;ADDRESS(ROW(),COLUMN(),4)),CONFIG!$A$15:$B$28,2,FALSE),"")</f>
        <v/>
      </c>
      <c r="J55" s="132">
        <f>IFERROR(VLOOKUP(INDIRECT($B$1&amp;"!"&amp;ADDRESS(ROW(),COLUMN(),4)),CONFIG!$A$15:$B$28,2,FALSE),"")</f>
        <v/>
      </c>
      <c r="K55" s="132">
        <f>IFERROR(VLOOKUP(INDIRECT($B$1&amp;"!"&amp;ADDRESS(ROW(),COLUMN(),4)),CONFIG!$A$15:$B$28,2,FALSE),"")</f>
        <v/>
      </c>
      <c r="L55" s="132">
        <f>IFERROR(VLOOKUP(INDIRECT($B$1&amp;"!"&amp;ADDRESS(ROW(),COLUMN(),4)),CONFIG!$A$15:$B$28,2,FALSE),"")</f>
        <v/>
      </c>
      <c r="M55" s="132">
        <f>IFERROR(VLOOKUP(INDIRECT($B$1&amp;"!"&amp;ADDRESS(ROW(),COLUMN(),4)),CONFIG!$A$15:$B$28,2,FALSE),"")</f>
        <v/>
      </c>
      <c r="N55" s="132">
        <f>IFERROR(VLOOKUP(INDIRECT($B$1&amp;"!"&amp;ADDRESS(ROW(),COLUMN(),4)),CONFIG!$A$15:$B$28,2,FALSE),"")</f>
        <v/>
      </c>
      <c r="O55" s="132">
        <f>IFERROR(VLOOKUP(INDIRECT($B$1&amp;"!"&amp;ADDRESS(ROW(),COLUMN(),4)),CONFIG!$A$15:$B$28,2,FALSE),"")</f>
        <v/>
      </c>
      <c r="P55" s="132">
        <f>IFERROR(VLOOKUP(INDIRECT($B$1&amp;"!"&amp;ADDRESS(ROW(),COLUMN(),4)),CONFIG!$A$15:$B$28,2,FALSE),"")</f>
        <v/>
      </c>
      <c r="Q55" s="132">
        <f>IFERROR(VLOOKUP(INDIRECT($B$1&amp;"!"&amp;ADDRESS(ROW(),COLUMN(),4)),CONFIG!$A$15:$B$28,2,FALSE),"")</f>
        <v/>
      </c>
      <c r="R55" s="132">
        <f>IFERROR(VLOOKUP(INDIRECT($B$1&amp;"!"&amp;ADDRESS(ROW(),COLUMN(),4)),CONFIG!$A$15:$B$28,2,FALSE),"")</f>
        <v/>
      </c>
      <c r="S55" s="132">
        <f>IFERROR(VLOOKUP(INDIRECT($B$1&amp;"!"&amp;ADDRESS(ROW(),COLUMN(),4)),CONFIG!$A$15:$B$28,2,FALSE),"")</f>
        <v/>
      </c>
      <c r="T55" s="132">
        <f>IFERROR(VLOOKUP(INDIRECT($B$1&amp;"!"&amp;ADDRESS(ROW(),COLUMN(),4)),CONFIG!$A$15:$B$28,2,FALSE),"")</f>
        <v/>
      </c>
      <c r="U55" s="132">
        <f>IFERROR(VLOOKUP(INDIRECT($B$1&amp;"!"&amp;ADDRESS(ROW(),COLUMN(),4)),CONFIG!$A$15:$B$28,2,FALSE),"")</f>
        <v/>
      </c>
      <c r="V55" s="132">
        <f>IFERROR(VLOOKUP(INDIRECT($B$1&amp;"!"&amp;ADDRESS(ROW(),COLUMN(),4)),CONFIG!$A$15:$B$28,2,FALSE),"")</f>
        <v/>
      </c>
      <c r="W55" s="132">
        <f>IFERROR(VLOOKUP(INDIRECT($B$1&amp;"!"&amp;ADDRESS(ROW(),COLUMN(),4)),CONFIG!$A$15:$B$28,2,FALSE),"")</f>
        <v/>
      </c>
      <c r="X55" s="132">
        <f>IFERROR(VLOOKUP(INDIRECT($B$1&amp;"!"&amp;ADDRESS(ROW(),COLUMN(),4)),CONFIG!$A$15:$B$28,2,FALSE),"")</f>
        <v/>
      </c>
      <c r="Y55" s="132">
        <f>IFERROR(VLOOKUP(INDIRECT($B$1&amp;"!"&amp;ADDRESS(ROW(),COLUMN(),4)),CONFIG!$A$15:$B$28,2,FALSE),"")</f>
        <v/>
      </c>
      <c r="Z55" s="132">
        <f>IFERROR(VLOOKUP(INDIRECT($B$1&amp;"!"&amp;ADDRESS(ROW(),COLUMN(),4)),CONFIG!$A$15:$B$28,2,FALSE),"")</f>
        <v/>
      </c>
      <c r="AA55" s="132">
        <f>IFERROR(VLOOKUP(INDIRECT($B$1&amp;"!"&amp;ADDRESS(ROW(),COLUMN(),4)),CONFIG!$A$15:$B$28,2,FALSE),"")</f>
        <v/>
      </c>
      <c r="AB55" s="132">
        <f>IFERROR(VLOOKUP(INDIRECT($B$1&amp;"!"&amp;ADDRESS(ROW(),COLUMN(),4)),CONFIG!$A$15:$B$28,2,FALSE),"")</f>
        <v/>
      </c>
      <c r="AC55" s="132">
        <f>IFERROR(VLOOKUP(INDIRECT($B$1&amp;"!"&amp;ADDRESS(ROW(),COLUMN(),4)),CONFIG!$A$15:$B$28,2,FALSE),"")</f>
        <v/>
      </c>
      <c r="AD55" s="132">
        <f>IFERROR(VLOOKUP(INDIRECT($B$1&amp;"!"&amp;ADDRESS(ROW(),COLUMN(),4)),CONFIG!$A$15:$B$28,2,FALSE),"")</f>
        <v/>
      </c>
      <c r="AE55" s="132">
        <f>IFERROR(VLOOKUP(INDIRECT($B$1&amp;"!"&amp;ADDRESS(ROW(),COLUMN(),4)),CONFIG!$A$15:$B$28,2,FALSE),"")</f>
        <v/>
      </c>
      <c r="AF55" s="132">
        <f>IFERROR(VLOOKUP(INDIRECT($B$1&amp;"!"&amp;ADDRESS(ROW(),COLUMN(),4)),CONFIG!$A$15:$B$28,2,FALSE),"")</f>
        <v/>
      </c>
      <c r="AG55" s="132">
        <f>IFERROR(VLOOKUP(INDIRECT($B$1&amp;"!"&amp;ADDRESS(ROW(),COLUMN(),4)),CONFIG!$A$15:$B$28,2,FALSE),"")</f>
        <v/>
      </c>
    </row>
    <row r="56">
      <c r="A56" s="131" t="inlineStr">
        <is>
          <t>Letícia Café</t>
        </is>
      </c>
      <c r="C56" s="132">
        <f>IFERROR(VLOOKUP(INDIRECT($B$1&amp;"!"&amp;ADDRESS(ROW(),COLUMN(),4)),CONFIG!$A$15:$B$28,2,FALSE),"")</f>
        <v/>
      </c>
      <c r="D56" s="132">
        <f>IFERROR(VLOOKUP(INDIRECT($B$1&amp;"!"&amp;ADDRESS(ROW(),COLUMN(),4)),CONFIG!$A$15:$B$28,2,FALSE),"")</f>
        <v/>
      </c>
      <c r="E56" s="132">
        <f>IFERROR(VLOOKUP(INDIRECT($B$1&amp;"!"&amp;ADDRESS(ROW(),COLUMN(),4)),CONFIG!$A$15:$B$28,2,FALSE),"")</f>
        <v/>
      </c>
      <c r="F56" s="132">
        <f>IFERROR(VLOOKUP(INDIRECT($B$1&amp;"!"&amp;ADDRESS(ROW(),COLUMN(),4)),CONFIG!$A$15:$B$28,2,FALSE),"")</f>
        <v/>
      </c>
      <c r="G56" s="132">
        <f>IFERROR(VLOOKUP(INDIRECT($B$1&amp;"!"&amp;ADDRESS(ROW(),COLUMN(),4)),CONFIG!$A$15:$B$28,2,FALSE),"")</f>
        <v/>
      </c>
      <c r="H56" s="132">
        <f>IFERROR(VLOOKUP(INDIRECT($B$1&amp;"!"&amp;ADDRESS(ROW(),COLUMN(),4)),CONFIG!$A$15:$B$28,2,FALSE),"")</f>
        <v/>
      </c>
      <c r="I56" s="132">
        <f>IFERROR(VLOOKUP(INDIRECT($B$1&amp;"!"&amp;ADDRESS(ROW(),COLUMN(),4)),CONFIG!$A$15:$B$28,2,FALSE),"")</f>
        <v/>
      </c>
      <c r="J56" s="132">
        <f>IFERROR(VLOOKUP(INDIRECT($B$1&amp;"!"&amp;ADDRESS(ROW(),COLUMN(),4)),CONFIG!$A$15:$B$28,2,FALSE),"")</f>
        <v/>
      </c>
      <c r="K56" s="132">
        <f>IFERROR(VLOOKUP(INDIRECT($B$1&amp;"!"&amp;ADDRESS(ROW(),COLUMN(),4)),CONFIG!$A$15:$B$28,2,FALSE),"")</f>
        <v/>
      </c>
      <c r="L56" s="132">
        <f>IFERROR(VLOOKUP(INDIRECT($B$1&amp;"!"&amp;ADDRESS(ROW(),COLUMN(),4)),CONFIG!$A$15:$B$28,2,FALSE),"")</f>
        <v/>
      </c>
      <c r="M56" s="132">
        <f>IFERROR(VLOOKUP(INDIRECT($B$1&amp;"!"&amp;ADDRESS(ROW(),COLUMN(),4)),CONFIG!$A$15:$B$28,2,FALSE),"")</f>
        <v/>
      </c>
      <c r="N56" s="132">
        <f>IFERROR(VLOOKUP(INDIRECT($B$1&amp;"!"&amp;ADDRESS(ROW(),COLUMN(),4)),CONFIG!$A$15:$B$28,2,FALSE),"")</f>
        <v/>
      </c>
      <c r="O56" s="132">
        <f>IFERROR(VLOOKUP(INDIRECT($B$1&amp;"!"&amp;ADDRESS(ROW(),COLUMN(),4)),CONFIG!$A$15:$B$28,2,FALSE),"")</f>
        <v/>
      </c>
      <c r="P56" s="132">
        <f>IFERROR(VLOOKUP(INDIRECT($B$1&amp;"!"&amp;ADDRESS(ROW(),COLUMN(),4)),CONFIG!$A$15:$B$28,2,FALSE),"")</f>
        <v/>
      </c>
      <c r="Q56" s="132">
        <f>IFERROR(VLOOKUP(INDIRECT($B$1&amp;"!"&amp;ADDRESS(ROW(),COLUMN(),4)),CONFIG!$A$15:$B$28,2,FALSE),"")</f>
        <v/>
      </c>
      <c r="R56" s="132">
        <f>IFERROR(VLOOKUP(INDIRECT($B$1&amp;"!"&amp;ADDRESS(ROW(),COLUMN(),4)),CONFIG!$A$15:$B$28,2,FALSE),"")</f>
        <v/>
      </c>
      <c r="S56" s="132">
        <f>IFERROR(VLOOKUP(INDIRECT($B$1&amp;"!"&amp;ADDRESS(ROW(),COLUMN(),4)),CONFIG!$A$15:$B$28,2,FALSE),"")</f>
        <v/>
      </c>
      <c r="T56" s="132">
        <f>IFERROR(VLOOKUP(INDIRECT($B$1&amp;"!"&amp;ADDRESS(ROW(),COLUMN(),4)),CONFIG!$A$15:$B$28,2,FALSE),"")</f>
        <v/>
      </c>
      <c r="U56" s="132">
        <f>IFERROR(VLOOKUP(INDIRECT($B$1&amp;"!"&amp;ADDRESS(ROW(),COLUMN(),4)),CONFIG!$A$15:$B$28,2,FALSE),"")</f>
        <v/>
      </c>
      <c r="V56" s="132">
        <f>IFERROR(VLOOKUP(INDIRECT($B$1&amp;"!"&amp;ADDRESS(ROW(),COLUMN(),4)),CONFIG!$A$15:$B$28,2,FALSE),"")</f>
        <v/>
      </c>
      <c r="W56" s="132">
        <f>IFERROR(VLOOKUP(INDIRECT($B$1&amp;"!"&amp;ADDRESS(ROW(),COLUMN(),4)),CONFIG!$A$15:$B$28,2,FALSE),"")</f>
        <v/>
      </c>
      <c r="X56" s="132">
        <f>IFERROR(VLOOKUP(INDIRECT($B$1&amp;"!"&amp;ADDRESS(ROW(),COLUMN(),4)),CONFIG!$A$15:$B$28,2,FALSE),"")</f>
        <v/>
      </c>
      <c r="Y56" s="132">
        <f>IFERROR(VLOOKUP(INDIRECT($B$1&amp;"!"&amp;ADDRESS(ROW(),COLUMN(),4)),CONFIG!$A$15:$B$28,2,FALSE),"")</f>
        <v/>
      </c>
      <c r="Z56" s="132">
        <f>IFERROR(VLOOKUP(INDIRECT($B$1&amp;"!"&amp;ADDRESS(ROW(),COLUMN(),4)),CONFIG!$A$15:$B$28,2,FALSE),"")</f>
        <v/>
      </c>
      <c r="AA56" s="132">
        <f>IFERROR(VLOOKUP(INDIRECT($B$1&amp;"!"&amp;ADDRESS(ROW(),COLUMN(),4)),CONFIG!$A$15:$B$28,2,FALSE),"")</f>
        <v/>
      </c>
      <c r="AB56" s="132">
        <f>IFERROR(VLOOKUP(INDIRECT($B$1&amp;"!"&amp;ADDRESS(ROW(),COLUMN(),4)),CONFIG!$A$15:$B$28,2,FALSE),"")</f>
        <v/>
      </c>
      <c r="AC56" s="132">
        <f>IFERROR(VLOOKUP(INDIRECT($B$1&amp;"!"&amp;ADDRESS(ROW(),COLUMN(),4)),CONFIG!$A$15:$B$28,2,FALSE),"")</f>
        <v/>
      </c>
      <c r="AD56" s="132">
        <f>IFERROR(VLOOKUP(INDIRECT($B$1&amp;"!"&amp;ADDRESS(ROW(),COLUMN(),4)),CONFIG!$A$15:$B$28,2,FALSE),"")</f>
        <v/>
      </c>
      <c r="AE56" s="132">
        <f>IFERROR(VLOOKUP(INDIRECT($B$1&amp;"!"&amp;ADDRESS(ROW(),COLUMN(),4)),CONFIG!$A$15:$B$28,2,FALSE),"")</f>
        <v/>
      </c>
      <c r="AF56" s="132">
        <f>IFERROR(VLOOKUP(INDIRECT($B$1&amp;"!"&amp;ADDRESS(ROW(),COLUMN(),4)),CONFIG!$A$15:$B$28,2,FALSE),"")</f>
        <v/>
      </c>
      <c r="AG56" s="132">
        <f>IFERROR(VLOOKUP(INDIRECT($B$1&amp;"!"&amp;ADDRESS(ROW(),COLUMN(),4)),CONFIG!$A$15:$B$28,2,FALSE),"")</f>
        <v/>
      </c>
    </row>
    <row r="57">
      <c r="A57" s="131" t="inlineStr">
        <is>
          <t>Luciana Costa</t>
        </is>
      </c>
      <c r="C57" s="132">
        <f>IFERROR(VLOOKUP(INDIRECT($B$1&amp;"!"&amp;ADDRESS(ROW(),COLUMN(),4)),CONFIG!$A$15:$B$28,2,FALSE),"")</f>
        <v/>
      </c>
      <c r="D57" s="132">
        <f>IFERROR(VLOOKUP(INDIRECT($B$1&amp;"!"&amp;ADDRESS(ROW(),COLUMN(),4)),CONFIG!$A$15:$B$28,2,FALSE),"")</f>
        <v/>
      </c>
      <c r="E57" s="132">
        <f>IFERROR(VLOOKUP(INDIRECT($B$1&amp;"!"&amp;ADDRESS(ROW(),COLUMN(),4)),CONFIG!$A$15:$B$28,2,FALSE),"")</f>
        <v/>
      </c>
      <c r="F57" s="132">
        <f>IFERROR(VLOOKUP(INDIRECT($B$1&amp;"!"&amp;ADDRESS(ROW(),COLUMN(),4)),CONFIG!$A$15:$B$28,2,FALSE),"")</f>
        <v/>
      </c>
      <c r="G57" s="132">
        <f>IFERROR(VLOOKUP(INDIRECT($B$1&amp;"!"&amp;ADDRESS(ROW(),COLUMN(),4)),CONFIG!$A$15:$B$28,2,FALSE),"")</f>
        <v/>
      </c>
      <c r="H57" s="132">
        <f>IFERROR(VLOOKUP(INDIRECT($B$1&amp;"!"&amp;ADDRESS(ROW(),COLUMN(),4)),CONFIG!$A$15:$B$28,2,FALSE),"")</f>
        <v/>
      </c>
      <c r="I57" s="132">
        <f>IFERROR(VLOOKUP(INDIRECT($B$1&amp;"!"&amp;ADDRESS(ROW(),COLUMN(),4)),CONFIG!$A$15:$B$28,2,FALSE),"")</f>
        <v/>
      </c>
      <c r="J57" s="132">
        <f>IFERROR(VLOOKUP(INDIRECT($B$1&amp;"!"&amp;ADDRESS(ROW(),COLUMN(),4)),CONFIG!$A$15:$B$28,2,FALSE),"")</f>
        <v/>
      </c>
      <c r="K57" s="132">
        <f>IFERROR(VLOOKUP(INDIRECT($B$1&amp;"!"&amp;ADDRESS(ROW(),COLUMN(),4)),CONFIG!$A$15:$B$28,2,FALSE),"")</f>
        <v/>
      </c>
      <c r="L57" s="132">
        <f>IFERROR(VLOOKUP(INDIRECT($B$1&amp;"!"&amp;ADDRESS(ROW(),COLUMN(),4)),CONFIG!$A$15:$B$28,2,FALSE),"")</f>
        <v/>
      </c>
      <c r="M57" s="132">
        <f>IFERROR(VLOOKUP(INDIRECT($B$1&amp;"!"&amp;ADDRESS(ROW(),COLUMN(),4)),CONFIG!$A$15:$B$28,2,FALSE),"")</f>
        <v/>
      </c>
      <c r="N57" s="132">
        <f>IFERROR(VLOOKUP(INDIRECT($B$1&amp;"!"&amp;ADDRESS(ROW(),COLUMN(),4)),CONFIG!$A$15:$B$28,2,FALSE),"")</f>
        <v/>
      </c>
      <c r="O57" s="132">
        <f>IFERROR(VLOOKUP(INDIRECT($B$1&amp;"!"&amp;ADDRESS(ROW(),COLUMN(),4)),CONFIG!$A$15:$B$28,2,FALSE),"")</f>
        <v/>
      </c>
      <c r="P57" s="132">
        <f>IFERROR(VLOOKUP(INDIRECT($B$1&amp;"!"&amp;ADDRESS(ROW(),COLUMN(),4)),CONFIG!$A$15:$B$28,2,FALSE),"")</f>
        <v/>
      </c>
      <c r="Q57" s="132">
        <f>IFERROR(VLOOKUP(INDIRECT($B$1&amp;"!"&amp;ADDRESS(ROW(),COLUMN(),4)),CONFIG!$A$15:$B$28,2,FALSE),"")</f>
        <v/>
      </c>
      <c r="R57" s="132">
        <f>IFERROR(VLOOKUP(INDIRECT($B$1&amp;"!"&amp;ADDRESS(ROW(),COLUMN(),4)),CONFIG!$A$15:$B$28,2,FALSE),"")</f>
        <v/>
      </c>
      <c r="S57" s="132">
        <f>IFERROR(VLOOKUP(INDIRECT($B$1&amp;"!"&amp;ADDRESS(ROW(),COLUMN(),4)),CONFIG!$A$15:$B$28,2,FALSE),"")</f>
        <v/>
      </c>
      <c r="T57" s="132">
        <f>IFERROR(VLOOKUP(INDIRECT($B$1&amp;"!"&amp;ADDRESS(ROW(),COLUMN(),4)),CONFIG!$A$15:$B$28,2,FALSE),"")</f>
        <v/>
      </c>
      <c r="U57" s="132">
        <f>IFERROR(VLOOKUP(INDIRECT($B$1&amp;"!"&amp;ADDRESS(ROW(),COLUMN(),4)),CONFIG!$A$15:$B$28,2,FALSE),"")</f>
        <v/>
      </c>
      <c r="V57" s="132">
        <f>IFERROR(VLOOKUP(INDIRECT($B$1&amp;"!"&amp;ADDRESS(ROW(),COLUMN(),4)),CONFIG!$A$15:$B$28,2,FALSE),"")</f>
        <v/>
      </c>
      <c r="W57" s="132">
        <f>IFERROR(VLOOKUP(INDIRECT($B$1&amp;"!"&amp;ADDRESS(ROW(),COLUMN(),4)),CONFIG!$A$15:$B$28,2,FALSE),"")</f>
        <v/>
      </c>
      <c r="X57" s="132">
        <f>IFERROR(VLOOKUP(INDIRECT($B$1&amp;"!"&amp;ADDRESS(ROW(),COLUMN(),4)),CONFIG!$A$15:$B$28,2,FALSE),"")</f>
        <v/>
      </c>
      <c r="Y57" s="132">
        <f>IFERROR(VLOOKUP(INDIRECT($B$1&amp;"!"&amp;ADDRESS(ROW(),COLUMN(),4)),CONFIG!$A$15:$B$28,2,FALSE),"")</f>
        <v/>
      </c>
      <c r="Z57" s="132">
        <f>IFERROR(VLOOKUP(INDIRECT($B$1&amp;"!"&amp;ADDRESS(ROW(),COLUMN(),4)),CONFIG!$A$15:$B$28,2,FALSE),"")</f>
        <v/>
      </c>
      <c r="AA57" s="132">
        <f>IFERROR(VLOOKUP(INDIRECT($B$1&amp;"!"&amp;ADDRESS(ROW(),COLUMN(),4)),CONFIG!$A$15:$B$28,2,FALSE),"")</f>
        <v/>
      </c>
      <c r="AB57" s="132">
        <f>IFERROR(VLOOKUP(INDIRECT($B$1&amp;"!"&amp;ADDRESS(ROW(),COLUMN(),4)),CONFIG!$A$15:$B$28,2,FALSE),"")</f>
        <v/>
      </c>
      <c r="AC57" s="132">
        <f>IFERROR(VLOOKUP(INDIRECT($B$1&amp;"!"&amp;ADDRESS(ROW(),COLUMN(),4)),CONFIG!$A$15:$B$28,2,FALSE),"")</f>
        <v/>
      </c>
      <c r="AD57" s="132">
        <f>IFERROR(VLOOKUP(INDIRECT($B$1&amp;"!"&amp;ADDRESS(ROW(),COLUMN(),4)),CONFIG!$A$15:$B$28,2,FALSE),"")</f>
        <v/>
      </c>
      <c r="AE57" s="132">
        <f>IFERROR(VLOOKUP(INDIRECT($B$1&amp;"!"&amp;ADDRESS(ROW(),COLUMN(),4)),CONFIG!$A$15:$B$28,2,FALSE),"")</f>
        <v/>
      </c>
      <c r="AF57" s="132">
        <f>IFERROR(VLOOKUP(INDIRECT($B$1&amp;"!"&amp;ADDRESS(ROW(),COLUMN(),4)),CONFIG!$A$15:$B$28,2,FALSE),"")</f>
        <v/>
      </c>
      <c r="AG57" s="132">
        <f>IFERROR(VLOOKUP(INDIRECT($B$1&amp;"!"&amp;ADDRESS(ROW(),COLUMN(),4)),CONFIG!$A$15:$B$28,2,FALSE),"")</f>
        <v/>
      </c>
    </row>
    <row r="58">
      <c r="A58" s="131" t="inlineStr">
        <is>
          <t>Marcia</t>
        </is>
      </c>
      <c r="C58" s="132">
        <f>IFERROR(VLOOKUP(INDIRECT($B$1&amp;"!"&amp;ADDRESS(ROW(),COLUMN(),4)),CONFIG!$A$15:$B$28,2,FALSE),"")</f>
        <v/>
      </c>
      <c r="D58" s="132">
        <f>IFERROR(VLOOKUP(INDIRECT($B$1&amp;"!"&amp;ADDRESS(ROW(),COLUMN(),4)),CONFIG!$A$15:$B$28,2,FALSE),"")</f>
        <v/>
      </c>
      <c r="E58" s="132">
        <f>IFERROR(VLOOKUP(INDIRECT($B$1&amp;"!"&amp;ADDRESS(ROW(),COLUMN(),4)),CONFIG!$A$15:$B$28,2,FALSE),"")</f>
        <v/>
      </c>
      <c r="F58" s="132">
        <f>IFERROR(VLOOKUP(INDIRECT($B$1&amp;"!"&amp;ADDRESS(ROW(),COLUMN(),4)),CONFIG!$A$15:$B$28,2,FALSE),"")</f>
        <v/>
      </c>
      <c r="G58" s="132">
        <f>IFERROR(VLOOKUP(INDIRECT($B$1&amp;"!"&amp;ADDRESS(ROW(),COLUMN(),4)),CONFIG!$A$15:$B$28,2,FALSE),"")</f>
        <v/>
      </c>
      <c r="H58" s="132">
        <f>IFERROR(VLOOKUP(INDIRECT($B$1&amp;"!"&amp;ADDRESS(ROW(),COLUMN(),4)),CONFIG!$A$15:$B$28,2,FALSE),"")</f>
        <v/>
      </c>
      <c r="I58" s="132">
        <f>IFERROR(VLOOKUP(INDIRECT($B$1&amp;"!"&amp;ADDRESS(ROW(),COLUMN(),4)),CONFIG!$A$15:$B$28,2,FALSE),"")</f>
        <v/>
      </c>
      <c r="J58" s="132">
        <f>IFERROR(VLOOKUP(INDIRECT($B$1&amp;"!"&amp;ADDRESS(ROW(),COLUMN(),4)),CONFIG!$A$15:$B$28,2,FALSE),"")</f>
        <v/>
      </c>
      <c r="K58" s="132">
        <f>IFERROR(VLOOKUP(INDIRECT($B$1&amp;"!"&amp;ADDRESS(ROW(),COLUMN(),4)),CONFIG!$A$15:$B$28,2,FALSE),"")</f>
        <v/>
      </c>
      <c r="L58" s="132">
        <f>IFERROR(VLOOKUP(INDIRECT($B$1&amp;"!"&amp;ADDRESS(ROW(),COLUMN(),4)),CONFIG!$A$15:$B$28,2,FALSE),"")</f>
        <v/>
      </c>
      <c r="M58" s="132">
        <f>IFERROR(VLOOKUP(INDIRECT($B$1&amp;"!"&amp;ADDRESS(ROW(),COLUMN(),4)),CONFIG!$A$15:$B$28,2,FALSE),"")</f>
        <v/>
      </c>
      <c r="N58" s="132">
        <f>IFERROR(VLOOKUP(INDIRECT($B$1&amp;"!"&amp;ADDRESS(ROW(),COLUMN(),4)),CONFIG!$A$15:$B$28,2,FALSE),"")</f>
        <v/>
      </c>
      <c r="O58" s="132">
        <f>IFERROR(VLOOKUP(INDIRECT($B$1&amp;"!"&amp;ADDRESS(ROW(),COLUMN(),4)),CONFIG!$A$15:$B$28,2,FALSE),"")</f>
        <v/>
      </c>
      <c r="P58" s="132">
        <f>IFERROR(VLOOKUP(INDIRECT($B$1&amp;"!"&amp;ADDRESS(ROW(),COLUMN(),4)),CONFIG!$A$15:$B$28,2,FALSE),"")</f>
        <v/>
      </c>
      <c r="Q58" s="132">
        <f>IFERROR(VLOOKUP(INDIRECT($B$1&amp;"!"&amp;ADDRESS(ROW(),COLUMN(),4)),CONFIG!$A$15:$B$28,2,FALSE),"")</f>
        <v/>
      </c>
      <c r="R58" s="132">
        <f>IFERROR(VLOOKUP(INDIRECT($B$1&amp;"!"&amp;ADDRESS(ROW(),COLUMN(),4)),CONFIG!$A$15:$B$28,2,FALSE),"")</f>
        <v/>
      </c>
      <c r="S58" s="132">
        <f>IFERROR(VLOOKUP(INDIRECT($B$1&amp;"!"&amp;ADDRESS(ROW(),COLUMN(),4)),CONFIG!$A$15:$B$28,2,FALSE),"")</f>
        <v/>
      </c>
      <c r="T58" s="132">
        <f>IFERROR(VLOOKUP(INDIRECT($B$1&amp;"!"&amp;ADDRESS(ROW(),COLUMN(),4)),CONFIG!$A$15:$B$28,2,FALSE),"")</f>
        <v/>
      </c>
      <c r="U58" s="132">
        <f>IFERROR(VLOOKUP(INDIRECT($B$1&amp;"!"&amp;ADDRESS(ROW(),COLUMN(),4)),CONFIG!$A$15:$B$28,2,FALSE),"")</f>
        <v/>
      </c>
      <c r="V58" s="132">
        <f>IFERROR(VLOOKUP(INDIRECT($B$1&amp;"!"&amp;ADDRESS(ROW(),COLUMN(),4)),CONFIG!$A$15:$B$28,2,FALSE),"")</f>
        <v/>
      </c>
      <c r="W58" s="132">
        <f>IFERROR(VLOOKUP(INDIRECT($B$1&amp;"!"&amp;ADDRESS(ROW(),COLUMN(),4)),CONFIG!$A$15:$B$28,2,FALSE),"")</f>
        <v/>
      </c>
      <c r="X58" s="132">
        <f>IFERROR(VLOOKUP(INDIRECT($B$1&amp;"!"&amp;ADDRESS(ROW(),COLUMN(),4)),CONFIG!$A$15:$B$28,2,FALSE),"")</f>
        <v/>
      </c>
      <c r="Y58" s="132">
        <f>IFERROR(VLOOKUP(INDIRECT($B$1&amp;"!"&amp;ADDRESS(ROW(),COLUMN(),4)),CONFIG!$A$15:$B$28,2,FALSE),"")</f>
        <v/>
      </c>
      <c r="Z58" s="132">
        <f>IFERROR(VLOOKUP(INDIRECT($B$1&amp;"!"&amp;ADDRESS(ROW(),COLUMN(),4)),CONFIG!$A$15:$B$28,2,FALSE),"")</f>
        <v/>
      </c>
      <c r="AA58" s="132">
        <f>IFERROR(VLOOKUP(INDIRECT($B$1&amp;"!"&amp;ADDRESS(ROW(),COLUMN(),4)),CONFIG!$A$15:$B$28,2,FALSE),"")</f>
        <v/>
      </c>
      <c r="AB58" s="132">
        <f>IFERROR(VLOOKUP(INDIRECT($B$1&amp;"!"&amp;ADDRESS(ROW(),COLUMN(),4)),CONFIG!$A$15:$B$28,2,FALSE),"")</f>
        <v/>
      </c>
      <c r="AC58" s="132">
        <f>IFERROR(VLOOKUP(INDIRECT($B$1&amp;"!"&amp;ADDRESS(ROW(),COLUMN(),4)),CONFIG!$A$15:$B$28,2,FALSE),"")</f>
        <v/>
      </c>
      <c r="AD58" s="132">
        <f>IFERROR(VLOOKUP(INDIRECT($B$1&amp;"!"&amp;ADDRESS(ROW(),COLUMN(),4)),CONFIG!$A$15:$B$28,2,FALSE),"")</f>
        <v/>
      </c>
      <c r="AE58" s="132">
        <f>IFERROR(VLOOKUP(INDIRECT($B$1&amp;"!"&amp;ADDRESS(ROW(),COLUMN(),4)),CONFIG!$A$15:$B$28,2,FALSE),"")</f>
        <v/>
      </c>
      <c r="AF58" s="132">
        <f>IFERROR(VLOOKUP(INDIRECT($B$1&amp;"!"&amp;ADDRESS(ROW(),COLUMN(),4)),CONFIG!$A$15:$B$28,2,FALSE),"")</f>
        <v/>
      </c>
      <c r="AG58" s="132">
        <f>IFERROR(VLOOKUP(INDIRECT($B$1&amp;"!"&amp;ADDRESS(ROW(),COLUMN(),4)),CONFIG!$A$15:$B$28,2,FALSE),"")</f>
        <v/>
      </c>
    </row>
    <row r="59">
      <c r="A59" s="131" t="inlineStr">
        <is>
          <t>Mayara Wobido</t>
        </is>
      </c>
      <c r="C59" s="132">
        <f>IFERROR(VLOOKUP(INDIRECT($B$1&amp;"!"&amp;ADDRESS(ROW(),COLUMN(),4)),CONFIG!$A$15:$B$28,2,FALSE),"")</f>
        <v/>
      </c>
      <c r="D59" s="132">
        <f>IFERROR(VLOOKUP(INDIRECT($B$1&amp;"!"&amp;ADDRESS(ROW(),COLUMN(),4)),CONFIG!$A$15:$B$28,2,FALSE),"")</f>
        <v/>
      </c>
      <c r="E59" s="132">
        <f>IFERROR(VLOOKUP(INDIRECT($B$1&amp;"!"&amp;ADDRESS(ROW(),COLUMN(),4)),CONFIG!$A$15:$B$28,2,FALSE),"")</f>
        <v/>
      </c>
      <c r="F59" s="132">
        <f>IFERROR(VLOOKUP(INDIRECT($B$1&amp;"!"&amp;ADDRESS(ROW(),COLUMN(),4)),CONFIG!$A$15:$B$28,2,FALSE),"")</f>
        <v/>
      </c>
      <c r="G59" s="132">
        <f>IFERROR(VLOOKUP(INDIRECT($B$1&amp;"!"&amp;ADDRESS(ROW(),COLUMN(),4)),CONFIG!$A$15:$B$28,2,FALSE),"")</f>
        <v/>
      </c>
      <c r="H59" s="132">
        <f>IFERROR(VLOOKUP(INDIRECT($B$1&amp;"!"&amp;ADDRESS(ROW(),COLUMN(),4)),CONFIG!$A$15:$B$28,2,FALSE),"")</f>
        <v/>
      </c>
      <c r="I59" s="132">
        <f>IFERROR(VLOOKUP(INDIRECT($B$1&amp;"!"&amp;ADDRESS(ROW(),COLUMN(),4)),CONFIG!$A$15:$B$28,2,FALSE),"")</f>
        <v/>
      </c>
      <c r="J59" s="132">
        <f>IFERROR(VLOOKUP(INDIRECT($B$1&amp;"!"&amp;ADDRESS(ROW(),COLUMN(),4)),CONFIG!$A$15:$B$28,2,FALSE),"")</f>
        <v/>
      </c>
      <c r="K59" s="132">
        <f>IFERROR(VLOOKUP(INDIRECT($B$1&amp;"!"&amp;ADDRESS(ROW(),COLUMN(),4)),CONFIG!$A$15:$B$28,2,FALSE),"")</f>
        <v/>
      </c>
      <c r="L59" s="132">
        <f>IFERROR(VLOOKUP(INDIRECT($B$1&amp;"!"&amp;ADDRESS(ROW(),COLUMN(),4)),CONFIG!$A$15:$B$28,2,FALSE),"")</f>
        <v/>
      </c>
      <c r="M59" s="132">
        <f>IFERROR(VLOOKUP(INDIRECT($B$1&amp;"!"&amp;ADDRESS(ROW(),COLUMN(),4)),CONFIG!$A$15:$B$28,2,FALSE),"")</f>
        <v/>
      </c>
      <c r="N59" s="132">
        <f>IFERROR(VLOOKUP(INDIRECT($B$1&amp;"!"&amp;ADDRESS(ROW(),COLUMN(),4)),CONFIG!$A$15:$B$28,2,FALSE),"")</f>
        <v/>
      </c>
      <c r="O59" s="132">
        <f>IFERROR(VLOOKUP(INDIRECT($B$1&amp;"!"&amp;ADDRESS(ROW(),COLUMN(),4)),CONFIG!$A$15:$B$28,2,FALSE),"")</f>
        <v/>
      </c>
      <c r="P59" s="132">
        <f>IFERROR(VLOOKUP(INDIRECT($B$1&amp;"!"&amp;ADDRESS(ROW(),COLUMN(),4)),CONFIG!$A$15:$B$28,2,FALSE),"")</f>
        <v/>
      </c>
      <c r="Q59" s="132">
        <f>IFERROR(VLOOKUP(INDIRECT($B$1&amp;"!"&amp;ADDRESS(ROW(),COLUMN(),4)),CONFIG!$A$15:$B$28,2,FALSE),"")</f>
        <v/>
      </c>
      <c r="R59" s="132">
        <f>IFERROR(VLOOKUP(INDIRECT($B$1&amp;"!"&amp;ADDRESS(ROW(),COLUMN(),4)),CONFIG!$A$15:$B$28,2,FALSE),"")</f>
        <v/>
      </c>
      <c r="S59" s="132">
        <f>IFERROR(VLOOKUP(INDIRECT($B$1&amp;"!"&amp;ADDRESS(ROW(),COLUMN(),4)),CONFIG!$A$15:$B$28,2,FALSE),"")</f>
        <v/>
      </c>
      <c r="T59" s="132">
        <f>IFERROR(VLOOKUP(INDIRECT($B$1&amp;"!"&amp;ADDRESS(ROW(),COLUMN(),4)),CONFIG!$A$15:$B$28,2,FALSE),"")</f>
        <v/>
      </c>
      <c r="U59" s="132">
        <f>IFERROR(VLOOKUP(INDIRECT($B$1&amp;"!"&amp;ADDRESS(ROW(),COLUMN(),4)),CONFIG!$A$15:$B$28,2,FALSE),"")</f>
        <v/>
      </c>
      <c r="V59" s="132">
        <f>IFERROR(VLOOKUP(INDIRECT($B$1&amp;"!"&amp;ADDRESS(ROW(),COLUMN(),4)),CONFIG!$A$15:$B$28,2,FALSE),"")</f>
        <v/>
      </c>
      <c r="W59" s="132">
        <f>IFERROR(VLOOKUP(INDIRECT($B$1&amp;"!"&amp;ADDRESS(ROW(),COLUMN(),4)),CONFIG!$A$15:$B$28,2,FALSE),"")</f>
        <v/>
      </c>
      <c r="X59" s="132">
        <f>IFERROR(VLOOKUP(INDIRECT($B$1&amp;"!"&amp;ADDRESS(ROW(),COLUMN(),4)),CONFIG!$A$15:$B$28,2,FALSE),"")</f>
        <v/>
      </c>
      <c r="Y59" s="132">
        <f>IFERROR(VLOOKUP(INDIRECT($B$1&amp;"!"&amp;ADDRESS(ROW(),COLUMN(),4)),CONFIG!$A$15:$B$28,2,FALSE),"")</f>
        <v/>
      </c>
      <c r="Z59" s="132">
        <f>IFERROR(VLOOKUP(INDIRECT($B$1&amp;"!"&amp;ADDRESS(ROW(),COLUMN(),4)),CONFIG!$A$15:$B$28,2,FALSE),"")</f>
        <v/>
      </c>
      <c r="AA59" s="132">
        <f>IFERROR(VLOOKUP(INDIRECT($B$1&amp;"!"&amp;ADDRESS(ROW(),COLUMN(),4)),CONFIG!$A$15:$B$28,2,FALSE),"")</f>
        <v/>
      </c>
      <c r="AB59" s="132">
        <f>IFERROR(VLOOKUP(INDIRECT($B$1&amp;"!"&amp;ADDRESS(ROW(),COLUMN(),4)),CONFIG!$A$15:$B$28,2,FALSE),"")</f>
        <v/>
      </c>
      <c r="AC59" s="132">
        <f>IFERROR(VLOOKUP(INDIRECT($B$1&amp;"!"&amp;ADDRESS(ROW(),COLUMN(),4)),CONFIG!$A$15:$B$28,2,FALSE),"")</f>
        <v/>
      </c>
      <c r="AD59" s="132">
        <f>IFERROR(VLOOKUP(INDIRECT($B$1&amp;"!"&amp;ADDRESS(ROW(),COLUMN(),4)),CONFIG!$A$15:$B$28,2,FALSE),"")</f>
        <v/>
      </c>
      <c r="AE59" s="132">
        <f>IFERROR(VLOOKUP(INDIRECT($B$1&amp;"!"&amp;ADDRESS(ROW(),COLUMN(),4)),CONFIG!$A$15:$B$28,2,FALSE),"")</f>
        <v/>
      </c>
      <c r="AF59" s="132">
        <f>IFERROR(VLOOKUP(INDIRECT($B$1&amp;"!"&amp;ADDRESS(ROW(),COLUMN(),4)),CONFIG!$A$15:$B$28,2,FALSE),"")</f>
        <v/>
      </c>
      <c r="AG59" s="132">
        <f>IFERROR(VLOOKUP(INDIRECT($B$1&amp;"!"&amp;ADDRESS(ROW(),COLUMN(),4)),CONFIG!$A$15:$B$28,2,FALSE),"")</f>
        <v/>
      </c>
    </row>
    <row r="60">
      <c r="A60" s="131" t="inlineStr">
        <is>
          <t>Luciana Melara</t>
        </is>
      </c>
      <c r="C60" s="132">
        <f>IFERROR(VLOOKUP(INDIRECT($B$1&amp;"!"&amp;ADDRESS(ROW(),COLUMN(),4)),CONFIG!$A$15:$B$28,2,FALSE),"")</f>
        <v/>
      </c>
      <c r="D60" s="132">
        <f>IFERROR(VLOOKUP(INDIRECT($B$1&amp;"!"&amp;ADDRESS(ROW(),COLUMN(),4)),CONFIG!$A$15:$B$28,2,FALSE),"")</f>
        <v/>
      </c>
      <c r="E60" s="132">
        <f>IFERROR(VLOOKUP(INDIRECT($B$1&amp;"!"&amp;ADDRESS(ROW(),COLUMN(),4)),CONFIG!$A$15:$B$28,2,FALSE),"")</f>
        <v/>
      </c>
      <c r="F60" s="132">
        <f>IFERROR(VLOOKUP(INDIRECT($B$1&amp;"!"&amp;ADDRESS(ROW(),COLUMN(),4)),CONFIG!$A$15:$B$28,2,FALSE),"")</f>
        <v/>
      </c>
      <c r="G60" s="132">
        <f>IFERROR(VLOOKUP(INDIRECT($B$1&amp;"!"&amp;ADDRESS(ROW(),COLUMN(),4)),CONFIG!$A$15:$B$28,2,FALSE),"")</f>
        <v/>
      </c>
      <c r="H60" s="132">
        <f>IFERROR(VLOOKUP(INDIRECT($B$1&amp;"!"&amp;ADDRESS(ROW(),COLUMN(),4)),CONFIG!$A$15:$B$28,2,FALSE),"")</f>
        <v/>
      </c>
      <c r="I60" s="132">
        <f>IFERROR(VLOOKUP(INDIRECT($B$1&amp;"!"&amp;ADDRESS(ROW(),COLUMN(),4)),CONFIG!$A$15:$B$28,2,FALSE),"")</f>
        <v/>
      </c>
      <c r="J60" s="132">
        <f>IFERROR(VLOOKUP(INDIRECT($B$1&amp;"!"&amp;ADDRESS(ROW(),COLUMN(),4)),CONFIG!$A$15:$B$28,2,FALSE),"")</f>
        <v/>
      </c>
      <c r="K60" s="132">
        <f>IFERROR(VLOOKUP(INDIRECT($B$1&amp;"!"&amp;ADDRESS(ROW(),COLUMN(),4)),CONFIG!$A$15:$B$28,2,FALSE),"")</f>
        <v/>
      </c>
      <c r="L60" s="132">
        <f>IFERROR(VLOOKUP(INDIRECT($B$1&amp;"!"&amp;ADDRESS(ROW(),COLUMN(),4)),CONFIG!$A$15:$B$28,2,FALSE),"")</f>
        <v/>
      </c>
      <c r="M60" s="132">
        <f>IFERROR(VLOOKUP(INDIRECT($B$1&amp;"!"&amp;ADDRESS(ROW(),COLUMN(),4)),CONFIG!$A$15:$B$28,2,FALSE),"")</f>
        <v/>
      </c>
      <c r="N60" s="132">
        <f>IFERROR(VLOOKUP(INDIRECT($B$1&amp;"!"&amp;ADDRESS(ROW(),COLUMN(),4)),CONFIG!$A$15:$B$28,2,FALSE),"")</f>
        <v/>
      </c>
      <c r="O60" s="132">
        <f>IFERROR(VLOOKUP(INDIRECT($B$1&amp;"!"&amp;ADDRESS(ROW(),COLUMN(),4)),CONFIG!$A$15:$B$28,2,FALSE),"")</f>
        <v/>
      </c>
      <c r="P60" s="132">
        <f>IFERROR(VLOOKUP(INDIRECT($B$1&amp;"!"&amp;ADDRESS(ROW(),COLUMN(),4)),CONFIG!$A$15:$B$28,2,FALSE),"")</f>
        <v/>
      </c>
      <c r="Q60" s="132">
        <f>IFERROR(VLOOKUP(INDIRECT($B$1&amp;"!"&amp;ADDRESS(ROW(),COLUMN(),4)),CONFIG!$A$15:$B$28,2,FALSE),"")</f>
        <v/>
      </c>
      <c r="R60" s="132">
        <f>IFERROR(VLOOKUP(INDIRECT($B$1&amp;"!"&amp;ADDRESS(ROW(),COLUMN(),4)),CONFIG!$A$15:$B$28,2,FALSE),"")</f>
        <v/>
      </c>
      <c r="S60" s="132">
        <f>IFERROR(VLOOKUP(INDIRECT($B$1&amp;"!"&amp;ADDRESS(ROW(),COLUMN(),4)),CONFIG!$A$15:$B$28,2,FALSE),"")</f>
        <v/>
      </c>
      <c r="T60" s="132">
        <f>IFERROR(VLOOKUP(INDIRECT($B$1&amp;"!"&amp;ADDRESS(ROW(),COLUMN(),4)),CONFIG!$A$15:$B$28,2,FALSE),"")</f>
        <v/>
      </c>
      <c r="U60" s="132">
        <f>IFERROR(VLOOKUP(INDIRECT($B$1&amp;"!"&amp;ADDRESS(ROW(),COLUMN(),4)),CONFIG!$A$15:$B$28,2,FALSE),"")</f>
        <v/>
      </c>
      <c r="V60" s="132">
        <f>IFERROR(VLOOKUP(INDIRECT($B$1&amp;"!"&amp;ADDRESS(ROW(),COLUMN(),4)),CONFIG!$A$15:$B$28,2,FALSE),"")</f>
        <v/>
      </c>
      <c r="W60" s="132">
        <f>IFERROR(VLOOKUP(INDIRECT($B$1&amp;"!"&amp;ADDRESS(ROW(),COLUMN(),4)),CONFIG!$A$15:$B$28,2,FALSE),"")</f>
        <v/>
      </c>
      <c r="X60" s="132">
        <f>IFERROR(VLOOKUP(INDIRECT($B$1&amp;"!"&amp;ADDRESS(ROW(),COLUMN(),4)),CONFIG!$A$15:$B$28,2,FALSE),"")</f>
        <v/>
      </c>
      <c r="Y60" s="132">
        <f>IFERROR(VLOOKUP(INDIRECT($B$1&amp;"!"&amp;ADDRESS(ROW(),COLUMN(),4)),CONFIG!$A$15:$B$28,2,FALSE),"")</f>
        <v/>
      </c>
      <c r="Z60" s="132">
        <f>IFERROR(VLOOKUP(INDIRECT($B$1&amp;"!"&amp;ADDRESS(ROW(),COLUMN(),4)),CONFIG!$A$15:$B$28,2,FALSE),"")</f>
        <v/>
      </c>
      <c r="AA60" s="132">
        <f>IFERROR(VLOOKUP(INDIRECT($B$1&amp;"!"&amp;ADDRESS(ROW(),COLUMN(),4)),CONFIG!$A$15:$B$28,2,FALSE),"")</f>
        <v/>
      </c>
      <c r="AB60" s="132">
        <f>IFERROR(VLOOKUP(INDIRECT($B$1&amp;"!"&amp;ADDRESS(ROW(),COLUMN(),4)),CONFIG!$A$15:$B$28,2,FALSE),"")</f>
        <v/>
      </c>
      <c r="AC60" s="132">
        <f>IFERROR(VLOOKUP(INDIRECT($B$1&amp;"!"&amp;ADDRESS(ROW(),COLUMN(),4)),CONFIG!$A$15:$B$28,2,FALSE),"")</f>
        <v/>
      </c>
      <c r="AD60" s="132">
        <f>IFERROR(VLOOKUP(INDIRECT($B$1&amp;"!"&amp;ADDRESS(ROW(),COLUMN(),4)),CONFIG!$A$15:$B$28,2,FALSE),"")</f>
        <v/>
      </c>
      <c r="AE60" s="132">
        <f>IFERROR(VLOOKUP(INDIRECT($B$1&amp;"!"&amp;ADDRESS(ROW(),COLUMN(),4)),CONFIG!$A$15:$B$28,2,FALSE),"")</f>
        <v/>
      </c>
      <c r="AF60" s="132">
        <f>IFERROR(VLOOKUP(INDIRECT($B$1&amp;"!"&amp;ADDRESS(ROW(),COLUMN(),4)),CONFIG!$A$15:$B$28,2,FALSE),"")</f>
        <v/>
      </c>
      <c r="AG60" s="132">
        <f>IFERROR(VLOOKUP(INDIRECT($B$1&amp;"!"&amp;ADDRESS(ROW(),COLUMN(),4)),CONFIG!$A$15:$B$28,2,FALSE),"")</f>
        <v/>
      </c>
    </row>
    <row r="61">
      <c r="A61" s="131" t="inlineStr">
        <is>
          <t>Moabe</t>
        </is>
      </c>
      <c r="C61" s="132">
        <f>IFERROR(VLOOKUP(INDIRECT($B$1&amp;"!"&amp;ADDRESS(ROW(),COLUMN(),4)),CONFIG!$A$15:$B$28,2,FALSE),"")</f>
        <v/>
      </c>
      <c r="D61" s="132">
        <f>IFERROR(VLOOKUP(INDIRECT($B$1&amp;"!"&amp;ADDRESS(ROW(),COLUMN(),4)),CONFIG!$A$15:$B$28,2,FALSE),"")</f>
        <v/>
      </c>
      <c r="E61" s="132">
        <f>IFERROR(VLOOKUP(INDIRECT($B$1&amp;"!"&amp;ADDRESS(ROW(),COLUMN(),4)),CONFIG!$A$15:$B$28,2,FALSE),"")</f>
        <v/>
      </c>
      <c r="F61" s="132">
        <f>IFERROR(VLOOKUP(INDIRECT($B$1&amp;"!"&amp;ADDRESS(ROW(),COLUMN(),4)),CONFIG!$A$15:$B$28,2,FALSE),"")</f>
        <v/>
      </c>
      <c r="G61" s="132">
        <f>IFERROR(VLOOKUP(INDIRECT($B$1&amp;"!"&amp;ADDRESS(ROW(),COLUMN(),4)),CONFIG!$A$15:$B$28,2,FALSE),"")</f>
        <v/>
      </c>
      <c r="H61" s="132">
        <f>IFERROR(VLOOKUP(INDIRECT($B$1&amp;"!"&amp;ADDRESS(ROW(),COLUMN(),4)),CONFIG!$A$15:$B$28,2,FALSE),"")</f>
        <v/>
      </c>
      <c r="I61" s="132">
        <f>IFERROR(VLOOKUP(INDIRECT($B$1&amp;"!"&amp;ADDRESS(ROW(),COLUMN(),4)),CONFIG!$A$15:$B$28,2,FALSE),"")</f>
        <v/>
      </c>
      <c r="J61" s="132">
        <f>IFERROR(VLOOKUP(INDIRECT($B$1&amp;"!"&amp;ADDRESS(ROW(),COLUMN(),4)),CONFIG!$A$15:$B$28,2,FALSE),"")</f>
        <v/>
      </c>
      <c r="K61" s="132">
        <f>IFERROR(VLOOKUP(INDIRECT($B$1&amp;"!"&amp;ADDRESS(ROW(),COLUMN(),4)),CONFIG!$A$15:$B$28,2,FALSE),"")</f>
        <v/>
      </c>
      <c r="L61" s="132">
        <f>IFERROR(VLOOKUP(INDIRECT($B$1&amp;"!"&amp;ADDRESS(ROW(),COLUMN(),4)),CONFIG!$A$15:$B$28,2,FALSE),"")</f>
        <v/>
      </c>
      <c r="M61" s="132">
        <f>IFERROR(VLOOKUP(INDIRECT($B$1&amp;"!"&amp;ADDRESS(ROW(),COLUMN(),4)),CONFIG!$A$15:$B$28,2,FALSE),"")</f>
        <v/>
      </c>
      <c r="N61" s="132">
        <f>IFERROR(VLOOKUP(INDIRECT($B$1&amp;"!"&amp;ADDRESS(ROW(),COLUMN(),4)),CONFIG!$A$15:$B$28,2,FALSE),"")</f>
        <v/>
      </c>
      <c r="O61" s="132">
        <f>IFERROR(VLOOKUP(INDIRECT($B$1&amp;"!"&amp;ADDRESS(ROW(),COLUMN(),4)),CONFIG!$A$15:$B$28,2,FALSE),"")</f>
        <v/>
      </c>
      <c r="P61" s="132">
        <f>IFERROR(VLOOKUP(INDIRECT($B$1&amp;"!"&amp;ADDRESS(ROW(),COLUMN(),4)),CONFIG!$A$15:$B$28,2,FALSE),"")</f>
        <v/>
      </c>
      <c r="Q61" s="132">
        <f>IFERROR(VLOOKUP(INDIRECT($B$1&amp;"!"&amp;ADDRESS(ROW(),COLUMN(),4)),CONFIG!$A$15:$B$28,2,FALSE),"")</f>
        <v/>
      </c>
      <c r="R61" s="132">
        <f>IFERROR(VLOOKUP(INDIRECT($B$1&amp;"!"&amp;ADDRESS(ROW(),COLUMN(),4)),CONFIG!$A$15:$B$28,2,FALSE),"")</f>
        <v/>
      </c>
      <c r="S61" s="132">
        <f>IFERROR(VLOOKUP(INDIRECT($B$1&amp;"!"&amp;ADDRESS(ROW(),COLUMN(),4)),CONFIG!$A$15:$B$28,2,FALSE),"")</f>
        <v/>
      </c>
      <c r="T61" s="132">
        <f>IFERROR(VLOOKUP(INDIRECT($B$1&amp;"!"&amp;ADDRESS(ROW(),COLUMN(),4)),CONFIG!$A$15:$B$28,2,FALSE),"")</f>
        <v/>
      </c>
      <c r="U61" s="132">
        <f>IFERROR(VLOOKUP(INDIRECT($B$1&amp;"!"&amp;ADDRESS(ROW(),COLUMN(),4)),CONFIG!$A$15:$B$28,2,FALSE),"")</f>
        <v/>
      </c>
      <c r="V61" s="132">
        <f>IFERROR(VLOOKUP(INDIRECT($B$1&amp;"!"&amp;ADDRESS(ROW(),COLUMN(),4)),CONFIG!$A$15:$B$28,2,FALSE),"")</f>
        <v/>
      </c>
      <c r="W61" s="132">
        <f>IFERROR(VLOOKUP(INDIRECT($B$1&amp;"!"&amp;ADDRESS(ROW(),COLUMN(),4)),CONFIG!$A$15:$B$28,2,FALSE),"")</f>
        <v/>
      </c>
      <c r="X61" s="132">
        <f>IFERROR(VLOOKUP(INDIRECT($B$1&amp;"!"&amp;ADDRESS(ROW(),COLUMN(),4)),CONFIG!$A$15:$B$28,2,FALSE),"")</f>
        <v/>
      </c>
      <c r="Y61" s="132">
        <f>IFERROR(VLOOKUP(INDIRECT($B$1&amp;"!"&amp;ADDRESS(ROW(),COLUMN(),4)),CONFIG!$A$15:$B$28,2,FALSE),"")</f>
        <v/>
      </c>
      <c r="Z61" s="132">
        <f>IFERROR(VLOOKUP(INDIRECT($B$1&amp;"!"&amp;ADDRESS(ROW(),COLUMN(),4)),CONFIG!$A$15:$B$28,2,FALSE),"")</f>
        <v/>
      </c>
      <c r="AA61" s="132">
        <f>IFERROR(VLOOKUP(INDIRECT($B$1&amp;"!"&amp;ADDRESS(ROW(),COLUMN(),4)),CONFIG!$A$15:$B$28,2,FALSE),"")</f>
        <v/>
      </c>
      <c r="AB61" s="132">
        <f>IFERROR(VLOOKUP(INDIRECT($B$1&amp;"!"&amp;ADDRESS(ROW(),COLUMN(),4)),CONFIG!$A$15:$B$28,2,FALSE),"")</f>
        <v/>
      </c>
      <c r="AC61" s="132">
        <f>IFERROR(VLOOKUP(INDIRECT($B$1&amp;"!"&amp;ADDRESS(ROW(),COLUMN(),4)),CONFIG!$A$15:$B$28,2,FALSE),"")</f>
        <v/>
      </c>
      <c r="AD61" s="132">
        <f>IFERROR(VLOOKUP(INDIRECT($B$1&amp;"!"&amp;ADDRESS(ROW(),COLUMN(),4)),CONFIG!$A$15:$B$28,2,FALSE),"")</f>
        <v/>
      </c>
      <c r="AE61" s="132">
        <f>IFERROR(VLOOKUP(INDIRECT($B$1&amp;"!"&amp;ADDRESS(ROW(),COLUMN(),4)),CONFIG!$A$15:$B$28,2,FALSE),"")</f>
        <v/>
      </c>
      <c r="AF61" s="132">
        <f>IFERROR(VLOOKUP(INDIRECT($B$1&amp;"!"&amp;ADDRESS(ROW(),COLUMN(),4)),CONFIG!$A$15:$B$28,2,FALSE),"")</f>
        <v/>
      </c>
      <c r="AG61" s="132">
        <f>IFERROR(VLOOKUP(INDIRECT($B$1&amp;"!"&amp;ADDRESS(ROW(),COLUMN(),4)),CONFIG!$A$15:$B$28,2,FALSE),"")</f>
        <v/>
      </c>
    </row>
    <row r="62">
      <c r="A62" s="131" t="inlineStr">
        <is>
          <t>Laura Nishioka</t>
        </is>
      </c>
      <c r="C62" s="132">
        <f>IFERROR(VLOOKUP(INDIRECT($B$1&amp;"!"&amp;ADDRESS(ROW(),COLUMN(),4)),CONFIG!$A$15:$B$28,2,FALSE),"")</f>
        <v/>
      </c>
      <c r="D62" s="132">
        <f>IFERROR(VLOOKUP(INDIRECT($B$1&amp;"!"&amp;ADDRESS(ROW(),COLUMN(),4)),CONFIG!$A$15:$B$28,2,FALSE),"")</f>
        <v/>
      </c>
      <c r="E62" s="132">
        <f>IFERROR(VLOOKUP(INDIRECT($B$1&amp;"!"&amp;ADDRESS(ROW(),COLUMN(),4)),CONFIG!$A$15:$B$28,2,FALSE),"")</f>
        <v/>
      </c>
      <c r="F62" s="132">
        <f>IFERROR(VLOOKUP(INDIRECT($B$1&amp;"!"&amp;ADDRESS(ROW(),COLUMN(),4)),CONFIG!$A$15:$B$28,2,FALSE),"")</f>
        <v/>
      </c>
      <c r="G62" s="132">
        <f>IFERROR(VLOOKUP(INDIRECT($B$1&amp;"!"&amp;ADDRESS(ROW(),COLUMN(),4)),CONFIG!$A$15:$B$28,2,FALSE),"")</f>
        <v/>
      </c>
      <c r="H62" s="132">
        <f>IFERROR(VLOOKUP(INDIRECT($B$1&amp;"!"&amp;ADDRESS(ROW(),COLUMN(),4)),CONFIG!$A$15:$B$28,2,FALSE),"")</f>
        <v/>
      </c>
      <c r="I62" s="132">
        <f>IFERROR(VLOOKUP(INDIRECT($B$1&amp;"!"&amp;ADDRESS(ROW(),COLUMN(),4)),CONFIG!$A$15:$B$28,2,FALSE),"")</f>
        <v/>
      </c>
      <c r="J62" s="132">
        <f>IFERROR(VLOOKUP(INDIRECT($B$1&amp;"!"&amp;ADDRESS(ROW(),COLUMN(),4)),CONFIG!$A$15:$B$28,2,FALSE),"")</f>
        <v/>
      </c>
      <c r="K62" s="132">
        <f>IFERROR(VLOOKUP(INDIRECT($B$1&amp;"!"&amp;ADDRESS(ROW(),COLUMN(),4)),CONFIG!$A$15:$B$28,2,FALSE),"")</f>
        <v/>
      </c>
      <c r="L62" s="132">
        <f>IFERROR(VLOOKUP(INDIRECT($B$1&amp;"!"&amp;ADDRESS(ROW(),COLUMN(),4)),CONFIG!$A$15:$B$28,2,FALSE),"")</f>
        <v/>
      </c>
      <c r="M62" s="132">
        <f>IFERROR(VLOOKUP(INDIRECT($B$1&amp;"!"&amp;ADDRESS(ROW(),COLUMN(),4)),CONFIG!$A$15:$B$28,2,FALSE),"")</f>
        <v/>
      </c>
      <c r="N62" s="132">
        <f>IFERROR(VLOOKUP(INDIRECT($B$1&amp;"!"&amp;ADDRESS(ROW(),COLUMN(),4)),CONFIG!$A$15:$B$28,2,FALSE),"")</f>
        <v/>
      </c>
      <c r="O62" s="132">
        <f>IFERROR(VLOOKUP(INDIRECT($B$1&amp;"!"&amp;ADDRESS(ROW(),COLUMN(),4)),CONFIG!$A$15:$B$28,2,FALSE),"")</f>
        <v/>
      </c>
      <c r="P62" s="132">
        <f>IFERROR(VLOOKUP(INDIRECT($B$1&amp;"!"&amp;ADDRESS(ROW(),COLUMN(),4)),CONFIG!$A$15:$B$28,2,FALSE),"")</f>
        <v/>
      </c>
      <c r="Q62" s="132">
        <f>IFERROR(VLOOKUP(INDIRECT($B$1&amp;"!"&amp;ADDRESS(ROW(),COLUMN(),4)),CONFIG!$A$15:$B$28,2,FALSE),"")</f>
        <v/>
      </c>
      <c r="R62" s="132">
        <f>IFERROR(VLOOKUP(INDIRECT($B$1&amp;"!"&amp;ADDRESS(ROW(),COLUMN(),4)),CONFIG!$A$15:$B$28,2,FALSE),"")</f>
        <v/>
      </c>
      <c r="S62" s="132">
        <f>IFERROR(VLOOKUP(INDIRECT($B$1&amp;"!"&amp;ADDRESS(ROW(),COLUMN(),4)),CONFIG!$A$15:$B$28,2,FALSE),"")</f>
        <v/>
      </c>
      <c r="T62" s="132">
        <f>IFERROR(VLOOKUP(INDIRECT($B$1&amp;"!"&amp;ADDRESS(ROW(),COLUMN(),4)),CONFIG!$A$15:$B$28,2,FALSE),"")</f>
        <v/>
      </c>
      <c r="U62" s="132">
        <f>IFERROR(VLOOKUP(INDIRECT($B$1&amp;"!"&amp;ADDRESS(ROW(),COLUMN(),4)),CONFIG!$A$15:$B$28,2,FALSE),"")</f>
        <v/>
      </c>
      <c r="V62" s="132">
        <f>IFERROR(VLOOKUP(INDIRECT($B$1&amp;"!"&amp;ADDRESS(ROW(),COLUMN(),4)),CONFIG!$A$15:$B$28,2,FALSE),"")</f>
        <v/>
      </c>
      <c r="W62" s="132">
        <f>IFERROR(VLOOKUP(INDIRECT($B$1&amp;"!"&amp;ADDRESS(ROW(),COLUMN(),4)),CONFIG!$A$15:$B$28,2,FALSE),"")</f>
        <v/>
      </c>
      <c r="X62" s="132">
        <f>IFERROR(VLOOKUP(INDIRECT($B$1&amp;"!"&amp;ADDRESS(ROW(),COLUMN(),4)),CONFIG!$A$15:$B$28,2,FALSE),"")</f>
        <v/>
      </c>
      <c r="Y62" s="132">
        <f>IFERROR(VLOOKUP(INDIRECT($B$1&amp;"!"&amp;ADDRESS(ROW(),COLUMN(),4)),CONFIG!$A$15:$B$28,2,FALSE),"")</f>
        <v/>
      </c>
      <c r="Z62" s="132">
        <f>IFERROR(VLOOKUP(INDIRECT($B$1&amp;"!"&amp;ADDRESS(ROW(),COLUMN(),4)),CONFIG!$A$15:$B$28,2,FALSE),"")</f>
        <v/>
      </c>
      <c r="AA62" s="132">
        <f>IFERROR(VLOOKUP(INDIRECT($B$1&amp;"!"&amp;ADDRESS(ROW(),COLUMN(),4)),CONFIG!$A$15:$B$28,2,FALSE),"")</f>
        <v/>
      </c>
      <c r="AB62" s="132">
        <f>IFERROR(VLOOKUP(INDIRECT($B$1&amp;"!"&amp;ADDRESS(ROW(),COLUMN(),4)),CONFIG!$A$15:$B$28,2,FALSE),"")</f>
        <v/>
      </c>
      <c r="AC62" s="132">
        <f>IFERROR(VLOOKUP(INDIRECT($B$1&amp;"!"&amp;ADDRESS(ROW(),COLUMN(),4)),CONFIG!$A$15:$B$28,2,FALSE),"")</f>
        <v/>
      </c>
      <c r="AD62" s="132">
        <f>IFERROR(VLOOKUP(INDIRECT($B$1&amp;"!"&amp;ADDRESS(ROW(),COLUMN(),4)),CONFIG!$A$15:$B$28,2,FALSE),"")</f>
        <v/>
      </c>
      <c r="AE62" s="132">
        <f>IFERROR(VLOOKUP(INDIRECT($B$1&amp;"!"&amp;ADDRESS(ROW(),COLUMN(),4)),CONFIG!$A$15:$B$28,2,FALSE),"")</f>
        <v/>
      </c>
      <c r="AF62" s="132">
        <f>IFERROR(VLOOKUP(INDIRECT($B$1&amp;"!"&amp;ADDRESS(ROW(),COLUMN(),4)),CONFIG!$A$15:$B$28,2,FALSE),"")</f>
        <v/>
      </c>
      <c r="AG62" s="132">
        <f>IFERROR(VLOOKUP(INDIRECT($B$1&amp;"!"&amp;ADDRESS(ROW(),COLUMN(),4)),CONFIG!$A$15:$B$28,2,FALSE),"")</f>
        <v/>
      </c>
    </row>
    <row r="63">
      <c r="A63" s="131" t="inlineStr">
        <is>
          <t>Patricia Abreu</t>
        </is>
      </c>
      <c r="C63" s="132">
        <f>IFERROR(VLOOKUP(INDIRECT($B$1&amp;"!"&amp;ADDRESS(ROW(),COLUMN(),4)),CONFIG!$A$15:$B$28,2,FALSE),"")</f>
        <v/>
      </c>
      <c r="D63" s="132">
        <f>IFERROR(VLOOKUP(INDIRECT($B$1&amp;"!"&amp;ADDRESS(ROW(),COLUMN(),4)),CONFIG!$A$15:$B$28,2,FALSE),"")</f>
        <v/>
      </c>
      <c r="E63" s="132">
        <f>IFERROR(VLOOKUP(INDIRECT($B$1&amp;"!"&amp;ADDRESS(ROW(),COLUMN(),4)),CONFIG!$A$15:$B$28,2,FALSE),"")</f>
        <v/>
      </c>
      <c r="F63" s="132">
        <f>IFERROR(VLOOKUP(INDIRECT($B$1&amp;"!"&amp;ADDRESS(ROW(),COLUMN(),4)),CONFIG!$A$15:$B$28,2,FALSE),"")</f>
        <v/>
      </c>
      <c r="G63" s="132">
        <f>IFERROR(VLOOKUP(INDIRECT($B$1&amp;"!"&amp;ADDRESS(ROW(),COLUMN(),4)),CONFIG!$A$15:$B$28,2,FALSE),"")</f>
        <v/>
      </c>
      <c r="H63" s="132">
        <f>IFERROR(VLOOKUP(INDIRECT($B$1&amp;"!"&amp;ADDRESS(ROW(),COLUMN(),4)),CONFIG!$A$15:$B$28,2,FALSE),"")</f>
        <v/>
      </c>
      <c r="I63" s="132">
        <f>IFERROR(VLOOKUP(INDIRECT($B$1&amp;"!"&amp;ADDRESS(ROW(),COLUMN(),4)),CONFIG!$A$15:$B$28,2,FALSE),"")</f>
        <v/>
      </c>
      <c r="J63" s="132">
        <f>IFERROR(VLOOKUP(INDIRECT($B$1&amp;"!"&amp;ADDRESS(ROW(),COLUMN(),4)),CONFIG!$A$15:$B$28,2,FALSE),"")</f>
        <v/>
      </c>
      <c r="K63" s="132">
        <f>IFERROR(VLOOKUP(INDIRECT($B$1&amp;"!"&amp;ADDRESS(ROW(),COLUMN(),4)),CONFIG!$A$15:$B$28,2,FALSE),"")</f>
        <v/>
      </c>
      <c r="L63" s="132">
        <f>IFERROR(VLOOKUP(INDIRECT($B$1&amp;"!"&amp;ADDRESS(ROW(),COLUMN(),4)),CONFIG!$A$15:$B$28,2,FALSE),"")</f>
        <v/>
      </c>
      <c r="M63" s="132">
        <f>IFERROR(VLOOKUP(INDIRECT($B$1&amp;"!"&amp;ADDRESS(ROW(),COLUMN(),4)),CONFIG!$A$15:$B$28,2,FALSE),"")</f>
        <v/>
      </c>
      <c r="N63" s="132">
        <f>IFERROR(VLOOKUP(INDIRECT($B$1&amp;"!"&amp;ADDRESS(ROW(),COLUMN(),4)),CONFIG!$A$15:$B$28,2,FALSE),"")</f>
        <v/>
      </c>
      <c r="O63" s="132">
        <f>IFERROR(VLOOKUP(INDIRECT($B$1&amp;"!"&amp;ADDRESS(ROW(),COLUMN(),4)),CONFIG!$A$15:$B$28,2,FALSE),"")</f>
        <v/>
      </c>
      <c r="P63" s="132">
        <f>IFERROR(VLOOKUP(INDIRECT($B$1&amp;"!"&amp;ADDRESS(ROW(),COLUMN(),4)),CONFIG!$A$15:$B$28,2,FALSE),"")</f>
        <v/>
      </c>
      <c r="Q63" s="132">
        <f>IFERROR(VLOOKUP(INDIRECT($B$1&amp;"!"&amp;ADDRESS(ROW(),COLUMN(),4)),CONFIG!$A$15:$B$28,2,FALSE),"")</f>
        <v/>
      </c>
      <c r="R63" s="132">
        <f>IFERROR(VLOOKUP(INDIRECT($B$1&amp;"!"&amp;ADDRESS(ROW(),COLUMN(),4)),CONFIG!$A$15:$B$28,2,FALSE),"")</f>
        <v/>
      </c>
      <c r="S63" s="132">
        <f>IFERROR(VLOOKUP(INDIRECT($B$1&amp;"!"&amp;ADDRESS(ROW(),COLUMN(),4)),CONFIG!$A$15:$B$28,2,FALSE),"")</f>
        <v/>
      </c>
      <c r="T63" s="132">
        <f>IFERROR(VLOOKUP(INDIRECT($B$1&amp;"!"&amp;ADDRESS(ROW(),COLUMN(),4)),CONFIG!$A$15:$B$28,2,FALSE),"")</f>
        <v/>
      </c>
      <c r="U63" s="132">
        <f>IFERROR(VLOOKUP(INDIRECT($B$1&amp;"!"&amp;ADDRESS(ROW(),COLUMN(),4)),CONFIG!$A$15:$B$28,2,FALSE),"")</f>
        <v/>
      </c>
      <c r="V63" s="132">
        <f>IFERROR(VLOOKUP(INDIRECT($B$1&amp;"!"&amp;ADDRESS(ROW(),COLUMN(),4)),CONFIG!$A$15:$B$28,2,FALSE),"")</f>
        <v/>
      </c>
      <c r="W63" s="132">
        <f>IFERROR(VLOOKUP(INDIRECT($B$1&amp;"!"&amp;ADDRESS(ROW(),COLUMN(),4)),CONFIG!$A$15:$B$28,2,FALSE),"")</f>
        <v/>
      </c>
      <c r="X63" s="132">
        <f>IFERROR(VLOOKUP(INDIRECT($B$1&amp;"!"&amp;ADDRESS(ROW(),COLUMN(),4)),CONFIG!$A$15:$B$28,2,FALSE),"")</f>
        <v/>
      </c>
      <c r="Y63" s="132">
        <f>IFERROR(VLOOKUP(INDIRECT($B$1&amp;"!"&amp;ADDRESS(ROW(),COLUMN(),4)),CONFIG!$A$15:$B$28,2,FALSE),"")</f>
        <v/>
      </c>
      <c r="Z63" s="132">
        <f>IFERROR(VLOOKUP(INDIRECT($B$1&amp;"!"&amp;ADDRESS(ROW(),COLUMN(),4)),CONFIG!$A$15:$B$28,2,FALSE),"")</f>
        <v/>
      </c>
      <c r="AA63" s="132">
        <f>IFERROR(VLOOKUP(INDIRECT($B$1&amp;"!"&amp;ADDRESS(ROW(),COLUMN(),4)),CONFIG!$A$15:$B$28,2,FALSE),"")</f>
        <v/>
      </c>
      <c r="AB63" s="132">
        <f>IFERROR(VLOOKUP(INDIRECT($B$1&amp;"!"&amp;ADDRESS(ROW(),COLUMN(),4)),CONFIG!$A$15:$B$28,2,FALSE),"")</f>
        <v/>
      </c>
      <c r="AC63" s="132">
        <f>IFERROR(VLOOKUP(INDIRECT($B$1&amp;"!"&amp;ADDRESS(ROW(),COLUMN(),4)),CONFIG!$A$15:$B$28,2,FALSE),"")</f>
        <v/>
      </c>
      <c r="AD63" s="132">
        <f>IFERROR(VLOOKUP(INDIRECT($B$1&amp;"!"&amp;ADDRESS(ROW(),COLUMN(),4)),CONFIG!$A$15:$B$28,2,FALSE),"")</f>
        <v/>
      </c>
      <c r="AE63" s="132">
        <f>IFERROR(VLOOKUP(INDIRECT($B$1&amp;"!"&amp;ADDRESS(ROW(),COLUMN(),4)),CONFIG!$A$15:$B$28,2,FALSE),"")</f>
        <v/>
      </c>
      <c r="AF63" s="132">
        <f>IFERROR(VLOOKUP(INDIRECT($B$1&amp;"!"&amp;ADDRESS(ROW(),COLUMN(),4)),CONFIG!$A$15:$B$28,2,FALSE),"")</f>
        <v/>
      </c>
      <c r="AG63" s="132">
        <f>IFERROR(VLOOKUP(INDIRECT($B$1&amp;"!"&amp;ADDRESS(ROW(),COLUMN(),4)),CONFIG!$A$15:$B$28,2,FALSE),"")</f>
        <v/>
      </c>
    </row>
    <row r="64">
      <c r="A64" s="131" t="inlineStr">
        <is>
          <t>Pedro</t>
        </is>
      </c>
      <c r="C64" s="132">
        <f>IFERROR(VLOOKUP(INDIRECT($B$1&amp;"!"&amp;ADDRESS(ROW(),COLUMN(),4)),CONFIG!$A$15:$B$28,2,FALSE),"")</f>
        <v/>
      </c>
      <c r="D64" s="132">
        <f>IFERROR(VLOOKUP(INDIRECT($B$1&amp;"!"&amp;ADDRESS(ROW(),COLUMN(),4)),CONFIG!$A$15:$B$28,2,FALSE),"")</f>
        <v/>
      </c>
      <c r="E64" s="132">
        <f>IFERROR(VLOOKUP(INDIRECT($B$1&amp;"!"&amp;ADDRESS(ROW(),COLUMN(),4)),CONFIG!$A$15:$B$28,2,FALSE),"")</f>
        <v/>
      </c>
      <c r="F64" s="132">
        <f>IFERROR(VLOOKUP(INDIRECT($B$1&amp;"!"&amp;ADDRESS(ROW(),COLUMN(),4)),CONFIG!$A$15:$B$28,2,FALSE),"")</f>
        <v/>
      </c>
      <c r="G64" s="132">
        <f>IFERROR(VLOOKUP(INDIRECT($B$1&amp;"!"&amp;ADDRESS(ROW(),COLUMN(),4)),CONFIG!$A$15:$B$28,2,FALSE),"")</f>
        <v/>
      </c>
      <c r="H64" s="132">
        <f>IFERROR(VLOOKUP(INDIRECT($B$1&amp;"!"&amp;ADDRESS(ROW(),COLUMN(),4)),CONFIG!$A$15:$B$28,2,FALSE),"")</f>
        <v/>
      </c>
      <c r="I64" s="132">
        <f>IFERROR(VLOOKUP(INDIRECT($B$1&amp;"!"&amp;ADDRESS(ROW(),COLUMN(),4)),CONFIG!$A$15:$B$28,2,FALSE),"")</f>
        <v/>
      </c>
      <c r="J64" s="132">
        <f>IFERROR(VLOOKUP(INDIRECT($B$1&amp;"!"&amp;ADDRESS(ROW(),COLUMN(),4)),CONFIG!$A$15:$B$28,2,FALSE),"")</f>
        <v/>
      </c>
      <c r="K64" s="132">
        <f>IFERROR(VLOOKUP(INDIRECT($B$1&amp;"!"&amp;ADDRESS(ROW(),COLUMN(),4)),CONFIG!$A$15:$B$28,2,FALSE),"")</f>
        <v/>
      </c>
      <c r="L64" s="132">
        <f>IFERROR(VLOOKUP(INDIRECT($B$1&amp;"!"&amp;ADDRESS(ROW(),COLUMN(),4)),CONFIG!$A$15:$B$28,2,FALSE),"")</f>
        <v/>
      </c>
      <c r="M64" s="132">
        <f>IFERROR(VLOOKUP(INDIRECT($B$1&amp;"!"&amp;ADDRESS(ROW(),COLUMN(),4)),CONFIG!$A$15:$B$28,2,FALSE),"")</f>
        <v/>
      </c>
      <c r="N64" s="132">
        <f>IFERROR(VLOOKUP(INDIRECT($B$1&amp;"!"&amp;ADDRESS(ROW(),COLUMN(),4)),CONFIG!$A$15:$B$28,2,FALSE),"")</f>
        <v/>
      </c>
      <c r="O64" s="132">
        <f>IFERROR(VLOOKUP(INDIRECT($B$1&amp;"!"&amp;ADDRESS(ROW(),COLUMN(),4)),CONFIG!$A$15:$B$28,2,FALSE),"")</f>
        <v/>
      </c>
      <c r="P64" s="132">
        <f>IFERROR(VLOOKUP(INDIRECT($B$1&amp;"!"&amp;ADDRESS(ROW(),COLUMN(),4)),CONFIG!$A$15:$B$28,2,FALSE),"")</f>
        <v/>
      </c>
      <c r="Q64" s="132">
        <f>IFERROR(VLOOKUP(INDIRECT($B$1&amp;"!"&amp;ADDRESS(ROW(),COLUMN(),4)),CONFIG!$A$15:$B$28,2,FALSE),"")</f>
        <v/>
      </c>
      <c r="R64" s="132">
        <f>IFERROR(VLOOKUP(INDIRECT($B$1&amp;"!"&amp;ADDRESS(ROW(),COLUMN(),4)),CONFIG!$A$15:$B$28,2,FALSE),"")</f>
        <v/>
      </c>
      <c r="S64" s="132">
        <f>IFERROR(VLOOKUP(INDIRECT($B$1&amp;"!"&amp;ADDRESS(ROW(),COLUMN(),4)),CONFIG!$A$15:$B$28,2,FALSE),"")</f>
        <v/>
      </c>
      <c r="T64" s="132">
        <f>IFERROR(VLOOKUP(INDIRECT($B$1&amp;"!"&amp;ADDRESS(ROW(),COLUMN(),4)),CONFIG!$A$15:$B$28,2,FALSE),"")</f>
        <v/>
      </c>
      <c r="U64" s="132">
        <f>IFERROR(VLOOKUP(INDIRECT($B$1&amp;"!"&amp;ADDRESS(ROW(),COLUMN(),4)),CONFIG!$A$15:$B$28,2,FALSE),"")</f>
        <v/>
      </c>
      <c r="V64" s="132">
        <f>IFERROR(VLOOKUP(INDIRECT($B$1&amp;"!"&amp;ADDRESS(ROW(),COLUMN(),4)),CONFIG!$A$15:$B$28,2,FALSE),"")</f>
        <v/>
      </c>
      <c r="W64" s="132">
        <f>IFERROR(VLOOKUP(INDIRECT($B$1&amp;"!"&amp;ADDRESS(ROW(),COLUMN(),4)),CONFIG!$A$15:$B$28,2,FALSE),"")</f>
        <v/>
      </c>
      <c r="X64" s="132">
        <f>IFERROR(VLOOKUP(INDIRECT($B$1&amp;"!"&amp;ADDRESS(ROW(),COLUMN(),4)),CONFIG!$A$15:$B$28,2,FALSE),"")</f>
        <v/>
      </c>
      <c r="Y64" s="132">
        <f>IFERROR(VLOOKUP(INDIRECT($B$1&amp;"!"&amp;ADDRESS(ROW(),COLUMN(),4)),CONFIG!$A$15:$B$28,2,FALSE),"")</f>
        <v/>
      </c>
      <c r="Z64" s="132">
        <f>IFERROR(VLOOKUP(INDIRECT($B$1&amp;"!"&amp;ADDRESS(ROW(),COLUMN(),4)),CONFIG!$A$15:$B$28,2,FALSE),"")</f>
        <v/>
      </c>
      <c r="AA64" s="132">
        <f>IFERROR(VLOOKUP(INDIRECT($B$1&amp;"!"&amp;ADDRESS(ROW(),COLUMN(),4)),CONFIG!$A$15:$B$28,2,FALSE),"")</f>
        <v/>
      </c>
      <c r="AB64" s="132">
        <f>IFERROR(VLOOKUP(INDIRECT($B$1&amp;"!"&amp;ADDRESS(ROW(),COLUMN(),4)),CONFIG!$A$15:$B$28,2,FALSE),"")</f>
        <v/>
      </c>
      <c r="AC64" s="132">
        <f>IFERROR(VLOOKUP(INDIRECT($B$1&amp;"!"&amp;ADDRESS(ROW(),COLUMN(),4)),CONFIG!$A$15:$B$28,2,FALSE),"")</f>
        <v/>
      </c>
      <c r="AD64" s="132">
        <f>IFERROR(VLOOKUP(INDIRECT($B$1&amp;"!"&amp;ADDRESS(ROW(),COLUMN(),4)),CONFIG!$A$15:$B$28,2,FALSE),"")</f>
        <v/>
      </c>
      <c r="AE64" s="132">
        <f>IFERROR(VLOOKUP(INDIRECT($B$1&amp;"!"&amp;ADDRESS(ROW(),COLUMN(),4)),CONFIG!$A$15:$B$28,2,FALSE),"")</f>
        <v/>
      </c>
      <c r="AF64" s="132">
        <f>IFERROR(VLOOKUP(INDIRECT($B$1&amp;"!"&amp;ADDRESS(ROW(),COLUMN(),4)),CONFIG!$A$15:$B$28,2,FALSE),"")</f>
        <v/>
      </c>
      <c r="AG64" s="132">
        <f>IFERROR(VLOOKUP(INDIRECT($B$1&amp;"!"&amp;ADDRESS(ROW(),COLUMN(),4)),CONFIG!$A$15:$B$28,2,FALSE),"")</f>
        <v/>
      </c>
    </row>
    <row r="65">
      <c r="A65" s="131" t="inlineStr">
        <is>
          <t>Paula Jamile</t>
        </is>
      </c>
      <c r="C65" s="132">
        <f>IFERROR(VLOOKUP(INDIRECT($B$1&amp;"!"&amp;ADDRESS(ROW(),COLUMN(),4)),CONFIG!$A$15:$B$28,2,FALSE),"")</f>
        <v/>
      </c>
      <c r="D65" s="132">
        <f>IFERROR(VLOOKUP(INDIRECT($B$1&amp;"!"&amp;ADDRESS(ROW(),COLUMN(),4)),CONFIG!$A$15:$B$28,2,FALSE),"")</f>
        <v/>
      </c>
      <c r="E65" s="132">
        <f>IFERROR(VLOOKUP(INDIRECT($B$1&amp;"!"&amp;ADDRESS(ROW(),COLUMN(),4)),CONFIG!$A$15:$B$28,2,FALSE),"")</f>
        <v/>
      </c>
      <c r="F65" s="132">
        <f>IFERROR(VLOOKUP(INDIRECT($B$1&amp;"!"&amp;ADDRESS(ROW(),COLUMN(),4)),CONFIG!$A$15:$B$28,2,FALSE),"")</f>
        <v/>
      </c>
      <c r="G65" s="132">
        <f>IFERROR(VLOOKUP(INDIRECT($B$1&amp;"!"&amp;ADDRESS(ROW(),COLUMN(),4)),CONFIG!$A$15:$B$28,2,FALSE),"")</f>
        <v/>
      </c>
      <c r="H65" s="132">
        <f>IFERROR(VLOOKUP(INDIRECT($B$1&amp;"!"&amp;ADDRESS(ROW(),COLUMN(),4)),CONFIG!$A$15:$B$28,2,FALSE),"")</f>
        <v/>
      </c>
      <c r="I65" s="132">
        <f>IFERROR(VLOOKUP(INDIRECT($B$1&amp;"!"&amp;ADDRESS(ROW(),COLUMN(),4)),CONFIG!$A$15:$B$28,2,FALSE),"")</f>
        <v/>
      </c>
      <c r="J65" s="132">
        <f>IFERROR(VLOOKUP(INDIRECT($B$1&amp;"!"&amp;ADDRESS(ROW(),COLUMN(),4)),CONFIG!$A$15:$B$28,2,FALSE),"")</f>
        <v/>
      </c>
      <c r="K65" s="132">
        <f>IFERROR(VLOOKUP(INDIRECT($B$1&amp;"!"&amp;ADDRESS(ROW(),COLUMN(),4)),CONFIG!$A$15:$B$28,2,FALSE),"")</f>
        <v/>
      </c>
      <c r="L65" s="132">
        <f>IFERROR(VLOOKUP(INDIRECT($B$1&amp;"!"&amp;ADDRESS(ROW(),COLUMN(),4)),CONFIG!$A$15:$B$28,2,FALSE),"")</f>
        <v/>
      </c>
      <c r="M65" s="132">
        <f>IFERROR(VLOOKUP(INDIRECT($B$1&amp;"!"&amp;ADDRESS(ROW(),COLUMN(),4)),CONFIG!$A$15:$B$28,2,FALSE),"")</f>
        <v/>
      </c>
      <c r="N65" s="132">
        <f>IFERROR(VLOOKUP(INDIRECT($B$1&amp;"!"&amp;ADDRESS(ROW(),COLUMN(),4)),CONFIG!$A$15:$B$28,2,FALSE),"")</f>
        <v/>
      </c>
      <c r="O65" s="132">
        <f>IFERROR(VLOOKUP(INDIRECT($B$1&amp;"!"&amp;ADDRESS(ROW(),COLUMN(),4)),CONFIG!$A$15:$B$28,2,FALSE),"")</f>
        <v/>
      </c>
      <c r="P65" s="132">
        <f>IFERROR(VLOOKUP(INDIRECT($B$1&amp;"!"&amp;ADDRESS(ROW(),COLUMN(),4)),CONFIG!$A$15:$B$28,2,FALSE),"")</f>
        <v/>
      </c>
      <c r="Q65" s="132">
        <f>IFERROR(VLOOKUP(INDIRECT($B$1&amp;"!"&amp;ADDRESS(ROW(),COLUMN(),4)),CONFIG!$A$15:$B$28,2,FALSE),"")</f>
        <v/>
      </c>
      <c r="R65" s="132">
        <f>IFERROR(VLOOKUP(INDIRECT($B$1&amp;"!"&amp;ADDRESS(ROW(),COLUMN(),4)),CONFIG!$A$15:$B$28,2,FALSE),"")</f>
        <v/>
      </c>
      <c r="S65" s="132">
        <f>IFERROR(VLOOKUP(INDIRECT($B$1&amp;"!"&amp;ADDRESS(ROW(),COLUMN(),4)),CONFIG!$A$15:$B$28,2,FALSE),"")</f>
        <v/>
      </c>
      <c r="T65" s="132">
        <f>IFERROR(VLOOKUP(INDIRECT($B$1&amp;"!"&amp;ADDRESS(ROW(),COLUMN(),4)),CONFIG!$A$15:$B$28,2,FALSE),"")</f>
        <v/>
      </c>
      <c r="U65" s="132">
        <f>IFERROR(VLOOKUP(INDIRECT($B$1&amp;"!"&amp;ADDRESS(ROW(),COLUMN(),4)),CONFIG!$A$15:$B$28,2,FALSE),"")</f>
        <v/>
      </c>
      <c r="V65" s="132">
        <f>IFERROR(VLOOKUP(INDIRECT($B$1&amp;"!"&amp;ADDRESS(ROW(),COLUMN(),4)),CONFIG!$A$15:$B$28,2,FALSE),"")</f>
        <v/>
      </c>
      <c r="W65" s="132">
        <f>IFERROR(VLOOKUP(INDIRECT($B$1&amp;"!"&amp;ADDRESS(ROW(),COLUMN(),4)),CONFIG!$A$15:$B$28,2,FALSE),"")</f>
        <v/>
      </c>
      <c r="X65" s="132">
        <f>IFERROR(VLOOKUP(INDIRECT($B$1&amp;"!"&amp;ADDRESS(ROW(),COLUMN(),4)),CONFIG!$A$15:$B$28,2,FALSE),"")</f>
        <v/>
      </c>
      <c r="Y65" s="132">
        <f>IFERROR(VLOOKUP(INDIRECT($B$1&amp;"!"&amp;ADDRESS(ROW(),COLUMN(),4)),CONFIG!$A$15:$B$28,2,FALSE),"")</f>
        <v/>
      </c>
      <c r="Z65" s="132">
        <f>IFERROR(VLOOKUP(INDIRECT($B$1&amp;"!"&amp;ADDRESS(ROW(),COLUMN(),4)),CONFIG!$A$15:$B$28,2,FALSE),"")</f>
        <v/>
      </c>
      <c r="AA65" s="132">
        <f>IFERROR(VLOOKUP(INDIRECT($B$1&amp;"!"&amp;ADDRESS(ROW(),COLUMN(),4)),CONFIG!$A$15:$B$28,2,FALSE),"")</f>
        <v/>
      </c>
      <c r="AB65" s="132">
        <f>IFERROR(VLOOKUP(INDIRECT($B$1&amp;"!"&amp;ADDRESS(ROW(),COLUMN(),4)),CONFIG!$A$15:$B$28,2,FALSE),"")</f>
        <v/>
      </c>
      <c r="AC65" s="132">
        <f>IFERROR(VLOOKUP(INDIRECT($B$1&amp;"!"&amp;ADDRESS(ROW(),COLUMN(),4)),CONFIG!$A$15:$B$28,2,FALSE),"")</f>
        <v/>
      </c>
      <c r="AD65" s="132">
        <f>IFERROR(VLOOKUP(INDIRECT($B$1&amp;"!"&amp;ADDRESS(ROW(),COLUMN(),4)),CONFIG!$A$15:$B$28,2,FALSE),"")</f>
        <v/>
      </c>
      <c r="AE65" s="132">
        <f>IFERROR(VLOOKUP(INDIRECT($B$1&amp;"!"&amp;ADDRESS(ROW(),COLUMN(),4)),CONFIG!$A$15:$B$28,2,FALSE),"")</f>
        <v/>
      </c>
      <c r="AF65" s="132">
        <f>IFERROR(VLOOKUP(INDIRECT($B$1&amp;"!"&amp;ADDRESS(ROW(),COLUMN(),4)),CONFIG!$A$15:$B$28,2,FALSE),"")</f>
        <v/>
      </c>
      <c r="AG65" s="132">
        <f>IFERROR(VLOOKUP(INDIRECT($B$1&amp;"!"&amp;ADDRESS(ROW(),COLUMN(),4)),CONFIG!$A$15:$B$28,2,FALSE),"")</f>
        <v/>
      </c>
    </row>
    <row r="66">
      <c r="A66" s="131" t="inlineStr">
        <is>
          <t>Raphael Costa</t>
        </is>
      </c>
      <c r="C66" s="132">
        <f>IFERROR(VLOOKUP(INDIRECT($B$1&amp;"!"&amp;ADDRESS(ROW(),COLUMN(),4)),CONFIG!$A$15:$B$28,2,FALSE),"")</f>
        <v/>
      </c>
      <c r="D66" s="132">
        <f>IFERROR(VLOOKUP(INDIRECT($B$1&amp;"!"&amp;ADDRESS(ROW(),COLUMN(),4)),CONFIG!$A$15:$B$28,2,FALSE),"")</f>
        <v/>
      </c>
      <c r="E66" s="132">
        <f>IFERROR(VLOOKUP(INDIRECT($B$1&amp;"!"&amp;ADDRESS(ROW(),COLUMN(),4)),CONFIG!$A$15:$B$28,2,FALSE),"")</f>
        <v/>
      </c>
      <c r="F66" s="132">
        <f>IFERROR(VLOOKUP(INDIRECT($B$1&amp;"!"&amp;ADDRESS(ROW(),COLUMN(),4)),CONFIG!$A$15:$B$28,2,FALSE),"")</f>
        <v/>
      </c>
      <c r="G66" s="132">
        <f>IFERROR(VLOOKUP(INDIRECT($B$1&amp;"!"&amp;ADDRESS(ROW(),COLUMN(),4)),CONFIG!$A$15:$B$28,2,FALSE),"")</f>
        <v/>
      </c>
      <c r="H66" s="132">
        <f>IFERROR(VLOOKUP(INDIRECT($B$1&amp;"!"&amp;ADDRESS(ROW(),COLUMN(),4)),CONFIG!$A$15:$B$28,2,FALSE),"")</f>
        <v/>
      </c>
      <c r="I66" s="132">
        <f>IFERROR(VLOOKUP(INDIRECT($B$1&amp;"!"&amp;ADDRESS(ROW(),COLUMN(),4)),CONFIG!$A$15:$B$28,2,FALSE),"")</f>
        <v/>
      </c>
      <c r="J66" s="132">
        <f>IFERROR(VLOOKUP(INDIRECT($B$1&amp;"!"&amp;ADDRESS(ROW(),COLUMN(),4)),CONFIG!$A$15:$B$28,2,FALSE),"")</f>
        <v/>
      </c>
      <c r="K66" s="132">
        <f>IFERROR(VLOOKUP(INDIRECT($B$1&amp;"!"&amp;ADDRESS(ROW(),COLUMN(),4)),CONFIG!$A$15:$B$28,2,FALSE),"")</f>
        <v/>
      </c>
      <c r="L66" s="132">
        <f>IFERROR(VLOOKUP(INDIRECT($B$1&amp;"!"&amp;ADDRESS(ROW(),COLUMN(),4)),CONFIG!$A$15:$B$28,2,FALSE),"")</f>
        <v/>
      </c>
      <c r="M66" s="132">
        <f>IFERROR(VLOOKUP(INDIRECT($B$1&amp;"!"&amp;ADDRESS(ROW(),COLUMN(),4)),CONFIG!$A$15:$B$28,2,FALSE),"")</f>
        <v/>
      </c>
      <c r="N66" s="132">
        <f>IFERROR(VLOOKUP(INDIRECT($B$1&amp;"!"&amp;ADDRESS(ROW(),COLUMN(),4)),CONFIG!$A$15:$B$28,2,FALSE),"")</f>
        <v/>
      </c>
      <c r="O66" s="132">
        <f>IFERROR(VLOOKUP(INDIRECT($B$1&amp;"!"&amp;ADDRESS(ROW(),COLUMN(),4)),CONFIG!$A$15:$B$28,2,FALSE),"")</f>
        <v/>
      </c>
      <c r="P66" s="132">
        <f>IFERROR(VLOOKUP(INDIRECT($B$1&amp;"!"&amp;ADDRESS(ROW(),COLUMN(),4)),CONFIG!$A$15:$B$28,2,FALSE),"")</f>
        <v/>
      </c>
      <c r="Q66" s="132">
        <f>IFERROR(VLOOKUP(INDIRECT($B$1&amp;"!"&amp;ADDRESS(ROW(),COLUMN(),4)),CONFIG!$A$15:$B$28,2,FALSE),"")</f>
        <v/>
      </c>
      <c r="R66" s="132">
        <f>IFERROR(VLOOKUP(INDIRECT($B$1&amp;"!"&amp;ADDRESS(ROW(),COLUMN(),4)),CONFIG!$A$15:$B$28,2,FALSE),"")</f>
        <v/>
      </c>
      <c r="S66" s="132">
        <f>IFERROR(VLOOKUP(INDIRECT($B$1&amp;"!"&amp;ADDRESS(ROW(),COLUMN(),4)),CONFIG!$A$15:$B$28,2,FALSE),"")</f>
        <v/>
      </c>
      <c r="T66" s="132">
        <f>IFERROR(VLOOKUP(INDIRECT($B$1&amp;"!"&amp;ADDRESS(ROW(),COLUMN(),4)),CONFIG!$A$15:$B$28,2,FALSE),"")</f>
        <v/>
      </c>
      <c r="U66" s="132">
        <f>IFERROR(VLOOKUP(INDIRECT($B$1&amp;"!"&amp;ADDRESS(ROW(),COLUMN(),4)),CONFIG!$A$15:$B$28,2,FALSE),"")</f>
        <v/>
      </c>
      <c r="V66" s="132">
        <f>IFERROR(VLOOKUP(INDIRECT($B$1&amp;"!"&amp;ADDRESS(ROW(),COLUMN(),4)),CONFIG!$A$15:$B$28,2,FALSE),"")</f>
        <v/>
      </c>
      <c r="W66" s="132">
        <f>IFERROR(VLOOKUP(INDIRECT($B$1&amp;"!"&amp;ADDRESS(ROW(),COLUMN(),4)),CONFIG!$A$15:$B$28,2,FALSE),"")</f>
        <v/>
      </c>
      <c r="X66" s="132">
        <f>IFERROR(VLOOKUP(INDIRECT($B$1&amp;"!"&amp;ADDRESS(ROW(),COLUMN(),4)),CONFIG!$A$15:$B$28,2,FALSE),"")</f>
        <v/>
      </c>
      <c r="Y66" s="132">
        <f>IFERROR(VLOOKUP(INDIRECT($B$1&amp;"!"&amp;ADDRESS(ROW(),COLUMN(),4)),CONFIG!$A$15:$B$28,2,FALSE),"")</f>
        <v/>
      </c>
      <c r="Z66" s="132">
        <f>IFERROR(VLOOKUP(INDIRECT($B$1&amp;"!"&amp;ADDRESS(ROW(),COLUMN(),4)),CONFIG!$A$15:$B$28,2,FALSE),"")</f>
        <v/>
      </c>
      <c r="AA66" s="132">
        <f>IFERROR(VLOOKUP(INDIRECT($B$1&amp;"!"&amp;ADDRESS(ROW(),COLUMN(),4)),CONFIG!$A$15:$B$28,2,FALSE),"")</f>
        <v/>
      </c>
      <c r="AB66" s="132">
        <f>IFERROR(VLOOKUP(INDIRECT($B$1&amp;"!"&amp;ADDRESS(ROW(),COLUMN(),4)),CONFIG!$A$15:$B$28,2,FALSE),"")</f>
        <v/>
      </c>
      <c r="AC66" s="132">
        <f>IFERROR(VLOOKUP(INDIRECT($B$1&amp;"!"&amp;ADDRESS(ROW(),COLUMN(),4)),CONFIG!$A$15:$B$28,2,FALSE),"")</f>
        <v/>
      </c>
      <c r="AD66" s="132">
        <f>IFERROR(VLOOKUP(INDIRECT($B$1&amp;"!"&amp;ADDRESS(ROW(),COLUMN(),4)),CONFIG!$A$15:$B$28,2,FALSE),"")</f>
        <v/>
      </c>
      <c r="AE66" s="132">
        <f>IFERROR(VLOOKUP(INDIRECT($B$1&amp;"!"&amp;ADDRESS(ROW(),COLUMN(),4)),CONFIG!$A$15:$B$28,2,FALSE),"")</f>
        <v/>
      </c>
      <c r="AF66" s="132">
        <f>IFERROR(VLOOKUP(INDIRECT($B$1&amp;"!"&amp;ADDRESS(ROW(),COLUMN(),4)),CONFIG!$A$15:$B$28,2,FALSE),"")</f>
        <v/>
      </c>
      <c r="AG66" s="132">
        <f>IFERROR(VLOOKUP(INDIRECT($B$1&amp;"!"&amp;ADDRESS(ROW(),COLUMN(),4)),CONFIG!$A$15:$B$28,2,FALSE),"")</f>
        <v/>
      </c>
    </row>
    <row r="67">
      <c r="A67" s="131" t="inlineStr">
        <is>
          <t>Raquel Assis</t>
        </is>
      </c>
      <c r="C67" s="132">
        <f>IFERROR(VLOOKUP(INDIRECT($B$1&amp;"!"&amp;ADDRESS(ROW(),COLUMN(),4)),CONFIG!$A$15:$B$28,2,FALSE),"")</f>
        <v/>
      </c>
      <c r="D67" s="132">
        <f>IFERROR(VLOOKUP(INDIRECT($B$1&amp;"!"&amp;ADDRESS(ROW(),COLUMN(),4)),CONFIG!$A$15:$B$28,2,FALSE),"")</f>
        <v/>
      </c>
      <c r="E67" s="132">
        <f>IFERROR(VLOOKUP(INDIRECT($B$1&amp;"!"&amp;ADDRESS(ROW(),COLUMN(),4)),CONFIG!$A$15:$B$28,2,FALSE),"")</f>
        <v/>
      </c>
      <c r="F67" s="132">
        <f>IFERROR(VLOOKUP(INDIRECT($B$1&amp;"!"&amp;ADDRESS(ROW(),COLUMN(),4)),CONFIG!$A$15:$B$28,2,FALSE),"")</f>
        <v/>
      </c>
      <c r="G67" s="132">
        <f>IFERROR(VLOOKUP(INDIRECT($B$1&amp;"!"&amp;ADDRESS(ROW(),COLUMN(),4)),CONFIG!$A$15:$B$28,2,FALSE),"")</f>
        <v/>
      </c>
      <c r="H67" s="132">
        <f>IFERROR(VLOOKUP(INDIRECT($B$1&amp;"!"&amp;ADDRESS(ROW(),COLUMN(),4)),CONFIG!$A$15:$B$28,2,FALSE),"")</f>
        <v/>
      </c>
      <c r="I67" s="132">
        <f>IFERROR(VLOOKUP(INDIRECT($B$1&amp;"!"&amp;ADDRESS(ROW(),COLUMN(),4)),CONFIG!$A$15:$B$28,2,FALSE),"")</f>
        <v/>
      </c>
      <c r="J67" s="132">
        <f>IFERROR(VLOOKUP(INDIRECT($B$1&amp;"!"&amp;ADDRESS(ROW(),COLUMN(),4)),CONFIG!$A$15:$B$28,2,FALSE),"")</f>
        <v/>
      </c>
      <c r="K67" s="132">
        <f>IFERROR(VLOOKUP(INDIRECT($B$1&amp;"!"&amp;ADDRESS(ROW(),COLUMN(),4)),CONFIG!$A$15:$B$28,2,FALSE),"")</f>
        <v/>
      </c>
      <c r="L67" s="132">
        <f>IFERROR(VLOOKUP(INDIRECT($B$1&amp;"!"&amp;ADDRESS(ROW(),COLUMN(),4)),CONFIG!$A$15:$B$28,2,FALSE),"")</f>
        <v/>
      </c>
      <c r="M67" s="132">
        <f>IFERROR(VLOOKUP(INDIRECT($B$1&amp;"!"&amp;ADDRESS(ROW(),COLUMN(),4)),CONFIG!$A$15:$B$28,2,FALSE),"")</f>
        <v/>
      </c>
      <c r="N67" s="132">
        <f>IFERROR(VLOOKUP(INDIRECT($B$1&amp;"!"&amp;ADDRESS(ROW(),COLUMN(),4)),CONFIG!$A$15:$B$28,2,FALSE),"")</f>
        <v/>
      </c>
      <c r="O67" s="132">
        <f>IFERROR(VLOOKUP(INDIRECT($B$1&amp;"!"&amp;ADDRESS(ROW(),COLUMN(),4)),CONFIG!$A$15:$B$28,2,FALSE),"")</f>
        <v/>
      </c>
      <c r="P67" s="132">
        <f>IFERROR(VLOOKUP(INDIRECT($B$1&amp;"!"&amp;ADDRESS(ROW(),COLUMN(),4)),CONFIG!$A$15:$B$28,2,FALSE),"")</f>
        <v/>
      </c>
      <c r="Q67" s="132">
        <f>IFERROR(VLOOKUP(INDIRECT($B$1&amp;"!"&amp;ADDRESS(ROW(),COLUMN(),4)),CONFIG!$A$15:$B$28,2,FALSE),"")</f>
        <v/>
      </c>
      <c r="R67" s="132">
        <f>IFERROR(VLOOKUP(INDIRECT($B$1&amp;"!"&amp;ADDRESS(ROW(),COLUMN(),4)),CONFIG!$A$15:$B$28,2,FALSE),"")</f>
        <v/>
      </c>
      <c r="S67" s="132">
        <f>IFERROR(VLOOKUP(INDIRECT($B$1&amp;"!"&amp;ADDRESS(ROW(),COLUMN(),4)),CONFIG!$A$15:$B$28,2,FALSE),"")</f>
        <v/>
      </c>
      <c r="T67" s="132">
        <f>IFERROR(VLOOKUP(INDIRECT($B$1&amp;"!"&amp;ADDRESS(ROW(),COLUMN(),4)),CONFIG!$A$15:$B$28,2,FALSE),"")</f>
        <v/>
      </c>
      <c r="U67" s="132">
        <f>IFERROR(VLOOKUP(INDIRECT($B$1&amp;"!"&amp;ADDRESS(ROW(),COLUMN(),4)),CONFIG!$A$15:$B$28,2,FALSE),"")</f>
        <v/>
      </c>
      <c r="V67" s="132">
        <f>IFERROR(VLOOKUP(INDIRECT($B$1&amp;"!"&amp;ADDRESS(ROW(),COLUMN(),4)),CONFIG!$A$15:$B$28,2,FALSE),"")</f>
        <v/>
      </c>
      <c r="W67" s="132">
        <f>IFERROR(VLOOKUP(INDIRECT($B$1&amp;"!"&amp;ADDRESS(ROW(),COLUMN(),4)),CONFIG!$A$15:$B$28,2,FALSE),"")</f>
        <v/>
      </c>
      <c r="X67" s="132">
        <f>IFERROR(VLOOKUP(INDIRECT($B$1&amp;"!"&amp;ADDRESS(ROW(),COLUMN(),4)),CONFIG!$A$15:$B$28,2,FALSE),"")</f>
        <v/>
      </c>
      <c r="Y67" s="132">
        <f>IFERROR(VLOOKUP(INDIRECT($B$1&amp;"!"&amp;ADDRESS(ROW(),COLUMN(),4)),CONFIG!$A$15:$B$28,2,FALSE),"")</f>
        <v/>
      </c>
      <c r="Z67" s="132">
        <f>IFERROR(VLOOKUP(INDIRECT($B$1&amp;"!"&amp;ADDRESS(ROW(),COLUMN(),4)),CONFIG!$A$15:$B$28,2,FALSE),"")</f>
        <v/>
      </c>
      <c r="AA67" s="132">
        <f>IFERROR(VLOOKUP(INDIRECT($B$1&amp;"!"&amp;ADDRESS(ROW(),COLUMN(),4)),CONFIG!$A$15:$B$28,2,FALSE),"")</f>
        <v/>
      </c>
      <c r="AB67" s="132">
        <f>IFERROR(VLOOKUP(INDIRECT($B$1&amp;"!"&amp;ADDRESS(ROW(),COLUMN(),4)),CONFIG!$A$15:$B$28,2,FALSE),"")</f>
        <v/>
      </c>
      <c r="AC67" s="132">
        <f>IFERROR(VLOOKUP(INDIRECT($B$1&amp;"!"&amp;ADDRESS(ROW(),COLUMN(),4)),CONFIG!$A$15:$B$28,2,FALSE),"")</f>
        <v/>
      </c>
      <c r="AD67" s="132">
        <f>IFERROR(VLOOKUP(INDIRECT($B$1&amp;"!"&amp;ADDRESS(ROW(),COLUMN(),4)),CONFIG!$A$15:$B$28,2,FALSE),"")</f>
        <v/>
      </c>
      <c r="AE67" s="132">
        <f>IFERROR(VLOOKUP(INDIRECT($B$1&amp;"!"&amp;ADDRESS(ROW(),COLUMN(),4)),CONFIG!$A$15:$B$28,2,FALSE),"")</f>
        <v/>
      </c>
      <c r="AF67" s="132">
        <f>IFERROR(VLOOKUP(INDIRECT($B$1&amp;"!"&amp;ADDRESS(ROW(),COLUMN(),4)),CONFIG!$A$15:$B$28,2,FALSE),"")</f>
        <v/>
      </c>
      <c r="AG67" s="132">
        <f>IFERROR(VLOOKUP(INDIRECT($B$1&amp;"!"&amp;ADDRESS(ROW(),COLUMN(),4)),CONFIG!$A$15:$B$28,2,FALSE),"")</f>
        <v/>
      </c>
    </row>
    <row r="68">
      <c r="A68" s="131" t="inlineStr">
        <is>
          <t>Thamyres</t>
        </is>
      </c>
      <c r="C68" s="132">
        <f>IFERROR(VLOOKUP(INDIRECT($B$1&amp;"!"&amp;ADDRESS(ROW(),COLUMN(),4)),CONFIG!$A$15:$B$28,2,FALSE),"")</f>
        <v/>
      </c>
      <c r="D68" s="132">
        <f>IFERROR(VLOOKUP(INDIRECT($B$1&amp;"!"&amp;ADDRESS(ROW(),COLUMN(),4)),CONFIG!$A$15:$B$28,2,FALSE),"")</f>
        <v/>
      </c>
      <c r="E68" s="132">
        <f>IFERROR(VLOOKUP(INDIRECT($B$1&amp;"!"&amp;ADDRESS(ROW(),COLUMN(),4)),CONFIG!$A$15:$B$28,2,FALSE),"")</f>
        <v/>
      </c>
      <c r="F68" s="132">
        <f>IFERROR(VLOOKUP(INDIRECT($B$1&amp;"!"&amp;ADDRESS(ROW(),COLUMN(),4)),CONFIG!$A$15:$B$28,2,FALSE),"")</f>
        <v/>
      </c>
      <c r="G68" s="132">
        <f>IFERROR(VLOOKUP(INDIRECT($B$1&amp;"!"&amp;ADDRESS(ROW(),COLUMN(),4)),CONFIG!$A$15:$B$28,2,FALSE),"")</f>
        <v/>
      </c>
      <c r="H68" s="132">
        <f>IFERROR(VLOOKUP(INDIRECT($B$1&amp;"!"&amp;ADDRESS(ROW(),COLUMN(),4)),CONFIG!$A$15:$B$28,2,FALSE),"")</f>
        <v/>
      </c>
      <c r="I68" s="132">
        <f>IFERROR(VLOOKUP(INDIRECT($B$1&amp;"!"&amp;ADDRESS(ROW(),COLUMN(),4)),CONFIG!$A$15:$B$28,2,FALSE),"")</f>
        <v/>
      </c>
      <c r="J68" s="132">
        <f>IFERROR(VLOOKUP(INDIRECT($B$1&amp;"!"&amp;ADDRESS(ROW(),COLUMN(),4)),CONFIG!$A$15:$B$28,2,FALSE),"")</f>
        <v/>
      </c>
      <c r="K68" s="132">
        <f>IFERROR(VLOOKUP(INDIRECT($B$1&amp;"!"&amp;ADDRESS(ROW(),COLUMN(),4)),CONFIG!$A$15:$B$28,2,FALSE),"")</f>
        <v/>
      </c>
      <c r="L68" s="132">
        <f>IFERROR(VLOOKUP(INDIRECT($B$1&amp;"!"&amp;ADDRESS(ROW(),COLUMN(),4)),CONFIG!$A$15:$B$28,2,FALSE),"")</f>
        <v/>
      </c>
      <c r="M68" s="132">
        <f>IFERROR(VLOOKUP(INDIRECT($B$1&amp;"!"&amp;ADDRESS(ROW(),COLUMN(),4)),CONFIG!$A$15:$B$28,2,FALSE),"")</f>
        <v/>
      </c>
      <c r="N68" s="132">
        <f>IFERROR(VLOOKUP(INDIRECT($B$1&amp;"!"&amp;ADDRESS(ROW(),COLUMN(),4)),CONFIG!$A$15:$B$28,2,FALSE),"")</f>
        <v/>
      </c>
      <c r="O68" s="132">
        <f>IFERROR(VLOOKUP(INDIRECT($B$1&amp;"!"&amp;ADDRESS(ROW(),COLUMN(),4)),CONFIG!$A$15:$B$28,2,FALSE),"")</f>
        <v/>
      </c>
      <c r="P68" s="132">
        <f>IFERROR(VLOOKUP(INDIRECT($B$1&amp;"!"&amp;ADDRESS(ROW(),COLUMN(),4)),CONFIG!$A$15:$B$28,2,FALSE),"")</f>
        <v/>
      </c>
      <c r="Q68" s="132">
        <f>IFERROR(VLOOKUP(INDIRECT($B$1&amp;"!"&amp;ADDRESS(ROW(),COLUMN(),4)),CONFIG!$A$15:$B$28,2,FALSE),"")</f>
        <v/>
      </c>
      <c r="R68" s="132">
        <f>IFERROR(VLOOKUP(INDIRECT($B$1&amp;"!"&amp;ADDRESS(ROW(),COLUMN(),4)),CONFIG!$A$15:$B$28,2,FALSE),"")</f>
        <v/>
      </c>
      <c r="S68" s="132">
        <f>IFERROR(VLOOKUP(INDIRECT($B$1&amp;"!"&amp;ADDRESS(ROW(),COLUMN(),4)),CONFIG!$A$15:$B$28,2,FALSE),"")</f>
        <v/>
      </c>
      <c r="T68" s="132">
        <f>IFERROR(VLOOKUP(INDIRECT($B$1&amp;"!"&amp;ADDRESS(ROW(),COLUMN(),4)),CONFIG!$A$15:$B$28,2,FALSE),"")</f>
        <v/>
      </c>
      <c r="U68" s="132">
        <f>IFERROR(VLOOKUP(INDIRECT($B$1&amp;"!"&amp;ADDRESS(ROW(),COLUMN(),4)),CONFIG!$A$15:$B$28,2,FALSE),"")</f>
        <v/>
      </c>
      <c r="V68" s="132">
        <f>IFERROR(VLOOKUP(INDIRECT($B$1&amp;"!"&amp;ADDRESS(ROW(),COLUMN(),4)),CONFIG!$A$15:$B$28,2,FALSE),"")</f>
        <v/>
      </c>
      <c r="W68" s="132">
        <f>IFERROR(VLOOKUP(INDIRECT($B$1&amp;"!"&amp;ADDRESS(ROW(),COLUMN(),4)),CONFIG!$A$15:$B$28,2,FALSE),"")</f>
        <v/>
      </c>
      <c r="X68" s="132">
        <f>IFERROR(VLOOKUP(INDIRECT($B$1&amp;"!"&amp;ADDRESS(ROW(),COLUMN(),4)),CONFIG!$A$15:$B$28,2,FALSE),"")</f>
        <v/>
      </c>
      <c r="Y68" s="132">
        <f>IFERROR(VLOOKUP(INDIRECT($B$1&amp;"!"&amp;ADDRESS(ROW(),COLUMN(),4)),CONFIG!$A$15:$B$28,2,FALSE),"")</f>
        <v/>
      </c>
      <c r="Z68" s="132">
        <f>IFERROR(VLOOKUP(INDIRECT($B$1&amp;"!"&amp;ADDRESS(ROW(),COLUMN(),4)),CONFIG!$A$15:$B$28,2,FALSE),"")</f>
        <v/>
      </c>
      <c r="AA68" s="132">
        <f>IFERROR(VLOOKUP(INDIRECT($B$1&amp;"!"&amp;ADDRESS(ROW(),COLUMN(),4)),CONFIG!$A$15:$B$28,2,FALSE),"")</f>
        <v/>
      </c>
      <c r="AB68" s="132">
        <f>IFERROR(VLOOKUP(INDIRECT($B$1&amp;"!"&amp;ADDRESS(ROW(),COLUMN(),4)),CONFIG!$A$15:$B$28,2,FALSE),"")</f>
        <v/>
      </c>
      <c r="AC68" s="132">
        <f>IFERROR(VLOOKUP(INDIRECT($B$1&amp;"!"&amp;ADDRESS(ROW(),COLUMN(),4)),CONFIG!$A$15:$B$28,2,FALSE),"")</f>
        <v/>
      </c>
      <c r="AD68" s="132">
        <f>IFERROR(VLOOKUP(INDIRECT($B$1&amp;"!"&amp;ADDRESS(ROW(),COLUMN(),4)),CONFIG!$A$15:$B$28,2,FALSE),"")</f>
        <v/>
      </c>
      <c r="AE68" s="132">
        <f>IFERROR(VLOOKUP(INDIRECT($B$1&amp;"!"&amp;ADDRESS(ROW(),COLUMN(),4)),CONFIG!$A$15:$B$28,2,FALSE),"")</f>
        <v/>
      </c>
      <c r="AF68" s="132">
        <f>IFERROR(VLOOKUP(INDIRECT($B$1&amp;"!"&amp;ADDRESS(ROW(),COLUMN(),4)),CONFIG!$A$15:$B$28,2,FALSE),"")</f>
        <v/>
      </c>
      <c r="AG68" s="132">
        <f>IFERROR(VLOOKUP(INDIRECT($B$1&amp;"!"&amp;ADDRESS(ROW(),COLUMN(),4)),CONFIG!$A$15:$B$28,2,FALSE),"")</f>
        <v/>
      </c>
    </row>
    <row r="69">
      <c r="A69" s="131" t="inlineStr">
        <is>
          <t>Vanessa</t>
        </is>
      </c>
      <c r="C69" s="132">
        <f>IFERROR(VLOOKUP(INDIRECT($B$1&amp;"!"&amp;ADDRESS(ROW(),COLUMN(),4)),CONFIG!$A$15:$B$28,2,FALSE),"")</f>
        <v/>
      </c>
      <c r="D69" s="132">
        <f>IFERROR(VLOOKUP(INDIRECT($B$1&amp;"!"&amp;ADDRESS(ROW(),COLUMN(),4)),CONFIG!$A$15:$B$28,2,FALSE),"")</f>
        <v/>
      </c>
      <c r="E69" s="132">
        <f>IFERROR(VLOOKUP(INDIRECT($B$1&amp;"!"&amp;ADDRESS(ROW(),COLUMN(),4)),CONFIG!$A$15:$B$28,2,FALSE),"")</f>
        <v/>
      </c>
      <c r="F69" s="132">
        <f>IFERROR(VLOOKUP(INDIRECT($B$1&amp;"!"&amp;ADDRESS(ROW(),COLUMN(),4)),CONFIG!$A$15:$B$28,2,FALSE),"")</f>
        <v/>
      </c>
      <c r="G69" s="132">
        <f>IFERROR(VLOOKUP(INDIRECT($B$1&amp;"!"&amp;ADDRESS(ROW(),COLUMN(),4)),CONFIG!$A$15:$B$28,2,FALSE),"")</f>
        <v/>
      </c>
      <c r="H69" s="132">
        <f>IFERROR(VLOOKUP(INDIRECT($B$1&amp;"!"&amp;ADDRESS(ROW(),COLUMN(),4)),CONFIG!$A$15:$B$28,2,FALSE),"")</f>
        <v/>
      </c>
      <c r="I69" s="132">
        <f>IFERROR(VLOOKUP(INDIRECT($B$1&amp;"!"&amp;ADDRESS(ROW(),COLUMN(),4)),CONFIG!$A$15:$B$28,2,FALSE),"")</f>
        <v/>
      </c>
      <c r="J69" s="132">
        <f>IFERROR(VLOOKUP(INDIRECT($B$1&amp;"!"&amp;ADDRESS(ROW(),COLUMN(),4)),CONFIG!$A$15:$B$28,2,FALSE),"")</f>
        <v/>
      </c>
      <c r="K69" s="132">
        <f>IFERROR(VLOOKUP(INDIRECT($B$1&amp;"!"&amp;ADDRESS(ROW(),COLUMN(),4)),CONFIG!$A$15:$B$28,2,FALSE),"")</f>
        <v/>
      </c>
      <c r="L69" s="132">
        <f>IFERROR(VLOOKUP(INDIRECT($B$1&amp;"!"&amp;ADDRESS(ROW(),COLUMN(),4)),CONFIG!$A$15:$B$28,2,FALSE),"")</f>
        <v/>
      </c>
      <c r="M69" s="132">
        <f>IFERROR(VLOOKUP(INDIRECT($B$1&amp;"!"&amp;ADDRESS(ROW(),COLUMN(),4)),CONFIG!$A$15:$B$28,2,FALSE),"")</f>
        <v/>
      </c>
      <c r="N69" s="132">
        <f>IFERROR(VLOOKUP(INDIRECT($B$1&amp;"!"&amp;ADDRESS(ROW(),COLUMN(),4)),CONFIG!$A$15:$B$28,2,FALSE),"")</f>
        <v/>
      </c>
      <c r="O69" s="132">
        <f>IFERROR(VLOOKUP(INDIRECT($B$1&amp;"!"&amp;ADDRESS(ROW(),COLUMN(),4)),CONFIG!$A$15:$B$28,2,FALSE),"")</f>
        <v/>
      </c>
      <c r="P69" s="132">
        <f>IFERROR(VLOOKUP(INDIRECT($B$1&amp;"!"&amp;ADDRESS(ROW(),COLUMN(),4)),CONFIG!$A$15:$B$28,2,FALSE),"")</f>
        <v/>
      </c>
      <c r="Q69" s="132">
        <f>IFERROR(VLOOKUP(INDIRECT($B$1&amp;"!"&amp;ADDRESS(ROW(),COLUMN(),4)),CONFIG!$A$15:$B$28,2,FALSE),"")</f>
        <v/>
      </c>
      <c r="R69" s="132">
        <f>IFERROR(VLOOKUP(INDIRECT($B$1&amp;"!"&amp;ADDRESS(ROW(),COLUMN(),4)),CONFIG!$A$15:$B$28,2,FALSE),"")</f>
        <v/>
      </c>
      <c r="S69" s="132">
        <f>IFERROR(VLOOKUP(INDIRECT($B$1&amp;"!"&amp;ADDRESS(ROW(),COLUMN(),4)),CONFIG!$A$15:$B$28,2,FALSE),"")</f>
        <v/>
      </c>
      <c r="T69" s="132">
        <f>IFERROR(VLOOKUP(INDIRECT($B$1&amp;"!"&amp;ADDRESS(ROW(),COLUMN(),4)),CONFIG!$A$15:$B$28,2,FALSE),"")</f>
        <v/>
      </c>
      <c r="U69" s="132">
        <f>IFERROR(VLOOKUP(INDIRECT($B$1&amp;"!"&amp;ADDRESS(ROW(),COLUMN(),4)),CONFIG!$A$15:$B$28,2,FALSE),"")</f>
        <v/>
      </c>
      <c r="V69" s="132">
        <f>IFERROR(VLOOKUP(INDIRECT($B$1&amp;"!"&amp;ADDRESS(ROW(),COLUMN(),4)),CONFIG!$A$15:$B$28,2,FALSE),"")</f>
        <v/>
      </c>
      <c r="W69" s="132">
        <f>IFERROR(VLOOKUP(INDIRECT($B$1&amp;"!"&amp;ADDRESS(ROW(),COLUMN(),4)),CONFIG!$A$15:$B$28,2,FALSE),"")</f>
        <v/>
      </c>
      <c r="X69" s="132">
        <f>IFERROR(VLOOKUP(INDIRECT($B$1&amp;"!"&amp;ADDRESS(ROW(),COLUMN(),4)),CONFIG!$A$15:$B$28,2,FALSE),"")</f>
        <v/>
      </c>
      <c r="Y69" s="132">
        <f>IFERROR(VLOOKUP(INDIRECT($B$1&amp;"!"&amp;ADDRESS(ROW(),COLUMN(),4)),CONFIG!$A$15:$B$28,2,FALSE),"")</f>
        <v/>
      </c>
      <c r="Z69" s="132">
        <f>IFERROR(VLOOKUP(INDIRECT($B$1&amp;"!"&amp;ADDRESS(ROW(),COLUMN(),4)),CONFIG!$A$15:$B$28,2,FALSE),"")</f>
        <v/>
      </c>
      <c r="AA69" s="132">
        <f>IFERROR(VLOOKUP(INDIRECT($B$1&amp;"!"&amp;ADDRESS(ROW(),COLUMN(),4)),CONFIG!$A$15:$B$28,2,FALSE),"")</f>
        <v/>
      </c>
      <c r="AB69" s="132">
        <f>IFERROR(VLOOKUP(INDIRECT($B$1&amp;"!"&amp;ADDRESS(ROW(),COLUMN(),4)),CONFIG!$A$15:$B$28,2,FALSE),"")</f>
        <v/>
      </c>
      <c r="AC69" s="132">
        <f>IFERROR(VLOOKUP(INDIRECT($B$1&amp;"!"&amp;ADDRESS(ROW(),COLUMN(),4)),CONFIG!$A$15:$B$28,2,FALSE),"")</f>
        <v/>
      </c>
      <c r="AD69" s="132">
        <f>IFERROR(VLOOKUP(INDIRECT($B$1&amp;"!"&amp;ADDRESS(ROW(),COLUMN(),4)),CONFIG!$A$15:$B$28,2,FALSE),"")</f>
        <v/>
      </c>
      <c r="AE69" s="132">
        <f>IFERROR(VLOOKUP(INDIRECT($B$1&amp;"!"&amp;ADDRESS(ROW(),COLUMN(),4)),CONFIG!$A$15:$B$28,2,FALSE),"")</f>
        <v/>
      </c>
      <c r="AF69" s="132">
        <f>IFERROR(VLOOKUP(INDIRECT($B$1&amp;"!"&amp;ADDRESS(ROW(),COLUMN(),4)),CONFIG!$A$15:$B$28,2,FALSE),"")</f>
        <v/>
      </c>
      <c r="AG69" s="132">
        <f>IFERROR(VLOOKUP(INDIRECT($B$1&amp;"!"&amp;ADDRESS(ROW(),COLUMN(),4)),CONFIG!$A$15:$B$28,2,FALSE),"")</f>
        <v/>
      </c>
    </row>
    <row r="70">
      <c r="A70" s="131" t="inlineStr">
        <is>
          <t>Henrique Yuji</t>
        </is>
      </c>
      <c r="C70" s="132">
        <f>IFERROR(VLOOKUP(INDIRECT($B$1&amp;"!"&amp;ADDRESS(ROW(),COLUMN(),4)),CONFIG!$A$15:$B$28,2,FALSE),"")</f>
        <v/>
      </c>
      <c r="D70" s="132">
        <f>IFERROR(VLOOKUP(INDIRECT($B$1&amp;"!"&amp;ADDRESS(ROW(),COLUMN(),4)),CONFIG!$A$15:$B$28,2,FALSE),"")</f>
        <v/>
      </c>
      <c r="E70" s="132">
        <f>IFERROR(VLOOKUP(INDIRECT($B$1&amp;"!"&amp;ADDRESS(ROW(),COLUMN(),4)),CONFIG!$A$15:$B$28,2,FALSE),"")</f>
        <v/>
      </c>
      <c r="F70" s="132">
        <f>IFERROR(VLOOKUP(INDIRECT($B$1&amp;"!"&amp;ADDRESS(ROW(),COLUMN(),4)),CONFIG!$A$15:$B$28,2,FALSE),"")</f>
        <v/>
      </c>
      <c r="G70" s="132">
        <f>IFERROR(VLOOKUP(INDIRECT($B$1&amp;"!"&amp;ADDRESS(ROW(),COLUMN(),4)),CONFIG!$A$15:$B$28,2,FALSE),"")</f>
        <v/>
      </c>
      <c r="H70" s="132">
        <f>IFERROR(VLOOKUP(INDIRECT($B$1&amp;"!"&amp;ADDRESS(ROW(),COLUMN(),4)),CONFIG!$A$15:$B$28,2,FALSE),"")</f>
        <v/>
      </c>
      <c r="I70" s="132">
        <f>IFERROR(VLOOKUP(INDIRECT($B$1&amp;"!"&amp;ADDRESS(ROW(),COLUMN(),4)),CONFIG!$A$15:$B$28,2,FALSE),"")</f>
        <v/>
      </c>
      <c r="J70" s="132">
        <f>IFERROR(VLOOKUP(INDIRECT($B$1&amp;"!"&amp;ADDRESS(ROW(),COLUMN(),4)),CONFIG!$A$15:$B$28,2,FALSE),"")</f>
        <v/>
      </c>
      <c r="K70" s="132">
        <f>IFERROR(VLOOKUP(INDIRECT($B$1&amp;"!"&amp;ADDRESS(ROW(),COLUMN(),4)),CONFIG!$A$15:$B$28,2,FALSE),"")</f>
        <v/>
      </c>
      <c r="L70" s="132">
        <f>IFERROR(VLOOKUP(INDIRECT($B$1&amp;"!"&amp;ADDRESS(ROW(),COLUMN(),4)),CONFIG!$A$15:$B$28,2,FALSE),"")</f>
        <v/>
      </c>
      <c r="M70" s="132">
        <f>IFERROR(VLOOKUP(INDIRECT($B$1&amp;"!"&amp;ADDRESS(ROW(),COLUMN(),4)),CONFIG!$A$15:$B$28,2,FALSE),"")</f>
        <v/>
      </c>
      <c r="N70" s="132">
        <f>IFERROR(VLOOKUP(INDIRECT($B$1&amp;"!"&amp;ADDRESS(ROW(),COLUMN(),4)),CONFIG!$A$15:$B$28,2,FALSE),"")</f>
        <v/>
      </c>
      <c r="O70" s="132">
        <f>IFERROR(VLOOKUP(INDIRECT($B$1&amp;"!"&amp;ADDRESS(ROW(),COLUMN(),4)),CONFIG!$A$15:$B$28,2,FALSE),"")</f>
        <v/>
      </c>
      <c r="P70" s="132">
        <f>IFERROR(VLOOKUP(INDIRECT($B$1&amp;"!"&amp;ADDRESS(ROW(),COLUMN(),4)),CONFIG!$A$15:$B$28,2,FALSE),"")</f>
        <v/>
      </c>
      <c r="Q70" s="132">
        <f>IFERROR(VLOOKUP(INDIRECT($B$1&amp;"!"&amp;ADDRESS(ROW(),COLUMN(),4)),CONFIG!$A$15:$B$28,2,FALSE),"")</f>
        <v/>
      </c>
      <c r="R70" s="132">
        <f>IFERROR(VLOOKUP(INDIRECT($B$1&amp;"!"&amp;ADDRESS(ROW(),COLUMN(),4)),CONFIG!$A$15:$B$28,2,FALSE),"")</f>
        <v/>
      </c>
      <c r="S70" s="132">
        <f>IFERROR(VLOOKUP(INDIRECT($B$1&amp;"!"&amp;ADDRESS(ROW(),COLUMN(),4)),CONFIG!$A$15:$B$28,2,FALSE),"")</f>
        <v/>
      </c>
      <c r="T70" s="132">
        <f>IFERROR(VLOOKUP(INDIRECT($B$1&amp;"!"&amp;ADDRESS(ROW(),COLUMN(),4)),CONFIG!$A$15:$B$28,2,FALSE),"")</f>
        <v/>
      </c>
      <c r="U70" s="132">
        <f>IFERROR(VLOOKUP(INDIRECT($B$1&amp;"!"&amp;ADDRESS(ROW(),COLUMN(),4)),CONFIG!$A$15:$B$28,2,FALSE),"")</f>
        <v/>
      </c>
      <c r="V70" s="132">
        <f>IFERROR(VLOOKUP(INDIRECT($B$1&amp;"!"&amp;ADDRESS(ROW(),COLUMN(),4)),CONFIG!$A$15:$B$28,2,FALSE),"")</f>
        <v/>
      </c>
      <c r="W70" s="132">
        <f>IFERROR(VLOOKUP(INDIRECT($B$1&amp;"!"&amp;ADDRESS(ROW(),COLUMN(),4)),CONFIG!$A$15:$B$28,2,FALSE),"")</f>
        <v/>
      </c>
      <c r="X70" s="132">
        <f>IFERROR(VLOOKUP(INDIRECT($B$1&amp;"!"&amp;ADDRESS(ROW(),COLUMN(),4)),CONFIG!$A$15:$B$28,2,FALSE),"")</f>
        <v/>
      </c>
      <c r="Y70" s="132">
        <f>IFERROR(VLOOKUP(INDIRECT($B$1&amp;"!"&amp;ADDRESS(ROW(),COLUMN(),4)),CONFIG!$A$15:$B$28,2,FALSE),"")</f>
        <v/>
      </c>
      <c r="Z70" s="132">
        <f>IFERROR(VLOOKUP(INDIRECT($B$1&amp;"!"&amp;ADDRESS(ROW(),COLUMN(),4)),CONFIG!$A$15:$B$28,2,FALSE),"")</f>
        <v/>
      </c>
      <c r="AA70" s="132">
        <f>IFERROR(VLOOKUP(INDIRECT($B$1&amp;"!"&amp;ADDRESS(ROW(),COLUMN(),4)),CONFIG!$A$15:$B$28,2,FALSE),"")</f>
        <v/>
      </c>
      <c r="AB70" s="132">
        <f>IFERROR(VLOOKUP(INDIRECT($B$1&amp;"!"&amp;ADDRESS(ROW(),COLUMN(),4)),CONFIG!$A$15:$B$28,2,FALSE),"")</f>
        <v/>
      </c>
      <c r="AC70" s="132">
        <f>IFERROR(VLOOKUP(INDIRECT($B$1&amp;"!"&amp;ADDRESS(ROW(),COLUMN(),4)),CONFIG!$A$15:$B$28,2,FALSE),"")</f>
        <v/>
      </c>
      <c r="AD70" s="132">
        <f>IFERROR(VLOOKUP(INDIRECT($B$1&amp;"!"&amp;ADDRESS(ROW(),COLUMN(),4)),CONFIG!$A$15:$B$28,2,FALSE),"")</f>
        <v/>
      </c>
      <c r="AE70" s="132">
        <f>IFERROR(VLOOKUP(INDIRECT($B$1&amp;"!"&amp;ADDRESS(ROW(),COLUMN(),4)),CONFIG!$A$15:$B$28,2,FALSE),"")</f>
        <v/>
      </c>
      <c r="AF70" s="132">
        <f>IFERROR(VLOOKUP(INDIRECT($B$1&amp;"!"&amp;ADDRESS(ROW(),COLUMN(),4)),CONFIG!$A$15:$B$28,2,FALSE),"")</f>
        <v/>
      </c>
      <c r="AG70" s="132">
        <f>IFERROR(VLOOKUP(INDIRECT($B$1&amp;"!"&amp;ADDRESS(ROW(),COLUMN(),4)),CONFIG!$A$15:$B$28,2,FALSE),"")</f>
        <v/>
      </c>
    </row>
    <row r="71">
      <c r="A71" s="131" t="inlineStr">
        <is>
          <t>Julia Isaac</t>
        </is>
      </c>
      <c r="C71" s="132">
        <f>IFERROR(VLOOKUP(INDIRECT($B$1&amp;"!"&amp;ADDRESS(ROW(),COLUMN(),4)),CONFIG!$A$15:$B$28,2,FALSE),"")</f>
        <v/>
      </c>
      <c r="D71" s="132">
        <f>IFERROR(VLOOKUP(INDIRECT($B$1&amp;"!"&amp;ADDRESS(ROW(),COLUMN(),4)),CONFIG!$A$15:$B$28,2,FALSE),"")</f>
        <v/>
      </c>
      <c r="E71" s="132">
        <f>IFERROR(VLOOKUP(INDIRECT($B$1&amp;"!"&amp;ADDRESS(ROW(),COLUMN(),4)),CONFIG!$A$15:$B$28,2,FALSE),"")</f>
        <v/>
      </c>
      <c r="F71" s="132">
        <f>IFERROR(VLOOKUP(INDIRECT($B$1&amp;"!"&amp;ADDRESS(ROW(),COLUMN(),4)),CONFIG!$A$15:$B$28,2,FALSE),"")</f>
        <v/>
      </c>
      <c r="G71" s="132">
        <f>IFERROR(VLOOKUP(INDIRECT($B$1&amp;"!"&amp;ADDRESS(ROW(),COLUMN(),4)),CONFIG!$A$15:$B$28,2,FALSE),"")</f>
        <v/>
      </c>
      <c r="H71" s="132">
        <f>IFERROR(VLOOKUP(INDIRECT($B$1&amp;"!"&amp;ADDRESS(ROW(),COLUMN(),4)),CONFIG!$A$15:$B$28,2,FALSE),"")</f>
        <v/>
      </c>
      <c r="I71" s="132">
        <f>IFERROR(VLOOKUP(INDIRECT($B$1&amp;"!"&amp;ADDRESS(ROW(),COLUMN(),4)),CONFIG!$A$15:$B$28,2,FALSE),"")</f>
        <v/>
      </c>
      <c r="J71" s="132">
        <f>IFERROR(VLOOKUP(INDIRECT($B$1&amp;"!"&amp;ADDRESS(ROW(),COLUMN(),4)),CONFIG!$A$15:$B$28,2,FALSE),"")</f>
        <v/>
      </c>
      <c r="K71" s="132">
        <f>IFERROR(VLOOKUP(INDIRECT($B$1&amp;"!"&amp;ADDRESS(ROW(),COLUMN(),4)),CONFIG!$A$15:$B$28,2,FALSE),"")</f>
        <v/>
      </c>
      <c r="L71" s="132">
        <f>IFERROR(VLOOKUP(INDIRECT($B$1&amp;"!"&amp;ADDRESS(ROW(),COLUMN(),4)),CONFIG!$A$15:$B$28,2,FALSE),"")</f>
        <v/>
      </c>
      <c r="M71" s="132">
        <f>IFERROR(VLOOKUP(INDIRECT($B$1&amp;"!"&amp;ADDRESS(ROW(),COLUMN(),4)),CONFIG!$A$15:$B$28,2,FALSE),"")</f>
        <v/>
      </c>
      <c r="N71" s="132">
        <f>IFERROR(VLOOKUP(INDIRECT($B$1&amp;"!"&amp;ADDRESS(ROW(),COLUMN(),4)),CONFIG!$A$15:$B$28,2,FALSE),"")</f>
        <v/>
      </c>
      <c r="O71" s="132">
        <f>IFERROR(VLOOKUP(INDIRECT($B$1&amp;"!"&amp;ADDRESS(ROW(),COLUMN(),4)),CONFIG!$A$15:$B$28,2,FALSE),"")</f>
        <v/>
      </c>
      <c r="P71" s="132">
        <f>IFERROR(VLOOKUP(INDIRECT($B$1&amp;"!"&amp;ADDRESS(ROW(),COLUMN(),4)),CONFIG!$A$15:$B$28,2,FALSE),"")</f>
        <v/>
      </c>
      <c r="Q71" s="132">
        <f>IFERROR(VLOOKUP(INDIRECT($B$1&amp;"!"&amp;ADDRESS(ROW(),COLUMN(),4)),CONFIG!$A$15:$B$28,2,FALSE),"")</f>
        <v/>
      </c>
      <c r="R71" s="132">
        <f>IFERROR(VLOOKUP(INDIRECT($B$1&amp;"!"&amp;ADDRESS(ROW(),COLUMN(),4)),CONFIG!$A$15:$B$28,2,FALSE),"")</f>
        <v/>
      </c>
      <c r="S71" s="132">
        <f>IFERROR(VLOOKUP(INDIRECT($B$1&amp;"!"&amp;ADDRESS(ROW(),COLUMN(),4)),CONFIG!$A$15:$B$28,2,FALSE),"")</f>
        <v/>
      </c>
      <c r="T71" s="132">
        <f>IFERROR(VLOOKUP(INDIRECT($B$1&amp;"!"&amp;ADDRESS(ROW(),COLUMN(),4)),CONFIG!$A$15:$B$28,2,FALSE),"")</f>
        <v/>
      </c>
      <c r="U71" s="132">
        <f>IFERROR(VLOOKUP(INDIRECT($B$1&amp;"!"&amp;ADDRESS(ROW(),COLUMN(),4)),CONFIG!$A$15:$B$28,2,FALSE),"")</f>
        <v/>
      </c>
      <c r="V71" s="132">
        <f>IFERROR(VLOOKUP(INDIRECT($B$1&amp;"!"&amp;ADDRESS(ROW(),COLUMN(),4)),CONFIG!$A$15:$B$28,2,FALSE),"")</f>
        <v/>
      </c>
      <c r="W71" s="132">
        <f>IFERROR(VLOOKUP(INDIRECT($B$1&amp;"!"&amp;ADDRESS(ROW(),COLUMN(),4)),CONFIG!$A$15:$B$28,2,FALSE),"")</f>
        <v/>
      </c>
      <c r="X71" s="132">
        <f>IFERROR(VLOOKUP(INDIRECT($B$1&amp;"!"&amp;ADDRESS(ROW(),COLUMN(),4)),CONFIG!$A$15:$B$28,2,FALSE),"")</f>
        <v/>
      </c>
      <c r="Y71" s="132">
        <f>IFERROR(VLOOKUP(INDIRECT($B$1&amp;"!"&amp;ADDRESS(ROW(),COLUMN(),4)),CONFIG!$A$15:$B$28,2,FALSE),"")</f>
        <v/>
      </c>
      <c r="Z71" s="132">
        <f>IFERROR(VLOOKUP(INDIRECT($B$1&amp;"!"&amp;ADDRESS(ROW(),COLUMN(),4)),CONFIG!$A$15:$B$28,2,FALSE),"")</f>
        <v/>
      </c>
      <c r="AA71" s="132">
        <f>IFERROR(VLOOKUP(INDIRECT($B$1&amp;"!"&amp;ADDRESS(ROW(),COLUMN(),4)),CONFIG!$A$15:$B$28,2,FALSE),"")</f>
        <v/>
      </c>
      <c r="AB71" s="132">
        <f>IFERROR(VLOOKUP(INDIRECT($B$1&amp;"!"&amp;ADDRESS(ROW(),COLUMN(),4)),CONFIG!$A$15:$B$28,2,FALSE),"")</f>
        <v/>
      </c>
      <c r="AC71" s="132">
        <f>IFERROR(VLOOKUP(INDIRECT($B$1&amp;"!"&amp;ADDRESS(ROW(),COLUMN(),4)),CONFIG!$A$15:$B$28,2,FALSE),"")</f>
        <v/>
      </c>
      <c r="AD71" s="132">
        <f>IFERROR(VLOOKUP(INDIRECT($B$1&amp;"!"&amp;ADDRESS(ROW(),COLUMN(),4)),CONFIG!$A$15:$B$28,2,FALSE),"")</f>
        <v/>
      </c>
      <c r="AE71" s="132">
        <f>IFERROR(VLOOKUP(INDIRECT($B$1&amp;"!"&amp;ADDRESS(ROW(),COLUMN(),4)),CONFIG!$A$15:$B$28,2,FALSE),"")</f>
        <v/>
      </c>
      <c r="AF71" s="132">
        <f>IFERROR(VLOOKUP(INDIRECT($B$1&amp;"!"&amp;ADDRESS(ROW(),COLUMN(),4)),CONFIG!$A$15:$B$28,2,FALSE),"")</f>
        <v/>
      </c>
      <c r="AG71" s="132">
        <f>IFERROR(VLOOKUP(INDIRECT($B$1&amp;"!"&amp;ADDRESS(ROW(),COLUMN(),4)),CONFIG!$A$15:$B$28,2,FALSE),"")</f>
        <v/>
      </c>
    </row>
    <row r="72">
      <c r="A72" s="131" t="inlineStr">
        <is>
          <t>Stephanie</t>
        </is>
      </c>
      <c r="C72" s="132">
        <f>IFERROR(VLOOKUP(INDIRECT($B$1&amp;"!"&amp;ADDRESS(ROW(),COLUMN(),4)),CONFIG!$A$15:$B$28,2,FALSE),"")</f>
        <v/>
      </c>
      <c r="D72" s="132">
        <f>IFERROR(VLOOKUP(INDIRECT($B$1&amp;"!"&amp;ADDRESS(ROW(),COLUMN(),4)),CONFIG!$A$15:$B$28,2,FALSE),"")</f>
        <v/>
      </c>
      <c r="E72" s="132">
        <f>IFERROR(VLOOKUP(INDIRECT($B$1&amp;"!"&amp;ADDRESS(ROW(),COLUMN(),4)),CONFIG!$A$15:$B$28,2,FALSE),"")</f>
        <v/>
      </c>
      <c r="F72" s="132">
        <f>IFERROR(VLOOKUP(INDIRECT($B$1&amp;"!"&amp;ADDRESS(ROW(),COLUMN(),4)),CONFIG!$A$15:$B$28,2,FALSE),"")</f>
        <v/>
      </c>
      <c r="G72" s="132">
        <f>IFERROR(VLOOKUP(INDIRECT($B$1&amp;"!"&amp;ADDRESS(ROW(),COLUMN(),4)),CONFIG!$A$15:$B$28,2,FALSE),"")</f>
        <v/>
      </c>
      <c r="H72" s="132">
        <f>IFERROR(VLOOKUP(INDIRECT($B$1&amp;"!"&amp;ADDRESS(ROW(),COLUMN(),4)),CONFIG!$A$15:$B$28,2,FALSE),"")</f>
        <v/>
      </c>
      <c r="I72" s="132">
        <f>IFERROR(VLOOKUP(INDIRECT($B$1&amp;"!"&amp;ADDRESS(ROW(),COLUMN(),4)),CONFIG!$A$15:$B$28,2,FALSE),"")</f>
        <v/>
      </c>
      <c r="J72" s="132">
        <f>IFERROR(VLOOKUP(INDIRECT($B$1&amp;"!"&amp;ADDRESS(ROW(),COLUMN(),4)),CONFIG!$A$15:$B$28,2,FALSE),"")</f>
        <v/>
      </c>
      <c r="K72" s="132">
        <f>IFERROR(VLOOKUP(INDIRECT($B$1&amp;"!"&amp;ADDRESS(ROW(),COLUMN(),4)),CONFIG!$A$15:$B$28,2,FALSE),"")</f>
        <v/>
      </c>
      <c r="L72" s="132">
        <f>IFERROR(VLOOKUP(INDIRECT($B$1&amp;"!"&amp;ADDRESS(ROW(),COLUMN(),4)),CONFIG!$A$15:$B$28,2,FALSE),"")</f>
        <v/>
      </c>
      <c r="M72" s="132">
        <f>IFERROR(VLOOKUP(INDIRECT($B$1&amp;"!"&amp;ADDRESS(ROW(),COLUMN(),4)),CONFIG!$A$15:$B$28,2,FALSE),"")</f>
        <v/>
      </c>
      <c r="N72" s="132">
        <f>IFERROR(VLOOKUP(INDIRECT($B$1&amp;"!"&amp;ADDRESS(ROW(),COLUMN(),4)),CONFIG!$A$15:$B$28,2,FALSE),"")</f>
        <v/>
      </c>
      <c r="O72" s="132">
        <f>IFERROR(VLOOKUP(INDIRECT($B$1&amp;"!"&amp;ADDRESS(ROW(),COLUMN(),4)),CONFIG!$A$15:$B$28,2,FALSE),"")</f>
        <v/>
      </c>
      <c r="P72" s="132">
        <f>IFERROR(VLOOKUP(INDIRECT($B$1&amp;"!"&amp;ADDRESS(ROW(),COLUMN(),4)),CONFIG!$A$15:$B$28,2,FALSE),"")</f>
        <v/>
      </c>
      <c r="Q72" s="132">
        <f>IFERROR(VLOOKUP(INDIRECT($B$1&amp;"!"&amp;ADDRESS(ROW(),COLUMN(),4)),CONFIG!$A$15:$B$28,2,FALSE),"")</f>
        <v/>
      </c>
      <c r="R72" s="132">
        <f>IFERROR(VLOOKUP(INDIRECT($B$1&amp;"!"&amp;ADDRESS(ROW(),COLUMN(),4)),CONFIG!$A$15:$B$28,2,FALSE),"")</f>
        <v/>
      </c>
      <c r="S72" s="132">
        <f>IFERROR(VLOOKUP(INDIRECT($B$1&amp;"!"&amp;ADDRESS(ROW(),COLUMN(),4)),CONFIG!$A$15:$B$28,2,FALSE),"")</f>
        <v/>
      </c>
      <c r="T72" s="132">
        <f>IFERROR(VLOOKUP(INDIRECT($B$1&amp;"!"&amp;ADDRESS(ROW(),COLUMN(),4)),CONFIG!$A$15:$B$28,2,FALSE),"")</f>
        <v/>
      </c>
      <c r="U72" s="132">
        <f>IFERROR(VLOOKUP(INDIRECT($B$1&amp;"!"&amp;ADDRESS(ROW(),COLUMN(),4)),CONFIG!$A$15:$B$28,2,FALSE),"")</f>
        <v/>
      </c>
      <c r="V72" s="132">
        <f>IFERROR(VLOOKUP(INDIRECT($B$1&amp;"!"&amp;ADDRESS(ROW(),COLUMN(),4)),CONFIG!$A$15:$B$28,2,FALSE),"")</f>
        <v/>
      </c>
      <c r="W72" s="132">
        <f>IFERROR(VLOOKUP(INDIRECT($B$1&amp;"!"&amp;ADDRESS(ROW(),COLUMN(),4)),CONFIG!$A$15:$B$28,2,FALSE),"")</f>
        <v/>
      </c>
      <c r="X72" s="132">
        <f>IFERROR(VLOOKUP(INDIRECT($B$1&amp;"!"&amp;ADDRESS(ROW(),COLUMN(),4)),CONFIG!$A$15:$B$28,2,FALSE),"")</f>
        <v/>
      </c>
      <c r="Y72" s="132">
        <f>IFERROR(VLOOKUP(INDIRECT($B$1&amp;"!"&amp;ADDRESS(ROW(),COLUMN(),4)),CONFIG!$A$15:$B$28,2,FALSE),"")</f>
        <v/>
      </c>
      <c r="Z72" s="132">
        <f>IFERROR(VLOOKUP(INDIRECT($B$1&amp;"!"&amp;ADDRESS(ROW(),COLUMN(),4)),CONFIG!$A$15:$B$28,2,FALSE),"")</f>
        <v/>
      </c>
      <c r="AA72" s="132">
        <f>IFERROR(VLOOKUP(INDIRECT($B$1&amp;"!"&amp;ADDRESS(ROW(),COLUMN(),4)),CONFIG!$A$15:$B$28,2,FALSE),"")</f>
        <v/>
      </c>
      <c r="AB72" s="132">
        <f>IFERROR(VLOOKUP(INDIRECT($B$1&amp;"!"&amp;ADDRESS(ROW(),COLUMN(),4)),CONFIG!$A$15:$B$28,2,FALSE),"")</f>
        <v/>
      </c>
      <c r="AC72" s="132">
        <f>IFERROR(VLOOKUP(INDIRECT($B$1&amp;"!"&amp;ADDRESS(ROW(),COLUMN(),4)),CONFIG!$A$15:$B$28,2,FALSE),"")</f>
        <v/>
      </c>
      <c r="AD72" s="132">
        <f>IFERROR(VLOOKUP(INDIRECT($B$1&amp;"!"&amp;ADDRESS(ROW(),COLUMN(),4)),CONFIG!$A$15:$B$28,2,FALSE),"")</f>
        <v/>
      </c>
      <c r="AE72" s="132">
        <f>IFERROR(VLOOKUP(INDIRECT($B$1&amp;"!"&amp;ADDRESS(ROW(),COLUMN(),4)),CONFIG!$A$15:$B$28,2,FALSE),"")</f>
        <v/>
      </c>
      <c r="AF72" s="132">
        <f>IFERROR(VLOOKUP(INDIRECT($B$1&amp;"!"&amp;ADDRESS(ROW(),COLUMN(),4)),CONFIG!$A$15:$B$28,2,FALSE),"")</f>
        <v/>
      </c>
      <c r="AG72" s="132">
        <f>IFERROR(VLOOKUP(INDIRECT($B$1&amp;"!"&amp;ADDRESS(ROW(),COLUMN(),4)),CONFIG!$A$15:$B$28,2,FALSE),"")</f>
        <v/>
      </c>
    </row>
    <row r="73">
      <c r="A73" s="131" t="inlineStr">
        <is>
          <t>Mariana Pinheiro</t>
        </is>
      </c>
      <c r="C73" s="132">
        <f>IFERROR(VLOOKUP(INDIRECT($B$1&amp;"!"&amp;ADDRESS(ROW(),COLUMN(),4)),CONFIG!$A$15:$B$28,2,FALSE),"")</f>
        <v/>
      </c>
      <c r="D73" s="132">
        <f>IFERROR(VLOOKUP(INDIRECT($B$1&amp;"!"&amp;ADDRESS(ROW(),COLUMN(),4)),CONFIG!$A$15:$B$28,2,FALSE),"")</f>
        <v/>
      </c>
      <c r="E73" s="132">
        <f>IFERROR(VLOOKUP(INDIRECT($B$1&amp;"!"&amp;ADDRESS(ROW(),COLUMN(),4)),CONFIG!$A$15:$B$28,2,FALSE),"")</f>
        <v/>
      </c>
      <c r="F73" s="132">
        <f>IFERROR(VLOOKUP(INDIRECT($B$1&amp;"!"&amp;ADDRESS(ROW(),COLUMN(),4)),CONFIG!$A$15:$B$28,2,FALSE),"")</f>
        <v/>
      </c>
      <c r="G73" s="132">
        <f>IFERROR(VLOOKUP(INDIRECT($B$1&amp;"!"&amp;ADDRESS(ROW(),COLUMN(),4)),CONFIG!$A$15:$B$28,2,FALSE),"")</f>
        <v/>
      </c>
      <c r="H73" s="132">
        <f>IFERROR(VLOOKUP(INDIRECT($B$1&amp;"!"&amp;ADDRESS(ROW(),COLUMN(),4)),CONFIG!$A$15:$B$28,2,FALSE),"")</f>
        <v/>
      </c>
      <c r="I73" s="132">
        <f>IFERROR(VLOOKUP(INDIRECT($B$1&amp;"!"&amp;ADDRESS(ROW(),COLUMN(),4)),CONFIG!$A$15:$B$28,2,FALSE),"")</f>
        <v/>
      </c>
      <c r="J73" s="132">
        <f>IFERROR(VLOOKUP(INDIRECT($B$1&amp;"!"&amp;ADDRESS(ROW(),COLUMN(),4)),CONFIG!$A$15:$B$28,2,FALSE),"")</f>
        <v/>
      </c>
      <c r="K73" s="132">
        <f>IFERROR(VLOOKUP(INDIRECT($B$1&amp;"!"&amp;ADDRESS(ROW(),COLUMN(),4)),CONFIG!$A$15:$B$28,2,FALSE),"")</f>
        <v/>
      </c>
      <c r="L73" s="132">
        <f>IFERROR(VLOOKUP(INDIRECT($B$1&amp;"!"&amp;ADDRESS(ROW(),COLUMN(),4)),CONFIG!$A$15:$B$28,2,FALSE),"")</f>
        <v/>
      </c>
      <c r="M73" s="132">
        <f>IFERROR(VLOOKUP(INDIRECT($B$1&amp;"!"&amp;ADDRESS(ROW(),COLUMN(),4)),CONFIG!$A$15:$B$28,2,FALSE),"")</f>
        <v/>
      </c>
      <c r="N73" s="132">
        <f>IFERROR(VLOOKUP(INDIRECT($B$1&amp;"!"&amp;ADDRESS(ROW(),COLUMN(),4)),CONFIG!$A$15:$B$28,2,FALSE),"")</f>
        <v/>
      </c>
      <c r="O73" s="132">
        <f>IFERROR(VLOOKUP(INDIRECT($B$1&amp;"!"&amp;ADDRESS(ROW(),COLUMN(),4)),CONFIG!$A$15:$B$28,2,FALSE),"")</f>
        <v/>
      </c>
      <c r="P73" s="132">
        <f>IFERROR(VLOOKUP(INDIRECT($B$1&amp;"!"&amp;ADDRESS(ROW(),COLUMN(),4)),CONFIG!$A$15:$B$28,2,FALSE),"")</f>
        <v/>
      </c>
      <c r="Q73" s="132">
        <f>IFERROR(VLOOKUP(INDIRECT($B$1&amp;"!"&amp;ADDRESS(ROW(),COLUMN(),4)),CONFIG!$A$15:$B$28,2,FALSE),"")</f>
        <v/>
      </c>
      <c r="R73" s="132">
        <f>IFERROR(VLOOKUP(INDIRECT($B$1&amp;"!"&amp;ADDRESS(ROW(),COLUMN(),4)),CONFIG!$A$15:$B$28,2,FALSE),"")</f>
        <v/>
      </c>
      <c r="S73" s="132">
        <f>IFERROR(VLOOKUP(INDIRECT($B$1&amp;"!"&amp;ADDRESS(ROW(),COLUMN(),4)),CONFIG!$A$15:$B$28,2,FALSE),"")</f>
        <v/>
      </c>
      <c r="T73" s="132">
        <f>IFERROR(VLOOKUP(INDIRECT($B$1&amp;"!"&amp;ADDRESS(ROW(),COLUMN(),4)),CONFIG!$A$15:$B$28,2,FALSE),"")</f>
        <v/>
      </c>
      <c r="U73" s="132">
        <f>IFERROR(VLOOKUP(INDIRECT($B$1&amp;"!"&amp;ADDRESS(ROW(),COLUMN(),4)),CONFIG!$A$15:$B$28,2,FALSE),"")</f>
        <v/>
      </c>
      <c r="V73" s="132">
        <f>IFERROR(VLOOKUP(INDIRECT($B$1&amp;"!"&amp;ADDRESS(ROW(),COLUMN(),4)),CONFIG!$A$15:$B$28,2,FALSE),"")</f>
        <v/>
      </c>
      <c r="W73" s="132">
        <f>IFERROR(VLOOKUP(INDIRECT($B$1&amp;"!"&amp;ADDRESS(ROW(),COLUMN(),4)),CONFIG!$A$15:$B$28,2,FALSE),"")</f>
        <v/>
      </c>
      <c r="X73" s="132">
        <f>IFERROR(VLOOKUP(INDIRECT($B$1&amp;"!"&amp;ADDRESS(ROW(),COLUMN(),4)),CONFIG!$A$15:$B$28,2,FALSE),"")</f>
        <v/>
      </c>
      <c r="Y73" s="132">
        <f>IFERROR(VLOOKUP(INDIRECT($B$1&amp;"!"&amp;ADDRESS(ROW(),COLUMN(),4)),CONFIG!$A$15:$B$28,2,FALSE),"")</f>
        <v/>
      </c>
      <c r="Z73" s="132">
        <f>IFERROR(VLOOKUP(INDIRECT($B$1&amp;"!"&amp;ADDRESS(ROW(),COLUMN(),4)),CONFIG!$A$15:$B$28,2,FALSE),"")</f>
        <v/>
      </c>
      <c r="AA73" s="132">
        <f>IFERROR(VLOOKUP(INDIRECT($B$1&amp;"!"&amp;ADDRESS(ROW(),COLUMN(),4)),CONFIG!$A$15:$B$28,2,FALSE),"")</f>
        <v/>
      </c>
      <c r="AB73" s="132">
        <f>IFERROR(VLOOKUP(INDIRECT($B$1&amp;"!"&amp;ADDRESS(ROW(),COLUMN(),4)),CONFIG!$A$15:$B$28,2,FALSE),"")</f>
        <v/>
      </c>
      <c r="AC73" s="132">
        <f>IFERROR(VLOOKUP(INDIRECT($B$1&amp;"!"&amp;ADDRESS(ROW(),COLUMN(),4)),CONFIG!$A$15:$B$28,2,FALSE),"")</f>
        <v/>
      </c>
      <c r="AD73" s="132">
        <f>IFERROR(VLOOKUP(INDIRECT($B$1&amp;"!"&amp;ADDRESS(ROW(),COLUMN(),4)),CONFIG!$A$15:$B$28,2,FALSE),"")</f>
        <v/>
      </c>
      <c r="AE73" s="132">
        <f>IFERROR(VLOOKUP(INDIRECT($B$1&amp;"!"&amp;ADDRESS(ROW(),COLUMN(),4)),CONFIG!$A$15:$B$28,2,FALSE),"")</f>
        <v/>
      </c>
      <c r="AF73" s="132">
        <f>IFERROR(VLOOKUP(INDIRECT($B$1&amp;"!"&amp;ADDRESS(ROW(),COLUMN(),4)),CONFIG!$A$15:$B$28,2,FALSE),"")</f>
        <v/>
      </c>
      <c r="AG73" s="132">
        <f>IFERROR(VLOOKUP(INDIRECT($B$1&amp;"!"&amp;ADDRESS(ROW(),COLUMN(),4)),CONFIG!$A$15:$B$28,2,FALSE),"")</f>
        <v/>
      </c>
    </row>
  </sheetData>
  <dataValidations count="1">
    <dataValidation sqref="B1" showDropDown="0" showInputMessage="0" showErrorMessage="0" allowBlank="0" type="list">
      <formula1>"JAN,FEV,MAR,ABR,MAI,JUN,JUL,AGO,SET,OUT,NOV,DEZ"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77264"/>
    <outlinePr summaryBelow="1" summaryRight="1"/>
    <pageSetUpPr/>
  </sheetPr>
  <dimension ref="A1:N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36" t="inlineStr">
        <is>
          <t>validador · o que fere regra dura</t>
        </is>
      </c>
      <c r="D1" s="60" t="inlineStr">
        <is>
          <t>estrutural = a forma do contrato · pontual = erro daquele mês</t>
        </is>
      </c>
    </row>
    <row r="3">
      <c r="A3" s="133" t="inlineStr">
        <is>
          <t>ESTRUTURAL — decisão de política, não erro de montagem</t>
        </is>
      </c>
    </row>
    <row r="4" ht="28" customHeight="1">
      <c r="A4" s="134" t="inlineStr">
        <is>
          <t>Quem faz 6h de manhã todos os dias tem folga de 18h entre turnos (13h → 07h) e nunca alcança as 24h consecutivas do art. 67. Não é descuido da escala: é a forma do contrato de diarista. Aparece aqui uma vez por semana afetada, pra ficar visível sem virar alarme. Resolver isso é decisão da chefia, não da escalista.</t>
        </is>
      </c>
    </row>
    <row r="6">
      <c r="A6" s="135" t="inlineStr">
        <is>
          <t>médico</t>
        </is>
      </c>
      <c r="B6" s="135" t="inlineStr">
        <is>
          <t>grupo</t>
        </is>
      </c>
      <c r="C6" s="135" t="inlineStr">
        <is>
          <t>quando</t>
        </is>
      </c>
      <c r="D6" s="135" t="inlineStr">
        <is>
          <t>o que acontece</t>
        </is>
      </c>
      <c r="E6" s="135" t="inlineStr">
        <is>
          <t>base</t>
        </is>
      </c>
      <c r="F6" s="135" t="inlineStr">
        <is>
          <t>tratamento</t>
        </is>
      </c>
    </row>
    <row r="7" ht="24" customHeight="1">
      <c r="A7" s="75" t="inlineStr">
        <is>
          <t>Milena</t>
        </is>
      </c>
      <c r="B7" s="136" t="inlineStr">
        <is>
          <t>chefia</t>
        </is>
      </c>
      <c r="C7" s="137" t="inlineStr">
        <is>
          <t>11 semanas</t>
        </is>
      </c>
      <c r="D7" s="65" t="inlineStr">
        <is>
          <t>sem folga de 24h consecutivas nessas semanas: 06/02, 13/02, 27/02, 06/03, 20/03, 03/04, 31/07, 14/08, 11/09, 02/10, 23/10</t>
        </is>
      </c>
      <c r="E7" s="136" t="inlineStr">
        <is>
          <t>art. 67 CLT</t>
        </is>
      </c>
      <c r="F7" s="138" t="inlineStr">
        <is>
          <t>ESTRUTURAL</t>
        </is>
      </c>
    </row>
    <row r="8" ht="24" customHeight="1">
      <c r="A8" s="75" t="inlineStr">
        <is>
          <t>Fred</t>
        </is>
      </c>
      <c r="B8" s="136" t="inlineStr">
        <is>
          <t>chefia</t>
        </is>
      </c>
      <c r="C8" s="137" t="inlineStr">
        <is>
          <t>8 semanas</t>
        </is>
      </c>
      <c r="D8" s="65" t="inlineStr">
        <is>
          <t>sem folga de 24h consecutivas nessas semanas: 13/02, 27/02, 13/03, 27/03, 17/04, 31/07, 21/08, 18/09</t>
        </is>
      </c>
      <c r="E8" s="136" t="inlineStr">
        <is>
          <t>art. 67 CLT</t>
        </is>
      </c>
      <c r="F8" s="138" t="inlineStr">
        <is>
          <t>ESTRUTURAL</t>
        </is>
      </c>
    </row>
    <row r="9" ht="24" customHeight="1">
      <c r="A9" s="75" t="inlineStr">
        <is>
          <t>Pabdo</t>
        </is>
      </c>
      <c r="B9" s="136" t="inlineStr">
        <is>
          <t>chefia</t>
        </is>
      </c>
      <c r="C9" s="137" t="inlineStr">
        <is>
          <t>7 semanas</t>
        </is>
      </c>
      <c r="D9" s="65" t="inlineStr">
        <is>
          <t>sem folga de 24h consecutivas nessas semanas: 15/07, 29/07, 05/08, 26/08, 02/09, 23/09, 14/10</t>
        </is>
      </c>
      <c r="E9" s="136" t="inlineStr">
        <is>
          <t>art. 67 CLT</t>
        </is>
      </c>
      <c r="F9" s="138" t="inlineStr">
        <is>
          <t>ESTRUTURAL</t>
        </is>
      </c>
    </row>
    <row r="10" ht="24" customHeight="1">
      <c r="A10" s="75" t="inlineStr">
        <is>
          <t>Amelio</t>
        </is>
      </c>
      <c r="B10" s="136" t="inlineStr">
        <is>
          <t>chefia</t>
        </is>
      </c>
      <c r="C10" s="137" t="inlineStr">
        <is>
          <t>6 semanas</t>
        </is>
      </c>
      <c r="D10" s="65" t="inlineStr">
        <is>
          <t>sem folga de 24h consecutivas nessas semanas: 30/01, 27/03, 17/07, 31/07, 07/08, 21/08</t>
        </is>
      </c>
      <c r="E10" s="136" t="inlineStr">
        <is>
          <t>art. 67 CLT</t>
        </is>
      </c>
      <c r="F10" s="138" t="inlineStr">
        <is>
          <t>ESTRUTURAL</t>
        </is>
      </c>
    </row>
    <row r="11" ht="24" customHeight="1">
      <c r="A11" s="75" t="inlineStr">
        <is>
          <t>Vinicius</t>
        </is>
      </c>
      <c r="B11" s="136" t="inlineStr">
        <is>
          <t>chefia</t>
        </is>
      </c>
      <c r="C11" s="137" t="inlineStr">
        <is>
          <t>5 semanas</t>
        </is>
      </c>
      <c r="D11" s="65" t="inlineStr">
        <is>
          <t>sem folga de 24h consecutivas nessas semanas: 04/01, 11/01, 22/02, 05/04, 12/07</t>
        </is>
      </c>
      <c r="E11" s="136" t="inlineStr">
        <is>
          <t>art. 67 CLT</t>
        </is>
      </c>
      <c r="F11" s="138" t="inlineStr">
        <is>
          <t>ESTRUTURAL</t>
        </is>
      </c>
    </row>
    <row r="12" ht="24" customHeight="1">
      <c r="A12" s="75" t="inlineStr">
        <is>
          <t>MSalomão</t>
        </is>
      </c>
      <c r="B12" s="136" t="inlineStr">
        <is>
          <t>chefia</t>
        </is>
      </c>
      <c r="C12" s="137" t="inlineStr">
        <is>
          <t>1 semanas</t>
        </is>
      </c>
      <c r="D12" s="65" t="inlineStr">
        <is>
          <t>sem folga de 24h consecutivas nessas semanas: 13/02</t>
        </is>
      </c>
      <c r="E12" s="136" t="inlineStr">
        <is>
          <t>art. 67 CLT</t>
        </is>
      </c>
      <c r="F12" s="138" t="inlineStr">
        <is>
          <t>ESTRUTURAL</t>
        </is>
      </c>
    </row>
    <row r="13" ht="24" customHeight="1">
      <c r="A13" s="75" t="inlineStr">
        <is>
          <t>Stephanie</t>
        </is>
      </c>
      <c r="B13" s="136" t="inlineStr">
        <is>
          <t>administrativo</t>
        </is>
      </c>
      <c r="C13" s="137" t="inlineStr">
        <is>
          <t>1 semanas</t>
        </is>
      </c>
      <c r="D13" s="65" t="inlineStr">
        <is>
          <t>sem folga de 24h consecutivas nessas semanas: 29/06</t>
        </is>
      </c>
      <c r="E13" s="136" t="inlineStr">
        <is>
          <t>art. 67 CLT</t>
        </is>
      </c>
      <c r="F13" s="138" t="inlineStr">
        <is>
          <t>ESTRUTURAL</t>
        </is>
      </c>
    </row>
    <row r="14" ht="24" customHeight="1">
      <c r="A14" s="75" t="inlineStr">
        <is>
          <t>DebAlves</t>
        </is>
      </c>
      <c r="B14" s="136" t="inlineStr">
        <is>
          <t>chefia</t>
        </is>
      </c>
      <c r="C14" s="137" t="inlineStr">
        <is>
          <t>1 semanas</t>
        </is>
      </c>
      <c r="D14" s="65" t="inlineStr">
        <is>
          <t>sem folga de 24h consecutivas nessas semanas: 21/07</t>
        </is>
      </c>
      <c r="E14" s="136" t="inlineStr">
        <is>
          <t>art. 67 CLT</t>
        </is>
      </c>
      <c r="F14" s="138" t="inlineStr">
        <is>
          <t>ESTRUTURAL</t>
        </is>
      </c>
    </row>
    <row r="17">
      <c r="A17" s="139" t="inlineStr">
        <is>
          <t>ALERTA — pontual, o alvo é zero (74)</t>
        </is>
      </c>
    </row>
    <row r="18" ht="28" customHeight="1">
      <c r="A18" s="134" t="inlineStr">
        <is>
          <t>Descanso de 2h ou menos entre jornadas: na prática é jornada de 18h emendada. Era ~15 casos por mês no 1º trimestre de 2026 e caiu pra ~2 depois da mudança de abril — a regra apertou e funcionou. O papel desta aba é segurar a linha no zero. Nas abas mensais isto é a coluna 18h⚠, que recalcula sozinha ao digitar.</t>
        </is>
      </c>
    </row>
    <row r="20">
      <c r="A20" s="135" t="inlineStr">
        <is>
          <t>médico</t>
        </is>
      </c>
      <c r="B20" s="135" t="inlineStr">
        <is>
          <t>grupo</t>
        </is>
      </c>
      <c r="C20" s="135" t="inlineStr">
        <is>
          <t>quando</t>
        </is>
      </c>
      <c r="D20" s="135" t="inlineStr">
        <is>
          <t>o que acontece</t>
        </is>
      </c>
      <c r="E20" s="135" t="inlineStr">
        <is>
          <t>base</t>
        </is>
      </c>
      <c r="F20" s="135" t="inlineStr">
        <is>
          <t>tratamento</t>
        </is>
      </c>
    </row>
    <row r="21">
      <c r="A21" s="75" t="inlineStr">
        <is>
          <t>Raquel</t>
        </is>
      </c>
      <c r="B21" s="136" t="inlineStr">
        <is>
          <t>24h</t>
        </is>
      </c>
      <c r="C21" s="137" t="inlineStr">
        <is>
          <t>04/01</t>
        </is>
      </c>
      <c r="D21" s="65" t="inlineStr">
        <is>
          <t>N 04/01 → M 05/01: 0h de descanso (soma 18h)</t>
        </is>
      </c>
      <c r="E21" s="136" t="inlineStr">
        <is>
          <t>art. 66 CLT — 11h</t>
        </is>
      </c>
      <c r="F21" s="140" t="inlineStr">
        <is>
          <t>ALERTA</t>
        </is>
      </c>
    </row>
    <row r="22">
      <c r="A22" s="75" t="inlineStr">
        <is>
          <t>Denise</t>
        </is>
      </c>
      <c r="B22" s="136" t="inlineStr">
        <is>
          <t>24h</t>
        </is>
      </c>
      <c r="C22" s="137" t="inlineStr">
        <is>
          <t>11/01</t>
        </is>
      </c>
      <c r="D22" s="65" t="inlineStr">
        <is>
          <t>N 11/01 → M 12/01: 0h de descanso (soma 18h)</t>
        </is>
      </c>
      <c r="E22" s="136" t="inlineStr">
        <is>
          <t>art. 66 CLT — 11h</t>
        </is>
      </c>
      <c r="F22" s="140" t="inlineStr">
        <is>
          <t>ALERTA</t>
        </is>
      </c>
    </row>
    <row r="23">
      <c r="A23" s="75" t="inlineStr">
        <is>
          <t>Vinicius</t>
        </is>
      </c>
      <c r="B23" s="136" t="inlineStr">
        <is>
          <t>chefia</t>
        </is>
      </c>
      <c r="C23" s="137" t="inlineStr">
        <is>
          <t>11/01</t>
        </is>
      </c>
      <c r="D23" s="65" t="inlineStr">
        <is>
          <t>N 11/01 → M 12/01: 0h de descanso (soma 18h)</t>
        </is>
      </c>
      <c r="E23" s="136" t="inlineStr">
        <is>
          <t>art. 66 CLT — 11h</t>
        </is>
      </c>
      <c r="F23" s="140" t="inlineStr">
        <is>
          <t>ALERTA</t>
        </is>
      </c>
    </row>
    <row r="24">
      <c r="A24" s="75" t="inlineStr">
        <is>
          <t>Aline</t>
        </is>
      </c>
      <c r="B24" s="136" t="inlineStr">
        <is>
          <t>36h</t>
        </is>
      </c>
      <c r="C24" s="137" t="inlineStr">
        <is>
          <t>12/01</t>
        </is>
      </c>
      <c r="D24" s="65" t="inlineStr">
        <is>
          <t>N 12/01 → D 13/01: 0h de descanso (soma 24h)</t>
        </is>
      </c>
      <c r="E24" s="136" t="inlineStr">
        <is>
          <t>art. 66 CLT — 11h</t>
        </is>
      </c>
      <c r="F24" s="140" t="inlineStr">
        <is>
          <t>ALERTA</t>
        </is>
      </c>
    </row>
    <row r="25">
      <c r="A25" s="75" t="inlineStr">
        <is>
          <t>MSalomão</t>
        </is>
      </c>
      <c r="B25" s="136" t="inlineStr">
        <is>
          <t>chefia</t>
        </is>
      </c>
      <c r="C25" s="137" t="inlineStr">
        <is>
          <t>18/01</t>
        </is>
      </c>
      <c r="D25" s="65" t="inlineStr">
        <is>
          <t>N 18/01 → M 19/01: 0h de descanso (soma 18h)</t>
        </is>
      </c>
      <c r="E25" s="136" t="inlineStr">
        <is>
          <t>art. 66 CLT — 11h</t>
        </is>
      </c>
      <c r="F25" s="140" t="inlineStr">
        <is>
          <t>ALERTA</t>
        </is>
      </c>
    </row>
    <row r="26">
      <c r="A26" s="75" t="inlineStr">
        <is>
          <t>Raquel</t>
        </is>
      </c>
      <c r="B26" s="136" t="inlineStr">
        <is>
          <t>24h</t>
        </is>
      </c>
      <c r="C26" s="137" t="inlineStr">
        <is>
          <t>18/01</t>
        </is>
      </c>
      <c r="D26" s="65" t="inlineStr">
        <is>
          <t>N 18/01 → M 19/01: 0h de descanso (soma 18h)</t>
        </is>
      </c>
      <c r="E26" s="136" t="inlineStr">
        <is>
          <t>art. 66 CLT — 11h</t>
        </is>
      </c>
      <c r="F26" s="140" t="inlineStr">
        <is>
          <t>ALERTA</t>
        </is>
      </c>
    </row>
    <row r="27">
      <c r="A27" s="75" t="inlineStr">
        <is>
          <t>Rosana</t>
        </is>
      </c>
      <c r="B27" s="136" t="inlineStr">
        <is>
          <t>30h</t>
        </is>
      </c>
      <c r="C27" s="137" t="inlineStr">
        <is>
          <t>18/01</t>
        </is>
      </c>
      <c r="D27" s="65" t="inlineStr">
        <is>
          <t>N 18/01 → M 19/01: 0h de descanso (soma 18h)</t>
        </is>
      </c>
      <c r="E27" s="136" t="inlineStr">
        <is>
          <t>art. 66 CLT — 11h</t>
        </is>
      </c>
      <c r="F27" s="140" t="inlineStr">
        <is>
          <t>ALERTA</t>
        </is>
      </c>
    </row>
    <row r="28">
      <c r="A28" s="75" t="inlineStr">
        <is>
          <t>Aline</t>
        </is>
      </c>
      <c r="B28" s="136" t="inlineStr">
        <is>
          <t>36h</t>
        </is>
      </c>
      <c r="C28" s="137" t="inlineStr">
        <is>
          <t>20/01</t>
        </is>
      </c>
      <c r="D28" s="65" t="inlineStr">
        <is>
          <t>N 20/01 → M 21/01: 0h de descanso (soma 18h)</t>
        </is>
      </c>
      <c r="E28" s="136" t="inlineStr">
        <is>
          <t>art. 66 CLT — 11h</t>
        </is>
      </c>
      <c r="F28" s="140" t="inlineStr">
        <is>
          <t>ALERTA</t>
        </is>
      </c>
    </row>
    <row r="29">
      <c r="A29" s="75" t="inlineStr">
        <is>
          <t>Raphael</t>
        </is>
      </c>
      <c r="B29" s="136" t="inlineStr">
        <is>
          <t>24h</t>
        </is>
      </c>
      <c r="C29" s="137" t="inlineStr">
        <is>
          <t>24/01</t>
        </is>
      </c>
      <c r="D29" s="65" t="inlineStr">
        <is>
          <t>N 24/01 → M 25/01: 0h de descanso (soma 18h)</t>
        </is>
      </c>
      <c r="E29" s="136" t="inlineStr">
        <is>
          <t>art. 66 CLT — 11h</t>
        </is>
      </c>
      <c r="F29" s="140" t="inlineStr">
        <is>
          <t>ALERTA</t>
        </is>
      </c>
    </row>
    <row r="30">
      <c r="A30" s="75" t="inlineStr">
        <is>
          <t>Aline</t>
        </is>
      </c>
      <c r="B30" s="136" t="inlineStr">
        <is>
          <t>36h</t>
        </is>
      </c>
      <c r="C30" s="137" t="inlineStr">
        <is>
          <t>25/01</t>
        </is>
      </c>
      <c r="D30" s="65" t="inlineStr">
        <is>
          <t>N 25/01 → D 26/01: 0h de descanso (soma 24h)</t>
        </is>
      </c>
      <c r="E30" s="136" t="inlineStr">
        <is>
          <t>art. 66 CLT — 11h</t>
        </is>
      </c>
      <c r="F30" s="140" t="inlineStr">
        <is>
          <t>ALERTA</t>
        </is>
      </c>
    </row>
    <row r="31">
      <c r="A31" s="75" t="inlineStr">
        <is>
          <t>Raylander</t>
        </is>
      </c>
      <c r="B31" s="136" t="inlineStr">
        <is>
          <t>30h</t>
        </is>
      </c>
      <c r="C31" s="137" t="inlineStr">
        <is>
          <t>26/01</t>
        </is>
      </c>
      <c r="D31" s="65" t="inlineStr">
        <is>
          <t>N 26/01 → M 27/01: 0h de descanso (soma 18h)</t>
        </is>
      </c>
      <c r="E31" s="136" t="inlineStr">
        <is>
          <t>art. 66 CLT — 11h</t>
        </is>
      </c>
      <c r="F31" s="140" t="inlineStr">
        <is>
          <t>ALERTA</t>
        </is>
      </c>
    </row>
    <row r="32">
      <c r="A32" s="75" t="inlineStr">
        <is>
          <t>LuAlice</t>
        </is>
      </c>
      <c r="B32" s="136" t="inlineStr">
        <is>
          <t>36h</t>
        </is>
      </c>
      <c r="C32" s="137" t="inlineStr">
        <is>
          <t>27/01</t>
        </is>
      </c>
      <c r="D32" s="65" t="inlineStr">
        <is>
          <t>N 27/01 → M 28/01: 0h de descanso (soma 18h)</t>
        </is>
      </c>
      <c r="E32" s="136" t="inlineStr">
        <is>
          <t>art. 66 CLT — 11h</t>
        </is>
      </c>
      <c r="F32" s="140" t="inlineStr">
        <is>
          <t>ALERTA</t>
        </is>
      </c>
    </row>
    <row r="33">
      <c r="A33" s="75" t="inlineStr">
        <is>
          <t>Stephanie</t>
        </is>
      </c>
      <c r="B33" s="136" t="inlineStr">
        <is>
          <t>administrativo</t>
        </is>
      </c>
      <c r="C33" s="137" t="inlineStr">
        <is>
          <t>01/02</t>
        </is>
      </c>
      <c r="D33" s="65" t="inlineStr">
        <is>
          <t>N 01/02 → M 02/02: 0h de descanso (soma 18h)</t>
        </is>
      </c>
      <c r="E33" s="136" t="inlineStr">
        <is>
          <t>art. 66 CLT — 11h</t>
        </is>
      </c>
      <c r="F33" s="140" t="inlineStr">
        <is>
          <t>ALERTA</t>
        </is>
      </c>
    </row>
    <row r="34">
      <c r="A34" s="75" t="inlineStr">
        <is>
          <t>Aline</t>
        </is>
      </c>
      <c r="B34" s="136" t="inlineStr">
        <is>
          <t>36h</t>
        </is>
      </c>
      <c r="C34" s="137" t="inlineStr">
        <is>
          <t>02/02</t>
        </is>
      </c>
      <c r="D34" s="65" t="inlineStr">
        <is>
          <t>N 02/02 → E 03/02: 1h de descanso (soma 16h)</t>
        </is>
      </c>
      <c r="E34" s="136" t="inlineStr">
        <is>
          <t>art. 66 CLT — 11h</t>
        </is>
      </c>
      <c r="F34" s="140" t="inlineStr">
        <is>
          <t>ALERTA</t>
        </is>
      </c>
    </row>
    <row r="35">
      <c r="A35" s="75" t="inlineStr">
        <is>
          <t>Raquel</t>
        </is>
      </c>
      <c r="B35" s="136" t="inlineStr">
        <is>
          <t>24h</t>
        </is>
      </c>
      <c r="C35" s="137" t="inlineStr">
        <is>
          <t>03/02</t>
        </is>
      </c>
      <c r="D35" s="65" t="inlineStr">
        <is>
          <t>N 03/02 → M 04/02: 0h de descanso (soma 18h)</t>
        </is>
      </c>
      <c r="E35" s="136" t="inlineStr">
        <is>
          <t>art. 66 CLT — 11h</t>
        </is>
      </c>
      <c r="F35" s="140" t="inlineStr">
        <is>
          <t>ALERTA</t>
        </is>
      </c>
    </row>
    <row r="36">
      <c r="A36" s="75" t="inlineStr">
        <is>
          <t>Roberta</t>
        </is>
      </c>
      <c r="B36" s="136" t="inlineStr">
        <is>
          <t>36h</t>
        </is>
      </c>
      <c r="C36" s="137" t="inlineStr">
        <is>
          <t>05/02</t>
        </is>
      </c>
      <c r="D36" s="65" t="inlineStr">
        <is>
          <t>N 05/02 → M 06/02: 0h de descanso (soma 18h)</t>
        </is>
      </c>
      <c r="E36" s="136" t="inlineStr">
        <is>
          <t>art. 66 CLT — 11h</t>
        </is>
      </c>
      <c r="F36" s="140" t="inlineStr">
        <is>
          <t>ALERTA</t>
        </is>
      </c>
    </row>
    <row r="37">
      <c r="A37" s="75" t="inlineStr">
        <is>
          <t>JuCoutinho</t>
        </is>
      </c>
      <c r="B37" s="136" t="inlineStr">
        <is>
          <t>30h</t>
        </is>
      </c>
      <c r="C37" s="137" t="inlineStr">
        <is>
          <t>06/02</t>
        </is>
      </c>
      <c r="D37" s="65" t="inlineStr">
        <is>
          <t>semana de 06/02: 6 turnos, maior folga 18h (mínimo 24h)</t>
        </is>
      </c>
      <c r="E37" s="136" t="inlineStr">
        <is>
          <t>art. 67 CLT — 24h consecutivas/semana</t>
        </is>
      </c>
      <c r="F37" s="140" t="inlineStr">
        <is>
          <t>ALERTA</t>
        </is>
      </c>
    </row>
    <row r="38">
      <c r="A38" s="75" t="inlineStr">
        <is>
          <t>JuCoutinho</t>
        </is>
      </c>
      <c r="B38" s="136" t="inlineStr">
        <is>
          <t>30h</t>
        </is>
      </c>
      <c r="C38" s="137" t="inlineStr">
        <is>
          <t>07/02</t>
        </is>
      </c>
      <c r="D38" s="65" t="inlineStr">
        <is>
          <t>N 07/02 → M 08/02: 0h de descanso (soma 18h)</t>
        </is>
      </c>
      <c r="E38" s="136" t="inlineStr">
        <is>
          <t>art. 66 CLT — 11h</t>
        </is>
      </c>
      <c r="F38" s="140" t="inlineStr">
        <is>
          <t>ALERTA</t>
        </is>
      </c>
    </row>
    <row r="39">
      <c r="A39" s="75" t="inlineStr">
        <is>
          <t>Roberta</t>
        </is>
      </c>
      <c r="B39" s="136" t="inlineStr">
        <is>
          <t>36h</t>
        </is>
      </c>
      <c r="C39" s="137" t="inlineStr">
        <is>
          <t>08/02</t>
        </is>
      </c>
      <c r="D39" s="65" t="inlineStr">
        <is>
          <t>N 08/02 → M 09/02: 0h de descanso (soma 18h)</t>
        </is>
      </c>
      <c r="E39" s="136" t="inlineStr">
        <is>
          <t>art. 66 CLT — 11h</t>
        </is>
      </c>
      <c r="F39" s="140" t="inlineStr">
        <is>
          <t>ALERTA</t>
        </is>
      </c>
    </row>
    <row r="40">
      <c r="A40" s="75" t="inlineStr">
        <is>
          <t>Roberta</t>
        </is>
      </c>
      <c r="B40" s="136" t="inlineStr">
        <is>
          <t>36h</t>
        </is>
      </c>
      <c r="C40" s="137" t="inlineStr">
        <is>
          <t>12/02</t>
        </is>
      </c>
      <c r="D40" s="65" t="inlineStr">
        <is>
          <t>N 12/02 → M 13/02: 0h de descanso (soma 18h)</t>
        </is>
      </c>
      <c r="E40" s="136" t="inlineStr">
        <is>
          <t>art. 66 CLT — 11h</t>
        </is>
      </c>
      <c r="F40" s="140" t="inlineStr">
        <is>
          <t>ALERTA</t>
        </is>
      </c>
    </row>
    <row r="41">
      <c r="A41" s="75" t="inlineStr">
        <is>
          <t>MSalomão</t>
        </is>
      </c>
      <c r="B41" s="136" t="inlineStr">
        <is>
          <t>chefia</t>
        </is>
      </c>
      <c r="C41" s="137" t="inlineStr">
        <is>
          <t>14/02</t>
        </is>
      </c>
      <c r="D41" s="65" t="inlineStr">
        <is>
          <t>N 14/02 → M 15/02: 0h de descanso (soma 18h)</t>
        </is>
      </c>
      <c r="E41" s="136" t="inlineStr">
        <is>
          <t>art. 66 CLT — 11h</t>
        </is>
      </c>
      <c r="F41" s="140" t="inlineStr">
        <is>
          <t>ALERTA</t>
        </is>
      </c>
    </row>
    <row r="42">
      <c r="A42" s="75" t="inlineStr">
        <is>
          <t>Raquel</t>
        </is>
      </c>
      <c r="B42" s="136" t="inlineStr">
        <is>
          <t>24h</t>
        </is>
      </c>
      <c r="C42" s="137" t="inlineStr">
        <is>
          <t>15/02</t>
        </is>
      </c>
      <c r="D42" s="65" t="inlineStr">
        <is>
          <t>N 15/02 → M 16/02: 0h de descanso (soma 18h)</t>
        </is>
      </c>
      <c r="E42" s="136" t="inlineStr">
        <is>
          <t>art. 66 CLT — 11h</t>
        </is>
      </c>
      <c r="F42" s="140" t="inlineStr">
        <is>
          <t>ALERTA</t>
        </is>
      </c>
    </row>
    <row r="43">
      <c r="A43" s="75" t="inlineStr">
        <is>
          <t>Aline</t>
        </is>
      </c>
      <c r="B43" s="136" t="inlineStr">
        <is>
          <t>36h</t>
        </is>
      </c>
      <c r="C43" s="137" t="inlineStr">
        <is>
          <t>17/02</t>
        </is>
      </c>
      <c r="D43" s="65" t="inlineStr">
        <is>
          <t>N 17/02 → M 18/02: 0h de descanso (soma 18h)</t>
        </is>
      </c>
      <c r="E43" s="136" t="inlineStr">
        <is>
          <t>art. 66 CLT — 11h</t>
        </is>
      </c>
      <c r="F43" s="140" t="inlineStr">
        <is>
          <t>ALERTA</t>
        </is>
      </c>
    </row>
    <row r="44">
      <c r="A44" s="75" t="inlineStr">
        <is>
          <t>Roberta</t>
        </is>
      </c>
      <c r="B44" s="136" t="inlineStr">
        <is>
          <t>36h</t>
        </is>
      </c>
      <c r="C44" s="137" t="inlineStr">
        <is>
          <t>19/02</t>
        </is>
      </c>
      <c r="D44" s="65" t="inlineStr">
        <is>
          <t>N 19/02 → M 20/02: 0h de descanso (soma 18h)</t>
        </is>
      </c>
      <c r="E44" s="136" t="inlineStr">
        <is>
          <t>art. 66 CLT — 11h</t>
        </is>
      </c>
      <c r="F44" s="140" t="inlineStr">
        <is>
          <t>ALERTA</t>
        </is>
      </c>
    </row>
    <row r="45">
      <c r="A45" s="75" t="inlineStr">
        <is>
          <t>Vinicius</t>
        </is>
      </c>
      <c r="B45" s="136" t="inlineStr">
        <is>
          <t>chefia</t>
        </is>
      </c>
      <c r="C45" s="137" t="inlineStr">
        <is>
          <t>22/02</t>
        </is>
      </c>
      <c r="D45" s="65" t="inlineStr">
        <is>
          <t>N 22/02 → M 23/02: 0h de descanso (soma 18h)</t>
        </is>
      </c>
      <c r="E45" s="136" t="inlineStr">
        <is>
          <t>art. 66 CLT — 11h</t>
        </is>
      </c>
      <c r="F45" s="140" t="inlineStr">
        <is>
          <t>ALERTA</t>
        </is>
      </c>
    </row>
    <row r="46">
      <c r="A46" s="75" t="inlineStr">
        <is>
          <t>Aline</t>
        </is>
      </c>
      <c r="B46" s="136" t="inlineStr">
        <is>
          <t>36h</t>
        </is>
      </c>
      <c r="C46" s="137" t="inlineStr">
        <is>
          <t>24/02</t>
        </is>
      </c>
      <c r="D46" s="65" t="inlineStr">
        <is>
          <t>N 24/02 → M 25/02: 0h de descanso (soma 18h)</t>
        </is>
      </c>
      <c r="E46" s="136" t="inlineStr">
        <is>
          <t>art. 66 CLT — 11h</t>
        </is>
      </c>
      <c r="F46" s="140" t="inlineStr">
        <is>
          <t>ALERTA</t>
        </is>
      </c>
    </row>
    <row r="47">
      <c r="A47" s="75" t="inlineStr">
        <is>
          <t>Raquel</t>
        </is>
      </c>
      <c r="B47" s="136" t="inlineStr">
        <is>
          <t>24h</t>
        </is>
      </c>
      <c r="C47" s="137" t="inlineStr">
        <is>
          <t>24/02</t>
        </is>
      </c>
      <c r="D47" s="65" t="inlineStr">
        <is>
          <t>N 24/02 → M 25/02: 0h de descanso (soma 18h)</t>
        </is>
      </c>
      <c r="E47" s="136" t="inlineStr">
        <is>
          <t>art. 66 CLT — 11h</t>
        </is>
      </c>
      <c r="F47" s="140" t="inlineStr">
        <is>
          <t>ALERTA</t>
        </is>
      </c>
    </row>
    <row r="48">
      <c r="A48" s="75" t="inlineStr">
        <is>
          <t>MPinheiro</t>
        </is>
      </c>
      <c r="B48" s="136" t="inlineStr">
        <is>
          <t>administrativo</t>
        </is>
      </c>
      <c r="C48" s="137" t="inlineStr">
        <is>
          <t>26/02</t>
        </is>
      </c>
      <c r="D48" s="65" t="inlineStr">
        <is>
          <t>N 26/02 → M 27/02: 0h de descanso (soma 18h)</t>
        </is>
      </c>
      <c r="E48" s="136" t="inlineStr">
        <is>
          <t>art. 66 CLT — 11h</t>
        </is>
      </c>
      <c r="F48" s="140" t="inlineStr">
        <is>
          <t>ALERTA</t>
        </is>
      </c>
    </row>
    <row r="49">
      <c r="A49" s="75" t="inlineStr">
        <is>
          <t>Raphael</t>
        </is>
      </c>
      <c r="B49" s="136" t="inlineStr">
        <is>
          <t>24h</t>
        </is>
      </c>
      <c r="C49" s="137" t="inlineStr">
        <is>
          <t>28/02</t>
        </is>
      </c>
      <c r="D49" s="65" t="inlineStr">
        <is>
          <t>N 28/02 → M 01/03: 0h de descanso (soma 18h)</t>
        </is>
      </c>
      <c r="E49" s="136" t="inlineStr">
        <is>
          <t>art. 66 CLT — 11h</t>
        </is>
      </c>
      <c r="F49" s="140" t="inlineStr">
        <is>
          <t>ALERTA</t>
        </is>
      </c>
    </row>
    <row r="50">
      <c r="A50" s="75" t="inlineStr">
        <is>
          <t>MSalomão</t>
        </is>
      </c>
      <c r="B50" s="136" t="inlineStr">
        <is>
          <t>chefia</t>
        </is>
      </c>
      <c r="C50" s="137" t="inlineStr">
        <is>
          <t>01/03</t>
        </is>
      </c>
      <c r="D50" s="65" t="inlineStr">
        <is>
          <t>N 01/03 → M 02/03: 0h de descanso (soma 18h)</t>
        </is>
      </c>
      <c r="E50" s="136" t="inlineStr">
        <is>
          <t>art. 66 CLT — 11h</t>
        </is>
      </c>
      <c r="F50" s="140" t="inlineStr">
        <is>
          <t>ALERTA</t>
        </is>
      </c>
    </row>
    <row r="51">
      <c r="A51" s="75" t="inlineStr">
        <is>
          <t>Aline</t>
        </is>
      </c>
      <c r="B51" s="136" t="inlineStr">
        <is>
          <t>36h</t>
        </is>
      </c>
      <c r="C51" s="137" t="inlineStr">
        <is>
          <t>02/03</t>
        </is>
      </c>
      <c r="D51" s="65" t="inlineStr">
        <is>
          <t>N 02/03 → E 03/03: 1h de descanso (soma 16h)</t>
        </is>
      </c>
      <c r="E51" s="136" t="inlineStr">
        <is>
          <t>art. 66 CLT — 11h</t>
        </is>
      </c>
      <c r="F51" s="140" t="inlineStr">
        <is>
          <t>ALERTA</t>
        </is>
      </c>
    </row>
    <row r="52">
      <c r="A52" s="75" t="inlineStr">
        <is>
          <t>Raquel</t>
        </is>
      </c>
      <c r="B52" s="136" t="inlineStr">
        <is>
          <t>24h</t>
        </is>
      </c>
      <c r="C52" s="137" t="inlineStr">
        <is>
          <t>03/03</t>
        </is>
      </c>
      <c r="D52" s="65" t="inlineStr">
        <is>
          <t>N 03/03 → M 04/03: 0h de descanso (soma 18h)</t>
        </is>
      </c>
      <c r="E52" s="136" t="inlineStr">
        <is>
          <t>art. 66 CLT — 11h</t>
        </is>
      </c>
      <c r="F52" s="140" t="inlineStr">
        <is>
          <t>ALERTA</t>
        </is>
      </c>
    </row>
    <row r="53">
      <c r="A53" s="75" t="inlineStr">
        <is>
          <t>Aline</t>
        </is>
      </c>
      <c r="B53" s="136" t="inlineStr">
        <is>
          <t>36h</t>
        </is>
      </c>
      <c r="C53" s="137" t="inlineStr">
        <is>
          <t>09/03</t>
        </is>
      </c>
      <c r="D53" s="65" t="inlineStr">
        <is>
          <t>N 09/03 → M 10/03: 0h de descanso (soma 18h)</t>
        </is>
      </c>
      <c r="E53" s="136" t="inlineStr">
        <is>
          <t>art. 66 CLT — 11h</t>
        </is>
      </c>
      <c r="F53" s="140" t="inlineStr">
        <is>
          <t>ALERTA</t>
        </is>
      </c>
    </row>
    <row r="54">
      <c r="A54" s="75" t="inlineStr">
        <is>
          <t>MPinheiro</t>
        </is>
      </c>
      <c r="B54" s="136" t="inlineStr">
        <is>
          <t>administrativo</t>
        </is>
      </c>
      <c r="C54" s="137" t="inlineStr">
        <is>
          <t>12/03</t>
        </is>
      </c>
      <c r="D54" s="65" t="inlineStr">
        <is>
          <t>N 12/03 → M 13/03: 0h de descanso (soma 18h)</t>
        </is>
      </c>
      <c r="E54" s="136" t="inlineStr">
        <is>
          <t>art. 66 CLT — 11h</t>
        </is>
      </c>
      <c r="F54" s="140" t="inlineStr">
        <is>
          <t>ALERTA</t>
        </is>
      </c>
    </row>
    <row r="55">
      <c r="A55" s="75" t="inlineStr">
        <is>
          <t>Aline</t>
        </is>
      </c>
      <c r="B55" s="136" t="inlineStr">
        <is>
          <t>36h</t>
        </is>
      </c>
      <c r="C55" s="137" t="inlineStr">
        <is>
          <t>15/03</t>
        </is>
      </c>
      <c r="D55" s="65" t="inlineStr">
        <is>
          <t>N 15/03 → C 16/03: 1h de descanso (soma 23h)</t>
        </is>
      </c>
      <c r="E55" s="136" t="inlineStr">
        <is>
          <t>art. 66 CLT — 11h</t>
        </is>
      </c>
      <c r="F55" s="140" t="inlineStr">
        <is>
          <t>ALERTA</t>
        </is>
      </c>
    </row>
    <row r="56">
      <c r="A56" s="75" t="inlineStr">
        <is>
          <t>Roberta</t>
        </is>
      </c>
      <c r="B56" s="136" t="inlineStr">
        <is>
          <t>36h</t>
        </is>
      </c>
      <c r="C56" s="137" t="inlineStr">
        <is>
          <t>15/03</t>
        </is>
      </c>
      <c r="D56" s="65" t="inlineStr">
        <is>
          <t>N 15/03 → M 16/03: 0h de descanso (soma 18h)</t>
        </is>
      </c>
      <c r="E56" s="136" t="inlineStr">
        <is>
          <t>art. 66 CLT — 11h</t>
        </is>
      </c>
      <c r="F56" s="140" t="inlineStr">
        <is>
          <t>ALERTA</t>
        </is>
      </c>
    </row>
    <row r="57">
      <c r="A57" s="75" t="inlineStr">
        <is>
          <t>Aline</t>
        </is>
      </c>
      <c r="B57" s="136" t="inlineStr">
        <is>
          <t>36h</t>
        </is>
      </c>
      <c r="C57" s="137" t="inlineStr">
        <is>
          <t>17/03</t>
        </is>
      </c>
      <c r="D57" s="65" t="inlineStr">
        <is>
          <t>N 17/03 → M 18/03: 0h de descanso (soma 18h)</t>
        </is>
      </c>
      <c r="E57" s="136" t="inlineStr">
        <is>
          <t>art. 66 CLT — 11h</t>
        </is>
      </c>
      <c r="F57" s="140" t="inlineStr">
        <is>
          <t>ALERTA</t>
        </is>
      </c>
    </row>
    <row r="58">
      <c r="A58" s="75" t="inlineStr">
        <is>
          <t>Aline</t>
        </is>
      </c>
      <c r="B58" s="136" t="inlineStr">
        <is>
          <t>36h</t>
        </is>
      </c>
      <c r="C58" s="137" t="inlineStr">
        <is>
          <t>24/03</t>
        </is>
      </c>
      <c r="D58" s="65" t="inlineStr">
        <is>
          <t>N 24/03 → M 25/03: 0h de descanso (soma 18h)</t>
        </is>
      </c>
      <c r="E58" s="136" t="inlineStr">
        <is>
          <t>art. 66 CLT — 11h</t>
        </is>
      </c>
      <c r="F58" s="140" t="inlineStr">
        <is>
          <t>ALERTA</t>
        </is>
      </c>
    </row>
    <row r="59">
      <c r="A59" s="75" t="inlineStr">
        <is>
          <t>MPinheiro</t>
        </is>
      </c>
      <c r="B59" s="136" t="inlineStr">
        <is>
          <t>administrativo</t>
        </is>
      </c>
      <c r="C59" s="137" t="inlineStr">
        <is>
          <t>26/03</t>
        </is>
      </c>
      <c r="D59" s="65" t="inlineStr">
        <is>
          <t>N 26/03 → M 27/03: 0h de descanso (soma 18h)</t>
        </is>
      </c>
      <c r="E59" s="136" t="inlineStr">
        <is>
          <t>art. 66 CLT — 11h</t>
        </is>
      </c>
      <c r="F59" s="140" t="inlineStr">
        <is>
          <t>ALERTA</t>
        </is>
      </c>
    </row>
    <row r="60">
      <c r="A60" s="75" t="inlineStr">
        <is>
          <t>JuCoutinho</t>
        </is>
      </c>
      <c r="B60" s="136" t="inlineStr">
        <is>
          <t>30h</t>
        </is>
      </c>
      <c r="C60" s="137" t="inlineStr">
        <is>
          <t>28/03</t>
        </is>
      </c>
      <c r="D60" s="65" t="inlineStr">
        <is>
          <t>N 28/03 → M 29/03: 0h de descanso (soma 18h)</t>
        </is>
      </c>
      <c r="E60" s="136" t="inlineStr">
        <is>
          <t>art. 66 CLT — 11h</t>
        </is>
      </c>
      <c r="F60" s="140" t="inlineStr">
        <is>
          <t>ALERTA</t>
        </is>
      </c>
    </row>
    <row r="61">
      <c r="A61" s="75" t="inlineStr">
        <is>
          <t>MSalomão</t>
        </is>
      </c>
      <c r="B61" s="136" t="inlineStr">
        <is>
          <t>chefia</t>
        </is>
      </c>
      <c r="C61" s="137" t="inlineStr">
        <is>
          <t>29/03</t>
        </is>
      </c>
      <c r="D61" s="65" t="inlineStr">
        <is>
          <t>N 29/03 → M 30/03: 0h de descanso (soma 18h)</t>
        </is>
      </c>
      <c r="E61" s="136" t="inlineStr">
        <is>
          <t>art. 66 CLT — 11h</t>
        </is>
      </c>
      <c r="F61" s="140" t="inlineStr">
        <is>
          <t>ALERTA</t>
        </is>
      </c>
    </row>
    <row r="62">
      <c r="A62" s="75" t="inlineStr">
        <is>
          <t>Aline</t>
        </is>
      </c>
      <c r="B62" s="136" t="inlineStr">
        <is>
          <t>36h</t>
        </is>
      </c>
      <c r="C62" s="137" t="inlineStr">
        <is>
          <t>03/04</t>
        </is>
      </c>
      <c r="D62" s="65" t="inlineStr">
        <is>
          <t>N 03/04 → M 04/04: 0h de descanso (soma 18h)</t>
        </is>
      </c>
      <c r="E62" s="136" t="inlineStr">
        <is>
          <t>art. 66 CLT — 11h</t>
        </is>
      </c>
      <c r="F62" s="140" t="inlineStr">
        <is>
          <t>ALERTA</t>
        </is>
      </c>
    </row>
    <row r="63">
      <c r="A63" s="75" t="inlineStr">
        <is>
          <t>LuAlice</t>
        </is>
      </c>
      <c r="B63" s="136" t="inlineStr">
        <is>
          <t>36h</t>
        </is>
      </c>
      <c r="C63" s="137" t="inlineStr">
        <is>
          <t>05/04</t>
        </is>
      </c>
      <c r="D63" s="65" t="inlineStr">
        <is>
          <t>N 05/04 → M 06/04: 0h de descanso (soma 18h)</t>
        </is>
      </c>
      <c r="E63" s="136" t="inlineStr">
        <is>
          <t>art. 66 CLT — 11h</t>
        </is>
      </c>
      <c r="F63" s="140" t="inlineStr">
        <is>
          <t>ALERTA</t>
        </is>
      </c>
    </row>
    <row r="64">
      <c r="A64" s="75" t="inlineStr">
        <is>
          <t>Murilo</t>
        </is>
      </c>
      <c r="B64" s="136" t="inlineStr">
        <is>
          <t>rotina</t>
        </is>
      </c>
      <c r="C64" s="137" t="inlineStr">
        <is>
          <t>05/04</t>
        </is>
      </c>
      <c r="D64" s="65" t="inlineStr">
        <is>
          <t>N 05/04 → M 06/04: 0h de descanso (soma 18h)</t>
        </is>
      </c>
      <c r="E64" s="136" t="inlineStr">
        <is>
          <t>art. 66 CLT — 11h</t>
        </is>
      </c>
      <c r="F64" s="140" t="inlineStr">
        <is>
          <t>ALERTA</t>
        </is>
      </c>
    </row>
    <row r="65">
      <c r="A65" s="75" t="inlineStr">
        <is>
          <t>Roberta</t>
        </is>
      </c>
      <c r="B65" s="136" t="inlineStr">
        <is>
          <t>36h</t>
        </is>
      </c>
      <c r="C65" s="137" t="inlineStr">
        <is>
          <t>05/04</t>
        </is>
      </c>
      <c r="D65" s="65" t="inlineStr">
        <is>
          <t>N 05/04 → M 06/04: 0h de descanso (soma 18h)</t>
        </is>
      </c>
      <c r="E65" s="136" t="inlineStr">
        <is>
          <t>art. 66 CLT — 11h</t>
        </is>
      </c>
      <c r="F65" s="140" t="inlineStr">
        <is>
          <t>ALERTA</t>
        </is>
      </c>
    </row>
    <row r="66">
      <c r="A66" s="75" t="inlineStr">
        <is>
          <t>Aline</t>
        </is>
      </c>
      <c r="B66" s="136" t="inlineStr">
        <is>
          <t>36h</t>
        </is>
      </c>
      <c r="C66" s="137" t="inlineStr">
        <is>
          <t>06/04</t>
        </is>
      </c>
      <c r="D66" s="65" t="inlineStr">
        <is>
          <t>N 06/04 → E 07/04: 1h de descanso (soma 16h)</t>
        </is>
      </c>
      <c r="E66" s="136" t="inlineStr">
        <is>
          <t>art. 66 CLT — 11h</t>
        </is>
      </c>
      <c r="F66" s="140" t="inlineStr">
        <is>
          <t>ALERTA</t>
        </is>
      </c>
    </row>
    <row r="67">
      <c r="A67" s="75" t="inlineStr">
        <is>
          <t>Raquel</t>
        </is>
      </c>
      <c r="B67" s="136" t="inlineStr">
        <is>
          <t>24h</t>
        </is>
      </c>
      <c r="C67" s="137" t="inlineStr">
        <is>
          <t>11/04</t>
        </is>
      </c>
      <c r="D67" s="65" t="inlineStr">
        <is>
          <t>N 11/04 → M 12/04: 0h de descanso (soma 18h)</t>
        </is>
      </c>
      <c r="E67" s="136" t="inlineStr">
        <is>
          <t>art. 66 CLT — 11h</t>
        </is>
      </c>
      <c r="F67" s="140" t="inlineStr">
        <is>
          <t>ALERTA</t>
        </is>
      </c>
    </row>
    <row r="68">
      <c r="A68" s="75" t="inlineStr">
        <is>
          <t>LuAlice</t>
        </is>
      </c>
      <c r="B68" s="136" t="inlineStr">
        <is>
          <t>36h</t>
        </is>
      </c>
      <c r="C68" s="137" t="inlineStr">
        <is>
          <t>12/04</t>
        </is>
      </c>
      <c r="D68" s="65" t="inlineStr">
        <is>
          <t>N 12/04 → M 13/04: 0h de descanso (soma 18h)</t>
        </is>
      </c>
      <c r="E68" s="136" t="inlineStr">
        <is>
          <t>art. 66 CLT — 11h</t>
        </is>
      </c>
      <c r="F68" s="140" t="inlineStr">
        <is>
          <t>ALERTA</t>
        </is>
      </c>
    </row>
    <row r="69">
      <c r="A69" s="75" t="inlineStr">
        <is>
          <t>Aline</t>
        </is>
      </c>
      <c r="B69" s="136" t="inlineStr">
        <is>
          <t>36h</t>
        </is>
      </c>
      <c r="C69" s="137" t="inlineStr">
        <is>
          <t>13/04</t>
        </is>
      </c>
      <c r="D69" s="65" t="inlineStr">
        <is>
          <t>N 13/04 → E 14/04: 1h de descanso (soma 16h)</t>
        </is>
      </c>
      <c r="E69" s="136" t="inlineStr">
        <is>
          <t>art. 66 CLT — 11h</t>
        </is>
      </c>
      <c r="F69" s="140" t="inlineStr">
        <is>
          <t>ALERTA</t>
        </is>
      </c>
    </row>
    <row r="70">
      <c r="A70" s="75" t="inlineStr">
        <is>
          <t>Raquel</t>
        </is>
      </c>
      <c r="B70" s="136" t="inlineStr">
        <is>
          <t>24h</t>
        </is>
      </c>
      <c r="C70" s="137" t="inlineStr">
        <is>
          <t>19/04</t>
        </is>
      </c>
      <c r="D70" s="65" t="inlineStr">
        <is>
          <t>N 19/04 → M 20/04: 0h de descanso (soma 18h)</t>
        </is>
      </c>
      <c r="E70" s="136" t="inlineStr">
        <is>
          <t>art. 66 CLT — 11h</t>
        </is>
      </c>
      <c r="F70" s="140" t="inlineStr">
        <is>
          <t>ALERTA</t>
        </is>
      </c>
    </row>
    <row r="71">
      <c r="A71" s="75" t="inlineStr">
        <is>
          <t>Vinicius</t>
        </is>
      </c>
      <c r="B71" s="136" t="inlineStr">
        <is>
          <t>chefia</t>
        </is>
      </c>
      <c r="C71" s="137" t="inlineStr">
        <is>
          <t>19/04</t>
        </is>
      </c>
      <c r="D71" s="65" t="inlineStr">
        <is>
          <t>N 19/04 → M 20/04: 0h de descanso (soma 18h)</t>
        </is>
      </c>
      <c r="E71" s="136" t="inlineStr">
        <is>
          <t>art. 66 CLT — 11h</t>
        </is>
      </c>
      <c r="F71" s="140" t="inlineStr">
        <is>
          <t>ALERTA</t>
        </is>
      </c>
    </row>
    <row r="72">
      <c r="A72" s="75" t="inlineStr">
        <is>
          <t>Raquel</t>
        </is>
      </c>
      <c r="B72" s="136" t="inlineStr">
        <is>
          <t>24h</t>
        </is>
      </c>
      <c r="C72" s="137" t="inlineStr">
        <is>
          <t>21/04</t>
        </is>
      </c>
      <c r="D72" s="65" t="inlineStr">
        <is>
          <t>N 21/04 → M 22/04: 0h de descanso (soma 18h)</t>
        </is>
      </c>
      <c r="E72" s="136" t="inlineStr">
        <is>
          <t>art. 66 CLT — 11h</t>
        </is>
      </c>
      <c r="F72" s="140" t="inlineStr">
        <is>
          <t>ALERTA</t>
        </is>
      </c>
    </row>
    <row r="73">
      <c r="A73" s="75" t="inlineStr">
        <is>
          <t>Roberta</t>
        </is>
      </c>
      <c r="B73" s="136" t="inlineStr">
        <is>
          <t>36h</t>
        </is>
      </c>
      <c r="C73" s="137" t="inlineStr">
        <is>
          <t>26/04</t>
        </is>
      </c>
      <c r="D73" s="65" t="inlineStr">
        <is>
          <t>N 26/04 → M 27/04: 0h de descanso (soma 18h)</t>
        </is>
      </c>
      <c r="E73" s="136" t="inlineStr">
        <is>
          <t>art. 66 CLT — 11h</t>
        </is>
      </c>
      <c r="F73" s="140" t="inlineStr">
        <is>
          <t>ALERTA</t>
        </is>
      </c>
    </row>
    <row r="74">
      <c r="A74" s="75" t="inlineStr">
        <is>
          <t>Aline</t>
        </is>
      </c>
      <c r="B74" s="136" t="inlineStr">
        <is>
          <t>36h</t>
        </is>
      </c>
      <c r="C74" s="137" t="inlineStr">
        <is>
          <t>27/04</t>
        </is>
      </c>
      <c r="D74" s="65" t="inlineStr">
        <is>
          <t>N 27/04 → M 28/04: 0h de descanso (soma 18h)</t>
        </is>
      </c>
      <c r="E74" s="136" t="inlineStr">
        <is>
          <t>art. 66 CLT — 11h</t>
        </is>
      </c>
      <c r="F74" s="140" t="inlineStr">
        <is>
          <t>ALERTA</t>
        </is>
      </c>
    </row>
    <row r="75">
      <c r="A75" s="75" t="inlineStr">
        <is>
          <t>Raquel</t>
        </is>
      </c>
      <c r="B75" s="136" t="inlineStr">
        <is>
          <t>24h</t>
        </is>
      </c>
      <c r="C75" s="137" t="inlineStr">
        <is>
          <t>28/04</t>
        </is>
      </c>
      <c r="D75" s="65" t="inlineStr">
        <is>
          <t>N 28/04 → M 29/04: 0h de descanso (soma 18h)</t>
        </is>
      </c>
      <c r="E75" s="136" t="inlineStr">
        <is>
          <t>art. 66 CLT — 11h</t>
        </is>
      </c>
      <c r="F75" s="140" t="inlineStr">
        <is>
          <t>ALERTA</t>
        </is>
      </c>
    </row>
    <row r="76">
      <c r="A76" s="75" t="inlineStr">
        <is>
          <t>JuCoutinho</t>
        </is>
      </c>
      <c r="B76" s="136" t="inlineStr">
        <is>
          <t>30h</t>
        </is>
      </c>
      <c r="C76" s="137" t="inlineStr">
        <is>
          <t>30/04</t>
        </is>
      </c>
      <c r="D76" s="65" t="inlineStr">
        <is>
          <t>N 30/04 → D 01/05: 0h de descanso (soma 24h)</t>
        </is>
      </c>
      <c r="E76" s="136" t="inlineStr">
        <is>
          <t>art. 66 CLT — 11h</t>
        </is>
      </c>
      <c r="F76" s="140" t="inlineStr">
        <is>
          <t>ALERTA</t>
        </is>
      </c>
    </row>
    <row r="77">
      <c r="A77" s="75" t="inlineStr">
        <is>
          <t>Roberta</t>
        </is>
      </c>
      <c r="B77" s="136" t="inlineStr">
        <is>
          <t>36h</t>
        </is>
      </c>
      <c r="C77" s="137" t="inlineStr">
        <is>
          <t>30/04</t>
        </is>
      </c>
      <c r="D77" s="65" t="inlineStr">
        <is>
          <t>N 30/04 → M 01/05: 0h de descanso (soma 18h)</t>
        </is>
      </c>
      <c r="E77" s="136" t="inlineStr">
        <is>
          <t>art. 66 CLT — 11h</t>
        </is>
      </c>
      <c r="F77" s="140" t="inlineStr">
        <is>
          <t>ALERTA</t>
        </is>
      </c>
    </row>
    <row r="78">
      <c r="A78" s="75" t="inlineStr">
        <is>
          <t>MSalomão</t>
        </is>
      </c>
      <c r="B78" s="136" t="inlineStr">
        <is>
          <t>chefia</t>
        </is>
      </c>
      <c r="C78" s="137" t="inlineStr">
        <is>
          <t>24/05</t>
        </is>
      </c>
      <c r="D78" s="65" t="inlineStr">
        <is>
          <t>N 24/05 → M 25/05: 0h de descanso (soma 18h)</t>
        </is>
      </c>
      <c r="E78" s="136" t="inlineStr">
        <is>
          <t>art. 66 CLT — 11h</t>
        </is>
      </c>
      <c r="F78" s="140" t="inlineStr">
        <is>
          <t>ALERTA</t>
        </is>
      </c>
    </row>
    <row r="79">
      <c r="A79" s="75" t="inlineStr">
        <is>
          <t>Rosana</t>
        </is>
      </c>
      <c r="B79" s="136" t="inlineStr">
        <is>
          <t>30h</t>
        </is>
      </c>
      <c r="C79" s="137" t="inlineStr">
        <is>
          <t>24/05</t>
        </is>
      </c>
      <c r="D79" s="65" t="inlineStr">
        <is>
          <t>N 24/05 → M 25/05: 0h de descanso (soma 18h)</t>
        </is>
      </c>
      <c r="E79" s="136" t="inlineStr">
        <is>
          <t>art. 66 CLT — 11h</t>
        </is>
      </c>
      <c r="F79" s="140" t="inlineStr">
        <is>
          <t>ALERTA</t>
        </is>
      </c>
    </row>
    <row r="80">
      <c r="A80" s="75" t="inlineStr">
        <is>
          <t>Aline</t>
        </is>
      </c>
      <c r="B80" s="136" t="inlineStr">
        <is>
          <t>36h</t>
        </is>
      </c>
      <c r="C80" s="137" t="inlineStr">
        <is>
          <t>25/05</t>
        </is>
      </c>
      <c r="D80" s="65" t="inlineStr">
        <is>
          <t>N 25/05 → M 26/05: 0h de descanso (soma 18h)</t>
        </is>
      </c>
      <c r="E80" s="136" t="inlineStr">
        <is>
          <t>art. 66 CLT — 11h</t>
        </is>
      </c>
      <c r="F80" s="140" t="inlineStr">
        <is>
          <t>ALERTA</t>
        </is>
      </c>
    </row>
    <row r="81">
      <c r="A81" s="75" t="inlineStr">
        <is>
          <t>Bruna</t>
        </is>
      </c>
      <c r="B81" s="136" t="inlineStr">
        <is>
          <t>24h</t>
        </is>
      </c>
      <c r="C81" s="137" t="inlineStr">
        <is>
          <t>02/06</t>
        </is>
      </c>
      <c r="D81" s="65" t="inlineStr">
        <is>
          <t>N 02/06 → D 03/06: 0h de descanso (soma 24h)</t>
        </is>
      </c>
      <c r="E81" s="136" t="inlineStr">
        <is>
          <t>art. 66 CLT — 11h</t>
        </is>
      </c>
      <c r="F81" s="140" t="inlineStr">
        <is>
          <t>ALERTA</t>
        </is>
      </c>
    </row>
    <row r="82">
      <c r="A82" s="75" t="inlineStr">
        <is>
          <t>Rosana</t>
        </is>
      </c>
      <c r="B82" s="136" t="inlineStr">
        <is>
          <t>30h</t>
        </is>
      </c>
      <c r="C82" s="137" t="inlineStr">
        <is>
          <t>14/06</t>
        </is>
      </c>
      <c r="D82" s="65" t="inlineStr">
        <is>
          <t>N 14/06 → M 15/06: 0h de descanso (soma 18h)</t>
        </is>
      </c>
      <c r="E82" s="136" t="inlineStr">
        <is>
          <t>art. 66 CLT — 11h</t>
        </is>
      </c>
      <c r="F82" s="140" t="inlineStr">
        <is>
          <t>ALERTA</t>
        </is>
      </c>
    </row>
    <row r="83">
      <c r="A83" s="75" t="inlineStr">
        <is>
          <t>Raquel</t>
        </is>
      </c>
      <c r="B83" s="136" t="inlineStr">
        <is>
          <t>24h</t>
        </is>
      </c>
      <c r="C83" s="137" t="inlineStr">
        <is>
          <t>05/07</t>
        </is>
      </c>
      <c r="D83" s="65" t="inlineStr">
        <is>
          <t>N 05/07 → M 06/07: 0h de descanso (soma 18h)</t>
        </is>
      </c>
      <c r="E83" s="136" t="inlineStr">
        <is>
          <t>art. 66 CLT — 11h</t>
        </is>
      </c>
      <c r="F83" s="140" t="inlineStr">
        <is>
          <t>ALERTA</t>
        </is>
      </c>
    </row>
    <row r="84">
      <c r="A84" s="75" t="inlineStr">
        <is>
          <t>Aline</t>
        </is>
      </c>
      <c r="B84" s="136" t="inlineStr">
        <is>
          <t>36h</t>
        </is>
      </c>
      <c r="C84" s="137" t="inlineStr">
        <is>
          <t>13/07</t>
        </is>
      </c>
      <c r="D84" s="65" t="inlineStr">
        <is>
          <t>N 13/07 → E 14/07: 1h de descanso (soma 16h)</t>
        </is>
      </c>
      <c r="E84" s="136" t="inlineStr">
        <is>
          <t>art. 66 CLT — 11h</t>
        </is>
      </c>
      <c r="F84" s="140" t="inlineStr">
        <is>
          <t>ALERTA</t>
        </is>
      </c>
    </row>
    <row r="85">
      <c r="A85" s="75" t="inlineStr">
        <is>
          <t>MSalomão</t>
        </is>
      </c>
      <c r="B85" s="136" t="inlineStr">
        <is>
          <t>chefia</t>
        </is>
      </c>
      <c r="C85" s="137" t="inlineStr">
        <is>
          <t>19/07</t>
        </is>
      </c>
      <c r="D85" s="65" t="inlineStr">
        <is>
          <t>N 19/07 → M 20/07: 0h de descanso (soma 18h)</t>
        </is>
      </c>
      <c r="E85" s="136" t="inlineStr">
        <is>
          <t>art. 66 CLT — 11h</t>
        </is>
      </c>
      <c r="F85" s="140" t="inlineStr">
        <is>
          <t>ALERTA</t>
        </is>
      </c>
    </row>
    <row r="86">
      <c r="A86" s="75" t="inlineStr">
        <is>
          <t>Aline</t>
        </is>
      </c>
      <c r="B86" s="136" t="inlineStr">
        <is>
          <t>36h</t>
        </is>
      </c>
      <c r="C86" s="137" t="inlineStr">
        <is>
          <t>27/07</t>
        </is>
      </c>
      <c r="D86" s="65" t="inlineStr">
        <is>
          <t>N 27/07 → E 28/07: 1h de descanso (soma 16h)</t>
        </is>
      </c>
      <c r="E86" s="136" t="inlineStr">
        <is>
          <t>art. 66 CLT — 11h</t>
        </is>
      </c>
      <c r="F86" s="140" t="inlineStr">
        <is>
          <t>ALERTA</t>
        </is>
      </c>
    </row>
    <row r="87">
      <c r="A87" s="75" t="inlineStr">
        <is>
          <t>MSalomão</t>
        </is>
      </c>
      <c r="B87" s="136" t="inlineStr">
        <is>
          <t>chefia</t>
        </is>
      </c>
      <c r="C87" s="137" t="inlineStr">
        <is>
          <t>02/08</t>
        </is>
      </c>
      <c r="D87" s="65" t="inlineStr">
        <is>
          <t>N 02/08 → M 03/08: 0h de descanso (soma 18h)</t>
        </is>
      </c>
      <c r="E87" s="136" t="inlineStr">
        <is>
          <t>art. 66 CLT — 11h</t>
        </is>
      </c>
      <c r="F87" s="140" t="inlineStr">
        <is>
          <t>ALERTA</t>
        </is>
      </c>
    </row>
    <row r="88">
      <c r="A88" s="75" t="inlineStr">
        <is>
          <t>Aline</t>
        </is>
      </c>
      <c r="B88" s="136" t="inlineStr">
        <is>
          <t>36h</t>
        </is>
      </c>
      <c r="C88" s="137" t="inlineStr">
        <is>
          <t>10/08</t>
        </is>
      </c>
      <c r="D88" s="65" t="inlineStr">
        <is>
          <t>N 10/08 → E 11/08: 1h de descanso (soma 16h)</t>
        </is>
      </c>
      <c r="E88" s="136" t="inlineStr">
        <is>
          <t>art. 66 CLT — 11h</t>
        </is>
      </c>
      <c r="F88" s="140" t="inlineStr">
        <is>
          <t>ALERTA</t>
        </is>
      </c>
    </row>
    <row r="89">
      <c r="A89" s="75" t="inlineStr">
        <is>
          <t>Aline</t>
        </is>
      </c>
      <c r="B89" s="136" t="inlineStr">
        <is>
          <t>36h</t>
        </is>
      </c>
      <c r="C89" s="137" t="inlineStr">
        <is>
          <t>24/08</t>
        </is>
      </c>
      <c r="D89" s="65" t="inlineStr">
        <is>
          <t>N 24/08 → E 25/08: 1h de descanso (soma 16h)</t>
        </is>
      </c>
      <c r="E89" s="136" t="inlineStr">
        <is>
          <t>art. 66 CLT — 11h</t>
        </is>
      </c>
      <c r="F89" s="140" t="inlineStr">
        <is>
          <t>ALERTA</t>
        </is>
      </c>
    </row>
    <row r="90">
      <c r="A90" s="75" t="inlineStr">
        <is>
          <t>MSalomão</t>
        </is>
      </c>
      <c r="B90" s="136" t="inlineStr">
        <is>
          <t>chefia</t>
        </is>
      </c>
      <c r="C90" s="137" t="inlineStr">
        <is>
          <t>13/09</t>
        </is>
      </c>
      <c r="D90" s="65" t="inlineStr">
        <is>
          <t>N 13/09 → M 14/09: 0h de descanso (soma 18h)</t>
        </is>
      </c>
      <c r="E90" s="136" t="inlineStr">
        <is>
          <t>art. 66 CLT — 11h</t>
        </is>
      </c>
      <c r="F90" s="140" t="inlineStr">
        <is>
          <t>ALERTA</t>
        </is>
      </c>
    </row>
    <row r="91">
      <c r="A91" s="75" t="inlineStr">
        <is>
          <t>LeLemos</t>
        </is>
      </c>
      <c r="B91" s="136" t="inlineStr">
        <is>
          <t>30h</t>
        </is>
      </c>
      <c r="C91" s="137" t="inlineStr">
        <is>
          <t>15/09</t>
        </is>
      </c>
      <c r="D91" s="65" t="inlineStr">
        <is>
          <t>N 15/09 → M 16/09: 0h de descanso (soma 18h)</t>
        </is>
      </c>
      <c r="E91" s="136" t="inlineStr">
        <is>
          <t>art. 66 CLT — 11h</t>
        </is>
      </c>
      <c r="F91" s="140" t="inlineStr">
        <is>
          <t>ALERTA</t>
        </is>
      </c>
    </row>
    <row r="92">
      <c r="A92" s="75" t="inlineStr">
        <is>
          <t>MSalomão</t>
        </is>
      </c>
      <c r="B92" s="136" t="inlineStr">
        <is>
          <t>chefia</t>
        </is>
      </c>
      <c r="C92" s="137" t="inlineStr">
        <is>
          <t>04/10</t>
        </is>
      </c>
      <c r="D92" s="65" t="inlineStr">
        <is>
          <t>N 04/10 → M 05/10: 0h de descanso (soma 18h)</t>
        </is>
      </c>
      <c r="E92" s="136" t="inlineStr">
        <is>
          <t>art. 66 CLT — 11h</t>
        </is>
      </c>
      <c r="F92" s="140" t="inlineStr">
        <is>
          <t>ALERTA</t>
        </is>
      </c>
    </row>
    <row r="93">
      <c r="A93" s="75" t="inlineStr">
        <is>
          <t>Aline</t>
        </is>
      </c>
      <c r="B93" s="136" t="inlineStr">
        <is>
          <t>36h</t>
        </is>
      </c>
      <c r="C93" s="137" t="inlineStr">
        <is>
          <t>05/10</t>
        </is>
      </c>
      <c r="D93" s="65" t="inlineStr">
        <is>
          <t>N 05/10 → E 06/10: 1h de descanso (soma 16h)</t>
        </is>
      </c>
      <c r="E93" s="136" t="inlineStr">
        <is>
          <t>art. 66 CLT — 11h</t>
        </is>
      </c>
      <c r="F93" s="140" t="inlineStr">
        <is>
          <t>ALERTA</t>
        </is>
      </c>
    </row>
    <row r="94">
      <c r="A94" s="75" t="inlineStr">
        <is>
          <t>MSalomão</t>
        </is>
      </c>
      <c r="B94" s="136" t="inlineStr">
        <is>
          <t>chefia</t>
        </is>
      </c>
      <c r="C94" s="137" t="inlineStr">
        <is>
          <t>18/10</t>
        </is>
      </c>
      <c r="D94" s="65" t="inlineStr">
        <is>
          <t>N 18/10 → M 19/10: 0h de descanso (soma 18h)</t>
        </is>
      </c>
      <c r="E94" s="136" t="inlineStr">
        <is>
          <t>art. 66 CLT — 11h</t>
        </is>
      </c>
      <c r="F94" s="140" t="inlineStr">
        <is>
          <t>ALERTA</t>
        </is>
      </c>
    </row>
    <row r="97">
      <c r="A97" s="141" t="inlineStr">
        <is>
          <t>REGISTRO — prática estabelecida do serviço (137)</t>
        </is>
      </c>
    </row>
    <row r="98" ht="28" customHeight="1">
      <c r="A98" s="134" t="inlineStr">
        <is>
          <t>Noite 19–07h seguida da tarde 13–19h: 18h de trabalho com 6h de pausa. São 90 casos em 6 meses, 26 pessoas, sem queda no ano — é como o serviço funciona, não acidente. Decisão de 17/08/26: continua e fica registrado, sem alarme. Fica aqui porque está abaixo das 11h do art. 66 e, se algum dia for questionado, o registro existe. Observação honesta: o arquivo de códigos não carrega BHP/BHN nem troca, então parte destes casos pode ser troca documentada.</t>
        </is>
      </c>
    </row>
    <row r="100">
      <c r="A100" s="135" t="inlineStr">
        <is>
          <t>médico</t>
        </is>
      </c>
      <c r="B100" s="135" t="inlineStr">
        <is>
          <t>grupo</t>
        </is>
      </c>
      <c r="C100" s="135" t="inlineStr">
        <is>
          <t>quando</t>
        </is>
      </c>
      <c r="D100" s="135" t="inlineStr">
        <is>
          <t>o que acontece</t>
        </is>
      </c>
      <c r="E100" s="135" t="inlineStr">
        <is>
          <t>base</t>
        </is>
      </c>
      <c r="F100" s="135" t="inlineStr">
        <is>
          <t>tratamento</t>
        </is>
      </c>
    </row>
    <row r="101">
      <c r="A101" s="75" t="inlineStr">
        <is>
          <t>João</t>
        </is>
      </c>
      <c r="B101" s="136" t="inlineStr">
        <is>
          <t>30h</t>
        </is>
      </c>
      <c r="C101" s="137" t="inlineStr">
        <is>
          <t>06/01</t>
        </is>
      </c>
      <c r="D101" s="65" t="inlineStr">
        <is>
          <t>N 06/01 → T 07/01: 6h de descanso (soma 18h)</t>
        </is>
      </c>
      <c r="E101" s="136" t="inlineStr">
        <is>
          <t>art. 66 CLT — 11h</t>
        </is>
      </c>
      <c r="F101" s="142" t="inlineStr">
        <is>
          <t>REGISTRO</t>
        </is>
      </c>
    </row>
    <row r="102">
      <c r="A102" s="75" t="inlineStr">
        <is>
          <t>Roberta</t>
        </is>
      </c>
      <c r="B102" s="136" t="inlineStr">
        <is>
          <t>36h</t>
        </is>
      </c>
      <c r="C102" s="137" t="inlineStr">
        <is>
          <t>06/01</t>
        </is>
      </c>
      <c r="D102" s="65" t="inlineStr">
        <is>
          <t>N 06/01 → T 07/01: 6h de descanso (soma 18h)</t>
        </is>
      </c>
      <c r="E102" s="136" t="inlineStr">
        <is>
          <t>art. 66 CLT — 11h</t>
        </is>
      </c>
      <c r="F102" s="142" t="inlineStr">
        <is>
          <t>REGISTRO</t>
        </is>
      </c>
    </row>
    <row r="103">
      <c r="A103" s="75" t="inlineStr">
        <is>
          <t>Isabella</t>
        </is>
      </c>
      <c r="B103" s="136" t="inlineStr">
        <is>
          <t>36h</t>
        </is>
      </c>
      <c r="C103" s="137" t="inlineStr">
        <is>
          <t>11/01</t>
        </is>
      </c>
      <c r="D103" s="65" t="inlineStr">
        <is>
          <t>N 11/01 → T 12/01: 6h de descanso (soma 18h)</t>
        </is>
      </c>
      <c r="E103" s="136" t="inlineStr">
        <is>
          <t>art. 66 CLT — 11h</t>
        </is>
      </c>
      <c r="F103" s="142" t="inlineStr">
        <is>
          <t>REGISTRO</t>
        </is>
      </c>
    </row>
    <row r="104">
      <c r="A104" s="75" t="inlineStr">
        <is>
          <t>Amanda</t>
        </is>
      </c>
      <c r="B104" s="136" t="inlineStr">
        <is>
          <t>30h</t>
        </is>
      </c>
      <c r="C104" s="137" t="inlineStr">
        <is>
          <t>12/01</t>
        </is>
      </c>
      <c r="D104" s="65" t="inlineStr">
        <is>
          <t>N 12/01 → T 13/01: 6h de descanso (soma 18h)</t>
        </is>
      </c>
      <c r="E104" s="136" t="inlineStr">
        <is>
          <t>art. 66 CLT — 11h</t>
        </is>
      </c>
      <c r="F104" s="142" t="inlineStr">
        <is>
          <t>REGISTRO</t>
        </is>
      </c>
    </row>
    <row r="105">
      <c r="A105" s="75" t="inlineStr">
        <is>
          <t>Raphael</t>
        </is>
      </c>
      <c r="B105" s="136" t="inlineStr">
        <is>
          <t>24h</t>
        </is>
      </c>
      <c r="C105" s="137" t="inlineStr">
        <is>
          <t>12/01</t>
        </is>
      </c>
      <c r="D105" s="65" t="inlineStr">
        <is>
          <t>N 12/01 → T 13/01: 6h de descanso (soma 18h)</t>
        </is>
      </c>
      <c r="E105" s="136" t="inlineStr">
        <is>
          <t>art. 66 CLT — 11h</t>
        </is>
      </c>
      <c r="F105" s="142" t="inlineStr">
        <is>
          <t>REGISTRO</t>
        </is>
      </c>
    </row>
    <row r="106">
      <c r="A106" s="75" t="inlineStr">
        <is>
          <t>Raphael</t>
        </is>
      </c>
      <c r="B106" s="136" t="inlineStr">
        <is>
          <t>24h</t>
        </is>
      </c>
      <c r="C106" s="137" t="inlineStr">
        <is>
          <t>14/01</t>
        </is>
      </c>
      <c r="D106" s="65" t="inlineStr">
        <is>
          <t>N 14/01 → T 15/01: 6h de descanso (soma 18h)</t>
        </is>
      </c>
      <c r="E106" s="136" t="inlineStr">
        <is>
          <t>art. 66 CLT — 11h</t>
        </is>
      </c>
      <c r="F106" s="142" t="inlineStr">
        <is>
          <t>REGISTRO</t>
        </is>
      </c>
    </row>
    <row r="107">
      <c r="A107" s="75" t="inlineStr">
        <is>
          <t>Amelio</t>
        </is>
      </c>
      <c r="B107" s="136" t="inlineStr">
        <is>
          <t>chefia</t>
        </is>
      </c>
      <c r="C107" s="137" t="inlineStr">
        <is>
          <t>15/01</t>
        </is>
      </c>
      <c r="D107" s="65" t="inlineStr">
        <is>
          <t>N 15/01 → T 16/01: 6h de descanso (soma 18h)</t>
        </is>
      </c>
      <c r="E107" s="136" t="inlineStr">
        <is>
          <t>art. 66 CLT — 11h</t>
        </is>
      </c>
      <c r="F107" s="142" t="inlineStr">
        <is>
          <t>REGISTRO</t>
        </is>
      </c>
    </row>
    <row r="108">
      <c r="A108" s="75" t="inlineStr">
        <is>
          <t>João</t>
        </is>
      </c>
      <c r="B108" s="136" t="inlineStr">
        <is>
          <t>30h</t>
        </is>
      </c>
      <c r="C108" s="137" t="inlineStr">
        <is>
          <t>20/01</t>
        </is>
      </c>
      <c r="D108" s="65" t="inlineStr">
        <is>
          <t>N 20/01 → T 21/01: 6h de descanso (soma 18h)</t>
        </is>
      </c>
      <c r="E108" s="136" t="inlineStr">
        <is>
          <t>art. 66 CLT — 11h</t>
        </is>
      </c>
      <c r="F108" s="142" t="inlineStr">
        <is>
          <t>REGISTRO</t>
        </is>
      </c>
    </row>
    <row r="109">
      <c r="A109" s="75" t="inlineStr">
        <is>
          <t>Pedro</t>
        </is>
      </c>
      <c r="B109" s="136" t="inlineStr">
        <is>
          <t>24h</t>
        </is>
      </c>
      <c r="C109" s="137" t="inlineStr">
        <is>
          <t>21/01</t>
        </is>
      </c>
      <c r="D109" s="65" t="inlineStr">
        <is>
          <t>N 21/01 → T 22/01: 6h de descanso (soma 18h)</t>
        </is>
      </c>
      <c r="E109" s="136" t="inlineStr">
        <is>
          <t>art. 66 CLT — 11h</t>
        </is>
      </c>
      <c r="F109" s="142" t="inlineStr">
        <is>
          <t>REGISTRO</t>
        </is>
      </c>
    </row>
    <row r="110">
      <c r="A110" s="75" t="inlineStr">
        <is>
          <t>Amelio</t>
        </is>
      </c>
      <c r="B110" s="136" t="inlineStr">
        <is>
          <t>chefia</t>
        </is>
      </c>
      <c r="C110" s="137" t="inlineStr">
        <is>
          <t>24/01</t>
        </is>
      </c>
      <c r="D110" s="65" t="inlineStr">
        <is>
          <t>N 24/01 → T 25/01: 6h de descanso (soma 18h)</t>
        </is>
      </c>
      <c r="E110" s="136" t="inlineStr">
        <is>
          <t>art. 66 CLT — 11h</t>
        </is>
      </c>
      <c r="F110" s="142" t="inlineStr">
        <is>
          <t>REGISTRO</t>
        </is>
      </c>
    </row>
    <row r="111">
      <c r="A111" s="75" t="inlineStr">
        <is>
          <t>Aline</t>
        </is>
      </c>
      <c r="B111" s="136" t="inlineStr">
        <is>
          <t>36h</t>
        </is>
      </c>
      <c r="C111" s="137" t="inlineStr">
        <is>
          <t>27/01</t>
        </is>
      </c>
      <c r="D111" s="65" t="inlineStr">
        <is>
          <t>N 27/01 → T 28/01: 6h de descanso (soma 18h)</t>
        </is>
      </c>
      <c r="E111" s="136" t="inlineStr">
        <is>
          <t>art. 66 CLT — 11h</t>
        </is>
      </c>
      <c r="F111" s="142" t="inlineStr">
        <is>
          <t>REGISTRO</t>
        </is>
      </c>
    </row>
    <row r="112">
      <c r="A112" s="75" t="inlineStr">
        <is>
          <t>João</t>
        </is>
      </c>
      <c r="B112" s="136" t="inlineStr">
        <is>
          <t>30h</t>
        </is>
      </c>
      <c r="C112" s="137" t="inlineStr">
        <is>
          <t>27/01</t>
        </is>
      </c>
      <c r="D112" s="65" t="inlineStr">
        <is>
          <t>N 27/01 → T 28/01: 6h de descanso (soma 18h)</t>
        </is>
      </c>
      <c r="E112" s="136" t="inlineStr">
        <is>
          <t>art. 66 CLT — 11h</t>
        </is>
      </c>
      <c r="F112" s="142" t="inlineStr">
        <is>
          <t>REGISTRO</t>
        </is>
      </c>
    </row>
    <row r="113">
      <c r="A113" s="75" t="inlineStr">
        <is>
          <t>Pedro</t>
        </is>
      </c>
      <c r="B113" s="136" t="inlineStr">
        <is>
          <t>24h</t>
        </is>
      </c>
      <c r="C113" s="137" t="inlineStr">
        <is>
          <t>28/01</t>
        </is>
      </c>
      <c r="D113" s="65" t="inlineStr">
        <is>
          <t>N 28/01 → T 29/01: 6h de descanso (soma 18h)</t>
        </is>
      </c>
      <c r="E113" s="136" t="inlineStr">
        <is>
          <t>art. 66 CLT — 11h</t>
        </is>
      </c>
      <c r="F113" s="142" t="inlineStr">
        <is>
          <t>REGISTRO</t>
        </is>
      </c>
    </row>
    <row r="114">
      <c r="A114" s="75" t="inlineStr">
        <is>
          <t>Amelio</t>
        </is>
      </c>
      <c r="B114" s="136" t="inlineStr">
        <is>
          <t>chefia</t>
        </is>
      </c>
      <c r="C114" s="137" t="inlineStr">
        <is>
          <t>30/01</t>
        </is>
      </c>
      <c r="D114" s="65" t="inlineStr">
        <is>
          <t>N 30/01 → T 31/01: 6h de descanso (soma 18h)</t>
        </is>
      </c>
      <c r="E114" s="136" t="inlineStr">
        <is>
          <t>art. 66 CLT — 11h</t>
        </is>
      </c>
      <c r="F114" s="142" t="inlineStr">
        <is>
          <t>REGISTRO</t>
        </is>
      </c>
    </row>
    <row r="115">
      <c r="A115" s="75" t="inlineStr">
        <is>
          <t>Raphael</t>
        </is>
      </c>
      <c r="B115" s="136" t="inlineStr">
        <is>
          <t>24h</t>
        </is>
      </c>
      <c r="C115" s="137" t="inlineStr">
        <is>
          <t>02/02</t>
        </is>
      </c>
      <c r="D115" s="65" t="inlineStr">
        <is>
          <t>N 02/02 → T 03/02: 6h de descanso (soma 18h)</t>
        </is>
      </c>
      <c r="E115" s="136" t="inlineStr">
        <is>
          <t>art. 66 CLT — 11h</t>
        </is>
      </c>
      <c r="F115" s="142" t="inlineStr">
        <is>
          <t>REGISTRO</t>
        </is>
      </c>
    </row>
    <row r="116">
      <c r="A116" s="75" t="inlineStr">
        <is>
          <t>João</t>
        </is>
      </c>
      <c r="B116" s="136" t="inlineStr">
        <is>
          <t>30h</t>
        </is>
      </c>
      <c r="C116" s="137" t="inlineStr">
        <is>
          <t>03/02</t>
        </is>
      </c>
      <c r="D116" s="65" t="inlineStr">
        <is>
          <t>N 03/02 → T 04/02: 6h de descanso (soma 18h)</t>
        </is>
      </c>
      <c r="E116" s="136" t="inlineStr">
        <is>
          <t>art. 66 CLT — 11h</t>
        </is>
      </c>
      <c r="F116" s="142" t="inlineStr">
        <is>
          <t>REGISTRO</t>
        </is>
      </c>
    </row>
    <row r="117">
      <c r="A117" s="75" t="inlineStr">
        <is>
          <t>Pedro</t>
        </is>
      </c>
      <c r="B117" s="136" t="inlineStr">
        <is>
          <t>24h</t>
        </is>
      </c>
      <c r="C117" s="137" t="inlineStr">
        <is>
          <t>04/02</t>
        </is>
      </c>
      <c r="D117" s="65" t="inlineStr">
        <is>
          <t>N 04/02 → T 05/02: 6h de descanso (soma 18h)</t>
        </is>
      </c>
      <c r="E117" s="136" t="inlineStr">
        <is>
          <t>art. 66 CLT — 11h</t>
        </is>
      </c>
      <c r="F117" s="142" t="inlineStr">
        <is>
          <t>REGISTRO</t>
        </is>
      </c>
    </row>
    <row r="118">
      <c r="A118" s="75" t="inlineStr">
        <is>
          <t>Isabella</t>
        </is>
      </c>
      <c r="B118" s="136" t="inlineStr">
        <is>
          <t>36h</t>
        </is>
      </c>
      <c r="C118" s="137" t="inlineStr">
        <is>
          <t>05/02</t>
        </is>
      </c>
      <c r="D118" s="65" t="inlineStr">
        <is>
          <t>N 05/02 → T 06/02: 6h de descanso (soma 18h)</t>
        </is>
      </c>
      <c r="E118" s="136" t="inlineStr">
        <is>
          <t>art. 66 CLT — 11h</t>
        </is>
      </c>
      <c r="F118" s="142" t="inlineStr">
        <is>
          <t>REGISTRO</t>
        </is>
      </c>
    </row>
    <row r="119">
      <c r="A119" s="75" t="inlineStr">
        <is>
          <t>MPinheiro</t>
        </is>
      </c>
      <c r="B119" s="136" t="inlineStr">
        <is>
          <t>administrativo</t>
        </is>
      </c>
      <c r="C119" s="137" t="inlineStr">
        <is>
          <t>05/02</t>
        </is>
      </c>
      <c r="D119" s="65" t="inlineStr">
        <is>
          <t>N 05/02 → T 06/02: 6h de descanso (soma 18h)</t>
        </is>
      </c>
      <c r="E119" s="136" t="inlineStr">
        <is>
          <t>art. 66 CLT — 11h</t>
        </is>
      </c>
      <c r="F119" s="142" t="inlineStr">
        <is>
          <t>REGISTRO</t>
        </is>
      </c>
    </row>
    <row r="120">
      <c r="A120" s="75" t="inlineStr">
        <is>
          <t>Aline</t>
        </is>
      </c>
      <c r="B120" s="136" t="inlineStr">
        <is>
          <t>36h</t>
        </is>
      </c>
      <c r="C120" s="137" t="inlineStr">
        <is>
          <t>09/02</t>
        </is>
      </c>
      <c r="D120" s="65" t="inlineStr">
        <is>
          <t>N 09/02 → T 10/02: 6h de descanso (soma 18h)</t>
        </is>
      </c>
      <c r="E120" s="136" t="inlineStr">
        <is>
          <t>art. 66 CLT — 11h</t>
        </is>
      </c>
      <c r="F120" s="142" t="inlineStr">
        <is>
          <t>REGISTRO</t>
        </is>
      </c>
    </row>
    <row r="121">
      <c r="A121" s="75" t="inlineStr">
        <is>
          <t>Raphael</t>
        </is>
      </c>
      <c r="B121" s="136" t="inlineStr">
        <is>
          <t>24h</t>
        </is>
      </c>
      <c r="C121" s="137" t="inlineStr">
        <is>
          <t>09/02</t>
        </is>
      </c>
      <c r="D121" s="65" t="inlineStr">
        <is>
          <t>N 09/02 → T 10/02: 6h de descanso (soma 18h)</t>
        </is>
      </c>
      <c r="E121" s="136" t="inlineStr">
        <is>
          <t>art. 66 CLT — 11h</t>
        </is>
      </c>
      <c r="F121" s="142" t="inlineStr">
        <is>
          <t>REGISTRO</t>
        </is>
      </c>
    </row>
    <row r="122">
      <c r="A122" s="75" t="inlineStr">
        <is>
          <t>João</t>
        </is>
      </c>
      <c r="B122" s="136" t="inlineStr">
        <is>
          <t>30h</t>
        </is>
      </c>
      <c r="C122" s="137" t="inlineStr">
        <is>
          <t>10/02</t>
        </is>
      </c>
      <c r="D122" s="65" t="inlineStr">
        <is>
          <t>N 10/02 → T 11/02: 6h de descanso (soma 18h)</t>
        </is>
      </c>
      <c r="E122" s="136" t="inlineStr">
        <is>
          <t>art. 66 CLT — 11h</t>
        </is>
      </c>
      <c r="F122" s="142" t="inlineStr">
        <is>
          <t>REGISTRO</t>
        </is>
      </c>
    </row>
    <row r="123">
      <c r="A123" s="75" t="inlineStr">
        <is>
          <t>Pedro</t>
        </is>
      </c>
      <c r="B123" s="136" t="inlineStr">
        <is>
          <t>24h</t>
        </is>
      </c>
      <c r="C123" s="137" t="inlineStr">
        <is>
          <t>11/02</t>
        </is>
      </c>
      <c r="D123" s="65" t="inlineStr">
        <is>
          <t>N 11/02 → T 12/02: 6h de descanso (soma 18h)</t>
        </is>
      </c>
      <c r="E123" s="136" t="inlineStr">
        <is>
          <t>art. 66 CLT — 11h</t>
        </is>
      </c>
      <c r="F123" s="142" t="inlineStr">
        <is>
          <t>REGISTRO</t>
        </is>
      </c>
    </row>
    <row r="124">
      <c r="A124" s="75" t="inlineStr">
        <is>
          <t>Raphael</t>
        </is>
      </c>
      <c r="B124" s="136" t="inlineStr">
        <is>
          <t>24h</t>
        </is>
      </c>
      <c r="C124" s="137" t="inlineStr">
        <is>
          <t>11/02</t>
        </is>
      </c>
      <c r="D124" s="65" t="inlineStr">
        <is>
          <t>N 11/02 → T 12/02: 6h de descanso (soma 18h)</t>
        </is>
      </c>
      <c r="E124" s="136" t="inlineStr">
        <is>
          <t>art. 66 CLT — 11h</t>
        </is>
      </c>
      <c r="F124" s="142" t="inlineStr">
        <is>
          <t>REGISTRO</t>
        </is>
      </c>
    </row>
    <row r="125">
      <c r="A125" s="75" t="inlineStr">
        <is>
          <t>Kozak</t>
        </is>
      </c>
      <c r="B125" s="136" t="inlineStr">
        <is>
          <t>24h</t>
        </is>
      </c>
      <c r="C125" s="137" t="inlineStr">
        <is>
          <t>12/02</t>
        </is>
      </c>
      <c r="D125" s="65" t="inlineStr">
        <is>
          <t>N 12/02 → T 13/02: 6h de descanso (soma 18h)</t>
        </is>
      </c>
      <c r="E125" s="136" t="inlineStr">
        <is>
          <t>art. 66 CLT — 11h</t>
        </is>
      </c>
      <c r="F125" s="142" t="inlineStr">
        <is>
          <t>REGISTRO</t>
        </is>
      </c>
    </row>
    <row r="126">
      <c r="A126" s="75" t="inlineStr">
        <is>
          <t>João</t>
        </is>
      </c>
      <c r="B126" s="136" t="inlineStr">
        <is>
          <t>30h</t>
        </is>
      </c>
      <c r="C126" s="137" t="inlineStr">
        <is>
          <t>18/02</t>
        </is>
      </c>
      <c r="D126" s="65" t="inlineStr">
        <is>
          <t>N 18/02 → T 19/02: 6h de descanso (soma 18h)</t>
        </is>
      </c>
      <c r="E126" s="136" t="inlineStr">
        <is>
          <t>art. 66 CLT — 11h</t>
        </is>
      </c>
      <c r="F126" s="142" t="inlineStr">
        <is>
          <t>REGISTRO</t>
        </is>
      </c>
    </row>
    <row r="127">
      <c r="A127" s="75" t="inlineStr">
        <is>
          <t>Rosana</t>
        </is>
      </c>
      <c r="B127" s="136" t="inlineStr">
        <is>
          <t>30h</t>
        </is>
      </c>
      <c r="C127" s="137" t="inlineStr">
        <is>
          <t>21/02</t>
        </is>
      </c>
      <c r="D127" s="65" t="inlineStr">
        <is>
          <t>N 21/02 → T 22/02: 6h de descanso (soma 18h)</t>
        </is>
      </c>
      <c r="E127" s="136" t="inlineStr">
        <is>
          <t>art. 66 CLT — 11h</t>
        </is>
      </c>
      <c r="F127" s="142" t="inlineStr">
        <is>
          <t>REGISTRO</t>
        </is>
      </c>
    </row>
    <row r="128">
      <c r="A128" s="75" t="inlineStr">
        <is>
          <t>Isabella</t>
        </is>
      </c>
      <c r="B128" s="136" t="inlineStr">
        <is>
          <t>36h</t>
        </is>
      </c>
      <c r="C128" s="137" t="inlineStr">
        <is>
          <t>22/02</t>
        </is>
      </c>
      <c r="D128" s="65" t="inlineStr">
        <is>
          <t>N 22/02 → T 23/02: 6h de descanso (soma 18h)</t>
        </is>
      </c>
      <c r="E128" s="136" t="inlineStr">
        <is>
          <t>art. 66 CLT — 11h</t>
        </is>
      </c>
      <c r="F128" s="142" t="inlineStr">
        <is>
          <t>REGISTRO</t>
        </is>
      </c>
    </row>
    <row r="129">
      <c r="A129" s="75" t="inlineStr">
        <is>
          <t>Raphael</t>
        </is>
      </c>
      <c r="B129" s="136" t="inlineStr">
        <is>
          <t>24h</t>
        </is>
      </c>
      <c r="C129" s="137" t="inlineStr">
        <is>
          <t>23/02</t>
        </is>
      </c>
      <c r="D129" s="65" t="inlineStr">
        <is>
          <t>N 23/02 → T 24/02: 6h de descanso (soma 18h)</t>
        </is>
      </c>
      <c r="E129" s="136" t="inlineStr">
        <is>
          <t>art. 66 CLT — 11h</t>
        </is>
      </c>
      <c r="F129" s="142" t="inlineStr">
        <is>
          <t>REGISTRO</t>
        </is>
      </c>
    </row>
    <row r="130">
      <c r="A130" s="75" t="inlineStr">
        <is>
          <t>João</t>
        </is>
      </c>
      <c r="B130" s="136" t="inlineStr">
        <is>
          <t>30h</t>
        </is>
      </c>
      <c r="C130" s="137" t="inlineStr">
        <is>
          <t>24/02</t>
        </is>
      </c>
      <c r="D130" s="65" t="inlineStr">
        <is>
          <t>N 24/02 → T 25/02: 6h de descanso (soma 18h)</t>
        </is>
      </c>
      <c r="E130" s="136" t="inlineStr">
        <is>
          <t>art. 66 CLT — 11h</t>
        </is>
      </c>
      <c r="F130" s="142" t="inlineStr">
        <is>
          <t>REGISTRO</t>
        </is>
      </c>
    </row>
    <row r="131">
      <c r="A131" s="75" t="inlineStr">
        <is>
          <t>João</t>
        </is>
      </c>
      <c r="B131" s="136" t="inlineStr">
        <is>
          <t>30h</t>
        </is>
      </c>
      <c r="C131" s="137" t="inlineStr">
        <is>
          <t>01/03</t>
        </is>
      </c>
      <c r="D131" s="65" t="inlineStr">
        <is>
          <t>N 01/03 → T 02/03: 6h de descanso (soma 18h)</t>
        </is>
      </c>
      <c r="E131" s="136" t="inlineStr">
        <is>
          <t>art. 66 CLT — 11h</t>
        </is>
      </c>
      <c r="F131" s="142" t="inlineStr">
        <is>
          <t>REGISTRO</t>
        </is>
      </c>
    </row>
    <row r="132">
      <c r="A132" s="75" t="inlineStr">
        <is>
          <t>Roberta</t>
        </is>
      </c>
      <c r="B132" s="136" t="inlineStr">
        <is>
          <t>36h</t>
        </is>
      </c>
      <c r="C132" s="137" t="inlineStr">
        <is>
          <t>01/03</t>
        </is>
      </c>
      <c r="D132" s="65" t="inlineStr">
        <is>
          <t>N 01/03 → T 02/03: 6h de descanso (soma 18h)</t>
        </is>
      </c>
      <c r="E132" s="136" t="inlineStr">
        <is>
          <t>art. 66 CLT — 11h</t>
        </is>
      </c>
      <c r="F132" s="142" t="inlineStr">
        <is>
          <t>REGISTRO</t>
        </is>
      </c>
    </row>
    <row r="133">
      <c r="A133" s="75" t="inlineStr">
        <is>
          <t>JuBrito</t>
        </is>
      </c>
      <c r="B133" s="136" t="inlineStr">
        <is>
          <t>30h</t>
        </is>
      </c>
      <c r="C133" s="137" t="inlineStr">
        <is>
          <t>02/03</t>
        </is>
      </c>
      <c r="D133" s="65" t="inlineStr">
        <is>
          <t>N 02/03 → T 03/03: 6h de descanso (soma 18h)</t>
        </is>
      </c>
      <c r="E133" s="136" t="inlineStr">
        <is>
          <t>art. 66 CLT — 11h</t>
        </is>
      </c>
      <c r="F133" s="142" t="inlineStr">
        <is>
          <t>REGISTRO</t>
        </is>
      </c>
    </row>
    <row r="134">
      <c r="A134" s="75" t="inlineStr">
        <is>
          <t>João</t>
        </is>
      </c>
      <c r="B134" s="136" t="inlineStr">
        <is>
          <t>30h</t>
        </is>
      </c>
      <c r="C134" s="137" t="inlineStr">
        <is>
          <t>03/03</t>
        </is>
      </c>
      <c r="D134" s="65" t="inlineStr">
        <is>
          <t>N 03/03 → T 04/03: 6h de descanso (soma 18h)</t>
        </is>
      </c>
      <c r="E134" s="136" t="inlineStr">
        <is>
          <t>art. 66 CLT — 11h</t>
        </is>
      </c>
      <c r="F134" s="142" t="inlineStr">
        <is>
          <t>REGISTRO</t>
        </is>
      </c>
    </row>
    <row r="135">
      <c r="A135" s="75" t="inlineStr">
        <is>
          <t>JuCoutinho</t>
        </is>
      </c>
      <c r="B135" s="136" t="inlineStr">
        <is>
          <t>30h</t>
        </is>
      </c>
      <c r="C135" s="137" t="inlineStr">
        <is>
          <t>03/03</t>
        </is>
      </c>
      <c r="D135" s="65" t="inlineStr">
        <is>
          <t>N 03/03 → T 04/03: 6h de descanso (soma 18h)</t>
        </is>
      </c>
      <c r="E135" s="136" t="inlineStr">
        <is>
          <t>art. 66 CLT — 11h</t>
        </is>
      </c>
      <c r="F135" s="142" t="inlineStr">
        <is>
          <t>REGISTRO</t>
        </is>
      </c>
    </row>
    <row r="136">
      <c r="A136" s="75" t="inlineStr">
        <is>
          <t>Pedro</t>
        </is>
      </c>
      <c r="B136" s="136" t="inlineStr">
        <is>
          <t>24h</t>
        </is>
      </c>
      <c r="C136" s="137" t="inlineStr">
        <is>
          <t>07/03</t>
        </is>
      </c>
      <c r="D136" s="65" t="inlineStr">
        <is>
          <t>N 07/03 → T 08/03: 6h de descanso (soma 18h)</t>
        </is>
      </c>
      <c r="E136" s="136" t="inlineStr">
        <is>
          <t>art. 66 CLT — 11h</t>
        </is>
      </c>
      <c r="F136" s="142" t="inlineStr">
        <is>
          <t>REGISTRO</t>
        </is>
      </c>
    </row>
    <row r="137">
      <c r="A137" s="75" t="inlineStr">
        <is>
          <t>João</t>
        </is>
      </c>
      <c r="B137" s="136" t="inlineStr">
        <is>
          <t>30h</t>
        </is>
      </c>
      <c r="C137" s="137" t="inlineStr">
        <is>
          <t>10/03</t>
        </is>
      </c>
      <c r="D137" s="65" t="inlineStr">
        <is>
          <t>N 10/03 → T 11/03: 6h de descanso (soma 18h)</t>
        </is>
      </c>
      <c r="E137" s="136" t="inlineStr">
        <is>
          <t>art. 66 CLT — 11h</t>
        </is>
      </c>
      <c r="F137" s="142" t="inlineStr">
        <is>
          <t>REGISTRO</t>
        </is>
      </c>
    </row>
    <row r="138">
      <c r="A138" s="75" t="inlineStr">
        <is>
          <t>Pedro</t>
        </is>
      </c>
      <c r="B138" s="136" t="inlineStr">
        <is>
          <t>24h</t>
        </is>
      </c>
      <c r="C138" s="137" t="inlineStr">
        <is>
          <t>11/03</t>
        </is>
      </c>
      <c r="D138" s="65" t="inlineStr">
        <is>
          <t>N 11/03 → T 12/03: 6h de descanso (soma 18h)</t>
        </is>
      </c>
      <c r="E138" s="136" t="inlineStr">
        <is>
          <t>art. 66 CLT — 11h</t>
        </is>
      </c>
      <c r="F138" s="142" t="inlineStr">
        <is>
          <t>REGISTRO</t>
        </is>
      </c>
    </row>
    <row r="139">
      <c r="A139" s="75" t="inlineStr">
        <is>
          <t>Vanessa</t>
        </is>
      </c>
      <c r="B139" s="136" t="inlineStr">
        <is>
          <t>24h</t>
        </is>
      </c>
      <c r="C139" s="137" t="inlineStr">
        <is>
          <t>13/03</t>
        </is>
      </c>
      <c r="D139" s="65" t="inlineStr">
        <is>
          <t>N 13/03 → T 14/03: 6h de descanso (soma 18h)</t>
        </is>
      </c>
      <c r="E139" s="136" t="inlineStr">
        <is>
          <t>art. 66 CLT — 11h</t>
        </is>
      </c>
      <c r="F139" s="142" t="inlineStr">
        <is>
          <t>REGISTRO</t>
        </is>
      </c>
    </row>
    <row r="140">
      <c r="A140" s="75" t="inlineStr">
        <is>
          <t>Raphael</t>
        </is>
      </c>
      <c r="B140" s="136" t="inlineStr">
        <is>
          <t>24h</t>
        </is>
      </c>
      <c r="C140" s="137" t="inlineStr">
        <is>
          <t>16/03</t>
        </is>
      </c>
      <c r="D140" s="65" t="inlineStr">
        <is>
          <t>N 16/03 → T 17/03: 6h de descanso (soma 18h)</t>
        </is>
      </c>
      <c r="E140" s="136" t="inlineStr">
        <is>
          <t>art. 66 CLT — 11h</t>
        </is>
      </c>
      <c r="F140" s="142" t="inlineStr">
        <is>
          <t>REGISTRO</t>
        </is>
      </c>
    </row>
    <row r="141">
      <c r="A141" s="75" t="inlineStr">
        <is>
          <t>JuCoutinho</t>
        </is>
      </c>
      <c r="B141" s="136" t="inlineStr">
        <is>
          <t>30h</t>
        </is>
      </c>
      <c r="C141" s="137" t="inlineStr">
        <is>
          <t>17/03</t>
        </is>
      </c>
      <c r="D141" s="65" t="inlineStr">
        <is>
          <t>N 17/03 → T 18/03: 6h de descanso (soma 18h)</t>
        </is>
      </c>
      <c r="E141" s="136" t="inlineStr">
        <is>
          <t>art. 66 CLT — 11h</t>
        </is>
      </c>
      <c r="F141" s="142" t="inlineStr">
        <is>
          <t>REGISTRO</t>
        </is>
      </c>
    </row>
    <row r="142">
      <c r="A142" s="75" t="inlineStr">
        <is>
          <t>Pedro</t>
        </is>
      </c>
      <c r="B142" s="136" t="inlineStr">
        <is>
          <t>24h</t>
        </is>
      </c>
      <c r="C142" s="137" t="inlineStr">
        <is>
          <t>18/03</t>
        </is>
      </c>
      <c r="D142" s="65" t="inlineStr">
        <is>
          <t>N 18/03 → T 19/03: 6h de descanso (soma 18h)</t>
        </is>
      </c>
      <c r="E142" s="136" t="inlineStr">
        <is>
          <t>art. 66 CLT — 11h</t>
        </is>
      </c>
      <c r="F142" s="142" t="inlineStr">
        <is>
          <t>REGISTRO</t>
        </is>
      </c>
    </row>
    <row r="143">
      <c r="A143" s="75" t="inlineStr">
        <is>
          <t>MPinheiro</t>
        </is>
      </c>
      <c r="B143" s="136" t="inlineStr">
        <is>
          <t>administrativo</t>
        </is>
      </c>
      <c r="C143" s="137" t="inlineStr">
        <is>
          <t>19/03</t>
        </is>
      </c>
      <c r="D143" s="65" t="inlineStr">
        <is>
          <t>N 19/03 → T 20/03: 6h de descanso (soma 18h)</t>
        </is>
      </c>
      <c r="E143" s="136" t="inlineStr">
        <is>
          <t>art. 66 CLT — 11h</t>
        </is>
      </c>
      <c r="F143" s="142" t="inlineStr">
        <is>
          <t>REGISTRO</t>
        </is>
      </c>
    </row>
    <row r="144">
      <c r="A144" s="75" t="inlineStr">
        <is>
          <t>Rosana</t>
        </is>
      </c>
      <c r="B144" s="136" t="inlineStr">
        <is>
          <t>30h</t>
        </is>
      </c>
      <c r="C144" s="137" t="inlineStr">
        <is>
          <t>22/03</t>
        </is>
      </c>
      <c r="D144" s="65" t="inlineStr">
        <is>
          <t>N 22/03 → T 23/03: 6h de descanso (soma 18h)</t>
        </is>
      </c>
      <c r="E144" s="136" t="inlineStr">
        <is>
          <t>art. 66 CLT — 11h</t>
        </is>
      </c>
      <c r="F144" s="142" t="inlineStr">
        <is>
          <t>REGISTRO</t>
        </is>
      </c>
    </row>
    <row r="145">
      <c r="A145" s="75" t="inlineStr">
        <is>
          <t>Vanessa</t>
        </is>
      </c>
      <c r="B145" s="136" t="inlineStr">
        <is>
          <t>24h</t>
        </is>
      </c>
      <c r="C145" s="137" t="inlineStr">
        <is>
          <t>22/03</t>
        </is>
      </c>
      <c r="D145" s="65" t="inlineStr">
        <is>
          <t>N 22/03 → T 23/03: 6h de descanso (soma 18h)</t>
        </is>
      </c>
      <c r="E145" s="136" t="inlineStr">
        <is>
          <t>art. 66 CLT — 11h</t>
        </is>
      </c>
      <c r="F145" s="142" t="inlineStr">
        <is>
          <t>REGISTRO</t>
        </is>
      </c>
    </row>
    <row r="146">
      <c r="A146" s="75" t="inlineStr">
        <is>
          <t>Raphael</t>
        </is>
      </c>
      <c r="B146" s="136" t="inlineStr">
        <is>
          <t>24h</t>
        </is>
      </c>
      <c r="C146" s="137" t="inlineStr">
        <is>
          <t>23/03</t>
        </is>
      </c>
      <c r="D146" s="65" t="inlineStr">
        <is>
          <t>N 23/03 → T 24/03: 6h de descanso (soma 18h)</t>
        </is>
      </c>
      <c r="E146" s="136" t="inlineStr">
        <is>
          <t>art. 66 CLT — 11h</t>
        </is>
      </c>
      <c r="F146" s="142" t="inlineStr">
        <is>
          <t>REGISTRO</t>
        </is>
      </c>
    </row>
    <row r="147">
      <c r="A147" s="75" t="inlineStr">
        <is>
          <t>Pedro</t>
        </is>
      </c>
      <c r="B147" s="136" t="inlineStr">
        <is>
          <t>24h</t>
        </is>
      </c>
      <c r="C147" s="137" t="inlineStr">
        <is>
          <t>25/03</t>
        </is>
      </c>
      <c r="D147" s="65" t="inlineStr">
        <is>
          <t>N 25/03 → T 26/03: 6h de descanso (soma 18h)</t>
        </is>
      </c>
      <c r="E147" s="136" t="inlineStr">
        <is>
          <t>art. 66 CLT — 11h</t>
        </is>
      </c>
      <c r="F147" s="142" t="inlineStr">
        <is>
          <t>REGISTRO</t>
        </is>
      </c>
    </row>
    <row r="148">
      <c r="A148" s="75" t="inlineStr">
        <is>
          <t>Fernando</t>
        </is>
      </c>
      <c r="B148" s="136" t="inlineStr">
        <is>
          <t>30h</t>
        </is>
      </c>
      <c r="C148" s="137" t="inlineStr">
        <is>
          <t>30/03</t>
        </is>
      </c>
      <c r="D148" s="65" t="inlineStr">
        <is>
          <t>N 30/03 → T 31/03: 6h de descanso (soma 18h)</t>
        </is>
      </c>
      <c r="E148" s="136" t="inlineStr">
        <is>
          <t>art. 66 CLT — 11h</t>
        </is>
      </c>
      <c r="F148" s="142" t="inlineStr">
        <is>
          <t>REGISTRO</t>
        </is>
      </c>
    </row>
    <row r="149">
      <c r="A149" s="75" t="inlineStr">
        <is>
          <t>JuCoutinho</t>
        </is>
      </c>
      <c r="B149" s="136" t="inlineStr">
        <is>
          <t>30h</t>
        </is>
      </c>
      <c r="C149" s="137" t="inlineStr">
        <is>
          <t>31/03</t>
        </is>
      </c>
      <c r="D149" s="65" t="inlineStr">
        <is>
          <t>N 31/03 → T 01/04: 6h de descanso (soma 18h)</t>
        </is>
      </c>
      <c r="E149" s="136" t="inlineStr">
        <is>
          <t>art. 66 CLT — 11h</t>
        </is>
      </c>
      <c r="F149" s="142" t="inlineStr">
        <is>
          <t>REGISTRO</t>
        </is>
      </c>
    </row>
    <row r="150">
      <c r="A150" s="75" t="inlineStr">
        <is>
          <t>Amanda</t>
        </is>
      </c>
      <c r="B150" s="136" t="inlineStr">
        <is>
          <t>30h</t>
        </is>
      </c>
      <c r="C150" s="137" t="inlineStr">
        <is>
          <t>02/04</t>
        </is>
      </c>
      <c r="D150" s="65" t="inlineStr">
        <is>
          <t>N 02/04 → T 03/04: 6h de descanso (soma 18h)</t>
        </is>
      </c>
      <c r="E150" s="136" t="inlineStr">
        <is>
          <t>art. 66 CLT — 11h</t>
        </is>
      </c>
      <c r="F150" s="142" t="inlineStr">
        <is>
          <t>REGISTRO</t>
        </is>
      </c>
    </row>
    <row r="151">
      <c r="A151" s="75" t="inlineStr">
        <is>
          <t>Raylander</t>
        </is>
      </c>
      <c r="B151" s="136" t="inlineStr">
        <is>
          <t>30h</t>
        </is>
      </c>
      <c r="C151" s="137" t="inlineStr">
        <is>
          <t>06/04</t>
        </is>
      </c>
      <c r="D151" s="65" t="inlineStr">
        <is>
          <t>N 06/04 → T 07/04: 6h de descanso (soma 18h)</t>
        </is>
      </c>
      <c r="E151" s="136" t="inlineStr">
        <is>
          <t>art. 66 CLT — 11h</t>
        </is>
      </c>
      <c r="F151" s="142" t="inlineStr">
        <is>
          <t>REGISTRO</t>
        </is>
      </c>
    </row>
    <row r="152">
      <c r="A152" s="75" t="inlineStr">
        <is>
          <t>João</t>
        </is>
      </c>
      <c r="B152" s="136" t="inlineStr">
        <is>
          <t>30h</t>
        </is>
      </c>
      <c r="C152" s="137" t="inlineStr">
        <is>
          <t>07/04</t>
        </is>
      </c>
      <c r="D152" s="65" t="inlineStr">
        <is>
          <t>N 07/04 → T 08/04: 6h de descanso (soma 18h)</t>
        </is>
      </c>
      <c r="E152" s="136" t="inlineStr">
        <is>
          <t>art. 66 CLT — 11h</t>
        </is>
      </c>
      <c r="F152" s="142" t="inlineStr">
        <is>
          <t>REGISTRO</t>
        </is>
      </c>
    </row>
    <row r="153">
      <c r="A153" s="75" t="inlineStr">
        <is>
          <t>JuCoutinho</t>
        </is>
      </c>
      <c r="B153" s="136" t="inlineStr">
        <is>
          <t>30h</t>
        </is>
      </c>
      <c r="C153" s="137" t="inlineStr">
        <is>
          <t>07/04</t>
        </is>
      </c>
      <c r="D153" s="65" t="inlineStr">
        <is>
          <t>N 07/04 → T 08/04: 6h de descanso (soma 18h)</t>
        </is>
      </c>
      <c r="E153" s="136" t="inlineStr">
        <is>
          <t>art. 66 CLT — 11h</t>
        </is>
      </c>
      <c r="F153" s="142" t="inlineStr">
        <is>
          <t>REGISTRO</t>
        </is>
      </c>
    </row>
    <row r="154">
      <c r="A154" s="75" t="inlineStr">
        <is>
          <t>Raphael</t>
        </is>
      </c>
      <c r="B154" s="136" t="inlineStr">
        <is>
          <t>24h</t>
        </is>
      </c>
      <c r="C154" s="137" t="inlineStr">
        <is>
          <t>09/04</t>
        </is>
      </c>
      <c r="D154" s="65" t="inlineStr">
        <is>
          <t>N 09/04 → T 10/04: 6h de descanso (soma 18h)</t>
        </is>
      </c>
      <c r="E154" s="136" t="inlineStr">
        <is>
          <t>art. 66 CLT — 11h</t>
        </is>
      </c>
      <c r="F154" s="142" t="inlineStr">
        <is>
          <t>REGISTRO</t>
        </is>
      </c>
    </row>
    <row r="155">
      <c r="A155" s="75" t="inlineStr">
        <is>
          <t>Raphael</t>
        </is>
      </c>
      <c r="B155" s="136" t="inlineStr">
        <is>
          <t>24h</t>
        </is>
      </c>
      <c r="C155" s="137" t="inlineStr">
        <is>
          <t>13/04</t>
        </is>
      </c>
      <c r="D155" s="65" t="inlineStr">
        <is>
          <t>N 13/04 → T 14/04: 6h de descanso (soma 18h)</t>
        </is>
      </c>
      <c r="E155" s="136" t="inlineStr">
        <is>
          <t>art. 66 CLT — 11h</t>
        </is>
      </c>
      <c r="F155" s="142" t="inlineStr">
        <is>
          <t>REGISTRO</t>
        </is>
      </c>
    </row>
    <row r="156">
      <c r="A156" s="75" t="inlineStr">
        <is>
          <t>João</t>
        </is>
      </c>
      <c r="B156" s="136" t="inlineStr">
        <is>
          <t>30h</t>
        </is>
      </c>
      <c r="C156" s="137" t="inlineStr">
        <is>
          <t>14/04</t>
        </is>
      </c>
      <c r="D156" s="65" t="inlineStr">
        <is>
          <t>N 14/04 → T 15/04: 6h de descanso (soma 18h)</t>
        </is>
      </c>
      <c r="E156" s="136" t="inlineStr">
        <is>
          <t>art. 66 CLT — 11h</t>
        </is>
      </c>
      <c r="F156" s="142" t="inlineStr">
        <is>
          <t>REGISTRO</t>
        </is>
      </c>
    </row>
    <row r="157">
      <c r="A157" s="75" t="inlineStr">
        <is>
          <t>Yuji</t>
        </is>
      </c>
      <c r="B157" s="136" t="inlineStr">
        <is>
          <t>24h</t>
        </is>
      </c>
      <c r="C157" s="137" t="inlineStr">
        <is>
          <t>15/04</t>
        </is>
      </c>
      <c r="D157" s="65" t="inlineStr">
        <is>
          <t>N 15/04 → T 16/04: 6h de descanso (soma 18h)</t>
        </is>
      </c>
      <c r="E157" s="136" t="inlineStr">
        <is>
          <t>art. 66 CLT — 11h</t>
        </is>
      </c>
      <c r="F157" s="142" t="inlineStr">
        <is>
          <t>REGISTRO</t>
        </is>
      </c>
    </row>
    <row r="158">
      <c r="A158" s="75" t="inlineStr">
        <is>
          <t>Raphael</t>
        </is>
      </c>
      <c r="B158" s="136" t="inlineStr">
        <is>
          <t>24h</t>
        </is>
      </c>
      <c r="C158" s="137" t="inlineStr">
        <is>
          <t>16/04</t>
        </is>
      </c>
      <c r="D158" s="65" t="inlineStr">
        <is>
          <t>N 16/04 → T 17/04: 6h de descanso (soma 18h)</t>
        </is>
      </c>
      <c r="E158" s="136" t="inlineStr">
        <is>
          <t>art. 66 CLT — 11h</t>
        </is>
      </c>
      <c r="F158" s="142" t="inlineStr">
        <is>
          <t>REGISTRO</t>
        </is>
      </c>
    </row>
    <row r="159">
      <c r="A159" s="75" t="inlineStr">
        <is>
          <t>Ernesto</t>
        </is>
      </c>
      <c r="B159" s="136" t="inlineStr">
        <is>
          <t>24h</t>
        </is>
      </c>
      <c r="C159" s="137" t="inlineStr">
        <is>
          <t>18/04</t>
        </is>
      </c>
      <c r="D159" s="65" t="inlineStr">
        <is>
          <t>N 18/04 → T 19/04: 6h de descanso (soma 18h)</t>
        </is>
      </c>
      <c r="E159" s="136" t="inlineStr">
        <is>
          <t>art. 66 CLT — 11h</t>
        </is>
      </c>
      <c r="F159" s="142" t="inlineStr">
        <is>
          <t>REGISTRO</t>
        </is>
      </c>
    </row>
    <row r="160">
      <c r="A160" s="75" t="inlineStr">
        <is>
          <t>Kozak</t>
        </is>
      </c>
      <c r="B160" s="136" t="inlineStr">
        <is>
          <t>24h</t>
        </is>
      </c>
      <c r="C160" s="137" t="inlineStr">
        <is>
          <t>19/04</t>
        </is>
      </c>
      <c r="D160" s="65" t="inlineStr">
        <is>
          <t>N 19/04 → T 20/04: 6h de descanso (soma 18h)</t>
        </is>
      </c>
      <c r="E160" s="136" t="inlineStr">
        <is>
          <t>art. 66 CLT — 11h</t>
        </is>
      </c>
      <c r="F160" s="142" t="inlineStr">
        <is>
          <t>REGISTRO</t>
        </is>
      </c>
    </row>
    <row r="161">
      <c r="A161" s="75" t="inlineStr">
        <is>
          <t>Roberta</t>
        </is>
      </c>
      <c r="B161" s="136" t="inlineStr">
        <is>
          <t>36h</t>
        </is>
      </c>
      <c r="C161" s="137" t="inlineStr">
        <is>
          <t>19/04</t>
        </is>
      </c>
      <c r="D161" s="65" t="inlineStr">
        <is>
          <t>N 19/04 → T 20/04: 6h de descanso (soma 18h)</t>
        </is>
      </c>
      <c r="E161" s="136" t="inlineStr">
        <is>
          <t>art. 66 CLT — 11h</t>
        </is>
      </c>
      <c r="F161" s="142" t="inlineStr">
        <is>
          <t>REGISTRO</t>
        </is>
      </c>
    </row>
    <row r="162">
      <c r="A162" s="75" t="inlineStr">
        <is>
          <t>Ricardo</t>
        </is>
      </c>
      <c r="B162" s="136" t="inlineStr">
        <is>
          <t>30h</t>
        </is>
      </c>
      <c r="C162" s="137" t="inlineStr">
        <is>
          <t>21/04</t>
        </is>
      </c>
      <c r="D162" s="65" t="inlineStr">
        <is>
          <t>N 21/04 → T 22/04: 6h de descanso (soma 18h)</t>
        </is>
      </c>
      <c r="E162" s="136" t="inlineStr">
        <is>
          <t>art. 66 CLT — 11h</t>
        </is>
      </c>
      <c r="F162" s="142" t="inlineStr">
        <is>
          <t>REGISTRO</t>
        </is>
      </c>
    </row>
    <row r="163">
      <c r="A163" s="75" t="inlineStr">
        <is>
          <t>Raphael</t>
        </is>
      </c>
      <c r="B163" s="136" t="inlineStr">
        <is>
          <t>24h</t>
        </is>
      </c>
      <c r="C163" s="137" t="inlineStr">
        <is>
          <t>23/04</t>
        </is>
      </c>
      <c r="D163" s="65" t="inlineStr">
        <is>
          <t>N 23/04 → T 24/04: 6h de descanso (soma 18h)</t>
        </is>
      </c>
      <c r="E163" s="136" t="inlineStr">
        <is>
          <t>art. 66 CLT — 11h</t>
        </is>
      </c>
      <c r="F163" s="142" t="inlineStr">
        <is>
          <t>REGISTRO</t>
        </is>
      </c>
    </row>
    <row r="164">
      <c r="A164" s="75" t="inlineStr">
        <is>
          <t>Stephanie</t>
        </is>
      </c>
      <c r="B164" s="136" t="inlineStr">
        <is>
          <t>administrativo</t>
        </is>
      </c>
      <c r="C164" s="137" t="inlineStr">
        <is>
          <t>25/04</t>
        </is>
      </c>
      <c r="D164" s="65" t="inlineStr">
        <is>
          <t>N 25/04 → T 26/04: 6h de descanso (soma 18h)</t>
        </is>
      </c>
      <c r="E164" s="136" t="inlineStr">
        <is>
          <t>art. 66 CLT — 11h</t>
        </is>
      </c>
      <c r="F164" s="142" t="inlineStr">
        <is>
          <t>REGISTRO</t>
        </is>
      </c>
    </row>
    <row r="165">
      <c r="A165" s="75" t="inlineStr">
        <is>
          <t>JuCoutinho</t>
        </is>
      </c>
      <c r="B165" s="136" t="inlineStr">
        <is>
          <t>30h</t>
        </is>
      </c>
      <c r="C165" s="137" t="inlineStr">
        <is>
          <t>26/04</t>
        </is>
      </c>
      <c r="D165" s="65" t="inlineStr">
        <is>
          <t>N 26/04 → T 27/04: 6h de descanso (soma 18h)</t>
        </is>
      </c>
      <c r="E165" s="136" t="inlineStr">
        <is>
          <t>art. 66 CLT — 11h</t>
        </is>
      </c>
      <c r="F165" s="142" t="inlineStr">
        <is>
          <t>REGISTRO</t>
        </is>
      </c>
    </row>
    <row r="166">
      <c r="A166" s="75" t="inlineStr">
        <is>
          <t>João</t>
        </is>
      </c>
      <c r="B166" s="136" t="inlineStr">
        <is>
          <t>30h</t>
        </is>
      </c>
      <c r="C166" s="137" t="inlineStr">
        <is>
          <t>28/04</t>
        </is>
      </c>
      <c r="D166" s="65" t="inlineStr">
        <is>
          <t>N 28/04 → T 29/04: 6h de descanso (soma 18h)</t>
        </is>
      </c>
      <c r="E166" s="136" t="inlineStr">
        <is>
          <t>art. 66 CLT — 11h</t>
        </is>
      </c>
      <c r="F166" s="142" t="inlineStr">
        <is>
          <t>REGISTRO</t>
        </is>
      </c>
    </row>
    <row r="167">
      <c r="A167" s="75" t="inlineStr">
        <is>
          <t>João</t>
        </is>
      </c>
      <c r="B167" s="136" t="inlineStr">
        <is>
          <t>30h</t>
        </is>
      </c>
      <c r="C167" s="137" t="inlineStr">
        <is>
          <t>06/05</t>
        </is>
      </c>
      <c r="D167" s="65" t="inlineStr">
        <is>
          <t>N 06/05 → T 07/05: 6h de descanso (soma 18h)</t>
        </is>
      </c>
      <c r="E167" s="136" t="inlineStr">
        <is>
          <t>art. 66 CLT — 11h</t>
        </is>
      </c>
      <c r="F167" s="142" t="inlineStr">
        <is>
          <t>REGISTRO</t>
        </is>
      </c>
    </row>
    <row r="168">
      <c r="A168" s="75" t="inlineStr">
        <is>
          <t>LuAlice</t>
        </is>
      </c>
      <c r="B168" s="136" t="inlineStr">
        <is>
          <t>36h</t>
        </is>
      </c>
      <c r="C168" s="137" t="inlineStr">
        <is>
          <t>07/05</t>
        </is>
      </c>
      <c r="D168" s="65" t="inlineStr">
        <is>
          <t>N 07/05 → T 08/05: 6h de descanso (soma 18h)</t>
        </is>
      </c>
      <c r="E168" s="136" t="inlineStr">
        <is>
          <t>art. 66 CLT — 11h</t>
        </is>
      </c>
      <c r="F168" s="142" t="inlineStr">
        <is>
          <t>REGISTRO</t>
        </is>
      </c>
    </row>
    <row r="169">
      <c r="A169" s="75" t="inlineStr">
        <is>
          <t>MPinheiro</t>
        </is>
      </c>
      <c r="B169" s="136" t="inlineStr">
        <is>
          <t>administrativo</t>
        </is>
      </c>
      <c r="C169" s="137" t="inlineStr">
        <is>
          <t>07/05</t>
        </is>
      </c>
      <c r="D169" s="65" t="inlineStr">
        <is>
          <t>N 07/05 → T 08/05: 6h de descanso (soma 18h)</t>
        </is>
      </c>
      <c r="E169" s="136" t="inlineStr">
        <is>
          <t>art. 66 CLT — 11h</t>
        </is>
      </c>
      <c r="F169" s="142" t="inlineStr">
        <is>
          <t>REGISTRO</t>
        </is>
      </c>
    </row>
    <row r="170">
      <c r="A170" s="75" t="inlineStr">
        <is>
          <t>Isabella</t>
        </is>
      </c>
      <c r="B170" s="136" t="inlineStr">
        <is>
          <t>36h</t>
        </is>
      </c>
      <c r="C170" s="137" t="inlineStr">
        <is>
          <t>10/05</t>
        </is>
      </c>
      <c r="D170" s="65" t="inlineStr">
        <is>
          <t>N 10/05 → T 11/05: 6h de descanso (soma 18h)</t>
        </is>
      </c>
      <c r="E170" s="136" t="inlineStr">
        <is>
          <t>art. 66 CLT — 11h</t>
        </is>
      </c>
      <c r="F170" s="142" t="inlineStr">
        <is>
          <t>REGISTRO</t>
        </is>
      </c>
    </row>
    <row r="171">
      <c r="A171" s="75" t="inlineStr">
        <is>
          <t>JuCoutinho</t>
        </is>
      </c>
      <c r="B171" s="136" t="inlineStr">
        <is>
          <t>30h</t>
        </is>
      </c>
      <c r="C171" s="137" t="inlineStr">
        <is>
          <t>12/05</t>
        </is>
      </c>
      <c r="D171" s="65" t="inlineStr">
        <is>
          <t>N 12/05 → T 13/05: 6h de descanso (soma 18h)</t>
        </is>
      </c>
      <c r="E171" s="136" t="inlineStr">
        <is>
          <t>art. 66 CLT — 11h</t>
        </is>
      </c>
      <c r="F171" s="142" t="inlineStr">
        <is>
          <t>REGISTRO</t>
        </is>
      </c>
    </row>
    <row r="172">
      <c r="A172" s="75" t="inlineStr">
        <is>
          <t>Raphael</t>
        </is>
      </c>
      <c r="B172" s="136" t="inlineStr">
        <is>
          <t>24h</t>
        </is>
      </c>
      <c r="C172" s="137" t="inlineStr">
        <is>
          <t>13/05</t>
        </is>
      </c>
      <c r="D172" s="65" t="inlineStr">
        <is>
          <t>N 13/05 → T 14/05: 6h de descanso (soma 18h)</t>
        </is>
      </c>
      <c r="E172" s="136" t="inlineStr">
        <is>
          <t>art. 66 CLT — 11h</t>
        </is>
      </c>
      <c r="F172" s="142" t="inlineStr">
        <is>
          <t>REGISTRO</t>
        </is>
      </c>
    </row>
    <row r="173">
      <c r="A173" s="75" t="inlineStr">
        <is>
          <t>Roberta</t>
        </is>
      </c>
      <c r="B173" s="136" t="inlineStr">
        <is>
          <t>36h</t>
        </is>
      </c>
      <c r="C173" s="137" t="inlineStr">
        <is>
          <t>19/05</t>
        </is>
      </c>
      <c r="D173" s="65" t="inlineStr">
        <is>
          <t>N 19/05 → T 20/05: 6h de descanso (soma 18h)</t>
        </is>
      </c>
      <c r="E173" s="136" t="inlineStr">
        <is>
          <t>art. 66 CLT — 11h</t>
        </is>
      </c>
      <c r="F173" s="142" t="inlineStr">
        <is>
          <t>REGISTRO</t>
        </is>
      </c>
    </row>
    <row r="174">
      <c r="A174" s="75" t="inlineStr">
        <is>
          <t>João</t>
        </is>
      </c>
      <c r="B174" s="136" t="inlineStr">
        <is>
          <t>30h</t>
        </is>
      </c>
      <c r="C174" s="137" t="inlineStr">
        <is>
          <t>20/05</t>
        </is>
      </c>
      <c r="D174" s="65" t="inlineStr">
        <is>
          <t>N 20/05 → T 21/05: 6h de descanso (soma 18h)</t>
        </is>
      </c>
      <c r="E174" s="136" t="inlineStr">
        <is>
          <t>art. 66 CLT — 11h</t>
        </is>
      </c>
      <c r="F174" s="142" t="inlineStr">
        <is>
          <t>REGISTRO</t>
        </is>
      </c>
    </row>
    <row r="175">
      <c r="A175" s="75" t="inlineStr">
        <is>
          <t>JuCoutinho</t>
        </is>
      </c>
      <c r="B175" s="136" t="inlineStr">
        <is>
          <t>30h</t>
        </is>
      </c>
      <c r="C175" s="137" t="inlineStr">
        <is>
          <t>26/05</t>
        </is>
      </c>
      <c r="D175" s="65" t="inlineStr">
        <is>
          <t>N 26/05 → T 27/05: 6h de descanso (soma 18h)</t>
        </is>
      </c>
      <c r="E175" s="136" t="inlineStr">
        <is>
          <t>art. 66 CLT — 11h</t>
        </is>
      </c>
      <c r="F175" s="142" t="inlineStr">
        <is>
          <t>REGISTRO</t>
        </is>
      </c>
    </row>
    <row r="176">
      <c r="A176" s="75" t="inlineStr">
        <is>
          <t>Aline</t>
        </is>
      </c>
      <c r="B176" s="136" t="inlineStr">
        <is>
          <t>36h</t>
        </is>
      </c>
      <c r="C176" s="137" t="inlineStr">
        <is>
          <t>31/05</t>
        </is>
      </c>
      <c r="D176" s="65" t="inlineStr">
        <is>
          <t>N 31/05 → T 01/06: 6h de descanso (soma 18h)</t>
        </is>
      </c>
      <c r="E176" s="136" t="inlineStr">
        <is>
          <t>art. 66 CLT — 11h</t>
        </is>
      </c>
      <c r="F176" s="142" t="inlineStr">
        <is>
          <t>REGISTRO</t>
        </is>
      </c>
    </row>
    <row r="177">
      <c r="A177" s="75" t="inlineStr">
        <is>
          <t>MPinheiro</t>
        </is>
      </c>
      <c r="B177" s="136" t="inlineStr">
        <is>
          <t>administrativo</t>
        </is>
      </c>
      <c r="C177" s="137" t="inlineStr">
        <is>
          <t>01/06</t>
        </is>
      </c>
      <c r="D177" s="65" t="inlineStr">
        <is>
          <t>N 01/06 → T 02/06: 6h de descanso (soma 18h)</t>
        </is>
      </c>
      <c r="E177" s="136" t="inlineStr">
        <is>
          <t>art. 66 CLT — 11h</t>
        </is>
      </c>
      <c r="F177" s="142" t="inlineStr">
        <is>
          <t>REGISTRO</t>
        </is>
      </c>
    </row>
    <row r="178">
      <c r="A178" s="75" t="inlineStr">
        <is>
          <t>Aline</t>
        </is>
      </c>
      <c r="B178" s="136" t="inlineStr">
        <is>
          <t>36h</t>
        </is>
      </c>
      <c r="C178" s="137" t="inlineStr">
        <is>
          <t>02/06</t>
        </is>
      </c>
      <c r="D178" s="65" t="inlineStr">
        <is>
          <t>N 02/06 → T 03/06: 6h de descanso (soma 18h)</t>
        </is>
      </c>
      <c r="E178" s="136" t="inlineStr">
        <is>
          <t>art. 66 CLT — 11h</t>
        </is>
      </c>
      <c r="F178" s="142" t="inlineStr">
        <is>
          <t>REGISTRO</t>
        </is>
      </c>
    </row>
    <row r="179">
      <c r="A179" s="75" t="inlineStr">
        <is>
          <t>Isabella</t>
        </is>
      </c>
      <c r="B179" s="136" t="inlineStr">
        <is>
          <t>36h</t>
        </is>
      </c>
      <c r="C179" s="137" t="inlineStr">
        <is>
          <t>07/06</t>
        </is>
      </c>
      <c r="D179" s="65" t="inlineStr">
        <is>
          <t>N 07/06 → T 08/06: 6h de descanso (soma 18h)</t>
        </is>
      </c>
      <c r="E179" s="136" t="inlineStr">
        <is>
          <t>art. 66 CLT — 11h</t>
        </is>
      </c>
      <c r="F179" s="142" t="inlineStr">
        <is>
          <t>REGISTRO</t>
        </is>
      </c>
    </row>
    <row r="180">
      <c r="A180" s="75" t="inlineStr">
        <is>
          <t>LeLemos</t>
        </is>
      </c>
      <c r="B180" s="136" t="inlineStr">
        <is>
          <t>30h</t>
        </is>
      </c>
      <c r="C180" s="137" t="inlineStr">
        <is>
          <t>08/06</t>
        </is>
      </c>
      <c r="D180" s="65" t="inlineStr">
        <is>
          <t>N 08/06 → T 09/06: 6h de descanso (soma 18h)</t>
        </is>
      </c>
      <c r="E180" s="136" t="inlineStr">
        <is>
          <t>art. 66 CLT — 11h</t>
        </is>
      </c>
      <c r="F180" s="142" t="inlineStr">
        <is>
          <t>REGISTRO</t>
        </is>
      </c>
    </row>
    <row r="181">
      <c r="A181" s="75" t="inlineStr">
        <is>
          <t>Roberta</t>
        </is>
      </c>
      <c r="B181" s="136" t="inlineStr">
        <is>
          <t>36h</t>
        </is>
      </c>
      <c r="C181" s="137" t="inlineStr">
        <is>
          <t>14/06</t>
        </is>
      </c>
      <c r="D181" s="65" t="inlineStr">
        <is>
          <t>N 14/06 → T 15/06: 6h de descanso (soma 18h)</t>
        </is>
      </c>
      <c r="E181" s="136" t="inlineStr">
        <is>
          <t>art. 66 CLT — 11h</t>
        </is>
      </c>
      <c r="F181" s="142" t="inlineStr">
        <is>
          <t>REGISTRO</t>
        </is>
      </c>
    </row>
    <row r="182">
      <c r="A182" s="75" t="inlineStr">
        <is>
          <t>Raphael</t>
        </is>
      </c>
      <c r="B182" s="136" t="inlineStr">
        <is>
          <t>24h</t>
        </is>
      </c>
      <c r="C182" s="137" t="inlineStr">
        <is>
          <t>15/06</t>
        </is>
      </c>
      <c r="D182" s="65" t="inlineStr">
        <is>
          <t>N 15/06 → T 16/06: 6h de descanso (soma 18h)</t>
        </is>
      </c>
      <c r="E182" s="136" t="inlineStr">
        <is>
          <t>art. 66 CLT — 11h</t>
        </is>
      </c>
      <c r="F182" s="142" t="inlineStr">
        <is>
          <t>REGISTRO</t>
        </is>
      </c>
    </row>
    <row r="183">
      <c r="A183" s="75" t="inlineStr">
        <is>
          <t>Roberta</t>
        </is>
      </c>
      <c r="B183" s="136" t="inlineStr">
        <is>
          <t>36h</t>
        </is>
      </c>
      <c r="C183" s="137" t="inlineStr">
        <is>
          <t>18/06</t>
        </is>
      </c>
      <c r="D183" s="65" t="inlineStr">
        <is>
          <t>N 18/06 → T 19/06: 6h de descanso (soma 18h)</t>
        </is>
      </c>
      <c r="E183" s="136" t="inlineStr">
        <is>
          <t>art. 66 CLT — 11h</t>
        </is>
      </c>
      <c r="F183" s="142" t="inlineStr">
        <is>
          <t>REGISTRO</t>
        </is>
      </c>
    </row>
    <row r="184">
      <c r="A184" s="75" t="inlineStr">
        <is>
          <t>JuCoutinho</t>
        </is>
      </c>
      <c r="B184" s="136" t="inlineStr">
        <is>
          <t>30h</t>
        </is>
      </c>
      <c r="C184" s="137" t="inlineStr">
        <is>
          <t>21/06</t>
        </is>
      </c>
      <c r="D184" s="65" t="inlineStr">
        <is>
          <t>N 21/06 → T 22/06: 6h de descanso (soma 18h)</t>
        </is>
      </c>
      <c r="E184" s="136" t="inlineStr">
        <is>
          <t>art. 66 CLT — 11h</t>
        </is>
      </c>
      <c r="F184" s="142" t="inlineStr">
        <is>
          <t>REGISTRO</t>
        </is>
      </c>
    </row>
    <row r="185">
      <c r="A185" s="75" t="inlineStr">
        <is>
          <t>LeLemos</t>
        </is>
      </c>
      <c r="B185" s="136" t="inlineStr">
        <is>
          <t>30h</t>
        </is>
      </c>
      <c r="C185" s="137" t="inlineStr">
        <is>
          <t>22/06</t>
        </is>
      </c>
      <c r="D185" s="65" t="inlineStr">
        <is>
          <t>N 22/06 → T 23/06: 6h de descanso (soma 18h)</t>
        </is>
      </c>
      <c r="E185" s="136" t="inlineStr">
        <is>
          <t>art. 66 CLT — 11h</t>
        </is>
      </c>
      <c r="F185" s="142" t="inlineStr">
        <is>
          <t>REGISTRO</t>
        </is>
      </c>
    </row>
    <row r="186">
      <c r="A186" s="75" t="inlineStr">
        <is>
          <t>MPinheiro</t>
        </is>
      </c>
      <c r="B186" s="136" t="inlineStr">
        <is>
          <t>administrativo</t>
        </is>
      </c>
      <c r="C186" s="137" t="inlineStr">
        <is>
          <t>22/06</t>
        </is>
      </c>
      <c r="D186" s="65" t="inlineStr">
        <is>
          <t>N 22/06 → T 23/06: 6h de descanso (soma 18h)</t>
        </is>
      </c>
      <c r="E186" s="136" t="inlineStr">
        <is>
          <t>art. 66 CLT — 11h</t>
        </is>
      </c>
      <c r="F186" s="142" t="inlineStr">
        <is>
          <t>REGISTRO</t>
        </is>
      </c>
    </row>
    <row r="187">
      <c r="A187" s="75" t="inlineStr">
        <is>
          <t>JuCoutinho</t>
        </is>
      </c>
      <c r="B187" s="136" t="inlineStr">
        <is>
          <t>30h</t>
        </is>
      </c>
      <c r="C187" s="137" t="inlineStr">
        <is>
          <t>29/06</t>
        </is>
      </c>
      <c r="D187" s="65" t="inlineStr">
        <is>
          <t>N 29/06 → T 30/06: 6h de descanso (soma 18h)</t>
        </is>
      </c>
      <c r="E187" s="136" t="inlineStr">
        <is>
          <t>art. 66 CLT — 11h</t>
        </is>
      </c>
      <c r="F187" s="142" t="inlineStr">
        <is>
          <t>REGISTRO</t>
        </is>
      </c>
    </row>
    <row r="188">
      <c r="A188" s="75" t="inlineStr">
        <is>
          <t>Aline</t>
        </is>
      </c>
      <c r="B188" s="136" t="inlineStr">
        <is>
          <t>36h</t>
        </is>
      </c>
      <c r="C188" s="137" t="inlineStr">
        <is>
          <t>30/06</t>
        </is>
      </c>
      <c r="D188" s="65" t="inlineStr">
        <is>
          <t>N 30/06 → T 01/07: 6h de descanso (soma 18h)</t>
        </is>
      </c>
      <c r="E188" s="136" t="inlineStr">
        <is>
          <t>art. 66 CLT — 11h</t>
        </is>
      </c>
      <c r="F188" s="142" t="inlineStr">
        <is>
          <t>REGISTRO</t>
        </is>
      </c>
    </row>
    <row r="189">
      <c r="A189" s="75" t="inlineStr">
        <is>
          <t>JuIsaac</t>
        </is>
      </c>
      <c r="B189" s="136" t="inlineStr">
        <is>
          <t>administrativo</t>
        </is>
      </c>
      <c r="C189" s="137" t="inlineStr">
        <is>
          <t>30/06</t>
        </is>
      </c>
      <c r="D189" s="65" t="inlineStr">
        <is>
          <t>N 30/06 → T 01/07: 6h de descanso (soma 18h)</t>
        </is>
      </c>
      <c r="E189" s="136" t="inlineStr">
        <is>
          <t>art. 66 CLT — 11h</t>
        </is>
      </c>
      <c r="F189" s="142" t="inlineStr">
        <is>
          <t>REGISTRO</t>
        </is>
      </c>
    </row>
    <row r="190">
      <c r="A190" s="75" t="inlineStr">
        <is>
          <t>Isabella</t>
        </is>
      </c>
      <c r="B190" s="136" t="inlineStr">
        <is>
          <t>36h</t>
        </is>
      </c>
      <c r="C190" s="137" t="inlineStr">
        <is>
          <t>05/07</t>
        </is>
      </c>
      <c r="D190" s="65" t="inlineStr">
        <is>
          <t>N 05/07 → T 06/07: 6h de descanso (soma 18h)</t>
        </is>
      </c>
      <c r="E190" s="136" t="inlineStr">
        <is>
          <t>art. 66 CLT — 11h</t>
        </is>
      </c>
      <c r="F190" s="142" t="inlineStr">
        <is>
          <t>REGISTRO</t>
        </is>
      </c>
    </row>
    <row r="191">
      <c r="A191" s="75" t="inlineStr">
        <is>
          <t>Roberta</t>
        </is>
      </c>
      <c r="B191" s="136" t="inlineStr">
        <is>
          <t>36h</t>
        </is>
      </c>
      <c r="C191" s="137" t="inlineStr">
        <is>
          <t>08/07</t>
        </is>
      </c>
      <c r="D191" s="65" t="inlineStr">
        <is>
          <t>N 08/07 → T 09/07: 6h de descanso (soma 18h)</t>
        </is>
      </c>
      <c r="E191" s="136" t="inlineStr">
        <is>
          <t>art. 66 CLT — 11h</t>
        </is>
      </c>
      <c r="F191" s="142" t="inlineStr">
        <is>
          <t>REGISTRO</t>
        </is>
      </c>
    </row>
    <row r="192">
      <c r="A192" s="75" t="inlineStr">
        <is>
          <t>Amanda</t>
        </is>
      </c>
      <c r="B192" s="136" t="inlineStr">
        <is>
          <t>30h</t>
        </is>
      </c>
      <c r="C192" s="137" t="inlineStr">
        <is>
          <t>09/07</t>
        </is>
      </c>
      <c r="D192" s="65" t="inlineStr">
        <is>
          <t>N 09/07 → T 10/07: 6h de descanso (soma 18h)</t>
        </is>
      </c>
      <c r="E192" s="136" t="inlineStr">
        <is>
          <t>art. 66 CLT — 11h</t>
        </is>
      </c>
      <c r="F192" s="142" t="inlineStr">
        <is>
          <t>REGISTRO</t>
        </is>
      </c>
    </row>
    <row r="193">
      <c r="A193" s="75" t="inlineStr">
        <is>
          <t>MPinheiro</t>
        </is>
      </c>
      <c r="B193" s="136" t="inlineStr">
        <is>
          <t>administrativo</t>
        </is>
      </c>
      <c r="C193" s="137" t="inlineStr">
        <is>
          <t>09/07</t>
        </is>
      </c>
      <c r="D193" s="65" t="inlineStr">
        <is>
          <t>N 09/07 → T 10/07: 6h de descanso (soma 18h)</t>
        </is>
      </c>
      <c r="E193" s="136" t="inlineStr">
        <is>
          <t>art. 66 CLT — 11h</t>
        </is>
      </c>
      <c r="F193" s="142" t="inlineStr">
        <is>
          <t>REGISTRO</t>
        </is>
      </c>
    </row>
    <row r="194">
      <c r="A194" s="75" t="inlineStr">
        <is>
          <t>João</t>
        </is>
      </c>
      <c r="B194" s="136" t="inlineStr">
        <is>
          <t>30h</t>
        </is>
      </c>
      <c r="C194" s="137" t="inlineStr">
        <is>
          <t>19/07</t>
        </is>
      </c>
      <c r="D194" s="65" t="inlineStr">
        <is>
          <t>N 19/07 → T 20/07: 6h de descanso (soma 18h)</t>
        </is>
      </c>
      <c r="E194" s="136" t="inlineStr">
        <is>
          <t>art. 66 CLT — 11h</t>
        </is>
      </c>
      <c r="F194" s="142" t="inlineStr">
        <is>
          <t>REGISTRO</t>
        </is>
      </c>
    </row>
    <row r="195">
      <c r="A195" s="75" t="inlineStr">
        <is>
          <t>Aline</t>
        </is>
      </c>
      <c r="B195" s="136" t="inlineStr">
        <is>
          <t>36h</t>
        </is>
      </c>
      <c r="C195" s="137" t="inlineStr">
        <is>
          <t>22/07</t>
        </is>
      </c>
      <c r="D195" s="65" t="inlineStr">
        <is>
          <t>N 22/07 → T 23/07: 6h de descanso (soma 18h)</t>
        </is>
      </c>
      <c r="E195" s="136" t="inlineStr">
        <is>
          <t>art. 66 CLT — 11h</t>
        </is>
      </c>
      <c r="F195" s="142" t="inlineStr">
        <is>
          <t>REGISTRO</t>
        </is>
      </c>
    </row>
    <row r="196">
      <c r="A196" s="75" t="inlineStr">
        <is>
          <t>IsaRibeiro</t>
        </is>
      </c>
      <c r="B196" s="136" t="inlineStr">
        <is>
          <t>24h</t>
        </is>
      </c>
      <c r="C196" s="137" t="inlineStr">
        <is>
          <t>25/07</t>
        </is>
      </c>
      <c r="D196" s="65" t="inlineStr">
        <is>
          <t>N 25/07 → T 26/07: 6h de descanso (soma 18h)</t>
        </is>
      </c>
      <c r="E196" s="136" t="inlineStr">
        <is>
          <t>art. 66 CLT — 11h</t>
        </is>
      </c>
      <c r="F196" s="142" t="inlineStr">
        <is>
          <t>REGISTRO</t>
        </is>
      </c>
    </row>
    <row r="197">
      <c r="A197" s="75" t="inlineStr">
        <is>
          <t>LuAlice</t>
        </is>
      </c>
      <c r="B197" s="136" t="inlineStr">
        <is>
          <t>36h</t>
        </is>
      </c>
      <c r="C197" s="137" t="inlineStr">
        <is>
          <t>28/07</t>
        </is>
      </c>
      <c r="D197" s="65" t="inlineStr">
        <is>
          <t>N 28/07 → T 29/07: 6h de descanso (soma 18h)</t>
        </is>
      </c>
      <c r="E197" s="136" t="inlineStr">
        <is>
          <t>art. 66 CLT — 11h</t>
        </is>
      </c>
      <c r="F197" s="142" t="inlineStr">
        <is>
          <t>REGISTRO</t>
        </is>
      </c>
    </row>
    <row r="198">
      <c r="A198" s="75" t="inlineStr">
        <is>
          <t>MPinheiro</t>
        </is>
      </c>
      <c r="B198" s="136" t="inlineStr">
        <is>
          <t>administrativo</t>
        </is>
      </c>
      <c r="C198" s="137" t="inlineStr">
        <is>
          <t>30/07</t>
        </is>
      </c>
      <c r="D198" s="65" t="inlineStr">
        <is>
          <t>N 30/07 → T 31/07: 6h de descanso (soma 18h)</t>
        </is>
      </c>
      <c r="E198" s="136" t="inlineStr">
        <is>
          <t>art. 66 CLT — 11h</t>
        </is>
      </c>
      <c r="F198" s="142" t="inlineStr">
        <is>
          <t>REGISTRO</t>
        </is>
      </c>
    </row>
    <row r="199">
      <c r="A199" s="75" t="inlineStr">
        <is>
          <t>Beatriz</t>
        </is>
      </c>
      <c r="B199" s="136" t="inlineStr">
        <is>
          <t>24h</t>
        </is>
      </c>
      <c r="C199" s="137" t="inlineStr">
        <is>
          <t>02/08</t>
        </is>
      </c>
      <c r="D199" s="65" t="inlineStr">
        <is>
          <t>N 02/08 → T 03/08: 6h de descanso (soma 18h)</t>
        </is>
      </c>
      <c r="E199" s="136" t="inlineStr">
        <is>
          <t>art. 66 CLT — 11h</t>
        </is>
      </c>
      <c r="F199" s="142" t="inlineStr">
        <is>
          <t>REGISTRO</t>
        </is>
      </c>
    </row>
    <row r="200">
      <c r="A200" s="75" t="inlineStr">
        <is>
          <t>Isabella</t>
        </is>
      </c>
      <c r="B200" s="136" t="inlineStr">
        <is>
          <t>36h</t>
        </is>
      </c>
      <c r="C200" s="137" t="inlineStr">
        <is>
          <t>02/08</t>
        </is>
      </c>
      <c r="D200" s="65" t="inlineStr">
        <is>
          <t>N 02/08 → T 03/08: 6h de descanso (soma 18h)</t>
        </is>
      </c>
      <c r="E200" s="136" t="inlineStr">
        <is>
          <t>art. 66 CLT — 11h</t>
        </is>
      </c>
      <c r="F200" s="142" t="inlineStr">
        <is>
          <t>REGISTRO</t>
        </is>
      </c>
    </row>
    <row r="201">
      <c r="A201" s="75" t="inlineStr">
        <is>
          <t>MPinheiro</t>
        </is>
      </c>
      <c r="B201" s="136" t="inlineStr">
        <is>
          <t>administrativo</t>
        </is>
      </c>
      <c r="C201" s="137" t="inlineStr">
        <is>
          <t>09/08</t>
        </is>
      </c>
      <c r="D201" s="65" t="inlineStr">
        <is>
          <t>N 09/08 → T 10/08: 6h de descanso (soma 18h)</t>
        </is>
      </c>
      <c r="E201" s="136" t="inlineStr">
        <is>
          <t>art. 66 CLT — 11h</t>
        </is>
      </c>
      <c r="F201" s="142" t="inlineStr">
        <is>
          <t>REGISTRO</t>
        </is>
      </c>
    </row>
    <row r="202">
      <c r="A202" s="75" t="inlineStr">
        <is>
          <t>Roberta</t>
        </is>
      </c>
      <c r="B202" s="136" t="inlineStr">
        <is>
          <t>36h</t>
        </is>
      </c>
      <c r="C202" s="137" t="inlineStr">
        <is>
          <t>09/08</t>
        </is>
      </c>
      <c r="D202" s="65" t="inlineStr">
        <is>
          <t>N 09/08 → T 10/08: 6h de descanso (soma 18h)</t>
        </is>
      </c>
      <c r="E202" s="136" t="inlineStr">
        <is>
          <t>art. 66 CLT — 11h</t>
        </is>
      </c>
      <c r="F202" s="142" t="inlineStr">
        <is>
          <t>REGISTRO</t>
        </is>
      </c>
    </row>
    <row r="203">
      <c r="A203" s="75" t="inlineStr">
        <is>
          <t>Ricardo</t>
        </is>
      </c>
      <c r="B203" s="136" t="inlineStr">
        <is>
          <t>30h</t>
        </is>
      </c>
      <c r="C203" s="137" t="inlineStr">
        <is>
          <t>11/08</t>
        </is>
      </c>
      <c r="D203" s="65" t="inlineStr">
        <is>
          <t>N 11/08 → T 12/08: 6h de descanso (soma 18h)</t>
        </is>
      </c>
      <c r="E203" s="136" t="inlineStr">
        <is>
          <t>art. 66 CLT — 11h</t>
        </is>
      </c>
      <c r="F203" s="142" t="inlineStr">
        <is>
          <t>REGISTRO</t>
        </is>
      </c>
    </row>
    <row r="204">
      <c r="A204" s="75" t="inlineStr">
        <is>
          <t>Danielle</t>
        </is>
      </c>
      <c r="B204" s="136" t="inlineStr">
        <is>
          <t>36h</t>
        </is>
      </c>
      <c r="C204" s="137" t="inlineStr">
        <is>
          <t>13/08</t>
        </is>
      </c>
      <c r="D204" s="65" t="inlineStr">
        <is>
          <t>N 13/08 → T 14/08: 6h de descanso (soma 18h)</t>
        </is>
      </c>
      <c r="E204" s="136" t="inlineStr">
        <is>
          <t>art. 66 CLT — 11h</t>
        </is>
      </c>
      <c r="F204" s="142" t="inlineStr">
        <is>
          <t>REGISTRO</t>
        </is>
      </c>
    </row>
    <row r="205">
      <c r="A205" s="75" t="inlineStr">
        <is>
          <t>Danielle</t>
        </is>
      </c>
      <c r="B205" s="136" t="inlineStr">
        <is>
          <t>36h</t>
        </is>
      </c>
      <c r="C205" s="137" t="inlineStr">
        <is>
          <t>15/08</t>
        </is>
      </c>
      <c r="D205" s="65" t="inlineStr">
        <is>
          <t>N 15/08 → T 16/08: 6h de descanso (soma 18h)</t>
        </is>
      </c>
      <c r="E205" s="136" t="inlineStr">
        <is>
          <t>art. 66 CLT — 11h</t>
        </is>
      </c>
      <c r="F205" s="142" t="inlineStr">
        <is>
          <t>REGISTRO</t>
        </is>
      </c>
    </row>
    <row r="206">
      <c r="A206" s="75" t="inlineStr">
        <is>
          <t>Aline</t>
        </is>
      </c>
      <c r="B206" s="136" t="inlineStr">
        <is>
          <t>36h</t>
        </is>
      </c>
      <c r="C206" s="137" t="inlineStr">
        <is>
          <t>16/08</t>
        </is>
      </c>
      <c r="D206" s="65" t="inlineStr">
        <is>
          <t>N 16/08 → T 17/08: 6h de descanso (soma 18h)</t>
        </is>
      </c>
      <c r="E206" s="136" t="inlineStr">
        <is>
          <t>art. 66 CLT — 11h</t>
        </is>
      </c>
      <c r="F206" s="142" t="inlineStr">
        <is>
          <t>REGISTRO</t>
        </is>
      </c>
    </row>
    <row r="207">
      <c r="A207" s="75" t="inlineStr">
        <is>
          <t>João</t>
        </is>
      </c>
      <c r="B207" s="136" t="inlineStr">
        <is>
          <t>30h</t>
        </is>
      </c>
      <c r="C207" s="137" t="inlineStr">
        <is>
          <t>19/08</t>
        </is>
      </c>
      <c r="D207" s="65" t="inlineStr">
        <is>
          <t>N 19/08 → T 20/08: 6h de descanso (soma 18h)</t>
        </is>
      </c>
      <c r="E207" s="136" t="inlineStr">
        <is>
          <t>art. 66 CLT — 11h</t>
        </is>
      </c>
      <c r="F207" s="142" t="inlineStr">
        <is>
          <t>REGISTRO</t>
        </is>
      </c>
    </row>
    <row r="208">
      <c r="A208" s="75" t="inlineStr">
        <is>
          <t>Raylander</t>
        </is>
      </c>
      <c r="B208" s="136" t="inlineStr">
        <is>
          <t>30h</t>
        </is>
      </c>
      <c r="C208" s="137" t="inlineStr">
        <is>
          <t>24/08</t>
        </is>
      </c>
      <c r="D208" s="65" t="inlineStr">
        <is>
          <t>N 24/08 → T 25/08: 6h de descanso (soma 18h)</t>
        </is>
      </c>
      <c r="E208" s="136" t="inlineStr">
        <is>
          <t>art. 66 CLT — 11h</t>
        </is>
      </c>
      <c r="F208" s="142" t="inlineStr">
        <is>
          <t>REGISTRO</t>
        </is>
      </c>
    </row>
    <row r="209">
      <c r="A209" s="75" t="inlineStr">
        <is>
          <t>LuAlice</t>
        </is>
      </c>
      <c r="B209" s="136" t="inlineStr">
        <is>
          <t>36h</t>
        </is>
      </c>
      <c r="C209" s="137" t="inlineStr">
        <is>
          <t>25/08</t>
        </is>
      </c>
      <c r="D209" s="65" t="inlineStr">
        <is>
          <t>N 25/08 → T 26/08: 6h de descanso (soma 18h)</t>
        </is>
      </c>
      <c r="E209" s="136" t="inlineStr">
        <is>
          <t>art. 66 CLT — 11h</t>
        </is>
      </c>
      <c r="F209" s="142" t="inlineStr">
        <is>
          <t>REGISTRO</t>
        </is>
      </c>
    </row>
    <row r="210">
      <c r="A210" s="75" t="inlineStr">
        <is>
          <t>LuAlice</t>
        </is>
      </c>
      <c r="B210" s="136" t="inlineStr">
        <is>
          <t>36h</t>
        </is>
      </c>
      <c r="C210" s="137" t="inlineStr">
        <is>
          <t>27/08</t>
        </is>
      </c>
      <c r="D210" s="65" t="inlineStr">
        <is>
          <t>N 27/08 → T 28/08: 6h de descanso (soma 18h)</t>
        </is>
      </c>
      <c r="E210" s="136" t="inlineStr">
        <is>
          <t>art. 66 CLT — 11h</t>
        </is>
      </c>
      <c r="F210" s="142" t="inlineStr">
        <is>
          <t>REGISTRO</t>
        </is>
      </c>
    </row>
    <row r="211">
      <c r="A211" s="75" t="inlineStr">
        <is>
          <t>Pedro</t>
        </is>
      </c>
      <c r="B211" s="136" t="inlineStr">
        <is>
          <t>24h</t>
        </is>
      </c>
      <c r="C211" s="137" t="inlineStr">
        <is>
          <t>27/08</t>
        </is>
      </c>
      <c r="D211" s="65" t="inlineStr">
        <is>
          <t>N 27/08 → T 28/08: 6h de descanso (soma 18h)</t>
        </is>
      </c>
      <c r="E211" s="136" t="inlineStr">
        <is>
          <t>art. 66 CLT — 11h</t>
        </is>
      </c>
      <c r="F211" s="142" t="inlineStr">
        <is>
          <t>REGISTRO</t>
        </is>
      </c>
    </row>
    <row r="212">
      <c r="A212" s="75" t="inlineStr">
        <is>
          <t>Mayana</t>
        </is>
      </c>
      <c r="B212" s="136" t="inlineStr">
        <is>
          <t>36h</t>
        </is>
      </c>
      <c r="C212" s="137" t="inlineStr">
        <is>
          <t>29/08</t>
        </is>
      </c>
      <c r="D212" s="65" t="inlineStr">
        <is>
          <t>N 29/08 → T 30/08: 6h de descanso (soma 18h)</t>
        </is>
      </c>
      <c r="E212" s="136" t="inlineStr">
        <is>
          <t>art. 66 CLT — 11h</t>
        </is>
      </c>
      <c r="F212" s="142" t="inlineStr">
        <is>
          <t>REGISTRO</t>
        </is>
      </c>
    </row>
    <row r="213">
      <c r="A213" s="75" t="inlineStr">
        <is>
          <t>Aline</t>
        </is>
      </c>
      <c r="B213" s="136" t="inlineStr">
        <is>
          <t>36h</t>
        </is>
      </c>
      <c r="C213" s="137" t="inlineStr">
        <is>
          <t>30/08</t>
        </is>
      </c>
      <c r="D213" s="65" t="inlineStr">
        <is>
          <t>N 30/08 → T 31/08: 6h de descanso (soma 18h)</t>
        </is>
      </c>
      <c r="E213" s="136" t="inlineStr">
        <is>
          <t>art. 66 CLT — 11h</t>
        </is>
      </c>
      <c r="F213" s="142" t="inlineStr">
        <is>
          <t>REGISTRO</t>
        </is>
      </c>
    </row>
    <row r="214">
      <c r="A214" s="75" t="inlineStr">
        <is>
          <t>MPinheiro</t>
        </is>
      </c>
      <c r="B214" s="136" t="inlineStr">
        <is>
          <t>administrativo</t>
        </is>
      </c>
      <c r="C214" s="137" t="inlineStr">
        <is>
          <t>30/08</t>
        </is>
      </c>
      <c r="D214" s="65" t="inlineStr">
        <is>
          <t>N 30/08 → T 31/08: 6h de descanso (soma 18h)</t>
        </is>
      </c>
      <c r="E214" s="136" t="inlineStr">
        <is>
          <t>art. 66 CLT — 11h</t>
        </is>
      </c>
      <c r="F214" s="142" t="inlineStr">
        <is>
          <t>REGISTRO</t>
        </is>
      </c>
    </row>
    <row r="215">
      <c r="A215" s="75" t="inlineStr">
        <is>
          <t>Pedro</t>
        </is>
      </c>
      <c r="B215" s="136" t="inlineStr">
        <is>
          <t>24h</t>
        </is>
      </c>
      <c r="C215" s="137" t="inlineStr">
        <is>
          <t>31/08</t>
        </is>
      </c>
      <c r="D215" s="65" t="inlineStr">
        <is>
          <t>N 31/08 → T 01/09: 6h de descanso (soma 18h)</t>
        </is>
      </c>
      <c r="E215" s="136" t="inlineStr">
        <is>
          <t>art. 66 CLT — 11h</t>
        </is>
      </c>
      <c r="F215" s="142" t="inlineStr">
        <is>
          <t>REGISTRO</t>
        </is>
      </c>
    </row>
    <row r="216">
      <c r="A216" s="75" t="inlineStr">
        <is>
          <t>Yuji</t>
        </is>
      </c>
      <c r="B216" s="136" t="inlineStr">
        <is>
          <t>24h</t>
        </is>
      </c>
      <c r="C216" s="137" t="inlineStr">
        <is>
          <t>01/09</t>
        </is>
      </c>
      <c r="D216" s="65" t="inlineStr">
        <is>
          <t>N 01/09 → T 02/09: 6h de descanso (soma 18h)</t>
        </is>
      </c>
      <c r="E216" s="136" t="inlineStr">
        <is>
          <t>art. 66 CLT — 11h</t>
        </is>
      </c>
      <c r="F216" s="142" t="inlineStr">
        <is>
          <t>REGISTRO</t>
        </is>
      </c>
    </row>
    <row r="217">
      <c r="A217" s="75" t="inlineStr">
        <is>
          <t>Roberta</t>
        </is>
      </c>
      <c r="B217" s="136" t="inlineStr">
        <is>
          <t>36h</t>
        </is>
      </c>
      <c r="C217" s="137" t="inlineStr">
        <is>
          <t>02/09</t>
        </is>
      </c>
      <c r="D217" s="65" t="inlineStr">
        <is>
          <t>N 02/09 → T 03/09: 6h de descanso (soma 18h)</t>
        </is>
      </c>
      <c r="E217" s="136" t="inlineStr">
        <is>
          <t>art. 66 CLT — 11h</t>
        </is>
      </c>
      <c r="F217" s="142" t="inlineStr">
        <is>
          <t>REGISTRO</t>
        </is>
      </c>
    </row>
    <row r="218">
      <c r="A218" s="75" t="inlineStr">
        <is>
          <t>Joaquim</t>
        </is>
      </c>
      <c r="B218" s="136" t="inlineStr">
        <is>
          <t>24h</t>
        </is>
      </c>
      <c r="C218" s="137" t="inlineStr">
        <is>
          <t>04/09</t>
        </is>
      </c>
      <c r="D218" s="65" t="inlineStr">
        <is>
          <t>N 04/09 → T 05/09: 6h de descanso (soma 18h)</t>
        </is>
      </c>
      <c r="E218" s="136" t="inlineStr">
        <is>
          <t>art. 66 CLT — 11h</t>
        </is>
      </c>
      <c r="F218" s="142" t="inlineStr">
        <is>
          <t>REGISTRO</t>
        </is>
      </c>
    </row>
    <row r="219">
      <c r="A219" s="75" t="inlineStr">
        <is>
          <t>Isabella</t>
        </is>
      </c>
      <c r="B219" s="136" t="inlineStr">
        <is>
          <t>36h</t>
        </is>
      </c>
      <c r="C219" s="137" t="inlineStr">
        <is>
          <t>06/09</t>
        </is>
      </c>
      <c r="D219" s="65" t="inlineStr">
        <is>
          <t>N 06/09 → T 07/09: 6h de descanso (soma 18h)</t>
        </is>
      </c>
      <c r="E219" s="136" t="inlineStr">
        <is>
          <t>art. 66 CLT — 11h</t>
        </is>
      </c>
      <c r="F219" s="142" t="inlineStr">
        <is>
          <t>REGISTRO</t>
        </is>
      </c>
    </row>
    <row r="220">
      <c r="A220" s="75" t="inlineStr">
        <is>
          <t>Aline</t>
        </is>
      </c>
      <c r="B220" s="136" t="inlineStr">
        <is>
          <t>36h</t>
        </is>
      </c>
      <c r="C220" s="137" t="inlineStr">
        <is>
          <t>08/09</t>
        </is>
      </c>
      <c r="D220" s="65" t="inlineStr">
        <is>
          <t>N 08/09 → T 09/09: 6h de descanso (soma 18h)</t>
        </is>
      </c>
      <c r="E220" s="136" t="inlineStr">
        <is>
          <t>art. 66 CLT — 11h</t>
        </is>
      </c>
      <c r="F220" s="142" t="inlineStr">
        <is>
          <t>REGISTRO</t>
        </is>
      </c>
    </row>
    <row r="221">
      <c r="A221" s="75" t="inlineStr">
        <is>
          <t>LuAlice</t>
        </is>
      </c>
      <c r="B221" s="136" t="inlineStr">
        <is>
          <t>36h</t>
        </is>
      </c>
      <c r="C221" s="137" t="inlineStr">
        <is>
          <t>10/09</t>
        </is>
      </c>
      <c r="D221" s="65" t="inlineStr">
        <is>
          <t>N 10/09 → T 11/09: 6h de descanso (soma 18h)</t>
        </is>
      </c>
      <c r="E221" s="136" t="inlineStr">
        <is>
          <t>art. 66 CLT — 11h</t>
        </is>
      </c>
      <c r="F221" s="142" t="inlineStr">
        <is>
          <t>REGISTRO</t>
        </is>
      </c>
    </row>
    <row r="222">
      <c r="A222" s="75" t="inlineStr">
        <is>
          <t>João</t>
        </is>
      </c>
      <c r="B222" s="136" t="inlineStr">
        <is>
          <t>30h</t>
        </is>
      </c>
      <c r="C222" s="137" t="inlineStr">
        <is>
          <t>13/09</t>
        </is>
      </c>
      <c r="D222" s="65" t="inlineStr">
        <is>
          <t>N 13/09 → T 14/09: 6h de descanso (soma 18h)</t>
        </is>
      </c>
      <c r="E222" s="136" t="inlineStr">
        <is>
          <t>art. 66 CLT — 11h</t>
        </is>
      </c>
      <c r="F222" s="142" t="inlineStr">
        <is>
          <t>REGISTRO</t>
        </is>
      </c>
    </row>
    <row r="223">
      <c r="A223" s="75" t="inlineStr">
        <is>
          <t>Pedro</t>
        </is>
      </c>
      <c r="B223" s="136" t="inlineStr">
        <is>
          <t>24h</t>
        </is>
      </c>
      <c r="C223" s="137" t="inlineStr">
        <is>
          <t>15/09</t>
        </is>
      </c>
      <c r="D223" s="65" t="inlineStr">
        <is>
          <t>N 15/09 → T 16/09: 6h de descanso (soma 18h)</t>
        </is>
      </c>
      <c r="E223" s="136" t="inlineStr">
        <is>
          <t>art. 66 CLT — 11h</t>
        </is>
      </c>
      <c r="F223" s="142" t="inlineStr">
        <is>
          <t>REGISTRO</t>
        </is>
      </c>
    </row>
    <row r="224">
      <c r="A224" s="75" t="inlineStr">
        <is>
          <t>Roberta</t>
        </is>
      </c>
      <c r="B224" s="136" t="inlineStr">
        <is>
          <t>36h</t>
        </is>
      </c>
      <c r="C224" s="137" t="inlineStr">
        <is>
          <t>17/09</t>
        </is>
      </c>
      <c r="D224" s="65" t="inlineStr">
        <is>
          <t>N 17/09 → T 18/09: 6h de descanso (soma 18h)</t>
        </is>
      </c>
      <c r="E224" s="136" t="inlineStr">
        <is>
          <t>art. 66 CLT — 11h</t>
        </is>
      </c>
      <c r="F224" s="142" t="inlineStr">
        <is>
          <t>REGISTRO</t>
        </is>
      </c>
    </row>
    <row r="225">
      <c r="A225" s="75" t="inlineStr">
        <is>
          <t>CaAbreu</t>
        </is>
      </c>
      <c r="B225" s="136" t="inlineStr">
        <is>
          <t>36h</t>
        </is>
      </c>
      <c r="C225" s="137" t="inlineStr">
        <is>
          <t>20/09</t>
        </is>
      </c>
      <c r="D225" s="65" t="inlineStr">
        <is>
          <t>N 20/09 → T 21/09: 6h de descanso (soma 18h)</t>
        </is>
      </c>
      <c r="E225" s="136" t="inlineStr">
        <is>
          <t>art. 66 CLT — 11h</t>
        </is>
      </c>
      <c r="F225" s="142" t="inlineStr">
        <is>
          <t>REGISTRO</t>
        </is>
      </c>
    </row>
    <row r="226">
      <c r="A226" s="75" t="inlineStr">
        <is>
          <t>Aline</t>
        </is>
      </c>
      <c r="B226" s="136" t="inlineStr">
        <is>
          <t>36h</t>
        </is>
      </c>
      <c r="C226" s="137" t="inlineStr">
        <is>
          <t>21/09</t>
        </is>
      </c>
      <c r="D226" s="65" t="inlineStr">
        <is>
          <t>N 21/09 → T 22/09: 6h de descanso (soma 18h)</t>
        </is>
      </c>
      <c r="E226" s="136" t="inlineStr">
        <is>
          <t>art. 66 CLT — 11h</t>
        </is>
      </c>
      <c r="F226" s="142" t="inlineStr">
        <is>
          <t>REGISTRO</t>
        </is>
      </c>
    </row>
    <row r="227">
      <c r="A227" s="75" t="inlineStr">
        <is>
          <t>JuCoutinho</t>
        </is>
      </c>
      <c r="B227" s="136" t="inlineStr">
        <is>
          <t>30h</t>
        </is>
      </c>
      <c r="C227" s="137" t="inlineStr">
        <is>
          <t>27/09</t>
        </is>
      </c>
      <c r="D227" s="65" t="inlineStr">
        <is>
          <t>N 27/09 → T 28/09: 6h de descanso (soma 18h)</t>
        </is>
      </c>
      <c r="E227" s="136" t="inlineStr">
        <is>
          <t>art. 66 CLT — 11h</t>
        </is>
      </c>
      <c r="F227" s="142" t="inlineStr">
        <is>
          <t>REGISTRO</t>
        </is>
      </c>
    </row>
    <row r="228">
      <c r="A228" s="75" t="inlineStr">
        <is>
          <t>Aline</t>
        </is>
      </c>
      <c r="B228" s="136" t="inlineStr">
        <is>
          <t>36h</t>
        </is>
      </c>
      <c r="C228" s="137" t="inlineStr">
        <is>
          <t>02/10</t>
        </is>
      </c>
      <c r="D228" s="65" t="inlineStr">
        <is>
          <t>N 02/10 → T 03/10: 6h de descanso (soma 18h)</t>
        </is>
      </c>
      <c r="E228" s="136" t="inlineStr">
        <is>
          <t>art. 66 CLT — 11h</t>
        </is>
      </c>
      <c r="F228" s="142" t="inlineStr">
        <is>
          <t>REGISTRO</t>
        </is>
      </c>
    </row>
    <row r="229">
      <c r="A229" s="75" t="inlineStr">
        <is>
          <t>Anna</t>
        </is>
      </c>
      <c r="B229" s="136" t="inlineStr">
        <is>
          <t>24h</t>
        </is>
      </c>
      <c r="C229" s="137" t="inlineStr">
        <is>
          <t>03/10</t>
        </is>
      </c>
      <c r="D229" s="65" t="inlineStr">
        <is>
          <t>N 03/10 → T 04/10: 6h de descanso (soma 18h)</t>
        </is>
      </c>
      <c r="E229" s="136" t="inlineStr">
        <is>
          <t>art. 66 CLT — 11h</t>
        </is>
      </c>
      <c r="F229" s="142" t="inlineStr">
        <is>
          <t>REGISTRO</t>
        </is>
      </c>
    </row>
    <row r="230">
      <c r="A230" s="75" t="inlineStr">
        <is>
          <t>Isabella</t>
        </is>
      </c>
      <c r="B230" s="136" t="inlineStr">
        <is>
          <t>36h</t>
        </is>
      </c>
      <c r="C230" s="137" t="inlineStr">
        <is>
          <t>04/10</t>
        </is>
      </c>
      <c r="D230" s="65" t="inlineStr">
        <is>
          <t>N 04/10 → T 05/10: 6h de descanso (soma 18h)</t>
        </is>
      </c>
      <c r="E230" s="136" t="inlineStr">
        <is>
          <t>art. 66 CLT — 11h</t>
        </is>
      </c>
      <c r="F230" s="142" t="inlineStr">
        <is>
          <t>REGISTRO</t>
        </is>
      </c>
    </row>
    <row r="231">
      <c r="A231" s="75" t="inlineStr">
        <is>
          <t>Pedro</t>
        </is>
      </c>
      <c r="B231" s="136" t="inlineStr">
        <is>
          <t>24h</t>
        </is>
      </c>
      <c r="C231" s="137" t="inlineStr">
        <is>
          <t>06/10</t>
        </is>
      </c>
      <c r="D231" s="65" t="inlineStr">
        <is>
          <t>N 06/10 → T 07/10: 6h de descanso (soma 18h)</t>
        </is>
      </c>
      <c r="E231" s="136" t="inlineStr">
        <is>
          <t>art. 66 CLT — 11h</t>
        </is>
      </c>
      <c r="F231" s="142" t="inlineStr">
        <is>
          <t>REGISTRO</t>
        </is>
      </c>
    </row>
    <row r="232">
      <c r="A232" s="75" t="inlineStr">
        <is>
          <t>Isabella</t>
        </is>
      </c>
      <c r="B232" s="136" t="inlineStr">
        <is>
          <t>36h</t>
        </is>
      </c>
      <c r="C232" s="137" t="inlineStr">
        <is>
          <t>12/10</t>
        </is>
      </c>
      <c r="D232" s="65" t="inlineStr">
        <is>
          <t>N 12/10 → T 13/10: 6h de descanso (soma 18h)</t>
        </is>
      </c>
      <c r="E232" s="136" t="inlineStr">
        <is>
          <t>art. 66 CLT — 11h</t>
        </is>
      </c>
      <c r="F232" s="142" t="inlineStr">
        <is>
          <t>REGISTRO</t>
        </is>
      </c>
    </row>
    <row r="233">
      <c r="A233" s="75" t="inlineStr">
        <is>
          <t>João</t>
        </is>
      </c>
      <c r="B233" s="136" t="inlineStr">
        <is>
          <t>30h</t>
        </is>
      </c>
      <c r="C233" s="137" t="inlineStr">
        <is>
          <t>14/10</t>
        </is>
      </c>
      <c r="D233" s="65" t="inlineStr">
        <is>
          <t>N 14/10 → T 15/10: 6h de descanso (soma 18h)</t>
        </is>
      </c>
      <c r="E233" s="136" t="inlineStr">
        <is>
          <t>art. 66 CLT — 11h</t>
        </is>
      </c>
      <c r="F233" s="142" t="inlineStr">
        <is>
          <t>REGISTRO</t>
        </is>
      </c>
    </row>
    <row r="234">
      <c r="A234" s="75" t="inlineStr">
        <is>
          <t>Isabella</t>
        </is>
      </c>
      <c r="B234" s="136" t="inlineStr">
        <is>
          <t>36h</t>
        </is>
      </c>
      <c r="C234" s="137" t="inlineStr">
        <is>
          <t>18/10</t>
        </is>
      </c>
      <c r="D234" s="65" t="inlineStr">
        <is>
          <t>N 18/10 → T 19/10: 6h de descanso (soma 18h)</t>
        </is>
      </c>
      <c r="E234" s="136" t="inlineStr">
        <is>
          <t>art. 66 CLT — 11h</t>
        </is>
      </c>
      <c r="F234" s="142" t="inlineStr">
        <is>
          <t>REGISTRO</t>
        </is>
      </c>
    </row>
    <row r="235">
      <c r="A235" s="75" t="inlineStr">
        <is>
          <t>Isabella</t>
        </is>
      </c>
      <c r="B235" s="136" t="inlineStr">
        <is>
          <t>36h</t>
        </is>
      </c>
      <c r="C235" s="137" t="inlineStr">
        <is>
          <t>25/10</t>
        </is>
      </c>
      <c r="D235" s="65" t="inlineStr">
        <is>
          <t>N 25/10 → T 26/10: 6h de descanso (soma 18h)</t>
        </is>
      </c>
      <c r="E235" s="136" t="inlineStr">
        <is>
          <t>art. 66 CLT — 11h</t>
        </is>
      </c>
      <c r="F235" s="142" t="inlineStr">
        <is>
          <t>REGISTRO</t>
        </is>
      </c>
    </row>
    <row r="236">
      <c r="A236" s="75" t="inlineStr">
        <is>
          <t>Pedro</t>
        </is>
      </c>
      <c r="B236" s="136" t="inlineStr">
        <is>
          <t>24h</t>
        </is>
      </c>
      <c r="C236" s="137" t="inlineStr">
        <is>
          <t>25/10</t>
        </is>
      </c>
      <c r="D236" s="65" t="inlineStr">
        <is>
          <t>N 25/10 → T 26/10: 6h de descanso (soma 18h)</t>
        </is>
      </c>
      <c r="E236" s="136" t="inlineStr">
        <is>
          <t>art. 66 CLT — 11h</t>
        </is>
      </c>
      <c r="F236" s="142" t="inlineStr">
        <is>
          <t>REGISTRO</t>
        </is>
      </c>
    </row>
    <row r="237">
      <c r="A237" s="75" t="inlineStr">
        <is>
          <t>João</t>
        </is>
      </c>
      <c r="B237" s="136" t="inlineStr">
        <is>
          <t>30h</t>
        </is>
      </c>
      <c r="C237" s="137" t="inlineStr">
        <is>
          <t>28/10</t>
        </is>
      </c>
      <c r="D237" s="65" t="inlineStr">
        <is>
          <t>N 28/10 → T 29/10: 6h de descanso (soma 18h)</t>
        </is>
      </c>
      <c r="E237" s="136" t="inlineStr">
        <is>
          <t>art. 66 CLT — 11h</t>
        </is>
      </c>
      <c r="F237" s="142" t="inlineStr">
        <is>
          <t>REGISTRO</t>
        </is>
      </c>
    </row>
    <row r="240">
      <c r="A240" s="133" t="inlineStr">
        <is>
          <t>ADICIONAL NOTURNO — horas em 22h–05h, por pessoa e mês</t>
        </is>
      </c>
    </row>
    <row r="241" ht="24" customHeight="1">
      <c r="A241" s="134" t="inlineStr">
        <is>
          <t>Insumo da folha: a hora noturna vale 52min30s e o adicional é de no mínimo 20% (art. 73 CLT). A noite de 19–07h cai inteira dentro da janela nas 7 horas entre 22h e 05h.</t>
        </is>
      </c>
    </row>
    <row r="243">
      <c r="A243" s="135" t="inlineStr">
        <is>
          <t>médico</t>
        </is>
      </c>
      <c r="B243" s="121" t="inlineStr">
        <is>
          <t>JAN</t>
        </is>
      </c>
      <c r="C243" s="121" t="inlineStr">
        <is>
          <t>FEV</t>
        </is>
      </c>
      <c r="D243" s="121" t="inlineStr">
        <is>
          <t>MAR</t>
        </is>
      </c>
      <c r="E243" s="121" t="inlineStr">
        <is>
          <t>ABR</t>
        </is>
      </c>
      <c r="F243" s="121" t="inlineStr">
        <is>
          <t>MAI</t>
        </is>
      </c>
      <c r="G243" s="121" t="inlineStr">
        <is>
          <t>JUN</t>
        </is>
      </c>
      <c r="H243" s="121" t="inlineStr">
        <is>
          <t>JUL</t>
        </is>
      </c>
      <c r="I243" s="121" t="inlineStr">
        <is>
          <t>AGO</t>
        </is>
      </c>
      <c r="J243" s="121" t="inlineStr">
        <is>
          <t>SET</t>
        </is>
      </c>
      <c r="K243" s="121" t="inlineStr">
        <is>
          <t>OUT</t>
        </is>
      </c>
      <c r="L243" s="121" t="inlineStr">
        <is>
          <t>NOV</t>
        </is>
      </c>
      <c r="M243" s="121" t="inlineStr">
        <is>
          <t>DEZ</t>
        </is>
      </c>
      <c r="N243" s="143" t="inlineStr">
        <is>
          <t>ano</t>
        </is>
      </c>
    </row>
    <row r="244">
      <c r="A244" s="81" t="inlineStr">
        <is>
          <t>MSalomão</t>
        </is>
      </c>
      <c r="B244" s="107" t="n">
        <v>14</v>
      </c>
      <c r="C244" s="107" t="n">
        <v>7</v>
      </c>
      <c r="D244" s="107" t="n">
        <v>21</v>
      </c>
      <c r="E244" s="107" t="n">
        <v>14</v>
      </c>
      <c r="F244" s="107" t="n">
        <v>14</v>
      </c>
      <c r="G244" s="107" t="n">
        <v>28</v>
      </c>
      <c r="H244" s="107" t="n">
        <v>14</v>
      </c>
      <c r="I244" s="107" t="n">
        <v>14</v>
      </c>
      <c r="J244" s="107" t="n">
        <v>14</v>
      </c>
      <c r="K244" s="107" t="n">
        <v>14</v>
      </c>
      <c r="N244" s="130" t="n">
        <v>154</v>
      </c>
    </row>
    <row r="245">
      <c r="A245" s="81" t="inlineStr">
        <is>
          <t>Vinicius</t>
        </is>
      </c>
      <c r="B245" s="107" t="n">
        <v>14</v>
      </c>
      <c r="C245" s="107" t="n">
        <v>14</v>
      </c>
      <c r="D245" s="107" t="n">
        <v>14</v>
      </c>
      <c r="E245" s="107" t="n">
        <v>7</v>
      </c>
      <c r="F245" s="107" t="n">
        <v>21</v>
      </c>
      <c r="G245" s="107" t="n">
        <v>14</v>
      </c>
      <c r="H245" s="107" t="n">
        <v>7</v>
      </c>
      <c r="I245" s="107" t="n">
        <v>7</v>
      </c>
      <c r="J245" s="107" t="n">
        <v>7</v>
      </c>
      <c r="K245" s="107" t="n">
        <v>14</v>
      </c>
      <c r="N245" s="130" t="n">
        <v>119</v>
      </c>
    </row>
    <row r="246">
      <c r="A246" s="81" t="inlineStr">
        <is>
          <t>Amelio</t>
        </is>
      </c>
      <c r="B246" s="107" t="n">
        <v>28</v>
      </c>
      <c r="E246" s="107" t="n">
        <v>7</v>
      </c>
      <c r="J246" s="107" t="n">
        <v>14</v>
      </c>
      <c r="N246" s="130" t="n">
        <v>49</v>
      </c>
    </row>
    <row r="247">
      <c r="A247" s="81" t="inlineStr">
        <is>
          <t>Murilo</t>
        </is>
      </c>
      <c r="B247" s="107" t="n">
        <v>17</v>
      </c>
      <c r="C247" s="107" t="n">
        <v>14</v>
      </c>
      <c r="D247" s="107" t="n">
        <v>14</v>
      </c>
      <c r="E247" s="107" t="n">
        <v>14</v>
      </c>
      <c r="F247" s="107" t="n">
        <v>7</v>
      </c>
      <c r="G247" s="107" t="n">
        <v>14</v>
      </c>
      <c r="K247" s="107" t="n">
        <v>14</v>
      </c>
      <c r="N247" s="130" t="n">
        <v>94</v>
      </c>
    </row>
    <row r="248">
      <c r="A248" s="81" t="inlineStr">
        <is>
          <t>Aline</t>
        </is>
      </c>
      <c r="B248" s="107" t="n">
        <v>49</v>
      </c>
      <c r="C248" s="107" t="n">
        <v>49</v>
      </c>
      <c r="D248" s="107" t="n">
        <v>49</v>
      </c>
      <c r="E248" s="107" t="n">
        <v>56</v>
      </c>
      <c r="F248" s="107" t="n">
        <v>49</v>
      </c>
      <c r="G248" s="107" t="n">
        <v>28</v>
      </c>
      <c r="H248" s="107" t="n">
        <v>49</v>
      </c>
      <c r="I248" s="107" t="n">
        <v>49</v>
      </c>
      <c r="J248" s="107" t="n">
        <v>35</v>
      </c>
      <c r="K248" s="107" t="n">
        <v>35</v>
      </c>
      <c r="N248" s="130" t="n">
        <v>448</v>
      </c>
    </row>
    <row r="249">
      <c r="A249" s="81" t="inlineStr">
        <is>
          <t>CaAbreu</t>
        </is>
      </c>
      <c r="B249" s="107" t="n">
        <v>14</v>
      </c>
      <c r="D249" s="107" t="n">
        <v>7</v>
      </c>
      <c r="E249" s="107" t="n">
        <v>14</v>
      </c>
      <c r="G249" s="107" t="n">
        <v>7</v>
      </c>
      <c r="H249" s="107" t="n">
        <v>7</v>
      </c>
      <c r="I249" s="107" t="n">
        <v>14</v>
      </c>
      <c r="J249" s="107" t="n">
        <v>14</v>
      </c>
      <c r="K249" s="107" t="n">
        <v>7</v>
      </c>
      <c r="N249" s="130" t="n">
        <v>84</v>
      </c>
    </row>
    <row r="250">
      <c r="A250" s="81" t="inlineStr">
        <is>
          <t>Danielle</t>
        </is>
      </c>
      <c r="B250" s="107" t="n">
        <v>73</v>
      </c>
      <c r="C250" s="107" t="n">
        <v>84</v>
      </c>
      <c r="D250" s="107" t="n">
        <v>91</v>
      </c>
      <c r="E250" s="107" t="n">
        <v>91</v>
      </c>
      <c r="F250" s="107" t="n">
        <v>91</v>
      </c>
      <c r="G250" s="107" t="n">
        <v>42</v>
      </c>
      <c r="H250" s="107" t="n">
        <v>98</v>
      </c>
      <c r="I250" s="107" t="n">
        <v>35</v>
      </c>
      <c r="J250" s="107" t="n">
        <v>91</v>
      </c>
      <c r="K250" s="107" t="n">
        <v>105</v>
      </c>
      <c r="N250" s="130" t="n">
        <v>801</v>
      </c>
    </row>
    <row r="251">
      <c r="A251" s="81" t="inlineStr">
        <is>
          <t>Fabiula</t>
        </is>
      </c>
      <c r="B251" s="107" t="n">
        <v>84</v>
      </c>
      <c r="C251" s="107" t="n">
        <v>84</v>
      </c>
      <c r="D251" s="107" t="n">
        <v>98</v>
      </c>
      <c r="E251" s="107" t="n">
        <v>91</v>
      </c>
      <c r="F251" s="107" t="n">
        <v>49</v>
      </c>
      <c r="G251" s="107" t="n">
        <v>91</v>
      </c>
      <c r="H251" s="107" t="n">
        <v>84</v>
      </c>
      <c r="I251" s="107" t="n">
        <v>84</v>
      </c>
      <c r="J251" s="107" t="n">
        <v>98</v>
      </c>
      <c r="K251" s="107" t="n">
        <v>98</v>
      </c>
      <c r="N251" s="130" t="n">
        <v>861</v>
      </c>
    </row>
    <row r="252">
      <c r="A252" s="81" t="inlineStr">
        <is>
          <t>Isabella</t>
        </is>
      </c>
      <c r="B252" s="107" t="n">
        <v>21</v>
      </c>
      <c r="C252" s="107" t="n">
        <v>28</v>
      </c>
      <c r="D252" s="107" t="n">
        <v>35</v>
      </c>
      <c r="E252" s="107" t="n">
        <v>14</v>
      </c>
      <c r="F252" s="107" t="n">
        <v>21</v>
      </c>
      <c r="G252" s="107" t="n">
        <v>42</v>
      </c>
      <c r="H252" s="107" t="n">
        <v>35</v>
      </c>
      <c r="I252" s="107" t="n">
        <v>14</v>
      </c>
      <c r="J252" s="107" t="n">
        <v>7</v>
      </c>
      <c r="K252" s="107" t="n">
        <v>28</v>
      </c>
      <c r="N252" s="130" t="n">
        <v>245</v>
      </c>
    </row>
    <row r="253">
      <c r="A253" s="81" t="inlineStr">
        <is>
          <t>JuBrito</t>
        </is>
      </c>
      <c r="B253" s="107" t="n">
        <v>7</v>
      </c>
      <c r="C253" s="107" t="n">
        <v>7</v>
      </c>
      <c r="D253" s="107" t="n">
        <v>14</v>
      </c>
      <c r="E253" s="107" t="n">
        <v>7</v>
      </c>
      <c r="F253" s="107" t="n">
        <v>14</v>
      </c>
      <c r="G253" s="107" t="n">
        <v>14</v>
      </c>
      <c r="H253" s="107" t="n">
        <v>7</v>
      </c>
      <c r="J253" s="107" t="n">
        <v>7</v>
      </c>
      <c r="K253" s="107" t="n">
        <v>14</v>
      </c>
      <c r="N253" s="130" t="n">
        <v>91</v>
      </c>
    </row>
    <row r="254">
      <c r="A254" s="81" t="inlineStr">
        <is>
          <t>Mayana</t>
        </is>
      </c>
      <c r="B254" s="107" t="n">
        <v>21</v>
      </c>
      <c r="C254" s="107" t="n">
        <v>28</v>
      </c>
      <c r="D254" s="107" t="n">
        <v>14</v>
      </c>
      <c r="E254" s="107" t="n">
        <v>14</v>
      </c>
      <c r="F254" s="107" t="n">
        <v>7</v>
      </c>
      <c r="G254" s="107" t="n">
        <v>21</v>
      </c>
      <c r="H254" s="107" t="n">
        <v>21</v>
      </c>
      <c r="I254" s="107" t="n">
        <v>14</v>
      </c>
      <c r="J254" s="107" t="n">
        <v>28</v>
      </c>
      <c r="K254" s="107" t="n">
        <v>35</v>
      </c>
      <c r="N254" s="130" t="n">
        <v>203</v>
      </c>
    </row>
    <row r="255">
      <c r="A255" s="81" t="inlineStr">
        <is>
          <t>Neyde</t>
        </is>
      </c>
      <c r="B255" s="107" t="n">
        <v>91</v>
      </c>
      <c r="C255" s="107" t="n">
        <v>77</v>
      </c>
      <c r="D255" s="107" t="n">
        <v>105</v>
      </c>
      <c r="E255" s="107" t="n">
        <v>91</v>
      </c>
      <c r="F255" s="107" t="n">
        <v>84</v>
      </c>
      <c r="G255" s="107" t="n">
        <v>49</v>
      </c>
      <c r="H255" s="107" t="n">
        <v>98</v>
      </c>
      <c r="I255" s="107" t="n">
        <v>91</v>
      </c>
      <c r="J255" s="107" t="n">
        <v>105</v>
      </c>
      <c r="K255" s="107" t="n">
        <v>49</v>
      </c>
      <c r="N255" s="130" t="n">
        <v>840</v>
      </c>
    </row>
    <row r="256">
      <c r="A256" s="81" t="inlineStr">
        <is>
          <t>Roberta</t>
        </is>
      </c>
      <c r="B256" s="107" t="n">
        <v>7</v>
      </c>
      <c r="C256" s="107" t="n">
        <v>56</v>
      </c>
      <c r="D256" s="107" t="n">
        <v>49</v>
      </c>
      <c r="E256" s="107" t="n">
        <v>49</v>
      </c>
      <c r="F256" s="107" t="n">
        <v>56</v>
      </c>
      <c r="G256" s="107" t="n">
        <v>56</v>
      </c>
      <c r="H256" s="107" t="n">
        <v>14</v>
      </c>
      <c r="I256" s="107" t="n">
        <v>42</v>
      </c>
      <c r="J256" s="107" t="n">
        <v>63</v>
      </c>
      <c r="K256" s="107" t="n">
        <v>49</v>
      </c>
      <c r="N256" s="130" t="n">
        <v>441</v>
      </c>
    </row>
    <row r="257">
      <c r="A257" s="81" t="inlineStr">
        <is>
          <t>LuAlice</t>
        </is>
      </c>
      <c r="B257" s="107" t="n">
        <v>70</v>
      </c>
      <c r="C257" s="107" t="n">
        <v>28</v>
      </c>
      <c r="D257" s="107" t="n">
        <v>56</v>
      </c>
      <c r="E257" s="107" t="n">
        <v>77</v>
      </c>
      <c r="F257" s="107" t="n">
        <v>70</v>
      </c>
      <c r="G257" s="107" t="n">
        <v>66</v>
      </c>
      <c r="H257" s="107" t="n">
        <v>91</v>
      </c>
      <c r="I257" s="107" t="n">
        <v>77</v>
      </c>
      <c r="J257" s="107" t="n">
        <v>84</v>
      </c>
      <c r="K257" s="107" t="n">
        <v>98</v>
      </c>
      <c r="N257" s="130" t="n">
        <v>717</v>
      </c>
    </row>
    <row r="258">
      <c r="A258" s="81" t="inlineStr">
        <is>
          <t>Amanda</t>
        </is>
      </c>
      <c r="B258" s="107" t="n">
        <v>24</v>
      </c>
      <c r="C258" s="107" t="n">
        <v>7</v>
      </c>
      <c r="D258" s="107" t="n">
        <v>42</v>
      </c>
      <c r="E258" s="107" t="n">
        <v>21</v>
      </c>
      <c r="F258" s="107" t="n">
        <v>21</v>
      </c>
      <c r="G258" s="107" t="n">
        <v>14</v>
      </c>
      <c r="H258" s="107" t="n">
        <v>21</v>
      </c>
      <c r="I258" s="107" t="n">
        <v>35</v>
      </c>
      <c r="J258" s="107" t="n">
        <v>21</v>
      </c>
      <c r="K258" s="107" t="n">
        <v>14</v>
      </c>
      <c r="N258" s="130" t="n">
        <v>220</v>
      </c>
    </row>
    <row r="259">
      <c r="A259" s="81" t="inlineStr">
        <is>
          <t>Fernando</t>
        </is>
      </c>
      <c r="B259" s="107" t="n">
        <v>28</v>
      </c>
      <c r="C259" s="107" t="n">
        <v>28</v>
      </c>
      <c r="D259" s="107" t="n">
        <v>35</v>
      </c>
      <c r="E259" s="107" t="n">
        <v>35</v>
      </c>
      <c r="F259" s="107" t="n">
        <v>28</v>
      </c>
      <c r="G259" s="107" t="n">
        <v>28</v>
      </c>
      <c r="H259" s="107" t="n">
        <v>28</v>
      </c>
      <c r="I259" s="107" t="n">
        <v>35</v>
      </c>
      <c r="J259" s="107" t="n">
        <v>21</v>
      </c>
      <c r="K259" s="107" t="n">
        <v>28</v>
      </c>
      <c r="N259" s="130" t="n">
        <v>294</v>
      </c>
    </row>
    <row r="260">
      <c r="A260" s="81" t="inlineStr">
        <is>
          <t>João</t>
        </is>
      </c>
      <c r="B260" s="107" t="n">
        <v>49</v>
      </c>
      <c r="C260" s="107" t="n">
        <v>56</v>
      </c>
      <c r="D260" s="107" t="n">
        <v>35</v>
      </c>
      <c r="E260" s="107" t="n">
        <v>63</v>
      </c>
      <c r="F260" s="107" t="n">
        <v>56</v>
      </c>
      <c r="G260" s="107" t="n">
        <v>35</v>
      </c>
      <c r="H260" s="107" t="n">
        <v>56</v>
      </c>
      <c r="I260" s="107" t="n">
        <v>49</v>
      </c>
      <c r="J260" s="107" t="n">
        <v>14</v>
      </c>
      <c r="K260" s="107" t="n">
        <v>42</v>
      </c>
      <c r="N260" s="130" t="n">
        <v>455</v>
      </c>
    </row>
    <row r="261">
      <c r="A261" s="81" t="inlineStr">
        <is>
          <t>JuCoutinho</t>
        </is>
      </c>
      <c r="B261" s="107" t="n">
        <v>14</v>
      </c>
      <c r="C261" s="107" t="n">
        <v>14</v>
      </c>
      <c r="D261" s="107" t="n">
        <v>42</v>
      </c>
      <c r="E261" s="107" t="n">
        <v>56</v>
      </c>
      <c r="F261" s="107" t="n">
        <v>28</v>
      </c>
      <c r="G261" s="107" t="n">
        <v>21</v>
      </c>
      <c r="H261" s="107" t="n">
        <v>21</v>
      </c>
      <c r="I261" s="107" t="n">
        <v>21</v>
      </c>
      <c r="J261" s="107" t="n">
        <v>7</v>
      </c>
      <c r="K261" s="107" t="n">
        <v>28</v>
      </c>
      <c r="N261" s="130" t="n">
        <v>252</v>
      </c>
    </row>
    <row r="262">
      <c r="A262" s="81" t="inlineStr">
        <is>
          <t>LeLemos</t>
        </is>
      </c>
      <c r="B262" s="107" t="n">
        <v>35</v>
      </c>
      <c r="C262" s="107" t="n">
        <v>21</v>
      </c>
      <c r="D262" s="107" t="n">
        <v>7</v>
      </c>
      <c r="F262" s="107" t="n">
        <v>21</v>
      </c>
      <c r="G262" s="107" t="n">
        <v>35</v>
      </c>
      <c r="H262" s="107" t="n">
        <v>14</v>
      </c>
      <c r="I262" s="107" t="n">
        <v>14</v>
      </c>
      <c r="J262" s="107" t="n">
        <v>14</v>
      </c>
      <c r="K262" s="107" t="n">
        <v>21</v>
      </c>
      <c r="N262" s="130" t="n">
        <v>182</v>
      </c>
    </row>
    <row r="263">
      <c r="A263" s="81" t="inlineStr">
        <is>
          <t>Leomara</t>
        </is>
      </c>
      <c r="H263" s="107" t="n">
        <v>14</v>
      </c>
      <c r="I263" s="107" t="n">
        <v>14</v>
      </c>
      <c r="J263" s="107" t="n">
        <v>7</v>
      </c>
      <c r="N263" s="130" t="n">
        <v>35</v>
      </c>
    </row>
    <row r="264">
      <c r="A264" s="81" t="inlineStr">
        <is>
          <t>Marilia</t>
        </is>
      </c>
      <c r="B264" s="107" t="n">
        <v>7</v>
      </c>
      <c r="D264" s="107" t="n">
        <v>7</v>
      </c>
      <c r="E264" s="107" t="n">
        <v>7</v>
      </c>
      <c r="F264" s="107" t="n">
        <v>7</v>
      </c>
      <c r="H264" s="107" t="n">
        <v>7</v>
      </c>
      <c r="I264" s="107" t="n">
        <v>7</v>
      </c>
      <c r="J264" s="107" t="n">
        <v>7</v>
      </c>
      <c r="K264" s="107" t="n">
        <v>7</v>
      </c>
      <c r="N264" s="130" t="n">
        <v>56</v>
      </c>
    </row>
    <row r="265">
      <c r="A265" s="81" t="inlineStr">
        <is>
          <t>Raylander</t>
        </is>
      </c>
      <c r="B265" s="107" t="n">
        <v>49</v>
      </c>
      <c r="C265" s="107" t="n">
        <v>28</v>
      </c>
      <c r="D265" s="107" t="n">
        <v>28</v>
      </c>
      <c r="E265" s="107" t="n">
        <v>49</v>
      </c>
      <c r="F265" s="107" t="n">
        <v>28</v>
      </c>
      <c r="G265" s="107" t="n">
        <v>49</v>
      </c>
      <c r="H265" s="107" t="n">
        <v>35</v>
      </c>
      <c r="I265" s="107" t="n">
        <v>49</v>
      </c>
      <c r="J265" s="107" t="n">
        <v>28</v>
      </c>
      <c r="K265" s="107" t="n">
        <v>49</v>
      </c>
      <c r="N265" s="130" t="n">
        <v>392</v>
      </c>
    </row>
    <row r="266">
      <c r="A266" s="81" t="inlineStr">
        <is>
          <t>Ricardo</t>
        </is>
      </c>
      <c r="B266" s="107" t="n">
        <v>24</v>
      </c>
      <c r="C266" s="107" t="n">
        <v>21</v>
      </c>
      <c r="D266" s="107" t="n">
        <v>14</v>
      </c>
      <c r="E266" s="107" t="n">
        <v>7</v>
      </c>
      <c r="F266" s="107" t="n">
        <v>49</v>
      </c>
      <c r="G266" s="107" t="n">
        <v>28</v>
      </c>
      <c r="H266" s="107" t="n">
        <v>35</v>
      </c>
      <c r="I266" s="107" t="n">
        <v>35</v>
      </c>
      <c r="J266" s="107" t="n">
        <v>21</v>
      </c>
      <c r="K266" s="107" t="n">
        <v>28</v>
      </c>
      <c r="N266" s="130" t="n">
        <v>262</v>
      </c>
    </row>
    <row r="267">
      <c r="A267" s="81" t="inlineStr">
        <is>
          <t>Rosana</t>
        </is>
      </c>
      <c r="B267" s="107" t="n">
        <v>14</v>
      </c>
      <c r="C267" s="107" t="n">
        <v>21</v>
      </c>
      <c r="D267" s="107" t="n">
        <v>14</v>
      </c>
      <c r="E267" s="107" t="n">
        <v>7</v>
      </c>
      <c r="F267" s="107" t="n">
        <v>49</v>
      </c>
      <c r="G267" s="107" t="n">
        <v>28</v>
      </c>
      <c r="H267" s="107" t="n">
        <v>7</v>
      </c>
      <c r="I267" s="107" t="n">
        <v>35</v>
      </c>
      <c r="J267" s="107" t="n">
        <v>14</v>
      </c>
      <c r="K267" s="107" t="n">
        <v>28</v>
      </c>
      <c r="N267" s="130" t="n">
        <v>217</v>
      </c>
    </row>
    <row r="268">
      <c r="A268" s="81" t="inlineStr">
        <is>
          <t>AnaSeverino</t>
        </is>
      </c>
      <c r="F268" s="107" t="n">
        <v>21</v>
      </c>
      <c r="G268" s="107" t="n">
        <v>35</v>
      </c>
      <c r="I268" s="107" t="n">
        <v>35</v>
      </c>
      <c r="J268" s="107" t="n">
        <v>49</v>
      </c>
      <c r="K268" s="107" t="n">
        <v>28</v>
      </c>
      <c r="N268" s="130" t="n">
        <v>168</v>
      </c>
    </row>
    <row r="269">
      <c r="A269" s="81" t="inlineStr">
        <is>
          <t>Anna</t>
        </is>
      </c>
      <c r="B269" s="107" t="n">
        <v>14</v>
      </c>
      <c r="C269" s="107" t="n">
        <v>21</v>
      </c>
      <c r="D269" s="107" t="n">
        <v>14</v>
      </c>
      <c r="E269" s="107" t="n">
        <v>21</v>
      </c>
      <c r="F269" s="107" t="n">
        <v>14</v>
      </c>
      <c r="G269" s="107" t="n">
        <v>21</v>
      </c>
      <c r="H269" s="107" t="n">
        <v>14</v>
      </c>
      <c r="I269" s="107" t="n">
        <v>14</v>
      </c>
      <c r="J269" s="107" t="n">
        <v>21</v>
      </c>
      <c r="K269" s="107" t="n">
        <v>21</v>
      </c>
      <c r="N269" s="130" t="n">
        <v>175</v>
      </c>
    </row>
    <row r="270">
      <c r="A270" s="81" t="inlineStr">
        <is>
          <t>Ariadne</t>
        </is>
      </c>
      <c r="K270" s="107" t="n">
        <v>14</v>
      </c>
      <c r="N270" s="130" t="n">
        <v>14</v>
      </c>
    </row>
    <row r="271">
      <c r="A271" s="81" t="inlineStr">
        <is>
          <t>Beatriz</t>
        </is>
      </c>
      <c r="B271" s="107" t="n">
        <v>14</v>
      </c>
      <c r="C271" s="107" t="n">
        <v>7</v>
      </c>
      <c r="D271" s="107" t="n">
        <v>14</v>
      </c>
      <c r="E271" s="107" t="n">
        <v>14</v>
      </c>
      <c r="G271" s="107" t="n">
        <v>14</v>
      </c>
      <c r="H271" s="107" t="n">
        <v>7</v>
      </c>
      <c r="I271" s="107" t="n">
        <v>14</v>
      </c>
      <c r="N271" s="130" t="n">
        <v>84</v>
      </c>
    </row>
    <row r="272">
      <c r="A272" s="81" t="inlineStr">
        <is>
          <t>Bruna</t>
        </is>
      </c>
      <c r="B272" s="107" t="n">
        <v>21</v>
      </c>
      <c r="C272" s="107" t="n">
        <v>21</v>
      </c>
      <c r="D272" s="107" t="n">
        <v>28</v>
      </c>
      <c r="E272" s="107" t="n">
        <v>7</v>
      </c>
      <c r="F272" s="107" t="n">
        <v>35</v>
      </c>
      <c r="G272" s="107" t="n">
        <v>28</v>
      </c>
      <c r="H272" s="107" t="n">
        <v>7</v>
      </c>
      <c r="I272" s="107" t="n">
        <v>7</v>
      </c>
      <c r="J272" s="107" t="n">
        <v>28</v>
      </c>
      <c r="K272" s="107" t="n">
        <v>28</v>
      </c>
      <c r="N272" s="130" t="n">
        <v>210</v>
      </c>
    </row>
    <row r="273">
      <c r="A273" s="81" t="inlineStr">
        <is>
          <t>Constantino</t>
        </is>
      </c>
      <c r="B273" s="107" t="n">
        <v>34</v>
      </c>
      <c r="C273" s="107" t="n">
        <v>63</v>
      </c>
      <c r="D273" s="107" t="n">
        <v>63</v>
      </c>
      <c r="E273" s="107" t="n">
        <v>63</v>
      </c>
      <c r="F273" s="107" t="n">
        <v>56</v>
      </c>
      <c r="G273" s="107" t="n">
        <v>56</v>
      </c>
      <c r="H273" s="107" t="n">
        <v>35</v>
      </c>
      <c r="I273" s="107" t="n">
        <v>63</v>
      </c>
      <c r="J273" s="107" t="n">
        <v>56</v>
      </c>
      <c r="K273" s="107" t="n">
        <v>63</v>
      </c>
      <c r="N273" s="130" t="n">
        <v>552</v>
      </c>
    </row>
    <row r="274">
      <c r="A274" s="81" t="inlineStr">
        <is>
          <t>DebMatias</t>
        </is>
      </c>
      <c r="B274" s="107" t="n">
        <v>7</v>
      </c>
      <c r="D274" s="107" t="n">
        <v>7</v>
      </c>
      <c r="F274" s="107" t="n">
        <v>7</v>
      </c>
      <c r="H274" s="107" t="n">
        <v>14</v>
      </c>
      <c r="J274" s="107" t="n">
        <v>7</v>
      </c>
      <c r="K274" s="107" t="n">
        <v>7</v>
      </c>
      <c r="N274" s="130" t="n">
        <v>49</v>
      </c>
    </row>
    <row r="275">
      <c r="A275" s="81" t="inlineStr">
        <is>
          <t>Denise</t>
        </is>
      </c>
      <c r="B275" s="107" t="n">
        <v>14</v>
      </c>
      <c r="C275" s="107" t="n">
        <v>7</v>
      </c>
      <c r="D275" s="107" t="n">
        <v>7</v>
      </c>
      <c r="E275" s="107" t="n">
        <v>14</v>
      </c>
      <c r="F275" s="107" t="n">
        <v>7</v>
      </c>
      <c r="H275" s="107" t="n">
        <v>21</v>
      </c>
      <c r="I275" s="107" t="n">
        <v>7</v>
      </c>
      <c r="J275" s="107" t="n">
        <v>14</v>
      </c>
      <c r="K275" s="107" t="n">
        <v>21</v>
      </c>
      <c r="N275" s="130" t="n">
        <v>112</v>
      </c>
    </row>
    <row r="276">
      <c r="A276" s="81" t="inlineStr">
        <is>
          <t>Ernesto</t>
        </is>
      </c>
      <c r="B276" s="107" t="n">
        <v>14</v>
      </c>
      <c r="C276" s="107" t="n">
        <v>7</v>
      </c>
      <c r="D276" s="107" t="n">
        <v>21</v>
      </c>
      <c r="E276" s="107" t="n">
        <v>28</v>
      </c>
      <c r="F276" s="107" t="n">
        <v>28</v>
      </c>
      <c r="G276" s="107" t="n">
        <v>28</v>
      </c>
      <c r="H276" s="107" t="n">
        <v>21</v>
      </c>
      <c r="I276" s="107" t="n">
        <v>28</v>
      </c>
      <c r="J276" s="107" t="n">
        <v>28</v>
      </c>
      <c r="K276" s="107" t="n">
        <v>28</v>
      </c>
      <c r="N276" s="130" t="n">
        <v>231</v>
      </c>
    </row>
    <row r="277">
      <c r="A277" s="81" t="inlineStr">
        <is>
          <t>Grayce</t>
        </is>
      </c>
      <c r="C277" s="107" t="n">
        <v>21</v>
      </c>
      <c r="D277" s="107" t="n">
        <v>21</v>
      </c>
      <c r="E277" s="107" t="n">
        <v>28</v>
      </c>
      <c r="F277" s="107" t="n">
        <v>28</v>
      </c>
      <c r="G277" s="107" t="n">
        <v>28</v>
      </c>
      <c r="H277" s="107" t="n">
        <v>21</v>
      </c>
      <c r="I277" s="107" t="n">
        <v>35</v>
      </c>
      <c r="J277" s="107" t="n">
        <v>35</v>
      </c>
      <c r="K277" s="107" t="n">
        <v>28</v>
      </c>
      <c r="N277" s="130" t="n">
        <v>245</v>
      </c>
    </row>
    <row r="278">
      <c r="A278" s="81" t="inlineStr">
        <is>
          <t>Heloa</t>
        </is>
      </c>
      <c r="I278" s="107" t="n">
        <v>7</v>
      </c>
      <c r="K278" s="107" t="n">
        <v>7</v>
      </c>
      <c r="N278" s="130" t="n">
        <v>14</v>
      </c>
    </row>
    <row r="279">
      <c r="A279" s="81" t="inlineStr">
        <is>
          <t>Iggor</t>
        </is>
      </c>
      <c r="B279" s="107" t="n">
        <v>7</v>
      </c>
      <c r="C279" s="107" t="n">
        <v>7</v>
      </c>
      <c r="D279" s="107" t="n">
        <v>7</v>
      </c>
      <c r="E279" s="107" t="n">
        <v>7</v>
      </c>
      <c r="G279" s="107" t="n">
        <v>7</v>
      </c>
      <c r="I279" s="107" t="n">
        <v>7</v>
      </c>
      <c r="K279" s="107" t="n">
        <v>7</v>
      </c>
      <c r="N279" s="130" t="n">
        <v>49</v>
      </c>
    </row>
    <row r="280">
      <c r="A280" s="81" t="inlineStr">
        <is>
          <t>IsaRibeiro</t>
        </is>
      </c>
      <c r="B280" s="107" t="n">
        <v>7</v>
      </c>
      <c r="C280" s="107" t="n">
        <v>14</v>
      </c>
      <c r="D280" s="107" t="n">
        <v>21</v>
      </c>
      <c r="E280" s="107" t="n">
        <v>7</v>
      </c>
      <c r="F280" s="107" t="n">
        <v>14</v>
      </c>
      <c r="G280" s="107" t="n">
        <v>21</v>
      </c>
      <c r="H280" s="107" t="n">
        <v>28</v>
      </c>
      <c r="I280" s="107" t="n">
        <v>14</v>
      </c>
      <c r="J280" s="107" t="n">
        <v>28</v>
      </c>
      <c r="K280" s="107" t="n">
        <v>35</v>
      </c>
      <c r="N280" s="130" t="n">
        <v>189</v>
      </c>
    </row>
    <row r="281">
      <c r="A281" s="81" t="inlineStr">
        <is>
          <t>Jaqueline</t>
        </is>
      </c>
      <c r="K281" s="107" t="n">
        <v>7</v>
      </c>
      <c r="N281" s="130" t="n">
        <v>7</v>
      </c>
    </row>
    <row r="282">
      <c r="A282" s="81" t="inlineStr">
        <is>
          <t>Joaquim</t>
        </is>
      </c>
      <c r="B282" s="107" t="n">
        <v>63</v>
      </c>
      <c r="C282" s="107" t="n">
        <v>56</v>
      </c>
      <c r="D282" s="107" t="n">
        <v>28</v>
      </c>
      <c r="E282" s="107" t="n">
        <v>56</v>
      </c>
      <c r="F282" s="107" t="n">
        <v>63</v>
      </c>
      <c r="G282" s="107" t="n">
        <v>63</v>
      </c>
      <c r="H282" s="107" t="n">
        <v>52</v>
      </c>
      <c r="I282" s="107" t="n">
        <v>35</v>
      </c>
      <c r="J282" s="107" t="n">
        <v>56</v>
      </c>
      <c r="K282" s="107" t="n">
        <v>70</v>
      </c>
      <c r="N282" s="130" t="n">
        <v>542</v>
      </c>
    </row>
    <row r="283">
      <c r="A283" s="81" t="inlineStr">
        <is>
          <t>JuliaFig</t>
        </is>
      </c>
      <c r="B283" s="107" t="n">
        <v>49</v>
      </c>
      <c r="C283" s="107" t="n">
        <v>42</v>
      </c>
      <c r="D283" s="107" t="n">
        <v>70</v>
      </c>
      <c r="E283" s="107" t="n">
        <v>28</v>
      </c>
      <c r="F283" s="107" t="n">
        <v>49</v>
      </c>
      <c r="G283" s="107" t="n">
        <v>70</v>
      </c>
      <c r="H283" s="107" t="n">
        <v>49</v>
      </c>
      <c r="I283" s="107" t="n">
        <v>56</v>
      </c>
      <c r="J283" s="107" t="n">
        <v>49</v>
      </c>
      <c r="K283" s="107" t="n">
        <v>49</v>
      </c>
      <c r="N283" s="130" t="n">
        <v>511</v>
      </c>
    </row>
    <row r="284">
      <c r="A284" s="81" t="inlineStr">
        <is>
          <t>Kozak</t>
        </is>
      </c>
      <c r="B284" s="107" t="n">
        <v>35</v>
      </c>
      <c r="C284" s="107" t="n">
        <v>42</v>
      </c>
      <c r="D284" s="107" t="n">
        <v>14</v>
      </c>
      <c r="E284" s="107" t="n">
        <v>56</v>
      </c>
      <c r="F284" s="107" t="n">
        <v>63</v>
      </c>
      <c r="G284" s="107" t="n">
        <v>56</v>
      </c>
      <c r="H284" s="107" t="n">
        <v>63</v>
      </c>
      <c r="I284" s="107" t="n">
        <v>63</v>
      </c>
      <c r="J284" s="107" t="n">
        <v>56</v>
      </c>
      <c r="K284" s="107" t="n">
        <v>42</v>
      </c>
      <c r="N284" s="130" t="n">
        <v>490</v>
      </c>
    </row>
    <row r="285">
      <c r="A285" s="81" t="inlineStr">
        <is>
          <t>Laura</t>
        </is>
      </c>
      <c r="E285" s="107" t="n">
        <v>7</v>
      </c>
      <c r="N285" s="130" t="n">
        <v>7</v>
      </c>
    </row>
    <row r="286">
      <c r="A286" s="81" t="inlineStr">
        <is>
          <t>Leticia</t>
        </is>
      </c>
      <c r="B286" s="107" t="n">
        <v>7</v>
      </c>
      <c r="E286" s="107" t="n">
        <v>7</v>
      </c>
      <c r="G286" s="107" t="n">
        <v>7</v>
      </c>
      <c r="I286" s="107" t="n">
        <v>7</v>
      </c>
      <c r="N286" s="130" t="n">
        <v>28</v>
      </c>
    </row>
    <row r="287">
      <c r="A287" s="81" t="inlineStr">
        <is>
          <t>LuCosta</t>
        </is>
      </c>
      <c r="B287" s="107" t="n">
        <v>49</v>
      </c>
      <c r="C287" s="107" t="n">
        <v>42</v>
      </c>
      <c r="D287" s="107" t="n">
        <v>28</v>
      </c>
      <c r="E287" s="107" t="n">
        <v>63</v>
      </c>
      <c r="F287" s="107" t="n">
        <v>21</v>
      </c>
      <c r="G287" s="107" t="n">
        <v>42</v>
      </c>
      <c r="H287" s="107" t="n">
        <v>56</v>
      </c>
      <c r="I287" s="107" t="n">
        <v>63</v>
      </c>
      <c r="J287" s="107" t="n">
        <v>42</v>
      </c>
      <c r="K287" s="107" t="n">
        <v>49</v>
      </c>
      <c r="N287" s="130" t="n">
        <v>455</v>
      </c>
    </row>
    <row r="288">
      <c r="A288" s="81" t="inlineStr">
        <is>
          <t>Marcia</t>
        </is>
      </c>
      <c r="B288" s="107" t="n">
        <v>28</v>
      </c>
      <c r="C288" s="107" t="n">
        <v>28</v>
      </c>
      <c r="D288" s="107" t="n">
        <v>28</v>
      </c>
      <c r="E288" s="107" t="n">
        <v>21</v>
      </c>
      <c r="F288" s="107" t="n">
        <v>28</v>
      </c>
      <c r="G288" s="107" t="n">
        <v>28</v>
      </c>
      <c r="H288" s="107" t="n">
        <v>35</v>
      </c>
      <c r="I288" s="107" t="n">
        <v>14</v>
      </c>
      <c r="J288" s="107" t="n">
        <v>21</v>
      </c>
      <c r="K288" s="107" t="n">
        <v>35</v>
      </c>
      <c r="N288" s="130" t="n">
        <v>266</v>
      </c>
    </row>
    <row r="289">
      <c r="A289" s="81" t="inlineStr">
        <is>
          <t>MayWobido</t>
        </is>
      </c>
      <c r="F289" s="107" t="n">
        <v>21</v>
      </c>
      <c r="G289" s="107" t="n">
        <v>56</v>
      </c>
      <c r="H289" s="107" t="n">
        <v>35</v>
      </c>
      <c r="I289" s="107" t="n">
        <v>70</v>
      </c>
      <c r="J289" s="107" t="n">
        <v>63</v>
      </c>
      <c r="K289" s="107" t="n">
        <v>56</v>
      </c>
      <c r="N289" s="130" t="n">
        <v>301</v>
      </c>
    </row>
    <row r="290">
      <c r="A290" s="81" t="inlineStr">
        <is>
          <t>Melara</t>
        </is>
      </c>
      <c r="B290" s="107" t="n">
        <v>17</v>
      </c>
      <c r="C290" s="107" t="n">
        <v>7</v>
      </c>
      <c r="D290" s="107" t="n">
        <v>28</v>
      </c>
      <c r="E290" s="107" t="n">
        <v>14</v>
      </c>
      <c r="F290" s="107" t="n">
        <v>21</v>
      </c>
      <c r="G290" s="107" t="n">
        <v>7</v>
      </c>
      <c r="H290" s="107" t="n">
        <v>28</v>
      </c>
      <c r="I290" s="107" t="n">
        <v>28</v>
      </c>
      <c r="J290" s="107" t="n">
        <v>56</v>
      </c>
      <c r="K290" s="107" t="n">
        <v>56</v>
      </c>
      <c r="N290" s="130" t="n">
        <v>262</v>
      </c>
    </row>
    <row r="291">
      <c r="A291" s="81" t="inlineStr">
        <is>
          <t>Moabe</t>
        </is>
      </c>
      <c r="B291" s="107" t="n">
        <v>14</v>
      </c>
      <c r="C291" s="107" t="n">
        <v>7</v>
      </c>
      <c r="D291" s="107" t="n">
        <v>7</v>
      </c>
      <c r="F291" s="107" t="n">
        <v>21</v>
      </c>
      <c r="G291" s="107" t="n">
        <v>14</v>
      </c>
      <c r="I291" s="107" t="n">
        <v>21</v>
      </c>
      <c r="J291" s="107" t="n">
        <v>21</v>
      </c>
      <c r="N291" s="130" t="n">
        <v>105</v>
      </c>
    </row>
    <row r="292">
      <c r="A292" s="81" t="inlineStr">
        <is>
          <t>Nishioka</t>
        </is>
      </c>
      <c r="B292" s="107" t="n">
        <v>21</v>
      </c>
      <c r="C292" s="107" t="n">
        <v>21</v>
      </c>
      <c r="D292" s="107" t="n">
        <v>14</v>
      </c>
      <c r="E292" s="107" t="n">
        <v>7</v>
      </c>
      <c r="F292" s="107" t="n">
        <v>42</v>
      </c>
      <c r="G292" s="107" t="n">
        <v>28</v>
      </c>
      <c r="H292" s="107" t="n">
        <v>28</v>
      </c>
      <c r="I292" s="107" t="n">
        <v>35</v>
      </c>
      <c r="J292" s="107" t="n">
        <v>21</v>
      </c>
      <c r="K292" s="107" t="n">
        <v>28</v>
      </c>
      <c r="N292" s="130" t="n">
        <v>245</v>
      </c>
    </row>
    <row r="293">
      <c r="A293" s="81" t="inlineStr">
        <is>
          <t>Patricia</t>
        </is>
      </c>
      <c r="B293" s="107" t="n">
        <v>21</v>
      </c>
      <c r="D293" s="107" t="n">
        <v>7</v>
      </c>
      <c r="F293" s="107" t="n">
        <v>7</v>
      </c>
      <c r="H293" s="107" t="n">
        <v>7</v>
      </c>
      <c r="I293" s="107" t="n">
        <v>7</v>
      </c>
      <c r="K293" s="107" t="n">
        <v>7</v>
      </c>
      <c r="N293" s="130" t="n">
        <v>56</v>
      </c>
    </row>
    <row r="294">
      <c r="A294" s="81" t="inlineStr">
        <is>
          <t>Pedro</t>
        </is>
      </c>
      <c r="B294" s="107" t="n">
        <v>56</v>
      </c>
      <c r="C294" s="107" t="n">
        <v>56</v>
      </c>
      <c r="D294" s="107" t="n">
        <v>56</v>
      </c>
      <c r="E294" s="107" t="n">
        <v>77</v>
      </c>
      <c r="F294" s="107" t="n">
        <v>56</v>
      </c>
      <c r="G294" s="107" t="n">
        <v>28</v>
      </c>
      <c r="H294" s="107" t="n">
        <v>63</v>
      </c>
      <c r="I294" s="107" t="n">
        <v>49</v>
      </c>
      <c r="J294" s="107" t="n">
        <v>28</v>
      </c>
      <c r="K294" s="107" t="n">
        <v>42</v>
      </c>
      <c r="N294" s="130" t="n">
        <v>511</v>
      </c>
    </row>
    <row r="295">
      <c r="A295" s="81" t="inlineStr">
        <is>
          <t>Pjamile</t>
        </is>
      </c>
      <c r="B295" s="107" t="n">
        <v>21</v>
      </c>
      <c r="F295" s="107" t="n">
        <v>14</v>
      </c>
      <c r="G295" s="107" t="n">
        <v>7</v>
      </c>
      <c r="H295" s="107" t="n">
        <v>28</v>
      </c>
      <c r="J295" s="107" t="n">
        <v>7</v>
      </c>
      <c r="N295" s="130" t="n">
        <v>77</v>
      </c>
    </row>
    <row r="296">
      <c r="A296" s="81" t="inlineStr">
        <is>
          <t>Raphael</t>
        </is>
      </c>
      <c r="B296" s="107" t="n">
        <v>35</v>
      </c>
      <c r="C296" s="107" t="n">
        <v>56</v>
      </c>
      <c r="D296" s="107" t="n">
        <v>49</v>
      </c>
      <c r="E296" s="107" t="n">
        <v>42</v>
      </c>
      <c r="F296" s="107" t="n">
        <v>42</v>
      </c>
      <c r="G296" s="107" t="n">
        <v>42</v>
      </c>
      <c r="H296" s="107" t="n">
        <v>49</v>
      </c>
      <c r="I296" s="107" t="n">
        <v>56</v>
      </c>
      <c r="J296" s="107" t="n">
        <v>42</v>
      </c>
      <c r="K296" s="107" t="n">
        <v>70</v>
      </c>
      <c r="N296" s="130" t="n">
        <v>483</v>
      </c>
    </row>
    <row r="297">
      <c r="A297" s="81" t="inlineStr">
        <is>
          <t>Raquel</t>
        </is>
      </c>
      <c r="B297" s="107" t="n">
        <v>35</v>
      </c>
      <c r="C297" s="107" t="n">
        <v>28</v>
      </c>
      <c r="D297" s="107" t="n">
        <v>21</v>
      </c>
      <c r="E297" s="107" t="n">
        <v>35</v>
      </c>
      <c r="F297" s="107" t="n">
        <v>28</v>
      </c>
      <c r="G297" s="107" t="n">
        <v>21</v>
      </c>
      <c r="H297" s="107" t="n">
        <v>14</v>
      </c>
      <c r="I297" s="107" t="n">
        <v>14</v>
      </c>
      <c r="J297" s="107" t="n">
        <v>21</v>
      </c>
      <c r="K297" s="107" t="n">
        <v>7</v>
      </c>
      <c r="N297" s="130" t="n">
        <v>224</v>
      </c>
    </row>
    <row r="298">
      <c r="A298" s="81" t="inlineStr">
        <is>
          <t>Thamyres</t>
        </is>
      </c>
      <c r="B298" s="107" t="n">
        <v>14</v>
      </c>
      <c r="C298" s="107" t="n">
        <v>35</v>
      </c>
      <c r="D298" s="107" t="n">
        <v>28</v>
      </c>
      <c r="E298" s="107" t="n">
        <v>35</v>
      </c>
      <c r="F298" s="107" t="n">
        <v>7</v>
      </c>
      <c r="G298" s="107" t="n">
        <v>7</v>
      </c>
      <c r="H298" s="107" t="n">
        <v>7</v>
      </c>
      <c r="I298" s="107" t="n">
        <v>7</v>
      </c>
      <c r="J298" s="107" t="n">
        <v>7</v>
      </c>
      <c r="K298" s="107" t="n">
        <v>7</v>
      </c>
      <c r="N298" s="130" t="n">
        <v>154</v>
      </c>
    </row>
    <row r="299">
      <c r="A299" s="81" t="inlineStr">
        <is>
          <t>Vanessa</t>
        </is>
      </c>
      <c r="B299" s="107" t="n">
        <v>7</v>
      </c>
      <c r="C299" s="107" t="n">
        <v>7</v>
      </c>
      <c r="D299" s="107" t="n">
        <v>14</v>
      </c>
      <c r="F299" s="107" t="n">
        <v>7</v>
      </c>
      <c r="G299" s="107" t="n">
        <v>7</v>
      </c>
      <c r="H299" s="107" t="n">
        <v>7</v>
      </c>
      <c r="I299" s="107" t="n">
        <v>14</v>
      </c>
      <c r="J299" s="107" t="n">
        <v>14</v>
      </c>
      <c r="K299" s="107" t="n">
        <v>7</v>
      </c>
      <c r="N299" s="130" t="n">
        <v>84</v>
      </c>
    </row>
    <row r="300">
      <c r="A300" s="81" t="inlineStr">
        <is>
          <t>Yuji</t>
        </is>
      </c>
      <c r="B300" s="107" t="n">
        <v>7</v>
      </c>
      <c r="C300" s="107" t="n">
        <v>21</v>
      </c>
      <c r="D300" s="107" t="n">
        <v>28</v>
      </c>
      <c r="E300" s="107" t="n">
        <v>35</v>
      </c>
      <c r="F300" s="107" t="n">
        <v>14</v>
      </c>
      <c r="G300" s="107" t="n">
        <v>21</v>
      </c>
      <c r="H300" s="107" t="n">
        <v>35</v>
      </c>
      <c r="I300" s="107" t="n">
        <v>14</v>
      </c>
      <c r="J300" s="107" t="n">
        <v>21</v>
      </c>
      <c r="K300" s="107" t="n">
        <v>7</v>
      </c>
      <c r="N300" s="130" t="n">
        <v>203</v>
      </c>
    </row>
    <row r="301">
      <c r="A301" s="81" t="inlineStr">
        <is>
          <t>JuIsaac</t>
        </is>
      </c>
      <c r="B301" s="107" t="n">
        <v>7</v>
      </c>
      <c r="D301" s="107" t="n">
        <v>14</v>
      </c>
      <c r="E301" s="107" t="n">
        <v>14</v>
      </c>
      <c r="F301" s="107" t="n">
        <v>7</v>
      </c>
      <c r="G301" s="107" t="n">
        <v>21</v>
      </c>
      <c r="H301" s="107" t="n">
        <v>7</v>
      </c>
      <c r="N301" s="130" t="n">
        <v>70</v>
      </c>
    </row>
    <row r="302">
      <c r="A302" s="81" t="inlineStr">
        <is>
          <t>Stephanie</t>
        </is>
      </c>
      <c r="C302" s="107" t="n">
        <v>14</v>
      </c>
      <c r="E302" s="107" t="n">
        <v>14</v>
      </c>
      <c r="G302" s="107" t="n">
        <v>14</v>
      </c>
      <c r="N302" s="130" t="n">
        <v>42</v>
      </c>
    </row>
    <row r="303">
      <c r="A303" s="81" t="inlineStr">
        <is>
          <t>MPinheiro</t>
        </is>
      </c>
      <c r="B303" s="107" t="n">
        <v>21</v>
      </c>
      <c r="C303" s="107" t="n">
        <v>28</v>
      </c>
      <c r="D303" s="107" t="n">
        <v>56</v>
      </c>
      <c r="E303" s="107" t="n">
        <v>14</v>
      </c>
      <c r="F303" s="107" t="n">
        <v>28</v>
      </c>
      <c r="G303" s="107" t="n">
        <v>49</v>
      </c>
      <c r="H303" s="107" t="n">
        <v>42</v>
      </c>
      <c r="I303" s="107" t="n">
        <v>42</v>
      </c>
      <c r="N303" s="130" t="n">
        <v>280</v>
      </c>
    </row>
  </sheetData>
  <mergeCells count="4">
    <mergeCell ref="A241:F241"/>
    <mergeCell ref="A98:F98"/>
    <mergeCell ref="A18:F18"/>
    <mergeCell ref="A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79BC4"/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0" customWidth="1" min="3" max="3"/>
  </cols>
  <sheetData>
    <row r="1">
      <c r="A1" s="36" t="inlineStr">
        <is>
          <t>atendimento e justificativas · outubro 2026</t>
        </is>
      </c>
    </row>
    <row r="2">
      <c r="A2" s="144" t="inlineStr">
        <is>
          <t>Cobertura 100% nos 31 dias · convocações na aba ao lado · critério público, sem favoritismo</t>
        </is>
      </c>
    </row>
    <row r="4">
      <c r="A4" s="40" t="inlineStr">
        <is>
          <t>quem / o quê</t>
        </is>
      </c>
      <c r="B4" s="40" t="inlineStr">
        <is>
          <t>status</t>
        </is>
      </c>
      <c r="C4" s="40" t="inlineStr">
        <is>
          <t>justificativa (critério público)</t>
        </is>
      </c>
    </row>
    <row r="5">
      <c r="A5" s="145" t="inlineStr">
        <is>
          <t>Sexta-noite 16/10</t>
        </is>
      </c>
      <c r="B5" s="146" t="inlineStr">
        <is>
          <t>CRITÉRIO PÚBLICO</t>
        </is>
      </c>
      <c r="C5" s="65" t="inlineStr">
        <is>
          <t>10 candidatos para 7 vagas. Desempate: menos sextas-noite em 2026. Concedidas: Jaqueline (0 no ano), Marília (3 · caso autorizado pela Paula), Bruna (3), DebMatias (3), JuCoutinho (3), Roberta (3), Mayana (4). Não couberam: JuliaFig (4 → recebeu a sexta 30, alternativa que ela mesma ofereceu), Grayce (5), MayWobido (5), IsaRibeiro (7, maior contagem do grupo).</t>
        </is>
      </c>
    </row>
    <row r="6">
      <c r="A6" s="145" t="inlineStr">
        <is>
          <t>Kozak</t>
        </is>
      </c>
      <c r="B6" s="147" t="inlineStr">
        <is>
          <t>✓ concessões</t>
        </is>
      </c>
      <c r="C6" s="65" t="inlineStr">
        <is>
          <t>Folga no sáb 31/10 (aniversário da filha) CONCEDIDA — cobre 29 e 30/10 noite como ela propôs. Férias 05–19 aplicadas. Sexta 2/10 dela usada.</t>
        </is>
      </c>
    </row>
    <row r="7">
      <c r="A7" s="145" t="inlineStr">
        <is>
          <t>Murilo</t>
        </is>
      </c>
      <c r="B7" s="147" t="inlineStr">
        <is>
          <t>✓ 100%</t>
        </is>
      </c>
      <c r="C7" s="65" t="inlineStr">
        <is>
          <t>Sábado NOTURNO 15/15 concedido (10 e 24) + rotina onco nas manhãs.</t>
        </is>
      </c>
    </row>
    <row r="8">
      <c r="A8" s="145" t="inlineStr">
        <is>
          <t>MayWobido</t>
        </is>
      </c>
      <c r="B8" s="146" t="inlineStr">
        <is>
          <t>◐ parcial</t>
        </is>
      </c>
      <c r="C8" s="65" t="inlineStr">
        <is>
          <t>Abono aniversário 31/10 CONCEDIDO ✓. Sexta 16 negada (critério acima) — ficou com 9N, que ela ofereceu.</t>
        </is>
      </c>
    </row>
    <row r="9">
      <c r="A9" s="145" t="inlineStr">
        <is>
          <t>Grayce</t>
        </is>
      </c>
      <c r="B9" s="146" t="inlineStr">
        <is>
          <t>◐ confirmar</t>
        </is>
      </c>
      <c r="C9" s="65" t="inlineStr">
        <is>
          <t>Sexta 16 negada (5 SN no ano). Reposição sugerida: sexta 9/10 noite (FORA das preferências dela — CONFIRMAR antes de publicar). CH fica -10h se recusar.</t>
        </is>
      </c>
    </row>
    <row r="10">
      <c r="A10" s="145" t="inlineStr">
        <is>
          <t>IsaRibeiro</t>
        </is>
      </c>
      <c r="B10" s="146" t="inlineStr">
        <is>
          <t>◐ parcial</t>
        </is>
      </c>
      <c r="C10" s="65" t="inlineStr">
        <is>
          <t>Sexta 16 negada (7 SN no ano). Recebeu 1/10 N e 17/10 N fora das preferências: eram os dias com menos elegíveis do mês e ela é a única sem veto — reconhecer o crédito em novembro.</t>
        </is>
      </c>
    </row>
    <row r="11">
      <c r="A11" s="145" t="inlineStr">
        <is>
          <t>Danielle</t>
        </is>
      </c>
      <c r="B11" s="146" t="inlineStr">
        <is>
          <t>◐ parcial</t>
        </is>
      </c>
      <c r="C11" s="65" t="inlineStr">
        <is>
          <t>17 e 22/10 N fora das preferências (sem veto dela; buracos das férias da Kozak). Resto 100% conforme e-mail.</t>
        </is>
      </c>
    </row>
    <row r="12">
      <c r="A12" s="145" t="inlineStr">
        <is>
          <t>Constantino</t>
        </is>
      </c>
      <c r="B12" s="146" t="inlineStr">
        <is>
          <t>◐ parcial</t>
        </is>
      </c>
      <c r="C12" s="65" t="inlineStr">
        <is>
          <t>4/10 N fora das preferências (domingo deficitário; ele só vetou 10-11 e o feriado). Feriado 12 e fds 10-11 folgados como pediu ✓.</t>
        </is>
      </c>
    </row>
    <row r="13">
      <c r="A13" s="145" t="inlineStr">
        <is>
          <t>Anna</t>
        </is>
      </c>
      <c r="B13" s="146" t="inlineStr">
        <is>
          <t>◐ leve</t>
        </is>
      </c>
      <c r="C13" s="65" t="inlineStr">
        <is>
          <t>4/10 TARDE fora das preferências (ela só vetou domingo NOITE). Sexta 30 preferida dela ✓ + 31 N ✓.</t>
        </is>
      </c>
    </row>
    <row r="14">
      <c r="A14" s="145" t="inlineStr">
        <is>
          <t>MSalomão</t>
        </is>
      </c>
      <c r="B14" s="146" t="inlineStr">
        <is>
          <t>⚠ validar</t>
        </is>
      </c>
      <c r="C14" s="65" t="inlineStr">
        <is>
          <t>O plano DELA contém 18h invertido 2×: 4N→5M e 18N→19M. Mantido porque foi pedido explícito — Mari decide se aceita.</t>
        </is>
      </c>
    </row>
    <row r="15">
      <c r="A15" s="145" t="inlineStr">
        <is>
          <t>Aline</t>
        </is>
      </c>
      <c r="B15" s="146" t="inlineStr">
        <is>
          <t>⚠ validar</t>
        </is>
      </c>
      <c r="C15" s="65" t="inlineStr">
        <is>
          <t>Plano dela: noite de 5/10 emenda com reunião do CEP às 8h de 6/10. Mantido (pedido dela) — validar. FDS 18h vs cota 24h (plano dela).</t>
        </is>
      </c>
    </row>
    <row r="16">
      <c r="A16" s="145" t="inlineStr">
        <is>
          <t>JuBrito</t>
        </is>
      </c>
      <c r="B16" s="147" t="inlineStr">
        <is>
          <t>✓ com nota</t>
        </is>
      </c>
      <c r="C16" s="65" t="inlineStr">
        <is>
          <t>Folga no feriado ✓. CH 114h vs meta 133h (-19h): redução para 30h + poucas ofertas — vira crédito/banco para novembro.</t>
        </is>
      </c>
    </row>
    <row r="17">
      <c r="A17" s="145" t="inlineStr">
        <is>
          <t>JuliaFig</t>
        </is>
      </c>
      <c r="B17" s="147" t="inlineStr">
        <is>
          <t>✓ com nota</t>
        </is>
      </c>
      <c r="C17" s="65" t="inlineStr">
        <is>
          <t>-22h no mês: ofertou 7 noites e 2 caem em novembro (01-02/11). Banco a favor dela.</t>
        </is>
      </c>
    </row>
    <row r="18">
      <c r="A18" s="145" t="inlineStr">
        <is>
          <t>Amelio</t>
        </is>
      </c>
      <c r="B18" s="147" t="inlineStr">
        <is>
          <t>✓ 100%</t>
        </is>
      </c>
      <c r="C18" s="65" t="inlineStr">
        <is>
          <t>Fora de Brasília 24-31 com BHN, compensado com BHP em 3 e 16/10 — exatamente o desenho dela.</t>
        </is>
      </c>
    </row>
    <row r="19">
      <c r="A19" s="145" t="inlineStr">
        <is>
          <t>Thamyres</t>
        </is>
      </c>
      <c r="B19" s="147" t="inlineStr">
        <is>
          <t>✓ com nota</t>
        </is>
      </c>
      <c r="C19" s="65" t="inlineStr">
        <is>
          <t>Feriado 12 (7-19h) como ela ofereceu ✓. FDS 12h vs cota 18h: viagem 13-18 + a sugestão dela de 01/11 conta em novembro.</t>
        </is>
      </c>
    </row>
    <row r="20">
      <c r="A20" s="145" t="inlineStr">
        <is>
          <t>Rosana</t>
        </is>
      </c>
      <c r="B20" s="147" t="inlineStr">
        <is>
          <t>✓ 100%</t>
        </is>
      </c>
      <c r="C20" s="65" t="inlineStr">
        <is>
          <t>Sexta 23 usada (opção dela) · fds 17-18 dela ✓ · dia 13 protegido ✓.</t>
        </is>
      </c>
    </row>
    <row r="21">
      <c r="A21" s="145" t="inlineStr">
        <is>
          <t>LuCosta</t>
        </is>
      </c>
      <c r="B21" s="147" t="inlineStr">
        <is>
          <t>✓ 100%</t>
        </is>
      </c>
      <c r="C21" s="65" t="inlineStr">
        <is>
          <t>O 9/10 N 'se precisar' foi usado — precisamos (sexta com 5 vetos).</t>
        </is>
      </c>
    </row>
    <row r="22">
      <c r="A22" s="145" t="inlineStr">
        <is>
          <t>Fabiula</t>
        </is>
      </c>
      <c r="B22" s="147" t="inlineStr">
        <is>
          <t>✓ com nota</t>
        </is>
      </c>
      <c r="C22" s="65" t="inlineStr">
        <is>
          <t>FDS 24h vs cota 36h: padrão dela de 1 fds/mês; compensar em novembro.</t>
        </is>
      </c>
    </row>
    <row r="23">
      <c r="A23" s="145" t="inlineStr">
        <is>
          <t>48 convocações</t>
        </is>
      </c>
      <c r="B23" s="146" t="inlineStr">
        <is>
          <t>critério público</t>
        </is>
      </c>
      <c r="C23" s="65" t="inlineStr">
        <is>
          <t>Cada convocação escolhida por: 1º menor saldo de horas no mês, 2º menos convocações. Lista completa na aba CONVOCAÇÕES. Todas geram crédito no placar de novembro.</t>
        </is>
      </c>
    </row>
    <row r="24">
      <c r="A24" s="145" t="inlineStr">
        <is>
          <t>Laura + Moabe</t>
        </is>
      </c>
      <c r="B24" s="146" t="inlineStr">
        <is>
          <t>* provisório</t>
        </is>
      </c>
      <c r="C24" s="65" t="inlineStr">
        <is>
          <t>Sem preferências — padrão de setembro. Refazer as linhas quando enviarem.</t>
        </is>
      </c>
    </row>
    <row r="25">
      <c r="A25" s="145" t="inlineStr">
        <is>
          <t>Ariadne ∥ Raylander</t>
        </is>
      </c>
      <c r="B25" s="147" t="inlineStr">
        <is>
          <t>✓ regra do casal</t>
        </is>
      </c>
      <c r="C25" s="65" t="inlineStr">
        <is>
          <t>Nenhum choque de turno na semana do retorno dela (26-31) ✓.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77264"/>
    <outlinePr summaryBelow="1" summaryRight="1"/>
    <pageSetUpPr/>
  </sheetPr>
  <dimension ref="A1:E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  <col width="22" customWidth="1" min="4" max="4"/>
  </cols>
  <sheetData>
    <row r="1">
      <c r="A1" s="36" t="inlineStr">
        <is>
          <t>convocações · outubro 2026</t>
        </is>
      </c>
      <c r="D1" s="60" t="inlineStr">
        <is>
          <t>quem entrou fora da própria preferência, e por qual critério</t>
        </is>
      </c>
    </row>
    <row r="2">
      <c r="A2" s="39" t="inlineStr">
        <is>
          <t>48 convocações. Critério público, na ordem: 1º quem estava abaixo da própria carga no mês; 2º quem tinha menos convocações. Impedimento com motivo declarado (outro serviço, filhos, viagem, atestado) é intocável — ninguém foi convocado contra impedimento real. Toda convocação gera CRÉDITO no mês seguinte: prioridade nas preferências.</t>
        </is>
      </c>
    </row>
    <row r="3"/>
    <row r="5">
      <c r="A5" s="40" t="inlineStr">
        <is>
          <t>médico</t>
        </is>
      </c>
      <c r="B5" s="40" t="inlineStr">
        <is>
          <t>convocações</t>
        </is>
      </c>
      <c r="C5" s="40" t="inlineStr">
        <is>
          <t>dias</t>
        </is>
      </c>
      <c r="D5" s="40" t="inlineStr">
        <is>
          <t>crédito em novembro</t>
        </is>
      </c>
    </row>
    <row r="6">
      <c r="A6" s="75" t="inlineStr">
        <is>
          <t>Ricardo</t>
        </is>
      </c>
      <c r="B6" s="148" t="n">
        <v>4</v>
      </c>
      <c r="C6" s="149" t="inlineStr">
        <is>
          <t>04/dom T · 09/sex T · 12/seg T · 24/sáb T</t>
        </is>
      </c>
      <c r="D6" s="150" t="inlineStr">
        <is>
          <t>prioridade nas preferências</t>
        </is>
      </c>
    </row>
    <row r="7">
      <c r="A7" s="75" t="inlineStr">
        <is>
          <t>Bruna</t>
        </is>
      </c>
      <c r="B7" s="148" t="n">
        <v>3</v>
      </c>
      <c r="C7" s="149" t="inlineStr">
        <is>
          <t>01/qui T · 02/sex T · 18/dom T</t>
        </is>
      </c>
      <c r="D7" s="150" t="inlineStr">
        <is>
          <t>prioridade nas preferências</t>
        </is>
      </c>
    </row>
    <row r="8">
      <c r="A8" s="75" t="inlineStr">
        <is>
          <t>Pedro</t>
        </is>
      </c>
      <c r="B8" s="148" t="n">
        <v>3</v>
      </c>
      <c r="C8" s="149" t="inlineStr">
        <is>
          <t>09/sex T · 12/seg T · 23/sex T</t>
        </is>
      </c>
      <c r="D8" s="150" t="inlineStr">
        <is>
          <t>prioridade nas preferências</t>
        </is>
      </c>
    </row>
    <row r="9">
      <c r="A9" s="75" t="inlineStr">
        <is>
          <t>Aline</t>
        </is>
      </c>
      <c r="B9" s="151" t="n">
        <v>2</v>
      </c>
      <c r="C9" s="149" t="inlineStr">
        <is>
          <t>01/qui T · 09/sex T</t>
        </is>
      </c>
      <c r="D9" s="150" t="inlineStr">
        <is>
          <t>prioridade nas preferências</t>
        </is>
      </c>
    </row>
    <row r="10">
      <c r="A10" s="75" t="inlineStr">
        <is>
          <t>DebMatias</t>
        </is>
      </c>
      <c r="B10" s="151" t="n">
        <v>2</v>
      </c>
      <c r="C10" s="149" t="inlineStr">
        <is>
          <t>02/sex T · 10/sáb T</t>
        </is>
      </c>
      <c r="D10" s="150" t="inlineStr">
        <is>
          <t>prioridade nas preferências</t>
        </is>
      </c>
    </row>
    <row r="11">
      <c r="A11" s="75" t="inlineStr">
        <is>
          <t>Jaqueline</t>
        </is>
      </c>
      <c r="B11" s="151" t="n">
        <v>2</v>
      </c>
      <c r="C11" s="149" t="inlineStr">
        <is>
          <t>01/qui T · 02/sex T</t>
        </is>
      </c>
      <c r="D11" s="150" t="inlineStr">
        <is>
          <t>prioridade nas preferências</t>
        </is>
      </c>
    </row>
    <row r="12">
      <c r="A12" s="75" t="inlineStr">
        <is>
          <t>João</t>
        </is>
      </c>
      <c r="B12" s="151" t="n">
        <v>2</v>
      </c>
      <c r="C12" s="149" t="inlineStr">
        <is>
          <t>09/sex T · 22/qui N</t>
        </is>
      </c>
      <c r="D12" s="150" t="inlineStr">
        <is>
          <t>prioridade nas preferências</t>
        </is>
      </c>
    </row>
    <row r="13">
      <c r="A13" s="75" t="inlineStr">
        <is>
          <t>JuBrito</t>
        </is>
      </c>
      <c r="B13" s="151" t="n">
        <v>2</v>
      </c>
      <c r="C13" s="149" t="inlineStr">
        <is>
          <t>04/dom T · 18/dom T</t>
        </is>
      </c>
      <c r="D13" s="150" t="inlineStr">
        <is>
          <t>prioridade nas preferências</t>
        </is>
      </c>
    </row>
    <row r="14">
      <c r="A14" s="75" t="inlineStr">
        <is>
          <t>JuCoutinho</t>
        </is>
      </c>
      <c r="B14" s="151" t="n">
        <v>2</v>
      </c>
      <c r="C14" s="149" t="inlineStr">
        <is>
          <t>05/seg T · 31/sáb N</t>
        </is>
      </c>
      <c r="D14" s="150" t="inlineStr">
        <is>
          <t>prioridade nas preferências</t>
        </is>
      </c>
    </row>
    <row r="15">
      <c r="A15" s="75" t="inlineStr">
        <is>
          <t>Leticia</t>
        </is>
      </c>
      <c r="B15" s="151" t="n">
        <v>2</v>
      </c>
      <c r="C15" s="149" t="inlineStr">
        <is>
          <t>18/dom T · 24/sáb T</t>
        </is>
      </c>
      <c r="D15" s="150" t="inlineStr">
        <is>
          <t>prioridade nas preferências</t>
        </is>
      </c>
    </row>
    <row r="16">
      <c r="A16" s="75" t="inlineStr">
        <is>
          <t>LuCosta</t>
        </is>
      </c>
      <c r="B16" s="151" t="n">
        <v>2</v>
      </c>
      <c r="C16" s="149" t="inlineStr">
        <is>
          <t>25/dom T · 31/sáb T</t>
        </is>
      </c>
      <c r="D16" s="150" t="inlineStr">
        <is>
          <t>prioridade nas preferências</t>
        </is>
      </c>
    </row>
    <row r="17">
      <c r="A17" s="75" t="inlineStr">
        <is>
          <t>MayWobido</t>
        </is>
      </c>
      <c r="B17" s="151" t="n">
        <v>2</v>
      </c>
      <c r="C17" s="149" t="inlineStr">
        <is>
          <t>16/sex T · 23/sex T</t>
        </is>
      </c>
      <c r="D17" s="150" t="inlineStr">
        <is>
          <t>prioridade nas preferências</t>
        </is>
      </c>
    </row>
    <row r="18">
      <c r="A18" s="75" t="inlineStr">
        <is>
          <t>Moabe</t>
        </is>
      </c>
      <c r="B18" s="151" t="n">
        <v>2</v>
      </c>
      <c r="C18" s="149" t="inlineStr">
        <is>
          <t>10/sáb T · 18/dom T</t>
        </is>
      </c>
      <c r="D18" s="150" t="inlineStr">
        <is>
          <t>prioridade nas preferências</t>
        </is>
      </c>
    </row>
    <row r="19">
      <c r="A19" s="75" t="inlineStr">
        <is>
          <t>Nishioka</t>
        </is>
      </c>
      <c r="B19" s="151" t="n">
        <v>2</v>
      </c>
      <c r="C19" s="149" t="inlineStr">
        <is>
          <t>02/sex T · 12/seg T</t>
        </is>
      </c>
      <c r="D19" s="150" t="inlineStr">
        <is>
          <t>prioridade nas preferências</t>
        </is>
      </c>
    </row>
    <row r="20">
      <c r="A20" s="75" t="inlineStr">
        <is>
          <t>Patricia</t>
        </is>
      </c>
      <c r="B20" s="151" t="n">
        <v>2</v>
      </c>
      <c r="C20" s="149" t="inlineStr">
        <is>
          <t>11/dom T · 30/sex T</t>
        </is>
      </c>
      <c r="D20" s="150" t="inlineStr">
        <is>
          <t>prioridade nas preferências</t>
        </is>
      </c>
    </row>
    <row r="21">
      <c r="A21" s="75" t="inlineStr">
        <is>
          <t>Raphael</t>
        </is>
      </c>
      <c r="B21" s="151" t="n">
        <v>2</v>
      </c>
      <c r="C21" s="149" t="inlineStr">
        <is>
          <t>02/sex T · 10/sáb N</t>
        </is>
      </c>
      <c r="D21" s="150" t="inlineStr">
        <is>
          <t>prioridade nas preferências</t>
        </is>
      </c>
    </row>
    <row r="22">
      <c r="A22" s="75" t="inlineStr">
        <is>
          <t>Roberta</t>
        </is>
      </c>
      <c r="B22" s="151" t="n">
        <v>2</v>
      </c>
      <c r="C22" s="149" t="inlineStr">
        <is>
          <t>11/dom T · 30/sex T</t>
        </is>
      </c>
      <c r="D22" s="150" t="inlineStr">
        <is>
          <t>prioridade nas preferências</t>
        </is>
      </c>
    </row>
    <row r="23">
      <c r="A23" s="75" t="inlineStr">
        <is>
          <t>Amanda</t>
        </is>
      </c>
      <c r="B23" s="151" t="n">
        <v>1</v>
      </c>
      <c r="C23" s="149" t="inlineStr">
        <is>
          <t>16/sex T</t>
        </is>
      </c>
      <c r="D23" s="150" t="inlineStr">
        <is>
          <t>prioridade nas preferências</t>
        </is>
      </c>
    </row>
    <row r="24">
      <c r="A24" s="75" t="inlineStr">
        <is>
          <t>Danielle</t>
        </is>
      </c>
      <c r="B24" s="151" t="n">
        <v>1</v>
      </c>
      <c r="C24" s="149" t="inlineStr">
        <is>
          <t>25/dom N</t>
        </is>
      </c>
      <c r="D24" s="150" t="inlineStr">
        <is>
          <t>prioridade nas preferências</t>
        </is>
      </c>
    </row>
    <row r="25">
      <c r="A25" s="75" t="inlineStr">
        <is>
          <t>Isabella</t>
        </is>
      </c>
      <c r="B25" s="151" t="n">
        <v>1</v>
      </c>
      <c r="C25" s="149" t="inlineStr">
        <is>
          <t>18/dom N</t>
        </is>
      </c>
      <c r="D25" s="150" t="inlineStr">
        <is>
          <t>prioridade nas preferências</t>
        </is>
      </c>
    </row>
    <row r="26">
      <c r="A26" s="75" t="inlineStr">
        <is>
          <t>Kariny</t>
        </is>
      </c>
      <c r="B26" s="151" t="n">
        <v>1</v>
      </c>
      <c r="C26" s="149" t="inlineStr">
        <is>
          <t>31/sáb T</t>
        </is>
      </c>
      <c r="D26" s="150" t="inlineStr">
        <is>
          <t>prioridade nas preferências</t>
        </is>
      </c>
    </row>
    <row r="27">
      <c r="A27" s="75" t="inlineStr">
        <is>
          <t>Leomara</t>
        </is>
      </c>
      <c r="B27" s="151" t="n">
        <v>1</v>
      </c>
      <c r="C27" s="149" t="inlineStr">
        <is>
          <t>09/sex T</t>
        </is>
      </c>
      <c r="D27" s="150" t="inlineStr">
        <is>
          <t>prioridade nas preferências</t>
        </is>
      </c>
    </row>
    <row r="28">
      <c r="A28" s="75" t="inlineStr">
        <is>
          <t>Marilia</t>
        </is>
      </c>
      <c r="B28" s="151" t="n">
        <v>1</v>
      </c>
      <c r="C28" s="149" t="inlineStr">
        <is>
          <t>31/sáb T</t>
        </is>
      </c>
      <c r="D28" s="150" t="inlineStr">
        <is>
          <t>prioridade nas preferências</t>
        </is>
      </c>
    </row>
    <row r="29">
      <c r="A29" s="75" t="inlineStr">
        <is>
          <t>Murilo</t>
        </is>
      </c>
      <c r="B29" s="151" t="n">
        <v>1</v>
      </c>
      <c r="C29" s="149" t="inlineStr">
        <is>
          <t>18/dom M</t>
        </is>
      </c>
      <c r="D29" s="150" t="inlineStr">
        <is>
          <t>prioridade nas preferências</t>
        </is>
      </c>
    </row>
    <row r="30">
      <c r="A30" s="75" t="inlineStr">
        <is>
          <t>Pjamile</t>
        </is>
      </c>
      <c r="B30" s="151" t="n">
        <v>1</v>
      </c>
      <c r="C30" s="149" t="inlineStr">
        <is>
          <t>18/dom T</t>
        </is>
      </c>
      <c r="D30" s="150" t="inlineStr">
        <is>
          <t>prioridade nas preferências</t>
        </is>
      </c>
    </row>
    <row r="31">
      <c r="A31" s="75" t="inlineStr">
        <is>
          <t>Thamyres</t>
        </is>
      </c>
      <c r="B31" s="151" t="n">
        <v>1</v>
      </c>
      <c r="C31" s="149" t="inlineStr">
        <is>
          <t>31/sáb T</t>
        </is>
      </c>
      <c r="D31" s="150" t="inlineStr">
        <is>
          <t>prioridade nas preferências</t>
        </is>
      </c>
    </row>
    <row r="32">
      <c r="A32" s="75" t="inlineStr">
        <is>
          <t>Vanessa</t>
        </is>
      </c>
      <c r="B32" s="151" t="n">
        <v>1</v>
      </c>
      <c r="C32" s="149" t="inlineStr">
        <is>
          <t>10/sáb T</t>
        </is>
      </c>
      <c r="D32" s="150" t="inlineStr">
        <is>
          <t>prioridade nas preferências</t>
        </is>
      </c>
    </row>
  </sheetData>
  <mergeCells count="1">
    <mergeCell ref="A2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52" t="inlineStr">
        <is>
          <t>agregados por mês · fonte dos gráficos do painel</t>
        </is>
      </c>
    </row>
    <row r="2">
      <c r="A2" s="3" t="inlineStr">
        <is>
          <t>aba de apoio: não digitar nada aqui, tudo é fórmula das abas mensais</t>
        </is>
      </c>
    </row>
    <row r="4">
      <c r="A4" s="153" t="inlineStr">
        <is>
          <t>mês</t>
        </is>
      </c>
      <c r="B4" s="153" t="inlineStr">
        <is>
          <t>alertas 18h</t>
        </is>
      </c>
      <c r="C4" s="153" t="inlineStr">
        <is>
          <t>buracos</t>
        </is>
      </c>
      <c r="D4" s="153" t="inlineStr">
        <is>
          <t>dias completos</t>
        </is>
      </c>
      <c r="E4" s="153" t="inlineStr">
        <is>
          <t>manhã</t>
        </is>
      </c>
      <c r="F4" s="153" t="inlineStr">
        <is>
          <t>tarde</t>
        </is>
      </c>
      <c r="G4" s="153" t="inlineStr">
        <is>
          <t>noite</t>
        </is>
      </c>
      <c r="H4" s="153" t="inlineStr">
        <is>
          <t>noites</t>
        </is>
      </c>
      <c r="I4" s="153" t="inlineStr">
        <is>
          <t>horas noturnas</t>
        </is>
      </c>
      <c r="J4" s="153" t="inlineStr">
        <is>
          <t>fora da meta</t>
        </is>
      </c>
    </row>
    <row r="5">
      <c r="A5" s="30" t="inlineStr">
        <is>
          <t>JAN</t>
        </is>
      </c>
      <c r="B5" s="154">
        <f>IF(COUNTA(JAN!$C$8:$AG$73)&gt;0,SUM(JAN!$AN$8:$AN$73),"")</f>
        <v/>
      </c>
      <c r="C5" s="154">
        <f>IF(COUNTA(JAN!$C$8:$AG$73)&gt;0,SUM(JAN!$C$78:$AG$78)+SUM(JAN!$C$79:$AG$79)+SUM(JAN!$C$80:$AG$80),"")</f>
        <v/>
      </c>
      <c r="D5" s="154">
        <f>IF(COUNTA(JAN!$C$8:$AG$73)&gt;0,SUMPRODUCT((JAN!$C$78:$AG$78+JAN!$C$79:$AG$79+JAN!$C$80:$AG$80=0)*(JAN!$C$78:$AG$78&lt;&gt;"")),"")</f>
        <v/>
      </c>
      <c r="E5" s="155">
        <f>IF(COUNTA(JAN!$C$8:$AG$73)&gt;0,IFERROR(AVERAGEIF(JAN!$C$75:$AG$75,"&gt;0"),0),"")</f>
        <v/>
      </c>
      <c r="F5" s="155">
        <f>IF(COUNTA(JAN!$C$8:$AG$73)&gt;0,IFERROR(AVERAGEIF(JAN!$C$76:$AG$76,"&gt;0"),0),"")</f>
        <v/>
      </c>
      <c r="G5" s="155">
        <f>IF(COUNTA(JAN!$C$8:$AG$73)&gt;0,IFERROR(AVERAGEIF(JAN!$C$77:$AG$77,"&gt;0"),0),"")</f>
        <v/>
      </c>
      <c r="H5" s="154">
        <f>IF(COUNTA(JAN!$C$8:$AG$73)&gt;0,COUNTIF(JAN!$C$8:$AG$73,"N"),"")</f>
        <v/>
      </c>
      <c r="I5" s="154">
        <f>IF(COUNTA(JAN!$C$8:$AG$73)&gt;0,COUNTIF(JAN!$C$8:$AG$73,"N")*7+COUNTIF(JAN!$C$8:$AG$73,"NT")*3,"")</f>
        <v/>
      </c>
      <c r="J5" s="154">
        <f>IF(COUNTA(JAN!$C$8:$AG$73)&gt;0,SUMPRODUCT(--(ABS(JAN!$AM$8:$AM$73)&gt;12)),"")</f>
        <v/>
      </c>
    </row>
    <row r="6">
      <c r="A6" s="30" t="inlineStr">
        <is>
          <t>FEV</t>
        </is>
      </c>
      <c r="B6" s="154">
        <f>IF(COUNTA(FEV!$C$8:$AG$73)&gt;0,SUM(FEV!$AN$8:$AN$73),"")</f>
        <v/>
      </c>
      <c r="C6" s="154">
        <f>IF(COUNTA(FEV!$C$8:$AG$73)&gt;0,SUM(FEV!$C$78:$AG$78)+SUM(FEV!$C$79:$AG$79)+SUM(FEV!$C$80:$AG$80),"")</f>
        <v/>
      </c>
      <c r="D6" s="154">
        <f>IF(COUNTA(FEV!$C$8:$AG$73)&gt;0,SUMPRODUCT((FEV!$C$78:$AG$78+FEV!$C$79:$AG$79+FEV!$C$80:$AG$80=0)*(FEV!$C$78:$AG$78&lt;&gt;"")),"")</f>
        <v/>
      </c>
      <c r="E6" s="155">
        <f>IF(COUNTA(FEV!$C$8:$AG$73)&gt;0,IFERROR(AVERAGEIF(FEV!$C$75:$AG$75,"&gt;0"),0),"")</f>
        <v/>
      </c>
      <c r="F6" s="155">
        <f>IF(COUNTA(FEV!$C$8:$AG$73)&gt;0,IFERROR(AVERAGEIF(FEV!$C$76:$AG$76,"&gt;0"),0),"")</f>
        <v/>
      </c>
      <c r="G6" s="155">
        <f>IF(COUNTA(FEV!$C$8:$AG$73)&gt;0,IFERROR(AVERAGEIF(FEV!$C$77:$AG$77,"&gt;0"),0),"")</f>
        <v/>
      </c>
      <c r="H6" s="154">
        <f>IF(COUNTA(FEV!$C$8:$AG$73)&gt;0,COUNTIF(FEV!$C$8:$AG$73,"N"),"")</f>
        <v/>
      </c>
      <c r="I6" s="154">
        <f>IF(COUNTA(FEV!$C$8:$AG$73)&gt;0,COUNTIF(FEV!$C$8:$AG$73,"N")*7+COUNTIF(FEV!$C$8:$AG$73,"NT")*3,"")</f>
        <v/>
      </c>
      <c r="J6" s="154">
        <f>IF(COUNTA(FEV!$C$8:$AG$73)&gt;0,SUMPRODUCT(--(ABS(FEV!$AM$8:$AM$73)&gt;12)),"")</f>
        <v/>
      </c>
    </row>
    <row r="7">
      <c r="A7" s="30" t="inlineStr">
        <is>
          <t>MAR</t>
        </is>
      </c>
      <c r="B7" s="154">
        <f>IF(COUNTA(MAR!$C$8:$AG$73)&gt;0,SUM(MAR!$AN$8:$AN$73),"")</f>
        <v/>
      </c>
      <c r="C7" s="154">
        <f>IF(COUNTA(MAR!$C$8:$AG$73)&gt;0,SUM(MAR!$C$78:$AG$78)+SUM(MAR!$C$79:$AG$79)+SUM(MAR!$C$80:$AG$80),"")</f>
        <v/>
      </c>
      <c r="D7" s="154">
        <f>IF(COUNTA(MAR!$C$8:$AG$73)&gt;0,SUMPRODUCT((MAR!$C$78:$AG$78+MAR!$C$79:$AG$79+MAR!$C$80:$AG$80=0)*(MAR!$C$78:$AG$78&lt;&gt;"")),"")</f>
        <v/>
      </c>
      <c r="E7" s="155">
        <f>IF(COUNTA(MAR!$C$8:$AG$73)&gt;0,IFERROR(AVERAGEIF(MAR!$C$75:$AG$75,"&gt;0"),0),"")</f>
        <v/>
      </c>
      <c r="F7" s="155">
        <f>IF(COUNTA(MAR!$C$8:$AG$73)&gt;0,IFERROR(AVERAGEIF(MAR!$C$76:$AG$76,"&gt;0"),0),"")</f>
        <v/>
      </c>
      <c r="G7" s="155">
        <f>IF(COUNTA(MAR!$C$8:$AG$73)&gt;0,IFERROR(AVERAGEIF(MAR!$C$77:$AG$77,"&gt;0"),0),"")</f>
        <v/>
      </c>
      <c r="H7" s="154">
        <f>IF(COUNTA(MAR!$C$8:$AG$73)&gt;0,COUNTIF(MAR!$C$8:$AG$73,"N"),"")</f>
        <v/>
      </c>
      <c r="I7" s="154">
        <f>IF(COUNTA(MAR!$C$8:$AG$73)&gt;0,COUNTIF(MAR!$C$8:$AG$73,"N")*7+COUNTIF(MAR!$C$8:$AG$73,"NT")*3,"")</f>
        <v/>
      </c>
      <c r="J7" s="154">
        <f>IF(COUNTA(MAR!$C$8:$AG$73)&gt;0,SUMPRODUCT(--(ABS(MAR!$AM$8:$AM$73)&gt;12)),"")</f>
        <v/>
      </c>
    </row>
    <row r="8">
      <c r="A8" s="30" t="inlineStr">
        <is>
          <t>ABR</t>
        </is>
      </c>
      <c r="B8" s="154">
        <f>IF(COUNTA(ABR!$C$8:$AG$73)&gt;0,SUM(ABR!$AN$8:$AN$73),"")</f>
        <v/>
      </c>
      <c r="C8" s="154">
        <f>IF(COUNTA(ABR!$C$8:$AG$73)&gt;0,SUM(ABR!$C$78:$AG$78)+SUM(ABR!$C$79:$AG$79)+SUM(ABR!$C$80:$AG$80),"")</f>
        <v/>
      </c>
      <c r="D8" s="154">
        <f>IF(COUNTA(ABR!$C$8:$AG$73)&gt;0,SUMPRODUCT((ABR!$C$78:$AG$78+ABR!$C$79:$AG$79+ABR!$C$80:$AG$80=0)*(ABR!$C$78:$AG$78&lt;&gt;"")),"")</f>
        <v/>
      </c>
      <c r="E8" s="155">
        <f>IF(COUNTA(ABR!$C$8:$AG$73)&gt;0,IFERROR(AVERAGEIF(ABR!$C$75:$AG$75,"&gt;0"),0),"")</f>
        <v/>
      </c>
      <c r="F8" s="155">
        <f>IF(COUNTA(ABR!$C$8:$AG$73)&gt;0,IFERROR(AVERAGEIF(ABR!$C$76:$AG$76,"&gt;0"),0),"")</f>
        <v/>
      </c>
      <c r="G8" s="155">
        <f>IF(COUNTA(ABR!$C$8:$AG$73)&gt;0,IFERROR(AVERAGEIF(ABR!$C$77:$AG$77,"&gt;0"),0),"")</f>
        <v/>
      </c>
      <c r="H8" s="154">
        <f>IF(COUNTA(ABR!$C$8:$AG$73)&gt;0,COUNTIF(ABR!$C$8:$AG$73,"N"),"")</f>
        <v/>
      </c>
      <c r="I8" s="154">
        <f>IF(COUNTA(ABR!$C$8:$AG$73)&gt;0,COUNTIF(ABR!$C$8:$AG$73,"N")*7+COUNTIF(ABR!$C$8:$AG$73,"NT")*3,"")</f>
        <v/>
      </c>
      <c r="J8" s="154">
        <f>IF(COUNTA(ABR!$C$8:$AG$73)&gt;0,SUMPRODUCT(--(ABS(ABR!$AM$8:$AM$73)&gt;12)),"")</f>
        <v/>
      </c>
    </row>
    <row r="9">
      <c r="A9" s="30" t="inlineStr">
        <is>
          <t>MAI</t>
        </is>
      </c>
      <c r="B9" s="154">
        <f>IF(COUNTA(MAI!$C$8:$AG$73)&gt;0,SUM(MAI!$AN$8:$AN$73),"")</f>
        <v/>
      </c>
      <c r="C9" s="154">
        <f>IF(COUNTA(MAI!$C$8:$AG$73)&gt;0,SUM(MAI!$C$78:$AG$78)+SUM(MAI!$C$79:$AG$79)+SUM(MAI!$C$80:$AG$80),"")</f>
        <v/>
      </c>
      <c r="D9" s="154">
        <f>IF(COUNTA(MAI!$C$8:$AG$73)&gt;0,SUMPRODUCT((MAI!$C$78:$AG$78+MAI!$C$79:$AG$79+MAI!$C$80:$AG$80=0)*(MAI!$C$78:$AG$78&lt;&gt;"")),"")</f>
        <v/>
      </c>
      <c r="E9" s="155">
        <f>IF(COUNTA(MAI!$C$8:$AG$73)&gt;0,IFERROR(AVERAGEIF(MAI!$C$75:$AG$75,"&gt;0"),0),"")</f>
        <v/>
      </c>
      <c r="F9" s="155">
        <f>IF(COUNTA(MAI!$C$8:$AG$73)&gt;0,IFERROR(AVERAGEIF(MAI!$C$76:$AG$76,"&gt;0"),0),"")</f>
        <v/>
      </c>
      <c r="G9" s="155">
        <f>IF(COUNTA(MAI!$C$8:$AG$73)&gt;0,IFERROR(AVERAGEIF(MAI!$C$77:$AG$77,"&gt;0"),0),"")</f>
        <v/>
      </c>
      <c r="H9" s="154">
        <f>IF(COUNTA(MAI!$C$8:$AG$73)&gt;0,COUNTIF(MAI!$C$8:$AG$73,"N"),"")</f>
        <v/>
      </c>
      <c r="I9" s="154">
        <f>IF(COUNTA(MAI!$C$8:$AG$73)&gt;0,COUNTIF(MAI!$C$8:$AG$73,"N")*7+COUNTIF(MAI!$C$8:$AG$73,"NT")*3,"")</f>
        <v/>
      </c>
      <c r="J9" s="154">
        <f>IF(COUNTA(MAI!$C$8:$AG$73)&gt;0,SUMPRODUCT(--(ABS(MAI!$AM$8:$AM$73)&gt;12)),"")</f>
        <v/>
      </c>
    </row>
    <row r="10">
      <c r="A10" s="30" t="inlineStr">
        <is>
          <t>JUN</t>
        </is>
      </c>
      <c r="B10" s="154">
        <f>IF(COUNTA(JUN!$C$8:$AG$73)&gt;0,SUM(JUN!$AN$8:$AN$73),"")</f>
        <v/>
      </c>
      <c r="C10" s="154">
        <f>IF(COUNTA(JUN!$C$8:$AG$73)&gt;0,SUM(JUN!$C$78:$AG$78)+SUM(JUN!$C$79:$AG$79)+SUM(JUN!$C$80:$AG$80),"")</f>
        <v/>
      </c>
      <c r="D10" s="154">
        <f>IF(COUNTA(JUN!$C$8:$AG$73)&gt;0,SUMPRODUCT((JUN!$C$78:$AG$78+JUN!$C$79:$AG$79+JUN!$C$80:$AG$80=0)*(JUN!$C$78:$AG$78&lt;&gt;"")),"")</f>
        <v/>
      </c>
      <c r="E10" s="155">
        <f>IF(COUNTA(JUN!$C$8:$AG$73)&gt;0,IFERROR(AVERAGEIF(JUN!$C$75:$AG$75,"&gt;0"),0),"")</f>
        <v/>
      </c>
      <c r="F10" s="155">
        <f>IF(COUNTA(JUN!$C$8:$AG$73)&gt;0,IFERROR(AVERAGEIF(JUN!$C$76:$AG$76,"&gt;0"),0),"")</f>
        <v/>
      </c>
      <c r="G10" s="155">
        <f>IF(COUNTA(JUN!$C$8:$AG$73)&gt;0,IFERROR(AVERAGEIF(JUN!$C$77:$AG$77,"&gt;0"),0),"")</f>
        <v/>
      </c>
      <c r="H10" s="154">
        <f>IF(COUNTA(JUN!$C$8:$AG$73)&gt;0,COUNTIF(JUN!$C$8:$AG$73,"N"),"")</f>
        <v/>
      </c>
      <c r="I10" s="154">
        <f>IF(COUNTA(JUN!$C$8:$AG$73)&gt;0,COUNTIF(JUN!$C$8:$AG$73,"N")*7+COUNTIF(JUN!$C$8:$AG$73,"NT")*3,"")</f>
        <v/>
      </c>
      <c r="J10" s="154">
        <f>IF(COUNTA(JUN!$C$8:$AG$73)&gt;0,SUMPRODUCT(--(ABS(JUN!$AM$8:$AM$73)&gt;12)),"")</f>
        <v/>
      </c>
    </row>
    <row r="11">
      <c r="A11" s="30" t="inlineStr">
        <is>
          <t>JUL</t>
        </is>
      </c>
      <c r="B11" s="154">
        <f>IF(COUNTA(JUL!$C$8:$AG$73)&gt;0,SUM(JUL!$AN$8:$AN$73),"")</f>
        <v/>
      </c>
      <c r="C11" s="154">
        <f>IF(COUNTA(JUL!$C$8:$AG$73)&gt;0,SUM(JUL!$C$78:$AG$78)+SUM(JUL!$C$79:$AG$79)+SUM(JUL!$C$80:$AG$80),"")</f>
        <v/>
      </c>
      <c r="D11" s="154">
        <f>IF(COUNTA(JUL!$C$8:$AG$73)&gt;0,SUMPRODUCT((JUL!$C$78:$AG$78+JUL!$C$79:$AG$79+JUL!$C$80:$AG$80=0)*(JUL!$C$78:$AG$78&lt;&gt;"")),"")</f>
        <v/>
      </c>
      <c r="E11" s="155">
        <f>IF(COUNTA(JUL!$C$8:$AG$73)&gt;0,IFERROR(AVERAGEIF(JUL!$C$75:$AG$75,"&gt;0"),0),"")</f>
        <v/>
      </c>
      <c r="F11" s="155">
        <f>IF(COUNTA(JUL!$C$8:$AG$73)&gt;0,IFERROR(AVERAGEIF(JUL!$C$76:$AG$76,"&gt;0"),0),"")</f>
        <v/>
      </c>
      <c r="G11" s="155">
        <f>IF(COUNTA(JUL!$C$8:$AG$73)&gt;0,IFERROR(AVERAGEIF(JUL!$C$77:$AG$77,"&gt;0"),0),"")</f>
        <v/>
      </c>
      <c r="H11" s="154">
        <f>IF(COUNTA(JUL!$C$8:$AG$73)&gt;0,COUNTIF(JUL!$C$8:$AG$73,"N"),"")</f>
        <v/>
      </c>
      <c r="I11" s="154">
        <f>IF(COUNTA(JUL!$C$8:$AG$73)&gt;0,COUNTIF(JUL!$C$8:$AG$73,"N")*7+COUNTIF(JUL!$C$8:$AG$73,"NT")*3,"")</f>
        <v/>
      </c>
      <c r="J11" s="154">
        <f>IF(COUNTA(JUL!$C$8:$AG$73)&gt;0,SUMPRODUCT(--(ABS(JUL!$AM$8:$AM$73)&gt;12)),"")</f>
        <v/>
      </c>
    </row>
    <row r="12">
      <c r="A12" s="30" t="inlineStr">
        <is>
          <t>AGO</t>
        </is>
      </c>
      <c r="B12" s="154">
        <f>IF(COUNTA(AGO!$C$8:$AG$73)&gt;0,SUM(AGO!$AN$8:$AN$73),"")</f>
        <v/>
      </c>
      <c r="C12" s="154">
        <f>IF(COUNTA(AGO!$C$8:$AG$73)&gt;0,SUM(AGO!$C$78:$AG$78)+SUM(AGO!$C$79:$AG$79)+SUM(AGO!$C$80:$AG$80),"")</f>
        <v/>
      </c>
      <c r="D12" s="154">
        <f>IF(COUNTA(AGO!$C$8:$AG$73)&gt;0,SUMPRODUCT((AGO!$C$78:$AG$78+AGO!$C$79:$AG$79+AGO!$C$80:$AG$80=0)*(AGO!$C$78:$AG$78&lt;&gt;"")),"")</f>
        <v/>
      </c>
      <c r="E12" s="155">
        <f>IF(COUNTA(AGO!$C$8:$AG$73)&gt;0,IFERROR(AVERAGEIF(AGO!$C$75:$AG$75,"&gt;0"),0),"")</f>
        <v/>
      </c>
      <c r="F12" s="155">
        <f>IF(COUNTA(AGO!$C$8:$AG$73)&gt;0,IFERROR(AVERAGEIF(AGO!$C$76:$AG$76,"&gt;0"),0),"")</f>
        <v/>
      </c>
      <c r="G12" s="155">
        <f>IF(COUNTA(AGO!$C$8:$AG$73)&gt;0,IFERROR(AVERAGEIF(AGO!$C$77:$AG$77,"&gt;0"),0),"")</f>
        <v/>
      </c>
      <c r="H12" s="154">
        <f>IF(COUNTA(AGO!$C$8:$AG$73)&gt;0,COUNTIF(AGO!$C$8:$AG$73,"N"),"")</f>
        <v/>
      </c>
      <c r="I12" s="154">
        <f>IF(COUNTA(AGO!$C$8:$AG$73)&gt;0,COUNTIF(AGO!$C$8:$AG$73,"N")*7+COUNTIF(AGO!$C$8:$AG$73,"NT")*3,"")</f>
        <v/>
      </c>
      <c r="J12" s="154">
        <f>IF(COUNTA(AGO!$C$8:$AG$73)&gt;0,SUMPRODUCT(--(ABS(AGO!$AM$8:$AM$73)&gt;12)),"")</f>
        <v/>
      </c>
    </row>
    <row r="13">
      <c r="A13" s="30" t="inlineStr">
        <is>
          <t>SET</t>
        </is>
      </c>
      <c r="B13" s="154">
        <f>IF(COUNTA(SET!$C$8:$AG$73)&gt;0,SUM(SET!$AN$8:$AN$73),"")</f>
        <v/>
      </c>
      <c r="C13" s="154">
        <f>IF(COUNTA(SET!$C$8:$AG$73)&gt;0,SUM(SET!$C$78:$AG$78)+SUM(SET!$C$79:$AG$79)+SUM(SET!$C$80:$AG$80),"")</f>
        <v/>
      </c>
      <c r="D13" s="154">
        <f>IF(COUNTA(SET!$C$8:$AG$73)&gt;0,SUMPRODUCT((SET!$C$78:$AG$78+SET!$C$79:$AG$79+SET!$C$80:$AG$80=0)*(SET!$C$78:$AG$78&lt;&gt;"")),"")</f>
        <v/>
      </c>
      <c r="E13" s="155">
        <f>IF(COUNTA(SET!$C$8:$AG$73)&gt;0,IFERROR(AVERAGEIF(SET!$C$75:$AG$75,"&gt;0"),0),"")</f>
        <v/>
      </c>
      <c r="F13" s="155">
        <f>IF(COUNTA(SET!$C$8:$AG$73)&gt;0,IFERROR(AVERAGEIF(SET!$C$76:$AG$76,"&gt;0"),0),"")</f>
        <v/>
      </c>
      <c r="G13" s="155">
        <f>IF(COUNTA(SET!$C$8:$AG$73)&gt;0,IFERROR(AVERAGEIF(SET!$C$77:$AG$77,"&gt;0"),0),"")</f>
        <v/>
      </c>
      <c r="H13" s="154">
        <f>IF(COUNTA(SET!$C$8:$AG$73)&gt;0,COUNTIF(SET!$C$8:$AG$73,"N"),"")</f>
        <v/>
      </c>
      <c r="I13" s="154">
        <f>IF(COUNTA(SET!$C$8:$AG$73)&gt;0,COUNTIF(SET!$C$8:$AG$73,"N")*7+COUNTIF(SET!$C$8:$AG$73,"NT")*3,"")</f>
        <v/>
      </c>
      <c r="J13" s="154">
        <f>IF(COUNTA(SET!$C$8:$AG$73)&gt;0,SUMPRODUCT(--(ABS(SET!$AM$8:$AM$73)&gt;12)),"")</f>
        <v/>
      </c>
    </row>
    <row r="14">
      <c r="A14" s="30" t="inlineStr">
        <is>
          <t>OUT</t>
        </is>
      </c>
      <c r="B14" s="154">
        <f>IF(COUNTA(OUT!$C$8:$AG$73)&gt;0,SUM(OUT!$AN$8:$AN$73),"")</f>
        <v/>
      </c>
      <c r="C14" s="154">
        <f>IF(COUNTA(OUT!$C$8:$AG$73)&gt;0,SUM(OUT!$C$78:$AG$78)+SUM(OUT!$C$79:$AG$79)+SUM(OUT!$C$80:$AG$80),"")</f>
        <v/>
      </c>
      <c r="D14" s="154">
        <f>IF(COUNTA(OUT!$C$8:$AG$73)&gt;0,SUMPRODUCT((OUT!$C$78:$AG$78+OUT!$C$79:$AG$79+OUT!$C$80:$AG$80=0)*(OUT!$C$78:$AG$78&lt;&gt;"")),"")</f>
        <v/>
      </c>
      <c r="E14" s="155">
        <f>IF(COUNTA(OUT!$C$8:$AG$73)&gt;0,IFERROR(AVERAGEIF(OUT!$C$75:$AG$75,"&gt;0"),0),"")</f>
        <v/>
      </c>
      <c r="F14" s="155">
        <f>IF(COUNTA(OUT!$C$8:$AG$73)&gt;0,IFERROR(AVERAGEIF(OUT!$C$76:$AG$76,"&gt;0"),0),"")</f>
        <v/>
      </c>
      <c r="G14" s="155">
        <f>IF(COUNTA(OUT!$C$8:$AG$73)&gt;0,IFERROR(AVERAGEIF(OUT!$C$77:$AG$77,"&gt;0"),0),"")</f>
        <v/>
      </c>
      <c r="H14" s="154">
        <f>IF(COUNTA(OUT!$C$8:$AG$73)&gt;0,COUNTIF(OUT!$C$8:$AG$73,"N"),"")</f>
        <v/>
      </c>
      <c r="I14" s="154">
        <f>IF(COUNTA(OUT!$C$8:$AG$73)&gt;0,COUNTIF(OUT!$C$8:$AG$73,"N")*7+COUNTIF(OUT!$C$8:$AG$73,"NT")*3,"")</f>
        <v/>
      </c>
      <c r="J14" s="154">
        <f>IF(COUNTA(OUT!$C$8:$AG$73)&gt;0,SUMPRODUCT(--(ABS(OUT!$AM$8:$AM$73)&gt;12)),"")</f>
        <v/>
      </c>
    </row>
    <row r="15">
      <c r="A15" s="30" t="inlineStr">
        <is>
          <t>NOV</t>
        </is>
      </c>
      <c r="B15" s="154">
        <f>IF(COUNTA(NOV!$C$8:$AG$73)&gt;0,SUM(NOV!$AN$8:$AN$73),"")</f>
        <v/>
      </c>
      <c r="C15" s="154">
        <f>IF(COUNTA(NOV!$C$8:$AG$73)&gt;0,SUM(NOV!$C$78:$AG$78)+SUM(NOV!$C$79:$AG$79)+SUM(NOV!$C$80:$AG$80),"")</f>
        <v/>
      </c>
      <c r="D15" s="154">
        <f>IF(COUNTA(NOV!$C$8:$AG$73)&gt;0,SUMPRODUCT((NOV!$C$78:$AG$78+NOV!$C$79:$AG$79+NOV!$C$80:$AG$80=0)*(NOV!$C$78:$AG$78&lt;&gt;"")),"")</f>
        <v/>
      </c>
      <c r="E15" s="155">
        <f>IF(COUNTA(NOV!$C$8:$AG$73)&gt;0,IFERROR(AVERAGEIF(NOV!$C$75:$AG$75,"&gt;0"),0),"")</f>
        <v/>
      </c>
      <c r="F15" s="155">
        <f>IF(COUNTA(NOV!$C$8:$AG$73)&gt;0,IFERROR(AVERAGEIF(NOV!$C$76:$AG$76,"&gt;0"),0),"")</f>
        <v/>
      </c>
      <c r="G15" s="155">
        <f>IF(COUNTA(NOV!$C$8:$AG$73)&gt;0,IFERROR(AVERAGEIF(NOV!$C$77:$AG$77,"&gt;0"),0),"")</f>
        <v/>
      </c>
      <c r="H15" s="154">
        <f>IF(COUNTA(NOV!$C$8:$AG$73)&gt;0,COUNTIF(NOV!$C$8:$AG$73,"N"),"")</f>
        <v/>
      </c>
      <c r="I15" s="154">
        <f>IF(COUNTA(NOV!$C$8:$AG$73)&gt;0,COUNTIF(NOV!$C$8:$AG$73,"N")*7+COUNTIF(NOV!$C$8:$AG$73,"NT")*3,"")</f>
        <v/>
      </c>
      <c r="J15" s="154">
        <f>IF(COUNTA(NOV!$C$8:$AG$73)&gt;0,SUMPRODUCT(--(ABS(NOV!$AM$8:$AM$73)&gt;12)),"")</f>
        <v/>
      </c>
    </row>
    <row r="16">
      <c r="A16" s="30" t="inlineStr">
        <is>
          <t>DEZ</t>
        </is>
      </c>
      <c r="B16" s="154">
        <f>IF(COUNTA(DEZ!$C$8:$AG$73)&gt;0,SUM(DEZ!$AN$8:$AN$73),"")</f>
        <v/>
      </c>
      <c r="C16" s="154">
        <f>IF(COUNTA(DEZ!$C$8:$AG$73)&gt;0,SUM(DEZ!$C$78:$AG$78)+SUM(DEZ!$C$79:$AG$79)+SUM(DEZ!$C$80:$AG$80),"")</f>
        <v/>
      </c>
      <c r="D16" s="154">
        <f>IF(COUNTA(DEZ!$C$8:$AG$73)&gt;0,SUMPRODUCT((DEZ!$C$78:$AG$78+DEZ!$C$79:$AG$79+DEZ!$C$80:$AG$80=0)*(DEZ!$C$78:$AG$78&lt;&gt;"")),"")</f>
        <v/>
      </c>
      <c r="E16" s="155">
        <f>IF(COUNTA(DEZ!$C$8:$AG$73)&gt;0,IFERROR(AVERAGEIF(DEZ!$C$75:$AG$75,"&gt;0"),0),"")</f>
        <v/>
      </c>
      <c r="F16" s="155">
        <f>IF(COUNTA(DEZ!$C$8:$AG$73)&gt;0,IFERROR(AVERAGEIF(DEZ!$C$76:$AG$76,"&gt;0"),0),"")</f>
        <v/>
      </c>
      <c r="G16" s="155">
        <f>IF(COUNTA(DEZ!$C$8:$AG$73)&gt;0,IFERROR(AVERAGEIF(DEZ!$C$77:$AG$77,"&gt;0"),0),"")</f>
        <v/>
      </c>
      <c r="H16" s="154">
        <f>IF(COUNTA(DEZ!$C$8:$AG$73)&gt;0,COUNTIF(DEZ!$C$8:$AG$73,"N"),"")</f>
        <v/>
      </c>
      <c r="I16" s="154">
        <f>IF(COUNTA(DEZ!$C$8:$AG$73)&gt;0,COUNTIF(DEZ!$C$8:$AG$73,"N")*7+COUNTIF(DEZ!$C$8:$AG$73,"NT")*3,"")</f>
        <v/>
      </c>
      <c r="J16" s="154">
        <f>IF(COUNTA(DEZ!$C$8:$AG$73)&gt;0,SUMPRODUCT(--(ABS(DEZ!$AM$8:$AM$73)&gt;12)),"")</f>
        <v/>
      </c>
    </row>
    <row r="20">
      <c r="A20" s="156" t="inlineStr">
        <is>
          <t>distribuição do saldo · outubro</t>
        </is>
      </c>
    </row>
    <row r="21">
      <c r="A21" s="157" t="inlineStr">
        <is>
          <t>faixa</t>
        </is>
      </c>
      <c r="B21" s="158" t="inlineStr">
        <is>
          <t>devendo</t>
        </is>
      </c>
      <c r="C21" s="158" t="inlineStr">
        <is>
          <t>a mais</t>
        </is>
      </c>
    </row>
    <row r="22">
      <c r="A22" s="159" t="inlineStr">
        <is>
          <t>−24h ou mais</t>
        </is>
      </c>
      <c r="B22" s="160">
        <f>COUNTIFS(OUT!$AM$8:$AM$73,"&lt;-24")</f>
        <v/>
      </c>
    </row>
    <row r="23">
      <c r="A23" s="159" t="inlineStr">
        <is>
          <t>−12 a −24h</t>
        </is>
      </c>
      <c r="B23" s="160">
        <f>COUNTIFS(OUT!$AM$8:$AM$73,"&gt;=-24",OUT!$AM$8:$AM$73,"&lt;-12")</f>
        <v/>
      </c>
    </row>
    <row r="24">
      <c r="A24" s="159" t="inlineStr">
        <is>
          <t>−1 a −12h</t>
        </is>
      </c>
      <c r="B24" s="160">
        <f>COUNTIFS(OUT!$AM$8:$AM$73,"&gt;=-12",OUT!$AM$8:$AM$73,"&lt;0")</f>
        <v/>
      </c>
    </row>
    <row r="25">
      <c r="A25" s="159" t="inlineStr">
        <is>
          <t>na meta</t>
        </is>
      </c>
      <c r="B25" s="160">
        <f>COUNTIFS(OUT!$AM$8:$AM$73,"=0")</f>
        <v/>
      </c>
    </row>
    <row r="26">
      <c r="A26" s="159" t="inlineStr">
        <is>
          <t>+1 a +12h</t>
        </is>
      </c>
      <c r="C26" s="160">
        <f>COUNTIFS(OUT!$AM$8:$AM$73,"&gt;0",OUT!$AM$8:$AM$73,"&lt;=12")</f>
        <v/>
      </c>
    </row>
    <row r="27">
      <c r="A27" s="159" t="inlineStr">
        <is>
          <t>+12 a +24h</t>
        </is>
      </c>
      <c r="C27" s="160">
        <f>COUNTIFS(OUT!$AM$8:$AM$73,"&gt;12",OUT!$AM$8:$AM$73,"&lt;=24")</f>
        <v/>
      </c>
    </row>
    <row r="28">
      <c r="A28" s="159" t="inlineStr">
        <is>
          <t>+24h ou mais</t>
        </is>
      </c>
      <c r="C28" s="160">
        <f>COUNTIFS(OUT!$AM$8:$AM$73,"&gt;24")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2026-08-18T01:28:36Z</dcterms:created>
  <dcterms:modified xmlns:dcterms="http://purl.org/dc/terms/" xmlns:xsi="http://www.w3.org/2001/XMLSchema-instance" xsi:type="dcterms:W3CDTF">2026-08-18T01:28:43Z</dcterms:modified>
</cp:coreProperties>
</file>